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6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OneDrive\Escritorio\archivo MEC\MEC\Documento Público General\"/>
    </mc:Choice>
  </mc:AlternateContent>
  <xr:revisionPtr revIDLastSave="0" documentId="13_ncr:1_{B4B114DD-0175-4C11-A0AB-A338EDBBDE34}" xr6:coauthVersionLast="47" xr6:coauthVersionMax="47" xr10:uidLastSave="{00000000-0000-0000-0000-000000000000}"/>
  <bookViews>
    <workbookView xWindow="13550" yWindow="-110" windowWidth="19420" windowHeight="10560" tabRatio="828" firstSheet="1" activeTab="1" xr2:uid="{54526BD9-423C-419E-B550-F6E9D824C17A}"/>
  </bookViews>
  <sheets>
    <sheet name="Registros" sheetId="35" state="veryHidden" r:id="rId1"/>
    <sheet name="MOSTRAR" sheetId="29" r:id="rId2"/>
    <sheet name="Resumen 2024-2025" sheetId="48" state="hidden" r:id="rId3"/>
    <sheet name="PLAN" sheetId="3" state="hidden" r:id="rId4"/>
    <sheet name="RUTA" sheetId="24" state="hidden" r:id="rId5"/>
    <sheet name="CARTOLA" sheetId="4" state="hidden" r:id="rId6"/>
    <sheet name="pago marzo 2025" sheetId="46" state="hidden" r:id="rId7"/>
    <sheet name="DIRECTOR" sheetId="7" state="hidden" r:id="rId8"/>
    <sheet name="CLAVES" sheetId="49" state="veryHidden" r:id="rId9"/>
    <sheet name="pago dic 24" sheetId="45" state="veryHidden" r:id="rId10"/>
    <sheet name="REUNION" sheetId="1" state="hidden" r:id="rId11"/>
    <sheet name="VIATICOS" sheetId="6" state="hidden" r:id="rId12"/>
    <sheet name="GASTODIR" sheetId="33" state="hidden" r:id="rId13"/>
    <sheet name="RENDICION" sheetId="28" state="hidden" r:id="rId14"/>
    <sheet name="APORTE" sheetId="31" state="hidden" r:id="rId15"/>
    <sheet name="PLENARIA" sheetId="14" state="hidden" r:id="rId16"/>
    <sheet name="SOCIOS" sheetId="26" state="veryHidden" r:id="rId17"/>
    <sheet name="ACTAS" sheetId="30" state="hidden" r:id="rId18"/>
    <sheet name="BOLETAS" sheetId="32" state="hidden" r:id="rId19"/>
    <sheet name="CHEQUE" sheetId="34" state="hidden" r:id="rId20"/>
  </sheets>
  <externalReferences>
    <externalReference r:id="rId21"/>
  </externalReferences>
  <definedNames>
    <definedName name="_am1" localSheetId="17">#REF!</definedName>
    <definedName name="_am1" localSheetId="14">#REF!</definedName>
    <definedName name="_am1" localSheetId="18">#REF!</definedName>
    <definedName name="_am1" localSheetId="19">#REF!</definedName>
    <definedName name="_am1" localSheetId="7">#REF!</definedName>
    <definedName name="_am1" localSheetId="12">#REF!</definedName>
    <definedName name="_am1">#REF!</definedName>
    <definedName name="_xlnm._FilterDatabase" localSheetId="17" hidden="1">ACTAS!$B$1:$G$56</definedName>
    <definedName name="_xlnm._FilterDatabase" localSheetId="14" hidden="1">APORTE!$A$2:$CX$56</definedName>
    <definedName name="_xlnm._FilterDatabase" localSheetId="5" hidden="1">CARTOLA!$A$2:$N$41</definedName>
    <definedName name="_xlnm._FilterDatabase" localSheetId="19" hidden="1">CHEQUE!$A$2:$K$2</definedName>
    <definedName name="_xlnm._FilterDatabase" localSheetId="7" hidden="1">DIRECTOR!$A$1:$J$110</definedName>
    <definedName name="_xlnm._FilterDatabase" localSheetId="12" hidden="1">GASTODIR!$A$2:$N$200</definedName>
    <definedName name="_tax1" localSheetId="7">#REF!</definedName>
    <definedName name="_tax1" localSheetId="15">#REF!</definedName>
    <definedName name="_tax1" localSheetId="2">#REF!</definedName>
    <definedName name="_tax1">#REF!</definedName>
    <definedName name="_tax2" localSheetId="7">#REF!</definedName>
    <definedName name="_tax2">#REF!</definedName>
    <definedName name="_tax3" localSheetId="7">#REF!</definedName>
    <definedName name="_tax3">#REF!</definedName>
    <definedName name="_tax4" localSheetId="7">#REF!</definedName>
    <definedName name="_tax4">#REF!</definedName>
    <definedName name="_xlnm.Print_Area" localSheetId="18">BOLETAS!#REF!</definedName>
    <definedName name="_xlnm.Print_Area" localSheetId="5">CARTOLA!$B$1:$Q$124</definedName>
    <definedName name="_xlnm.Print_Area" localSheetId="19">CHEQUE!$B$2:$J$2</definedName>
    <definedName name="_xlnm.Print_Area" localSheetId="7">DIRECTOR!$A$1:$N$65</definedName>
    <definedName name="_xlnm.Print_Area" localSheetId="12">GASTODIR!$A$1:$N$2</definedName>
    <definedName name="_xlnm.Print_Area" localSheetId="9">'pago dic 24'!$A$25:$O$35</definedName>
    <definedName name="_xlnm.Print_Area" localSheetId="6">'pago marzo 2025'!$B$83:$L$104</definedName>
    <definedName name="_xlnm.Print_Area" localSheetId="3">PLAN!$B$1:$K$111</definedName>
    <definedName name="_xlnm.Print_Area" localSheetId="15">PLENARIA!$V$1:$Z$41</definedName>
    <definedName name="_xlnm.Print_Area" localSheetId="13">RENDICION!$B$712:$L$722</definedName>
    <definedName name="_xlnm.Print_Area" localSheetId="10">REUNION!$A$2:$O$2</definedName>
    <definedName name="_xlnm.Print_Area" localSheetId="4">RUTA!$B$1:$AR$54</definedName>
    <definedName name="Área_de_muestra_2" localSheetId="7">#REF!</definedName>
    <definedName name="Área_de_muestra_2" localSheetId="15">#REF!</definedName>
    <definedName name="Área_de_muestra_2" localSheetId="2">#REF!</definedName>
    <definedName name="Área_de_muestra_2">#REF!</definedName>
    <definedName name="bbb" localSheetId="7">#REF!</definedName>
    <definedName name="bbb">#REF!</definedName>
    <definedName name="boxes" localSheetId="7">#REF!</definedName>
    <definedName name="boxes">#REF!</definedName>
    <definedName name="button_area_1" localSheetId="7">#REF!</definedName>
    <definedName name="button_area_1">#REF!</definedName>
    <definedName name="CCT" localSheetId="7">#REF!</definedName>
    <definedName name="CCT">#REF!</definedName>
    <definedName name="celltips_area" localSheetId="7">#REF!</definedName>
    <definedName name="celltips_area">#REF!</definedName>
    <definedName name="data1" localSheetId="7">#REF!</definedName>
    <definedName name="data1">#REF!</definedName>
    <definedName name="data10" localSheetId="7">#REF!</definedName>
    <definedName name="data10">#REF!</definedName>
    <definedName name="data11" localSheetId="7">#REF!</definedName>
    <definedName name="data11">#REF!</definedName>
    <definedName name="data12" localSheetId="7">#REF!</definedName>
    <definedName name="data12">#REF!</definedName>
    <definedName name="data13" localSheetId="7">#REF!</definedName>
    <definedName name="data13">#REF!</definedName>
    <definedName name="data14" localSheetId="7">#REF!</definedName>
    <definedName name="data14">#REF!</definedName>
    <definedName name="data15" localSheetId="7">#REF!</definedName>
    <definedName name="data15">#REF!</definedName>
    <definedName name="data16" localSheetId="7">#REF!</definedName>
    <definedName name="data16">#REF!</definedName>
    <definedName name="data17" localSheetId="7">#REF!</definedName>
    <definedName name="data17">#REF!</definedName>
    <definedName name="data18" localSheetId="7">#REF!</definedName>
    <definedName name="data18">#REF!</definedName>
    <definedName name="data19" localSheetId="7">#REF!</definedName>
    <definedName name="data19">#REF!</definedName>
    <definedName name="data2" localSheetId="7">#REF!</definedName>
    <definedName name="data2">#REF!</definedName>
    <definedName name="data20" localSheetId="7">#REF!</definedName>
    <definedName name="data20">#REF!</definedName>
    <definedName name="data21" localSheetId="7">#REF!</definedName>
    <definedName name="data21">#REF!</definedName>
    <definedName name="data22" localSheetId="7">#REF!</definedName>
    <definedName name="data22">#REF!</definedName>
    <definedName name="data23" localSheetId="7">#REF!</definedName>
    <definedName name="data23">#REF!</definedName>
    <definedName name="data24" localSheetId="7">#REF!</definedName>
    <definedName name="data24">#REF!</definedName>
    <definedName name="data25" localSheetId="7">#REF!</definedName>
    <definedName name="data25">#REF!</definedName>
    <definedName name="data26" localSheetId="7">#REF!</definedName>
    <definedName name="data26">#REF!</definedName>
    <definedName name="data27" localSheetId="7">#REF!</definedName>
    <definedName name="data27">#REF!</definedName>
    <definedName name="data28" localSheetId="7">#REF!</definedName>
    <definedName name="data28">#REF!</definedName>
    <definedName name="data29" localSheetId="7">#REF!</definedName>
    <definedName name="data29">#REF!</definedName>
    <definedName name="data3" localSheetId="7">#REF!</definedName>
    <definedName name="data3">#REF!</definedName>
    <definedName name="data30" localSheetId="7">#REF!</definedName>
    <definedName name="data30">#REF!</definedName>
    <definedName name="data31" localSheetId="7">#REF!</definedName>
    <definedName name="data31">#REF!</definedName>
    <definedName name="data32" localSheetId="7">#REF!</definedName>
    <definedName name="data32">#REF!</definedName>
    <definedName name="data33" localSheetId="7">#REF!</definedName>
    <definedName name="data33">#REF!</definedName>
    <definedName name="data34" localSheetId="7">#REF!</definedName>
    <definedName name="data34">#REF!</definedName>
    <definedName name="data35" localSheetId="7">#REF!</definedName>
    <definedName name="data35">#REF!</definedName>
    <definedName name="data36" localSheetId="7">#REF!</definedName>
    <definedName name="data36">#REF!</definedName>
    <definedName name="data37" localSheetId="7">#REF!</definedName>
    <definedName name="data37">#REF!</definedName>
    <definedName name="data38" localSheetId="7">#REF!</definedName>
    <definedName name="data38">#REF!</definedName>
    <definedName name="data39" localSheetId="7">#REF!</definedName>
    <definedName name="data39">#REF!</definedName>
    <definedName name="data4" localSheetId="7">#REF!</definedName>
    <definedName name="data4">#REF!</definedName>
    <definedName name="data40" localSheetId="7">#REF!</definedName>
    <definedName name="data40">#REF!</definedName>
    <definedName name="data41" localSheetId="7">#REF!</definedName>
    <definedName name="data41">#REF!</definedName>
    <definedName name="data42" localSheetId="7">#REF!</definedName>
    <definedName name="data42">#REF!</definedName>
    <definedName name="data43" localSheetId="7">#REF!</definedName>
    <definedName name="data43">#REF!</definedName>
    <definedName name="data44" localSheetId="7">#REF!</definedName>
    <definedName name="data44">#REF!</definedName>
    <definedName name="data45" localSheetId="7">#REF!</definedName>
    <definedName name="data45">#REF!</definedName>
    <definedName name="data46" localSheetId="7">#REF!</definedName>
    <definedName name="data46">#REF!</definedName>
    <definedName name="data47" localSheetId="7">#REF!</definedName>
    <definedName name="data47">#REF!</definedName>
    <definedName name="data48" localSheetId="7">#REF!</definedName>
    <definedName name="data48">#REF!</definedName>
    <definedName name="data49" localSheetId="7">#REF!</definedName>
    <definedName name="data49">#REF!</definedName>
    <definedName name="data5" localSheetId="7">#REF!</definedName>
    <definedName name="data5">#REF!</definedName>
    <definedName name="data50" localSheetId="7">#REF!</definedName>
    <definedName name="data50">#REF!</definedName>
    <definedName name="data51" localSheetId="7">#REF!</definedName>
    <definedName name="data51">#REF!</definedName>
    <definedName name="data52" localSheetId="7">#REF!</definedName>
    <definedName name="data52">#REF!</definedName>
    <definedName name="data53" localSheetId="7">#REF!</definedName>
    <definedName name="data53">#REF!</definedName>
    <definedName name="data54" localSheetId="7">#REF!</definedName>
    <definedName name="data54">#REF!</definedName>
    <definedName name="data55" localSheetId="7">#REF!</definedName>
    <definedName name="data55">#REF!</definedName>
    <definedName name="data56" localSheetId="7">#REF!</definedName>
    <definedName name="data56">#REF!</definedName>
    <definedName name="data57" localSheetId="7">#REF!</definedName>
    <definedName name="data57">#REF!</definedName>
    <definedName name="data58" localSheetId="7">#REF!</definedName>
    <definedName name="data58">#REF!</definedName>
    <definedName name="data59" localSheetId="7">#REF!</definedName>
    <definedName name="data59">#REF!</definedName>
    <definedName name="data6" localSheetId="7">#REF!</definedName>
    <definedName name="data6">#REF!</definedName>
    <definedName name="data60" localSheetId="7">#REF!</definedName>
    <definedName name="data60">#REF!</definedName>
    <definedName name="data61" localSheetId="7">#REF!</definedName>
    <definedName name="data61">#REF!</definedName>
    <definedName name="data62" localSheetId="7">#REF!</definedName>
    <definedName name="data62">#REF!</definedName>
    <definedName name="data63" localSheetId="7">#REF!</definedName>
    <definedName name="data63">#REF!</definedName>
    <definedName name="data64" localSheetId="7">#REF!</definedName>
    <definedName name="data64">#REF!</definedName>
    <definedName name="data65" localSheetId="7">#REF!</definedName>
    <definedName name="data65">#REF!</definedName>
    <definedName name="data66" localSheetId="7">#REF!</definedName>
    <definedName name="data66">#REF!</definedName>
    <definedName name="data67" localSheetId="7">#REF!</definedName>
    <definedName name="data67">#REF!</definedName>
    <definedName name="data68" localSheetId="7">#REF!</definedName>
    <definedName name="data68">#REF!</definedName>
    <definedName name="data69" localSheetId="7">#REF!</definedName>
    <definedName name="data69">#REF!</definedName>
    <definedName name="data7" localSheetId="7">#REF!</definedName>
    <definedName name="data7">#REF!</definedName>
    <definedName name="data70" localSheetId="7">#REF!</definedName>
    <definedName name="data70">#REF!</definedName>
    <definedName name="data8" localSheetId="7">#REF!</definedName>
    <definedName name="data8">#REF!</definedName>
    <definedName name="data9" localSheetId="7">#REF!</definedName>
    <definedName name="data9">#REF!</definedName>
    <definedName name="nnn" localSheetId="7">#REF!</definedName>
    <definedName name="nnn">#REF!</definedName>
    <definedName name="NO" localSheetId="7">#REF!</definedName>
    <definedName name="NO">#REF!</definedName>
    <definedName name="qzqzqz10" localSheetId="7">#REF!</definedName>
    <definedName name="qzqzqz10">#REF!</definedName>
    <definedName name="qzqzqz11" localSheetId="7">#REF!</definedName>
    <definedName name="qzqzqz11">#REF!</definedName>
    <definedName name="qzqzqz12" localSheetId="7">#REF!</definedName>
    <definedName name="qzqzqz12">#REF!</definedName>
    <definedName name="qzqzqz13" localSheetId="7">#REF!</definedName>
    <definedName name="qzqzqz13">#REF!</definedName>
    <definedName name="qzqzqz14" localSheetId="7">#REF!</definedName>
    <definedName name="qzqzqz14">#REF!</definedName>
    <definedName name="qzqzqz15" localSheetId="7">#REF!</definedName>
    <definedName name="qzqzqz15">#REF!</definedName>
    <definedName name="qzqzqz16" localSheetId="7">#REF!</definedName>
    <definedName name="qzqzqz16">#REF!</definedName>
    <definedName name="qzqzqz17" localSheetId="7">#REF!</definedName>
    <definedName name="qzqzqz17">#REF!</definedName>
    <definedName name="qzqzqz18" localSheetId="7">#REF!</definedName>
    <definedName name="qzqzqz18">#REF!</definedName>
    <definedName name="qzqzqz19" localSheetId="7">#REF!</definedName>
    <definedName name="qzqzqz19">#REF!</definedName>
    <definedName name="qzqzqz20" localSheetId="7">#REF!</definedName>
    <definedName name="qzqzqz20">#REF!</definedName>
    <definedName name="qzqzqz21" localSheetId="7">#REF!</definedName>
    <definedName name="qzqzqz21">#REF!</definedName>
    <definedName name="qzqzqz22" localSheetId="7">#REF!</definedName>
    <definedName name="qzqzqz22">#REF!</definedName>
    <definedName name="qzqzqz23" localSheetId="7">#REF!</definedName>
    <definedName name="qzqzqz23">#REF!</definedName>
    <definedName name="qzqzqz24" localSheetId="7">#REF!</definedName>
    <definedName name="qzqzqz24">#REF!</definedName>
    <definedName name="qzqzqz25" localSheetId="7">#REF!</definedName>
    <definedName name="qzqzqz25">#REF!</definedName>
    <definedName name="qzqzqz26" localSheetId="7">#REF!</definedName>
    <definedName name="qzqzqz26">#REF!</definedName>
    <definedName name="qzqzqz27" localSheetId="7">#REF!</definedName>
    <definedName name="qzqzqz27">#REF!</definedName>
    <definedName name="qzqzqz28" localSheetId="7">#REF!</definedName>
    <definedName name="qzqzqz28">#REF!</definedName>
    <definedName name="qzqzqz29" localSheetId="7">#REF!</definedName>
    <definedName name="qzqzqz29">#REF!</definedName>
    <definedName name="qzqzqz30" localSheetId="7">#REF!</definedName>
    <definedName name="qzqzqz30">#REF!</definedName>
    <definedName name="qzqzqz31" localSheetId="7">#REF!</definedName>
    <definedName name="qzqzqz31">#REF!</definedName>
    <definedName name="qzqzqz32" localSheetId="7">#REF!</definedName>
    <definedName name="qzqzqz32">#REF!</definedName>
    <definedName name="qzqzqz6" localSheetId="7">#REF!</definedName>
    <definedName name="qzqzqz6">#REF!</definedName>
    <definedName name="qzqzqz7" localSheetId="7">#REF!</definedName>
    <definedName name="qzqzqz7">#REF!</definedName>
    <definedName name="qzqzqz8" localSheetId="7">#REF!</definedName>
    <definedName name="qzqzqz8">#REF!</definedName>
    <definedName name="qzqzqz9" localSheetId="7">#REF!</definedName>
    <definedName name="qzqzqz9">#REF!</definedName>
    <definedName name="sueldo">[1]VENTAS!$B$37,[1]VENTAS!$G$37,[1]VENTAS!$L$37,[1]VENTAS!$Q$37,[1]VENTAS!$V$37,[1]VENTAS!$AA$37,[1]VENTAS!$AF$37,[1]VENTAS!$AK$37,[1]VENTAS!$AP$37,[1]VENTAS!$AU$37,[1]VENTAS!$AZ$37,[1]VENTAS!$BE$37,[1]VENTAS!$BJ$37</definedName>
    <definedName name="TOT" localSheetId="7">#REF!</definedName>
    <definedName name="TOT" localSheetId="15">#REF!</definedName>
    <definedName name="TO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48" l="1"/>
  <c r="N13" i="48"/>
  <c r="L12" i="48"/>
  <c r="N61" i="4" l="1"/>
  <c r="I68" i="4"/>
  <c r="F102" i="46"/>
  <c r="N52" i="4"/>
  <c r="AM35" i="14" l="1"/>
  <c r="AL35" i="14"/>
  <c r="AK35" i="14"/>
  <c r="AM34" i="14"/>
  <c r="AL34" i="14"/>
  <c r="AK34" i="14"/>
  <c r="AM33" i="14"/>
  <c r="AL33" i="14"/>
  <c r="AK33" i="14"/>
  <c r="AM32" i="14"/>
  <c r="AL32" i="14"/>
  <c r="AK32" i="14"/>
  <c r="AM31" i="14"/>
  <c r="AL31" i="14"/>
  <c r="AK31" i="14"/>
  <c r="AM30" i="14"/>
  <c r="AL30" i="14"/>
  <c r="AK30" i="14"/>
  <c r="AM29" i="14"/>
  <c r="AL29" i="14"/>
  <c r="AK29" i="14"/>
  <c r="AM28" i="14"/>
  <c r="AL28" i="14"/>
  <c r="AK28" i="14"/>
  <c r="AM27" i="14"/>
  <c r="AL27" i="14"/>
  <c r="AK27" i="14"/>
  <c r="AM26" i="14"/>
  <c r="AL26" i="14"/>
  <c r="AK26" i="14"/>
  <c r="AM25" i="14"/>
  <c r="AL25" i="14"/>
  <c r="AK25" i="14"/>
  <c r="AM24" i="14"/>
  <c r="AL24" i="14"/>
  <c r="AK24" i="14"/>
  <c r="AM23" i="14"/>
  <c r="AL23" i="14"/>
  <c r="AK23" i="14"/>
  <c r="AM22" i="14"/>
  <c r="AL22" i="14"/>
  <c r="AK22" i="14"/>
  <c r="AM21" i="14"/>
  <c r="AL21" i="14"/>
  <c r="AK21" i="14"/>
  <c r="AM20" i="14"/>
  <c r="AL20" i="14"/>
  <c r="AK20" i="14"/>
  <c r="AM19" i="14"/>
  <c r="AL19" i="14"/>
  <c r="AK19" i="14"/>
  <c r="AM18" i="14"/>
  <c r="AL18" i="14"/>
  <c r="AK18" i="14"/>
  <c r="AM17" i="14"/>
  <c r="AL17" i="14"/>
  <c r="AK17" i="14"/>
  <c r="AM16" i="14"/>
  <c r="AL16" i="14"/>
  <c r="AK16" i="14"/>
  <c r="AM15" i="14"/>
  <c r="AL15" i="14"/>
  <c r="AK15" i="14"/>
  <c r="AM14" i="14"/>
  <c r="AL14" i="14"/>
  <c r="AK14" i="14"/>
  <c r="AM13" i="14"/>
  <c r="AL13" i="14"/>
  <c r="AK13" i="14"/>
  <c r="AM12" i="14"/>
  <c r="AL12" i="14"/>
  <c r="AK12" i="14"/>
  <c r="AM11" i="14"/>
  <c r="AL11" i="14"/>
  <c r="AK11" i="14"/>
  <c r="AM10" i="14"/>
  <c r="AL10" i="14"/>
  <c r="AK10" i="14"/>
  <c r="AM9" i="14"/>
  <c r="AL9" i="14"/>
  <c r="AK9" i="14"/>
  <c r="AM8" i="14"/>
  <c r="AL8" i="14"/>
  <c r="AK8" i="14"/>
  <c r="AM7" i="14"/>
  <c r="AL7" i="14"/>
  <c r="AK7" i="14"/>
  <c r="AM6" i="14"/>
  <c r="AL6" i="14"/>
  <c r="AK6" i="14"/>
  <c r="AM5" i="14"/>
  <c r="AL5" i="14"/>
  <c r="AK5" i="14"/>
  <c r="AM4" i="14"/>
  <c r="AL4" i="14"/>
  <c r="AK4" i="14"/>
  <c r="AM3" i="14"/>
  <c r="AL3" i="14"/>
  <c r="AK3" i="14"/>
  <c r="AK40" i="14"/>
  <c r="AJ36" i="14"/>
  <c r="AK41" i="14" s="1"/>
  <c r="B120" i="46"/>
  <c r="B118" i="46"/>
  <c r="B109" i="46"/>
  <c r="I59" i="4"/>
  <c r="F42" i="3"/>
  <c r="AL36" i="14" l="1"/>
  <c r="AM36" i="14"/>
  <c r="AM37" i="14" s="1"/>
  <c r="AK39" i="14"/>
  <c r="V1" i="49"/>
  <c r="B2" i="49" s="1"/>
  <c r="B4" i="49"/>
  <c r="V4" i="49"/>
  <c r="B3" i="49" s="1"/>
  <c r="B7" i="49"/>
  <c r="V7" i="49"/>
  <c r="V10" i="49"/>
  <c r="B5" i="49" s="1"/>
  <c r="V13" i="49"/>
  <c r="B6" i="49" s="1"/>
  <c r="V16" i="49"/>
  <c r="V19" i="49"/>
  <c r="B8" i="49" s="1"/>
  <c r="V22" i="49"/>
  <c r="B9" i="49" s="1"/>
  <c r="N463" i="28"/>
  <c r="N475" i="28" s="1"/>
  <c r="N464" i="28"/>
  <c r="N781" i="28"/>
  <c r="N782" i="28" s="1"/>
  <c r="N690" i="28"/>
  <c r="N698" i="28" s="1"/>
  <c r="N699" i="28" s="1"/>
  <c r="N439" i="28"/>
  <c r="N438" i="28"/>
  <c r="N436" i="28"/>
  <c r="N435" i="28"/>
  <c r="N434" i="28"/>
  <c r="N433" i="28"/>
  <c r="N744" i="28"/>
  <c r="H774" i="28"/>
  <c r="I774" i="28"/>
  <c r="J774" i="28"/>
  <c r="J782" i="28" s="1"/>
  <c r="K774" i="28"/>
  <c r="F774" i="28"/>
  <c r="F782" i="28" s="1"/>
  <c r="G746" i="28"/>
  <c r="K746" i="28"/>
  <c r="E722" i="28"/>
  <c r="I12" i="46"/>
  <c r="E101" i="46" s="1"/>
  <c r="C100" i="46"/>
  <c r="L96" i="46"/>
  <c r="G89" i="46" s="1"/>
  <c r="G90" i="46" s="1"/>
  <c r="L97" i="46"/>
  <c r="E89" i="46" s="1"/>
  <c r="E90" i="46" s="1"/>
  <c r="L95" i="46"/>
  <c r="J89" i="46" s="1"/>
  <c r="J90" i="46" s="1"/>
  <c r="C49" i="46"/>
  <c r="F90" i="46"/>
  <c r="H90" i="46"/>
  <c r="I90" i="46"/>
  <c r="K90" i="46"/>
  <c r="L90" i="46"/>
  <c r="G58" i="46"/>
  <c r="E76" i="46" s="1"/>
  <c r="K878" i="28"/>
  <c r="J878" i="28"/>
  <c r="I878" i="28"/>
  <c r="H878" i="28"/>
  <c r="G878" i="28"/>
  <c r="F878" i="28"/>
  <c r="E878" i="28"/>
  <c r="L878" i="28" s="1"/>
  <c r="L877" i="28"/>
  <c r="L876" i="28"/>
  <c r="L875" i="28"/>
  <c r="L874" i="28"/>
  <c r="L873" i="28"/>
  <c r="L872" i="28"/>
  <c r="L871" i="28"/>
  <c r="L870" i="28"/>
  <c r="K866" i="28"/>
  <c r="J866" i="28"/>
  <c r="I866" i="28"/>
  <c r="H866" i="28"/>
  <c r="G866" i="28"/>
  <c r="L866" i="28" s="1"/>
  <c r="F866" i="28"/>
  <c r="E866" i="28"/>
  <c r="L865" i="28"/>
  <c r="L864" i="28"/>
  <c r="L863" i="28"/>
  <c r="L862" i="28"/>
  <c r="L861" i="28"/>
  <c r="L860" i="28"/>
  <c r="L859" i="28"/>
  <c r="L858" i="28"/>
  <c r="K854" i="28"/>
  <c r="J854" i="28"/>
  <c r="I854" i="28"/>
  <c r="H854" i="28"/>
  <c r="G854" i="28"/>
  <c r="F854" i="28"/>
  <c r="E854" i="28"/>
  <c r="L854" i="28" s="1"/>
  <c r="L853" i="28"/>
  <c r="L852" i="28"/>
  <c r="L851" i="28"/>
  <c r="L850" i="28"/>
  <c r="L849" i="28"/>
  <c r="L848" i="28"/>
  <c r="L847" i="28"/>
  <c r="L846" i="28"/>
  <c r="K842" i="28"/>
  <c r="J842" i="28"/>
  <c r="I842" i="28"/>
  <c r="H842" i="28"/>
  <c r="G842" i="28"/>
  <c r="L842" i="28" s="1"/>
  <c r="F842" i="28"/>
  <c r="E842" i="28"/>
  <c r="L841" i="28"/>
  <c r="L840" i="28"/>
  <c r="L839" i="28"/>
  <c r="L838" i="28"/>
  <c r="L837" i="28"/>
  <c r="L836" i="28"/>
  <c r="L835" i="28"/>
  <c r="L834" i="28"/>
  <c r="K830" i="28"/>
  <c r="J830" i="28"/>
  <c r="I830" i="28"/>
  <c r="H830" i="28"/>
  <c r="G830" i="28"/>
  <c r="F830" i="28"/>
  <c r="E830" i="28"/>
  <c r="L830" i="28" s="1"/>
  <c r="L829" i="28"/>
  <c r="L828" i="28"/>
  <c r="L827" i="28"/>
  <c r="L826" i="28"/>
  <c r="L825" i="28"/>
  <c r="L824" i="28"/>
  <c r="L823" i="28"/>
  <c r="L822" i="28"/>
  <c r="K818" i="28"/>
  <c r="J818" i="28"/>
  <c r="I818" i="28"/>
  <c r="H818" i="28"/>
  <c r="G818" i="28"/>
  <c r="L818" i="28" s="1"/>
  <c r="F818" i="28"/>
  <c r="E818" i="28"/>
  <c r="L817" i="28"/>
  <c r="L816" i="28"/>
  <c r="L815" i="28"/>
  <c r="L814" i="28"/>
  <c r="L813" i="28"/>
  <c r="L812" i="28"/>
  <c r="L811" i="28"/>
  <c r="L810" i="28"/>
  <c r="J808" i="28"/>
  <c r="J820" i="28" s="1"/>
  <c r="J832" i="28" s="1"/>
  <c r="J844" i="28" s="1"/>
  <c r="J856" i="28" s="1"/>
  <c r="J868" i="28" s="1"/>
  <c r="K806" i="28"/>
  <c r="J806" i="28"/>
  <c r="I806" i="28"/>
  <c r="H806" i="28"/>
  <c r="G806" i="28"/>
  <c r="F806" i="28"/>
  <c r="E806" i="28"/>
  <c r="L806" i="28" s="1"/>
  <c r="L805" i="28"/>
  <c r="L804" i="28"/>
  <c r="L803" i="28"/>
  <c r="L802" i="28"/>
  <c r="L801" i="28"/>
  <c r="L800" i="28"/>
  <c r="L799" i="28"/>
  <c r="L798" i="28"/>
  <c r="J796" i="28"/>
  <c r="D711" i="28"/>
  <c r="K794" i="28"/>
  <c r="J794" i="28"/>
  <c r="I794" i="28"/>
  <c r="H794" i="28"/>
  <c r="G794" i="28"/>
  <c r="F794" i="28"/>
  <c r="E794" i="28"/>
  <c r="L793" i="28"/>
  <c r="L792" i="28"/>
  <c r="L791" i="28"/>
  <c r="L790" i="28"/>
  <c r="L789" i="28"/>
  <c r="L788" i="28"/>
  <c r="L787" i="28"/>
  <c r="L786" i="28"/>
  <c r="K782" i="28"/>
  <c r="I782" i="28"/>
  <c r="H782" i="28"/>
  <c r="E782" i="28"/>
  <c r="L781" i="28"/>
  <c r="L780" i="28"/>
  <c r="L779" i="28"/>
  <c r="L778" i="28"/>
  <c r="L777" i="28"/>
  <c r="L776" i="28"/>
  <c r="L775" i="28"/>
  <c r="J772" i="28"/>
  <c r="J784" i="28" s="1"/>
  <c r="K770" i="28"/>
  <c r="J770" i="28"/>
  <c r="I770" i="28"/>
  <c r="H770" i="28"/>
  <c r="G770" i="28"/>
  <c r="F770" i="28"/>
  <c r="E770" i="28"/>
  <c r="L769" i="28"/>
  <c r="L768" i="28"/>
  <c r="L767" i="28"/>
  <c r="L766" i="28"/>
  <c r="L765" i="28"/>
  <c r="L764" i="28"/>
  <c r="L763" i="28"/>
  <c r="L762" i="28"/>
  <c r="J760" i="28"/>
  <c r="K758" i="28"/>
  <c r="J758" i="28"/>
  <c r="I758" i="28"/>
  <c r="H758" i="28"/>
  <c r="G758" i="28"/>
  <c r="F758" i="28"/>
  <c r="E758" i="28"/>
  <c r="L757" i="28"/>
  <c r="L756" i="28"/>
  <c r="L755" i="28"/>
  <c r="L754" i="28"/>
  <c r="L753" i="28"/>
  <c r="L752" i="28"/>
  <c r="L751" i="28"/>
  <c r="L750" i="28"/>
  <c r="J746" i="28"/>
  <c r="I746" i="28"/>
  <c r="H746" i="28"/>
  <c r="F746" i="28"/>
  <c r="E746" i="28"/>
  <c r="L745" i="28"/>
  <c r="L744" i="28"/>
  <c r="L743" i="28"/>
  <c r="L742" i="28"/>
  <c r="L741" i="28"/>
  <c r="L740" i="28"/>
  <c r="L739" i="28"/>
  <c r="J736" i="28"/>
  <c r="J748" i="28" s="1"/>
  <c r="K734" i="28"/>
  <c r="J734" i="28"/>
  <c r="I734" i="28"/>
  <c r="H734" i="28"/>
  <c r="G734" i="28"/>
  <c r="F734" i="28"/>
  <c r="E734" i="28"/>
  <c r="L733" i="28"/>
  <c r="L732" i="28"/>
  <c r="L731" i="28"/>
  <c r="L730" i="28"/>
  <c r="L729" i="28"/>
  <c r="L728" i="28"/>
  <c r="L727" i="28"/>
  <c r="L726" i="28"/>
  <c r="J724" i="28"/>
  <c r="K722" i="28"/>
  <c r="J722" i="28"/>
  <c r="I722" i="28"/>
  <c r="H722" i="28"/>
  <c r="G722" i="28"/>
  <c r="F722" i="28"/>
  <c r="L721" i="28"/>
  <c r="L720" i="28"/>
  <c r="L719" i="28"/>
  <c r="L718" i="28"/>
  <c r="L717" i="28"/>
  <c r="L716" i="28"/>
  <c r="L715" i="28"/>
  <c r="L714" i="28"/>
  <c r="K710" i="28"/>
  <c r="J710" i="28"/>
  <c r="I710" i="28"/>
  <c r="H710" i="28"/>
  <c r="G710" i="28"/>
  <c r="F710" i="28"/>
  <c r="E710" i="28"/>
  <c r="L709" i="28"/>
  <c r="L708" i="28"/>
  <c r="L707" i="28"/>
  <c r="L706" i="28"/>
  <c r="L705" i="28"/>
  <c r="L704" i="28"/>
  <c r="L703" i="28"/>
  <c r="L702" i="28"/>
  <c r="J700" i="28"/>
  <c r="J712" i="28" s="1"/>
  <c r="K698" i="28"/>
  <c r="J698" i="28"/>
  <c r="I698" i="28"/>
  <c r="H698" i="28"/>
  <c r="G698" i="28"/>
  <c r="F698" i="28"/>
  <c r="E698" i="28"/>
  <c r="L697" i="28"/>
  <c r="L696" i="28"/>
  <c r="L695" i="28"/>
  <c r="L694" i="28"/>
  <c r="L693" i="28"/>
  <c r="L692" i="28"/>
  <c r="L691" i="28"/>
  <c r="L690" i="28"/>
  <c r="J688" i="28"/>
  <c r="J676" i="28"/>
  <c r="J664" i="28"/>
  <c r="J652" i="28"/>
  <c r="J640" i="28"/>
  <c r="J628" i="28"/>
  <c r="J616" i="28"/>
  <c r="J604" i="28"/>
  <c r="J591" i="28"/>
  <c r="J579" i="28"/>
  <c r="C2" i="48"/>
  <c r="D2" i="48"/>
  <c r="E2" i="48"/>
  <c r="E3" i="48" s="1"/>
  <c r="F2" i="48"/>
  <c r="F3" i="48" s="1"/>
  <c r="G2" i="48"/>
  <c r="H2" i="48"/>
  <c r="I2" i="48"/>
  <c r="I3" i="48" s="1"/>
  <c r="J2" i="48"/>
  <c r="J3" i="48" s="1"/>
  <c r="K2" i="48"/>
  <c r="L2" i="48"/>
  <c r="M2" i="48"/>
  <c r="M3" i="48" s="1"/>
  <c r="C3" i="48"/>
  <c r="D3" i="48"/>
  <c r="G3" i="48"/>
  <c r="H3" i="48"/>
  <c r="K3" i="48"/>
  <c r="L3" i="48"/>
  <c r="C4" i="48"/>
  <c r="C5" i="48" s="1"/>
  <c r="D4" i="48"/>
  <c r="D5" i="48" s="1"/>
  <c r="E4" i="48"/>
  <c r="E5" i="48" s="1"/>
  <c r="F4" i="48"/>
  <c r="G4" i="48"/>
  <c r="G5" i="48" s="1"/>
  <c r="H4" i="48"/>
  <c r="H5" i="48" s="1"/>
  <c r="I4" i="48"/>
  <c r="I5" i="48" s="1"/>
  <c r="J4" i="48"/>
  <c r="J5" i="48" s="1"/>
  <c r="K4" i="48"/>
  <c r="K5" i="48" s="1"/>
  <c r="L4" i="48"/>
  <c r="L5" i="48" s="1"/>
  <c r="M4" i="48"/>
  <c r="M5" i="48" s="1"/>
  <c r="F5" i="48"/>
  <c r="C6" i="48"/>
  <c r="C7" i="48" s="1"/>
  <c r="D6" i="48"/>
  <c r="D7" i="48" s="1"/>
  <c r="E6" i="48"/>
  <c r="E7" i="48" s="1"/>
  <c r="F6" i="48"/>
  <c r="F7" i="48" s="1"/>
  <c r="G6" i="48"/>
  <c r="G7" i="48" s="1"/>
  <c r="H6" i="48"/>
  <c r="H7" i="48" s="1"/>
  <c r="I6" i="48"/>
  <c r="I7" i="48" s="1"/>
  <c r="J6" i="48"/>
  <c r="J7" i="48" s="1"/>
  <c r="K6" i="48"/>
  <c r="K7" i="48" s="1"/>
  <c r="L6" i="48"/>
  <c r="L7" i="48" s="1"/>
  <c r="M6" i="48"/>
  <c r="M7" i="48" s="1"/>
  <c r="C8" i="48"/>
  <c r="C9" i="48" s="1"/>
  <c r="D8" i="48"/>
  <c r="D9" i="48" s="1"/>
  <c r="E8" i="48"/>
  <c r="E9" i="48" s="1"/>
  <c r="F8" i="48"/>
  <c r="G8" i="48"/>
  <c r="G9" i="48" s="1"/>
  <c r="H8" i="48"/>
  <c r="H9" i="48" s="1"/>
  <c r="I8" i="48"/>
  <c r="I9" i="48" s="1"/>
  <c r="J8" i="48"/>
  <c r="J9" i="48" s="1"/>
  <c r="K8" i="48"/>
  <c r="K9" i="48" s="1"/>
  <c r="L8" i="48"/>
  <c r="L9" i="48" s="1"/>
  <c r="M8" i="48"/>
  <c r="M9" i="48" s="1"/>
  <c r="F9" i="48"/>
  <c r="C10" i="48"/>
  <c r="C11" i="48" s="1"/>
  <c r="D10" i="48"/>
  <c r="D11" i="48" s="1"/>
  <c r="E10" i="48"/>
  <c r="E11" i="48" s="1"/>
  <c r="F10" i="48"/>
  <c r="F11" i="48" s="1"/>
  <c r="G10" i="48"/>
  <c r="G11" i="48" s="1"/>
  <c r="H10" i="48"/>
  <c r="H11" i="48" s="1"/>
  <c r="I10" i="48"/>
  <c r="I11" i="48" s="1"/>
  <c r="J10" i="48"/>
  <c r="J11" i="48" s="1"/>
  <c r="K10" i="48"/>
  <c r="K11" i="48" s="1"/>
  <c r="L10" i="48"/>
  <c r="L11" i="48" s="1"/>
  <c r="M10" i="48"/>
  <c r="M11" i="48" s="1"/>
  <c r="C12" i="48"/>
  <c r="C13" i="48" s="1"/>
  <c r="D12" i="48"/>
  <c r="E12" i="48"/>
  <c r="E13" i="48" s="1"/>
  <c r="F12" i="48"/>
  <c r="F13" i="48" s="1"/>
  <c r="G12" i="48"/>
  <c r="G13" i="48" s="1"/>
  <c r="H12" i="48"/>
  <c r="H13" i="48" s="1"/>
  <c r="I12" i="48"/>
  <c r="I13" i="48" s="1"/>
  <c r="J12" i="48"/>
  <c r="J13" i="48" s="1"/>
  <c r="K12" i="48"/>
  <c r="K13" i="48" s="1"/>
  <c r="M12" i="48"/>
  <c r="M13" i="48" s="1"/>
  <c r="C14" i="48"/>
  <c r="C15" i="48" s="1"/>
  <c r="D14" i="48"/>
  <c r="D15" i="48" s="1"/>
  <c r="E14" i="48"/>
  <c r="E15" i="48" s="1"/>
  <c r="F14" i="48"/>
  <c r="F15" i="48" s="1"/>
  <c r="G14" i="48"/>
  <c r="G15" i="48" s="1"/>
  <c r="H14" i="48"/>
  <c r="H15" i="48" s="1"/>
  <c r="I14" i="48"/>
  <c r="I15" i="48" s="1"/>
  <c r="J14" i="48"/>
  <c r="J15" i="48" s="1"/>
  <c r="K14" i="48"/>
  <c r="K15" i="48" s="1"/>
  <c r="L14" i="48"/>
  <c r="L15" i="48" s="1"/>
  <c r="M14" i="48"/>
  <c r="M15" i="48" s="1"/>
  <c r="C16" i="48"/>
  <c r="C17" i="48" s="1"/>
  <c r="D16" i="48"/>
  <c r="D17" i="48" s="1"/>
  <c r="E16" i="48"/>
  <c r="E17" i="48" s="1"/>
  <c r="F16" i="48"/>
  <c r="F17" i="48" s="1"/>
  <c r="G16" i="48"/>
  <c r="G17" i="48" s="1"/>
  <c r="H16" i="48"/>
  <c r="H17" i="48" s="1"/>
  <c r="I16" i="48"/>
  <c r="I17" i="48" s="1"/>
  <c r="J16" i="48"/>
  <c r="J17" i="48" s="1"/>
  <c r="K16" i="48"/>
  <c r="K17" i="48" s="1"/>
  <c r="L16" i="48"/>
  <c r="L17" i="48" s="1"/>
  <c r="M16" i="48"/>
  <c r="M17" i="48" s="1"/>
  <c r="B16" i="48"/>
  <c r="B14" i="48"/>
  <c r="B15" i="48" s="1"/>
  <c r="B12" i="48"/>
  <c r="B10" i="48"/>
  <c r="B11" i="48" s="1"/>
  <c r="B8" i="48"/>
  <c r="B9" i="48" s="1"/>
  <c r="B6" i="48"/>
  <c r="B7" i="48" s="1"/>
  <c r="B4" i="48"/>
  <c r="B5" i="48" s="1"/>
  <c r="N5" i="48" s="1"/>
  <c r="B2" i="48"/>
  <c r="B3" i="48" s="1"/>
  <c r="B17" i="48"/>
  <c r="F45" i="46"/>
  <c r="C56" i="46"/>
  <c r="C55" i="46"/>
  <c r="C54" i="46"/>
  <c r="C53" i="46"/>
  <c r="C52" i="46"/>
  <c r="G52" i="46" s="1"/>
  <c r="C50" i="46"/>
  <c r="C2" i="46"/>
  <c r="D22" i="46" s="1"/>
  <c r="E71" i="46" s="1"/>
  <c r="H71" i="46"/>
  <c r="D50" i="46"/>
  <c r="D71" i="46"/>
  <c r="C68" i="46"/>
  <c r="H64" i="46"/>
  <c r="E56" i="46"/>
  <c r="F41" i="6"/>
  <c r="L41" i="6" s="1"/>
  <c r="E52" i="1"/>
  <c r="K52" i="1" s="1"/>
  <c r="E50" i="1"/>
  <c r="K50" i="1" s="1"/>
  <c r="E50" i="46"/>
  <c r="G51" i="46"/>
  <c r="G39" i="6"/>
  <c r="G774" i="28" s="1"/>
  <c r="G782" i="28" s="1"/>
  <c r="E53" i="46"/>
  <c r="C55" i="4"/>
  <c r="D27" i="4"/>
  <c r="K16" i="6"/>
  <c r="M122" i="4"/>
  <c r="G40" i="6"/>
  <c r="K40" i="6"/>
  <c r="F40" i="6"/>
  <c r="K43" i="46"/>
  <c r="L41" i="46"/>
  <c r="I8" i="46"/>
  <c r="K19" i="46"/>
  <c r="K20" i="46" s="1"/>
  <c r="C29" i="46"/>
  <c r="B29" i="46"/>
  <c r="E29" i="46"/>
  <c r="D26" i="46"/>
  <c r="E27" i="46"/>
  <c r="F21" i="46"/>
  <c r="D21" i="46"/>
  <c r="C21" i="46"/>
  <c r="C22" i="46"/>
  <c r="C23" i="46"/>
  <c r="G65" i="46" s="1"/>
  <c r="G64" i="46" s="1"/>
  <c r="C24" i="46"/>
  <c r="C25" i="46"/>
  <c r="F65" i="46" s="1"/>
  <c r="C26" i="46"/>
  <c r="C27" i="46"/>
  <c r="C28" i="46"/>
  <c r="G28" i="46" s="1"/>
  <c r="B21" i="46"/>
  <c r="B22" i="46"/>
  <c r="B23" i="46"/>
  <c r="B24" i="46"/>
  <c r="B25" i="46"/>
  <c r="B26" i="46"/>
  <c r="B27" i="46"/>
  <c r="B28" i="46"/>
  <c r="J50" i="3"/>
  <c r="B16" i="46"/>
  <c r="C15" i="46"/>
  <c r="I5" i="46"/>
  <c r="N50" i="4"/>
  <c r="C9" i="46"/>
  <c r="D25" i="46" s="1"/>
  <c r="F71" i="46" s="1"/>
  <c r="C66" i="46" l="1"/>
  <c r="N7" i="48"/>
  <c r="N9" i="48"/>
  <c r="N11" i="48"/>
  <c r="N3" i="48"/>
  <c r="AM38" i="14"/>
  <c r="J12" i="46"/>
  <c r="N15" i="48"/>
  <c r="N745" i="28"/>
  <c r="L794" i="28"/>
  <c r="L774" i="28"/>
  <c r="L782" i="28" s="1"/>
  <c r="L770" i="28"/>
  <c r="L758" i="28"/>
  <c r="L738" i="28"/>
  <c r="L746" i="28" s="1"/>
  <c r="L734" i="28"/>
  <c r="L722" i="28"/>
  <c r="G26" i="46"/>
  <c r="E65" i="46"/>
  <c r="E64" i="46" s="1"/>
  <c r="D90" i="46"/>
  <c r="E102" i="46" s="1"/>
  <c r="G23" i="46"/>
  <c r="G62" i="46" s="1"/>
  <c r="D65" i="46"/>
  <c r="G49" i="46"/>
  <c r="G53" i="46"/>
  <c r="G56" i="46"/>
  <c r="E77" i="46"/>
  <c r="F76" i="46"/>
  <c r="C65" i="46"/>
  <c r="I65" i="46"/>
  <c r="I64" i="46" s="1"/>
  <c r="J65" i="46"/>
  <c r="J64" i="46" s="1"/>
  <c r="E78" i="46"/>
  <c r="D818" i="28"/>
  <c r="D842" i="28"/>
  <c r="D866" i="28"/>
  <c r="D806" i="28"/>
  <c r="D830" i="28"/>
  <c r="D854" i="28"/>
  <c r="D878" i="28"/>
  <c r="L710" i="28"/>
  <c r="D710" i="28"/>
  <c r="L698" i="28"/>
  <c r="D782" i="28"/>
  <c r="N783" i="28" s="1"/>
  <c r="D770" i="28"/>
  <c r="D794" i="28"/>
  <c r="D746" i="28"/>
  <c r="D734" i="28"/>
  <c r="D758" i="28"/>
  <c r="D698" i="28"/>
  <c r="D722" i="28"/>
  <c r="N17" i="48"/>
  <c r="N16" i="48"/>
  <c r="N14" i="48"/>
  <c r="N12" i="48"/>
  <c r="N10" i="48"/>
  <c r="N8" i="48"/>
  <c r="N6" i="48"/>
  <c r="N4" i="48"/>
  <c r="N2" i="48"/>
  <c r="G55" i="46"/>
  <c r="G54" i="46"/>
  <c r="C57" i="46"/>
  <c r="I6" i="46"/>
  <c r="F64" i="46"/>
  <c r="D64" i="46"/>
  <c r="H52" i="1"/>
  <c r="G52" i="1"/>
  <c r="G50" i="1"/>
  <c r="O50" i="1" s="1"/>
  <c r="G50" i="46"/>
  <c r="G22" i="46"/>
  <c r="G27" i="46"/>
  <c r="G21" i="46"/>
  <c r="K21" i="46" s="1"/>
  <c r="K23" i="46" s="1"/>
  <c r="G29" i="46"/>
  <c r="L40" i="6"/>
  <c r="G24" i="46"/>
  <c r="H62" i="46" s="1"/>
  <c r="G25" i="46"/>
  <c r="C12" i="46"/>
  <c r="G56" i="4"/>
  <c r="I9" i="46"/>
  <c r="K686" i="28"/>
  <c r="J686" i="28"/>
  <c r="I686" i="28"/>
  <c r="H686" i="28"/>
  <c r="G686" i="28"/>
  <c r="F686" i="28"/>
  <c r="E686" i="28"/>
  <c r="L685" i="28"/>
  <c r="L684" i="28"/>
  <c r="L683" i="28"/>
  <c r="L682" i="28"/>
  <c r="L681" i="28"/>
  <c r="L680" i="28"/>
  <c r="L679" i="28"/>
  <c r="L678" i="28"/>
  <c r="K674" i="28"/>
  <c r="J674" i="28"/>
  <c r="I674" i="28"/>
  <c r="H674" i="28"/>
  <c r="G674" i="28"/>
  <c r="F674" i="28"/>
  <c r="E674" i="28"/>
  <c r="L673" i="28"/>
  <c r="L672" i="28"/>
  <c r="L671" i="28"/>
  <c r="L670" i="28"/>
  <c r="L669" i="28"/>
  <c r="L668" i="28"/>
  <c r="L667" i="28"/>
  <c r="L666" i="28"/>
  <c r="K662" i="28"/>
  <c r="J662" i="28"/>
  <c r="I662" i="28"/>
  <c r="H662" i="28"/>
  <c r="G662" i="28"/>
  <c r="F662" i="28"/>
  <c r="E662" i="28"/>
  <c r="L661" i="28"/>
  <c r="L660" i="28"/>
  <c r="L659" i="28"/>
  <c r="L658" i="28"/>
  <c r="L657" i="28"/>
  <c r="L656" i="28"/>
  <c r="L655" i="28"/>
  <c r="L654" i="28"/>
  <c r="K650" i="28"/>
  <c r="J650" i="28"/>
  <c r="I650" i="28"/>
  <c r="H650" i="28"/>
  <c r="G650" i="28"/>
  <c r="F650" i="28"/>
  <c r="E650" i="28"/>
  <c r="L649" i="28"/>
  <c r="L648" i="28"/>
  <c r="L647" i="28"/>
  <c r="L646" i="28"/>
  <c r="L645" i="28"/>
  <c r="L644" i="28"/>
  <c r="L643" i="28"/>
  <c r="L642" i="28"/>
  <c r="K638" i="28"/>
  <c r="J638" i="28"/>
  <c r="I638" i="28"/>
  <c r="H638" i="28"/>
  <c r="G638" i="28"/>
  <c r="F638" i="28"/>
  <c r="E638" i="28"/>
  <c r="L637" i="28"/>
  <c r="L636" i="28"/>
  <c r="L635" i="28"/>
  <c r="L634" i="28"/>
  <c r="L633" i="28"/>
  <c r="L632" i="28"/>
  <c r="L631" i="28"/>
  <c r="L630" i="28"/>
  <c r="K626" i="28"/>
  <c r="J626" i="28"/>
  <c r="I626" i="28"/>
  <c r="H626" i="28"/>
  <c r="G626" i="28"/>
  <c r="F626" i="28"/>
  <c r="E626" i="28"/>
  <c r="L625" i="28"/>
  <c r="L624" i="28"/>
  <c r="L623" i="28"/>
  <c r="L622" i="28"/>
  <c r="L621" i="28"/>
  <c r="L620" i="28"/>
  <c r="L619" i="28"/>
  <c r="L618" i="28"/>
  <c r="I11" i="46"/>
  <c r="I10" i="46"/>
  <c r="I7" i="46"/>
  <c r="I4" i="46"/>
  <c r="I3" i="46"/>
  <c r="C6" i="46"/>
  <c r="L35" i="6"/>
  <c r="L36" i="6"/>
  <c r="L37" i="6"/>
  <c r="L38" i="6"/>
  <c r="J11" i="46" l="1"/>
  <c r="N19" i="48"/>
  <c r="N18" i="48"/>
  <c r="N746" i="28"/>
  <c r="D807" i="28"/>
  <c r="F77" i="46"/>
  <c r="F78" i="46" s="1"/>
  <c r="E103" i="46"/>
  <c r="D103" i="46" s="1"/>
  <c r="F62" i="46"/>
  <c r="I62" i="46"/>
  <c r="K72" i="46"/>
  <c r="J62" i="46"/>
  <c r="G57" i="46"/>
  <c r="C64" i="46"/>
  <c r="C62" i="46" s="1"/>
  <c r="G78" i="46"/>
  <c r="G76" i="46"/>
  <c r="G77" i="46"/>
  <c r="E62" i="46"/>
  <c r="D62" i="46"/>
  <c r="L662" i="28"/>
  <c r="L650" i="28"/>
  <c r="L638" i="28"/>
  <c r="L686" i="28"/>
  <c r="L626" i="28"/>
  <c r="L674" i="28"/>
  <c r="O52" i="1"/>
  <c r="K24" i="46"/>
  <c r="K25" i="46" s="1"/>
  <c r="K26" i="46" s="1"/>
  <c r="K27" i="46" s="1"/>
  <c r="K28" i="46" s="1"/>
  <c r="K29" i="46" s="1"/>
  <c r="K41" i="46" s="1"/>
  <c r="K45" i="46" s="1"/>
  <c r="G30" i="46"/>
  <c r="E100" i="46" s="1"/>
  <c r="C14" i="46"/>
  <c r="C16" i="46" s="1"/>
  <c r="D686" i="28"/>
  <c r="D674" i="28"/>
  <c r="D662" i="28"/>
  <c r="D650" i="28"/>
  <c r="D638" i="28"/>
  <c r="D626" i="28"/>
  <c r="I14" i="46"/>
  <c r="M27" i="4"/>
  <c r="K614" i="28"/>
  <c r="J614" i="28"/>
  <c r="I614" i="28"/>
  <c r="H614" i="28"/>
  <c r="G614" i="28"/>
  <c r="F614" i="28"/>
  <c r="E614" i="28"/>
  <c r="L613" i="28"/>
  <c r="L612" i="28"/>
  <c r="L611" i="28"/>
  <c r="L610" i="28"/>
  <c r="L609" i="28"/>
  <c r="L608" i="28"/>
  <c r="L607" i="28"/>
  <c r="L606" i="28"/>
  <c r="K601" i="28"/>
  <c r="J601" i="28"/>
  <c r="I601" i="28"/>
  <c r="H601" i="28"/>
  <c r="G601" i="28"/>
  <c r="F601" i="28"/>
  <c r="E601" i="28"/>
  <c r="L600" i="28"/>
  <c r="L599" i="28"/>
  <c r="L598" i="28"/>
  <c r="L597" i="28"/>
  <c r="L596" i="28"/>
  <c r="L595" i="28"/>
  <c r="L594" i="28"/>
  <c r="L593" i="28"/>
  <c r="K589" i="28"/>
  <c r="J589" i="28"/>
  <c r="I589" i="28"/>
  <c r="H589" i="28"/>
  <c r="G589" i="28"/>
  <c r="F589" i="28"/>
  <c r="E589" i="28"/>
  <c r="L588" i="28"/>
  <c r="L587" i="28"/>
  <c r="L586" i="28"/>
  <c r="L585" i="28"/>
  <c r="L584" i="28"/>
  <c r="L583" i="28"/>
  <c r="L582" i="28"/>
  <c r="L581" i="28"/>
  <c r="K577" i="28"/>
  <c r="J577" i="28"/>
  <c r="I577" i="28"/>
  <c r="H577" i="28"/>
  <c r="G577" i="28"/>
  <c r="F577" i="28"/>
  <c r="E577" i="28"/>
  <c r="L576" i="28"/>
  <c r="L575" i="28"/>
  <c r="L574" i="28"/>
  <c r="L573" i="28"/>
  <c r="L572" i="28"/>
  <c r="L571" i="28"/>
  <c r="L570" i="28"/>
  <c r="L569" i="28"/>
  <c r="K565" i="28"/>
  <c r="J565" i="28"/>
  <c r="I565" i="28"/>
  <c r="H565" i="28"/>
  <c r="G565" i="28"/>
  <c r="F565" i="28"/>
  <c r="E565" i="28"/>
  <c r="L564" i="28"/>
  <c r="L563" i="28"/>
  <c r="L562" i="28"/>
  <c r="L561" i="28"/>
  <c r="L560" i="28"/>
  <c r="L559" i="28"/>
  <c r="L558" i="28"/>
  <c r="L557" i="28"/>
  <c r="K553" i="28"/>
  <c r="J553" i="28"/>
  <c r="I553" i="28"/>
  <c r="H553" i="28"/>
  <c r="G553" i="28"/>
  <c r="F553" i="28"/>
  <c r="E553" i="28"/>
  <c r="L552" i="28"/>
  <c r="L551" i="28"/>
  <c r="L550" i="28"/>
  <c r="L549" i="28"/>
  <c r="L548" i="28"/>
  <c r="L547" i="28"/>
  <c r="L546" i="28"/>
  <c r="L545" i="28"/>
  <c r="K403" i="28"/>
  <c r="J403" i="28"/>
  <c r="I403" i="28"/>
  <c r="H403" i="28"/>
  <c r="G403" i="28"/>
  <c r="F403" i="28"/>
  <c r="E403" i="28"/>
  <c r="L402" i="28"/>
  <c r="L401" i="28"/>
  <c r="L400" i="28"/>
  <c r="L399" i="28"/>
  <c r="L389" i="28"/>
  <c r="L388" i="28"/>
  <c r="L387" i="28"/>
  <c r="L375" i="28"/>
  <c r="L374" i="28"/>
  <c r="L373" i="28"/>
  <c r="L360" i="28"/>
  <c r="L359" i="28"/>
  <c r="L358" i="28"/>
  <c r="L347" i="28"/>
  <c r="L346" i="28"/>
  <c r="L345" i="28"/>
  <c r="L333" i="28"/>
  <c r="L332" i="28"/>
  <c r="L331" i="28"/>
  <c r="L318" i="28"/>
  <c r="L317" i="28"/>
  <c r="F312" i="28"/>
  <c r="G312" i="28"/>
  <c r="H312" i="28"/>
  <c r="I312" i="28"/>
  <c r="J312" i="28"/>
  <c r="K312" i="28"/>
  <c r="E312" i="28"/>
  <c r="L321" i="28"/>
  <c r="L320" i="28"/>
  <c r="L319" i="28"/>
  <c r="L303" i="28"/>
  <c r="L302" i="28"/>
  <c r="L301" i="28"/>
  <c r="L291" i="28"/>
  <c r="L292" i="28"/>
  <c r="L293" i="28"/>
  <c r="C384" i="28"/>
  <c r="C370" i="28"/>
  <c r="C355" i="28"/>
  <c r="C342" i="28"/>
  <c r="C328" i="28"/>
  <c r="C314" i="28"/>
  <c r="C299" i="28"/>
  <c r="C285" i="28"/>
  <c r="L311" i="28"/>
  <c r="L310" i="28"/>
  <c r="L309" i="28"/>
  <c r="L308" i="28"/>
  <c r="L307" i="28"/>
  <c r="L306" i="28"/>
  <c r="L305" i="28"/>
  <c r="L304" i="28"/>
  <c r="K395" i="28"/>
  <c r="J395" i="28"/>
  <c r="I395" i="28"/>
  <c r="H395" i="28"/>
  <c r="G395" i="28"/>
  <c r="F395" i="28"/>
  <c r="E395" i="28"/>
  <c r="L394" i="28"/>
  <c r="L393" i="28"/>
  <c r="L392" i="28"/>
  <c r="L391" i="28"/>
  <c r="L390" i="28"/>
  <c r="L386" i="28"/>
  <c r="K382" i="28"/>
  <c r="J382" i="28"/>
  <c r="I382" i="28"/>
  <c r="H382" i="28"/>
  <c r="G382" i="28"/>
  <c r="F382" i="28"/>
  <c r="E382" i="28"/>
  <c r="L381" i="28"/>
  <c r="L380" i="28"/>
  <c r="L379" i="28"/>
  <c r="L378" i="28"/>
  <c r="L377" i="28"/>
  <c r="L376" i="28"/>
  <c r="L372" i="28"/>
  <c r="K368" i="28"/>
  <c r="J368" i="28"/>
  <c r="I368" i="28"/>
  <c r="H368" i="28"/>
  <c r="G368" i="28"/>
  <c r="F368" i="28"/>
  <c r="E368" i="28"/>
  <c r="L367" i="28"/>
  <c r="L366" i="28"/>
  <c r="L365" i="28"/>
  <c r="L364" i="28"/>
  <c r="L363" i="28"/>
  <c r="L362" i="28"/>
  <c r="L361" i="28"/>
  <c r="L357" i="28"/>
  <c r="K353" i="28"/>
  <c r="J353" i="28"/>
  <c r="I353" i="28"/>
  <c r="H353" i="28"/>
  <c r="G353" i="28"/>
  <c r="F353" i="28"/>
  <c r="E353" i="28"/>
  <c r="L352" i="28"/>
  <c r="L351" i="28"/>
  <c r="L350" i="28"/>
  <c r="L349" i="28"/>
  <c r="L348" i="28"/>
  <c r="L344" i="28"/>
  <c r="K340" i="28"/>
  <c r="J340" i="28"/>
  <c r="I340" i="28"/>
  <c r="H340" i="28"/>
  <c r="G340" i="28"/>
  <c r="F340" i="28"/>
  <c r="E340" i="28"/>
  <c r="L339" i="28"/>
  <c r="L338" i="28"/>
  <c r="L337" i="28"/>
  <c r="L336" i="28"/>
  <c r="L335" i="28"/>
  <c r="L334" i="28"/>
  <c r="L330" i="28"/>
  <c r="K326" i="28"/>
  <c r="J326" i="28"/>
  <c r="I326" i="28"/>
  <c r="H326" i="28"/>
  <c r="G326" i="28"/>
  <c r="F326" i="28"/>
  <c r="E326" i="28"/>
  <c r="L325" i="28"/>
  <c r="L324" i="28"/>
  <c r="L323" i="28"/>
  <c r="L322" i="28"/>
  <c r="L316" i="28"/>
  <c r="K297" i="28"/>
  <c r="J297" i="28"/>
  <c r="I297" i="28"/>
  <c r="H297" i="28"/>
  <c r="G297" i="28"/>
  <c r="F297" i="28"/>
  <c r="E297" i="28"/>
  <c r="L296" i="28"/>
  <c r="L295" i="28"/>
  <c r="L294" i="28"/>
  <c r="L290" i="28"/>
  <c r="L289" i="28"/>
  <c r="L288" i="28"/>
  <c r="L287" i="28"/>
  <c r="K541" i="28"/>
  <c r="J541" i="28"/>
  <c r="I541" i="28"/>
  <c r="H541" i="28"/>
  <c r="G541" i="28"/>
  <c r="F541" i="28"/>
  <c r="E541" i="28"/>
  <c r="L540" i="28"/>
  <c r="L539" i="28"/>
  <c r="L538" i="28"/>
  <c r="L537" i="28"/>
  <c r="L536" i="28"/>
  <c r="L535" i="28"/>
  <c r="L534" i="28"/>
  <c r="L533" i="28"/>
  <c r="K529" i="28"/>
  <c r="J529" i="28"/>
  <c r="I529" i="28"/>
  <c r="H529" i="28"/>
  <c r="G529" i="28"/>
  <c r="F529" i="28"/>
  <c r="E529" i="28"/>
  <c r="L528" i="28"/>
  <c r="L527" i="28"/>
  <c r="L526" i="28"/>
  <c r="L525" i="28"/>
  <c r="L524" i="28"/>
  <c r="L523" i="28"/>
  <c r="L522" i="28"/>
  <c r="L521" i="28"/>
  <c r="K517" i="28"/>
  <c r="J517" i="28"/>
  <c r="I517" i="28"/>
  <c r="H517" i="28"/>
  <c r="G517" i="28"/>
  <c r="F517" i="28"/>
  <c r="E517" i="28"/>
  <c r="L516" i="28"/>
  <c r="L515" i="28"/>
  <c r="L514" i="28"/>
  <c r="L513" i="28"/>
  <c r="L512" i="28"/>
  <c r="L511" i="28"/>
  <c r="L510" i="28"/>
  <c r="L509" i="28"/>
  <c r="K505" i="28"/>
  <c r="J505" i="28"/>
  <c r="I505" i="28"/>
  <c r="H505" i="28"/>
  <c r="G505" i="28"/>
  <c r="F505" i="28"/>
  <c r="E505" i="28"/>
  <c r="L504" i="28"/>
  <c r="L503" i="28"/>
  <c r="K499" i="28"/>
  <c r="J499" i="28"/>
  <c r="I499" i="28"/>
  <c r="H499" i="28"/>
  <c r="G499" i="28"/>
  <c r="F499" i="28"/>
  <c r="E499" i="28"/>
  <c r="L498" i="28"/>
  <c r="L497" i="28"/>
  <c r="L496" i="28"/>
  <c r="L495" i="28"/>
  <c r="L494" i="28"/>
  <c r="L493" i="28"/>
  <c r="L492" i="28"/>
  <c r="L491" i="28"/>
  <c r="K487" i="28"/>
  <c r="J487" i="28"/>
  <c r="I487" i="28"/>
  <c r="H487" i="28"/>
  <c r="G487" i="28"/>
  <c r="F487" i="28"/>
  <c r="E487" i="28"/>
  <c r="L486" i="28"/>
  <c r="L485" i="28"/>
  <c r="L484" i="28"/>
  <c r="L483" i="28"/>
  <c r="L482" i="28"/>
  <c r="L481" i="28"/>
  <c r="L480" i="28"/>
  <c r="L479" i="28"/>
  <c r="K475" i="28"/>
  <c r="J475" i="28"/>
  <c r="I475" i="28"/>
  <c r="H475" i="28"/>
  <c r="G475" i="28"/>
  <c r="F475" i="28"/>
  <c r="E475" i="28"/>
  <c r="L474" i="28"/>
  <c r="L473" i="28"/>
  <c r="L472" i="28"/>
  <c r="L471" i="28"/>
  <c r="L470" i="28"/>
  <c r="L469" i="28"/>
  <c r="L468" i="28"/>
  <c r="L467" i="28"/>
  <c r="K463" i="28"/>
  <c r="J463" i="28"/>
  <c r="I463" i="28"/>
  <c r="H463" i="28"/>
  <c r="G463" i="28"/>
  <c r="F463" i="28"/>
  <c r="E463" i="28"/>
  <c r="L462" i="28"/>
  <c r="L461" i="28"/>
  <c r="L460" i="28"/>
  <c r="L459" i="28"/>
  <c r="L458" i="28"/>
  <c r="L457" i="28"/>
  <c r="L456" i="28"/>
  <c r="L455" i="28"/>
  <c r="K451" i="28"/>
  <c r="J451" i="28"/>
  <c r="I451" i="28"/>
  <c r="H451" i="28"/>
  <c r="G451" i="28"/>
  <c r="F451" i="28"/>
  <c r="E451" i="28"/>
  <c r="L450" i="28"/>
  <c r="L449" i="28"/>
  <c r="L448" i="28"/>
  <c r="L447" i="28"/>
  <c r="L446" i="28"/>
  <c r="L445" i="28"/>
  <c r="L444" i="28"/>
  <c r="L443" i="28"/>
  <c r="K439" i="28"/>
  <c r="J439" i="28"/>
  <c r="I439" i="28"/>
  <c r="H439" i="28"/>
  <c r="G439" i="28"/>
  <c r="F439" i="28"/>
  <c r="E439" i="28"/>
  <c r="L438" i="28"/>
  <c r="L437" i="28"/>
  <c r="L436" i="28"/>
  <c r="L435" i="28"/>
  <c r="L434" i="28"/>
  <c r="L433" i="28"/>
  <c r="L432" i="28"/>
  <c r="L431" i="28"/>
  <c r="K427" i="28"/>
  <c r="J427" i="28"/>
  <c r="I427" i="28"/>
  <c r="H427" i="28"/>
  <c r="G427" i="28"/>
  <c r="F427" i="28"/>
  <c r="E427" i="28"/>
  <c r="L426" i="28"/>
  <c r="L425" i="28"/>
  <c r="L424" i="28"/>
  <c r="L423" i="28"/>
  <c r="L422" i="28"/>
  <c r="L421" i="28"/>
  <c r="L420" i="28"/>
  <c r="L419" i="28"/>
  <c r="J27" i="4"/>
  <c r="P34" i="45"/>
  <c r="H34" i="45"/>
  <c r="O34" i="45" s="1"/>
  <c r="G34" i="45"/>
  <c r="I34" i="45"/>
  <c r="J34" i="45"/>
  <c r="K34" i="45"/>
  <c r="L34" i="45"/>
  <c r="M34" i="45"/>
  <c r="N34" i="45"/>
  <c r="F34" i="45"/>
  <c r="K33" i="45"/>
  <c r="G33" i="45"/>
  <c r="F33" i="45"/>
  <c r="K29" i="6"/>
  <c r="E47" i="1"/>
  <c r="H47" i="1" s="1"/>
  <c r="E48" i="1"/>
  <c r="H48" i="1" s="1"/>
  <c r="E49" i="1"/>
  <c r="F49" i="1" s="1"/>
  <c r="E51" i="1"/>
  <c r="F51" i="1" s="1"/>
  <c r="E53" i="1"/>
  <c r="G53" i="1" s="1"/>
  <c r="D32" i="34"/>
  <c r="D33" i="34" s="1"/>
  <c r="D34" i="34" s="1"/>
  <c r="D35" i="34" s="1"/>
  <c r="D36" i="34" s="1"/>
  <c r="D31" i="34"/>
  <c r="E14" i="45"/>
  <c r="K14" i="45" s="1"/>
  <c r="M18" i="45" s="1"/>
  <c r="F28" i="6"/>
  <c r="N20" i="45"/>
  <c r="O19" i="45"/>
  <c r="K12" i="45"/>
  <c r="K18" i="45" s="1"/>
  <c r="K13" i="45"/>
  <c r="H18" i="45" s="1"/>
  <c r="K11" i="45"/>
  <c r="G18" i="45" s="1"/>
  <c r="F25" i="6"/>
  <c r="G25" i="6"/>
  <c r="I26" i="6"/>
  <c r="G26" i="6"/>
  <c r="I27" i="6"/>
  <c r="F27" i="6"/>
  <c r="G9" i="45"/>
  <c r="G17" i="45" s="1"/>
  <c r="H9" i="45"/>
  <c r="H17" i="45" s="1"/>
  <c r="I9" i="45"/>
  <c r="I17" i="45" s="1"/>
  <c r="I20" i="45" s="1"/>
  <c r="J9" i="45"/>
  <c r="J17" i="45" s="1"/>
  <c r="J20" i="45" s="1"/>
  <c r="K9" i="45"/>
  <c r="K17" i="45" s="1"/>
  <c r="L9" i="45"/>
  <c r="L17" i="45" s="1"/>
  <c r="L20" i="45" s="1"/>
  <c r="M9" i="45"/>
  <c r="N9" i="45"/>
  <c r="M17" i="45" s="1"/>
  <c r="O9" i="45"/>
  <c r="F9" i="45"/>
  <c r="F17" i="45" s="1"/>
  <c r="F20" i="45" s="1"/>
  <c r="I10" i="4"/>
  <c r="I8" i="4"/>
  <c r="E42" i="3"/>
  <c r="N22" i="48" l="1"/>
  <c r="D101" i="46"/>
  <c r="D104" i="46" s="1"/>
  <c r="E104" i="46"/>
  <c r="K30" i="46"/>
  <c r="J50" i="46"/>
  <c r="K64" i="46" s="1"/>
  <c r="K73" i="46" s="1"/>
  <c r="K74" i="46" s="1"/>
  <c r="G59" i="46"/>
  <c r="I51" i="1"/>
  <c r="H51" i="1"/>
  <c r="N51" i="1"/>
  <c r="K51" i="1"/>
  <c r="L51" i="1"/>
  <c r="G51" i="1"/>
  <c r="J51" i="1"/>
  <c r="K49" i="1"/>
  <c r="H49" i="1"/>
  <c r="O49" i="1" s="1"/>
  <c r="J49" i="1"/>
  <c r="I16" i="46"/>
  <c r="K47" i="1"/>
  <c r="F47" i="1"/>
  <c r="D577" i="28"/>
  <c r="L565" i="28"/>
  <c r="L589" i="28"/>
  <c r="L614" i="28"/>
  <c r="D553" i="28"/>
  <c r="L601" i="28"/>
  <c r="L577" i="28"/>
  <c r="D601" i="28"/>
  <c r="D589" i="28"/>
  <c r="D614" i="28"/>
  <c r="L553" i="28"/>
  <c r="D565" i="28"/>
  <c r="L403" i="28"/>
  <c r="D403" i="28"/>
  <c r="D368" i="28"/>
  <c r="L312" i="28"/>
  <c r="L368" i="28"/>
  <c r="L382" i="28"/>
  <c r="D395" i="28"/>
  <c r="L395" i="28"/>
  <c r="D312" i="28"/>
  <c r="L353" i="28"/>
  <c r="D382" i="28"/>
  <c r="L340" i="28"/>
  <c r="D340" i="28"/>
  <c r="L326" i="28"/>
  <c r="D353" i="28"/>
  <c r="D326" i="28"/>
  <c r="L297" i="28"/>
  <c r="L529" i="28"/>
  <c r="D529" i="28"/>
  <c r="D463" i="28"/>
  <c r="D505" i="28"/>
  <c r="D451" i="28"/>
  <c r="L517" i="28"/>
  <c r="L541" i="28"/>
  <c r="D297" i="28"/>
  <c r="L505" i="28"/>
  <c r="L499" i="28"/>
  <c r="D439" i="28"/>
  <c r="O439" i="28" s="1"/>
  <c r="L487" i="28"/>
  <c r="L475" i="28"/>
  <c r="D475" i="28"/>
  <c r="L463" i="28"/>
  <c r="L451" i="28"/>
  <c r="L439" i="28"/>
  <c r="D427" i="28"/>
  <c r="D517" i="28"/>
  <c r="D487" i="28"/>
  <c r="D499" i="28"/>
  <c r="D541" i="28"/>
  <c r="L427" i="28"/>
  <c r="K48" i="1"/>
  <c r="G48" i="1"/>
  <c r="J48" i="1"/>
  <c r="F48" i="1"/>
  <c r="N48" i="1"/>
  <c r="I48" i="1"/>
  <c r="L48" i="1"/>
  <c r="J47" i="1"/>
  <c r="N47" i="1"/>
  <c r="I47" i="1"/>
  <c r="L47" i="1"/>
  <c r="K20" i="45"/>
  <c r="G20" i="45"/>
  <c r="M20" i="45"/>
  <c r="H20" i="45"/>
  <c r="O17" i="45"/>
  <c r="L14" i="45"/>
  <c r="O18" i="45"/>
  <c r="I26" i="4"/>
  <c r="I11" i="4"/>
  <c r="H8" i="4"/>
  <c r="K415" i="28"/>
  <c r="J415" i="28"/>
  <c r="I415" i="28"/>
  <c r="H415" i="28"/>
  <c r="G415" i="28"/>
  <c r="F415" i="28"/>
  <c r="E415" i="28"/>
  <c r="L414" i="28"/>
  <c r="L413" i="28"/>
  <c r="L412" i="28"/>
  <c r="L411" i="28"/>
  <c r="L410" i="28"/>
  <c r="L409" i="28"/>
  <c r="L408" i="28"/>
  <c r="L407" i="28"/>
  <c r="E27" i="1"/>
  <c r="F27" i="1" s="1"/>
  <c r="E28" i="1"/>
  <c r="K28" i="1" s="1"/>
  <c r="E29" i="1"/>
  <c r="G29" i="1" s="1"/>
  <c r="E30" i="1"/>
  <c r="K30" i="1" s="1"/>
  <c r="E31" i="1"/>
  <c r="K31" i="1" s="1"/>
  <c r="E32" i="1"/>
  <c r="G32" i="1" s="1"/>
  <c r="E33" i="1"/>
  <c r="G33" i="1" s="1"/>
  <c r="E34" i="1"/>
  <c r="E35" i="1"/>
  <c r="H35" i="1" s="1"/>
  <c r="E36" i="1"/>
  <c r="F36" i="1" s="1"/>
  <c r="E37" i="1"/>
  <c r="J37" i="1" s="1"/>
  <c r="E38" i="1"/>
  <c r="S4" i="4"/>
  <c r="A4" i="4" s="1"/>
  <c r="E46" i="7"/>
  <c r="D46" i="7"/>
  <c r="M50" i="4"/>
  <c r="L50" i="4"/>
  <c r="K50" i="4"/>
  <c r="J50" i="4"/>
  <c r="I50" i="4"/>
  <c r="H50" i="4"/>
  <c r="G50" i="4"/>
  <c r="C46" i="7"/>
  <c r="O9" i="33"/>
  <c r="O18" i="33"/>
  <c r="C19" i="33"/>
  <c r="C20" i="33" s="1"/>
  <c r="C21" i="33" s="1"/>
  <c r="C22" i="33" s="1"/>
  <c r="C23" i="33" s="1"/>
  <c r="C24" i="33" s="1"/>
  <c r="C25" i="33" s="1"/>
  <c r="C26" i="33" s="1"/>
  <c r="C11" i="33"/>
  <c r="C12" i="33" s="1"/>
  <c r="C13" i="33" s="1"/>
  <c r="C14" i="33" s="1"/>
  <c r="C15" i="33" s="1"/>
  <c r="C16" i="33" s="1"/>
  <c r="C17" i="33" s="1"/>
  <c r="C18" i="33" s="1"/>
  <c r="C10" i="33"/>
  <c r="K283" i="28"/>
  <c r="J283" i="28"/>
  <c r="I283" i="28"/>
  <c r="H283" i="28"/>
  <c r="G283" i="28"/>
  <c r="F283" i="28"/>
  <c r="E283" i="28"/>
  <c r="L282" i="28"/>
  <c r="L281" i="28"/>
  <c r="L280" i="28"/>
  <c r="L279" i="28"/>
  <c r="L278" i="28"/>
  <c r="L277" i="28"/>
  <c r="L276" i="28"/>
  <c r="L275" i="28"/>
  <c r="L232" i="28"/>
  <c r="L225" i="28"/>
  <c r="L226" i="28"/>
  <c r="L227" i="28"/>
  <c r="L228" i="28"/>
  <c r="L229" i="28"/>
  <c r="L230" i="28"/>
  <c r="L231" i="28"/>
  <c r="K224" i="28"/>
  <c r="K233" i="28" s="1"/>
  <c r="K200" i="28"/>
  <c r="L200" i="28" s="1"/>
  <c r="K199" i="28"/>
  <c r="L199" i="28" s="1"/>
  <c r="L192" i="28"/>
  <c r="L191" i="28"/>
  <c r="L190" i="28"/>
  <c r="J197" i="28"/>
  <c r="J210" i="28" s="1"/>
  <c r="J221" i="28" s="1"/>
  <c r="J235" i="28" s="1"/>
  <c r="J244" i="28" s="1"/>
  <c r="J254" i="28" s="1"/>
  <c r="J264" i="28" s="1"/>
  <c r="J273" i="28" s="1"/>
  <c r="J285" i="28" s="1"/>
  <c r="J299" i="28" s="1"/>
  <c r="J314" i="28" s="1"/>
  <c r="J328" i="28" s="1"/>
  <c r="J342" i="28" s="1"/>
  <c r="J355" i="28" s="1"/>
  <c r="J370" i="28" s="1"/>
  <c r="J384" i="28" s="1"/>
  <c r="K24" i="6"/>
  <c r="L24" i="6" s="1"/>
  <c r="K23" i="6"/>
  <c r="K271" i="28"/>
  <c r="J271" i="28"/>
  <c r="I271" i="28"/>
  <c r="H271" i="28"/>
  <c r="G271" i="28"/>
  <c r="F271" i="28"/>
  <c r="E271" i="28"/>
  <c r="L270" i="28"/>
  <c r="L269" i="28"/>
  <c r="L268" i="28"/>
  <c r="L267" i="28"/>
  <c r="L266" i="28"/>
  <c r="K262" i="28"/>
  <c r="J262" i="28"/>
  <c r="I262" i="28"/>
  <c r="H262" i="28"/>
  <c r="G262" i="28"/>
  <c r="F262" i="28"/>
  <c r="E262" i="28"/>
  <c r="L261" i="28"/>
  <c r="L260" i="28"/>
  <c r="L259" i="28"/>
  <c r="L258" i="28"/>
  <c r="L257" i="28"/>
  <c r="L256" i="28"/>
  <c r="K252" i="28"/>
  <c r="J252" i="28"/>
  <c r="I252" i="28"/>
  <c r="H252" i="28"/>
  <c r="G252" i="28"/>
  <c r="F252" i="28"/>
  <c r="E252" i="28"/>
  <c r="L251" i="28"/>
  <c r="L250" i="28"/>
  <c r="L249" i="28"/>
  <c r="L248" i="28"/>
  <c r="L247" i="28"/>
  <c r="L246" i="28"/>
  <c r="K242" i="28"/>
  <c r="J242" i="28"/>
  <c r="I242" i="28"/>
  <c r="H242" i="28"/>
  <c r="G242" i="28"/>
  <c r="F242" i="28"/>
  <c r="E242" i="28"/>
  <c r="L241" i="28"/>
  <c r="L240" i="28"/>
  <c r="L239" i="28"/>
  <c r="L238" i="28"/>
  <c r="L237" i="28"/>
  <c r="J233" i="28"/>
  <c r="I233" i="28"/>
  <c r="H233" i="28"/>
  <c r="G233" i="28"/>
  <c r="F233" i="28"/>
  <c r="E233" i="28"/>
  <c r="L223" i="28"/>
  <c r="K219" i="28"/>
  <c r="J219" i="28"/>
  <c r="I219" i="28"/>
  <c r="H219" i="28"/>
  <c r="G219" i="28"/>
  <c r="F219" i="28"/>
  <c r="E219" i="28"/>
  <c r="L218" i="28"/>
  <c r="L217" i="28"/>
  <c r="L216" i="28"/>
  <c r="L215" i="28"/>
  <c r="L214" i="28"/>
  <c r="L213" i="28"/>
  <c r="L212" i="28"/>
  <c r="J208" i="28"/>
  <c r="I208" i="28"/>
  <c r="H208" i="28"/>
  <c r="G208" i="28"/>
  <c r="F208" i="28"/>
  <c r="E208" i="28"/>
  <c r="L207" i="28"/>
  <c r="L206" i="28"/>
  <c r="L205" i="28"/>
  <c r="L204" i="28"/>
  <c r="L203" i="28"/>
  <c r="L202" i="28"/>
  <c r="L201" i="28"/>
  <c r="O53" i="1" l="1"/>
  <c r="O51" i="1"/>
  <c r="O48" i="1"/>
  <c r="L28" i="1"/>
  <c r="D602" i="28"/>
  <c r="D404" i="28"/>
  <c r="J397" i="28"/>
  <c r="J405" i="28" s="1"/>
  <c r="J417" i="28" s="1"/>
  <c r="J429" i="28" s="1"/>
  <c r="J441" i="28" s="1"/>
  <c r="J453" i="28" s="1"/>
  <c r="J465" i="28" s="1"/>
  <c r="J477" i="28" s="1"/>
  <c r="J489" i="28" s="1"/>
  <c r="J501" i="28" s="1"/>
  <c r="J507" i="28" s="1"/>
  <c r="J519" i="28" s="1"/>
  <c r="J531" i="28" s="1"/>
  <c r="J543" i="28" s="1"/>
  <c r="J555" i="28" s="1"/>
  <c r="J567" i="28" s="1"/>
  <c r="D283" i="28"/>
  <c r="O47" i="1"/>
  <c r="I28" i="1"/>
  <c r="G28" i="1"/>
  <c r="J29" i="1"/>
  <c r="L29" i="1"/>
  <c r="L32" i="1"/>
  <c r="O20" i="45"/>
  <c r="N37" i="1"/>
  <c r="F37" i="1"/>
  <c r="I37" i="1"/>
  <c r="H37" i="1"/>
  <c r="K37" i="1"/>
  <c r="G37" i="1"/>
  <c r="O38" i="1"/>
  <c r="O36" i="1"/>
  <c r="K35" i="1"/>
  <c r="L35" i="1"/>
  <c r="G35" i="1"/>
  <c r="F35" i="1"/>
  <c r="J35" i="1"/>
  <c r="N35" i="1"/>
  <c r="I35" i="1"/>
  <c r="K34" i="1"/>
  <c r="G34" i="1"/>
  <c r="N34" i="1"/>
  <c r="F34" i="1"/>
  <c r="L34" i="1"/>
  <c r="H34" i="1"/>
  <c r="J34" i="1"/>
  <c r="F33" i="1"/>
  <c r="K33" i="1"/>
  <c r="I33" i="1"/>
  <c r="H33" i="1"/>
  <c r="I32" i="1"/>
  <c r="K32" i="1"/>
  <c r="H32" i="1"/>
  <c r="F32" i="1"/>
  <c r="G30" i="1"/>
  <c r="I30" i="1"/>
  <c r="L30" i="1"/>
  <c r="J30" i="1"/>
  <c r="N30" i="1"/>
  <c r="J31" i="1"/>
  <c r="I31" i="1"/>
  <c r="F31" i="1"/>
  <c r="N31" i="1"/>
  <c r="L31" i="1"/>
  <c r="H31" i="1"/>
  <c r="G31" i="1"/>
  <c r="N29" i="1"/>
  <c r="I29" i="1"/>
  <c r="F29" i="1"/>
  <c r="K29" i="1"/>
  <c r="H29" i="1"/>
  <c r="N28" i="1"/>
  <c r="J28" i="1"/>
  <c r="H28" i="1"/>
  <c r="F28" i="1"/>
  <c r="H27" i="1"/>
  <c r="L27" i="1"/>
  <c r="N27" i="1"/>
  <c r="G27" i="1"/>
  <c r="K27" i="1"/>
  <c r="I27" i="1"/>
  <c r="J27" i="1"/>
  <c r="L415" i="28"/>
  <c r="D415" i="28"/>
  <c r="D506" i="28" s="1"/>
  <c r="G61" i="4"/>
  <c r="L283" i="28"/>
  <c r="K208" i="28"/>
  <c r="D208" i="28" s="1"/>
  <c r="L224" i="28"/>
  <c r="L233" i="28" s="1"/>
  <c r="D242" i="28"/>
  <c r="D262" i="28"/>
  <c r="L252" i="28"/>
  <c r="L271" i="28"/>
  <c r="L242" i="28"/>
  <c r="L262" i="28"/>
  <c r="D252" i="28"/>
  <c r="L219" i="28"/>
  <c r="D271" i="28"/>
  <c r="D233" i="28"/>
  <c r="D219" i="28"/>
  <c r="F22" i="6"/>
  <c r="F10" i="4"/>
  <c r="D10" i="4"/>
  <c r="C54" i="4"/>
  <c r="D10" i="7"/>
  <c r="C10" i="7"/>
  <c r="C53" i="4"/>
  <c r="S28" i="24" s="1"/>
  <c r="B9" i="32"/>
  <c r="C52" i="4"/>
  <c r="C67" i="4"/>
  <c r="K20" i="6"/>
  <c r="P54" i="4"/>
  <c r="K77" i="28"/>
  <c r="S29" i="24" l="1"/>
  <c r="J35" i="3"/>
  <c r="L208" i="28"/>
  <c r="O34" i="1"/>
  <c r="O28" i="1"/>
  <c r="O30" i="1"/>
  <c r="O35" i="1"/>
  <c r="G21" i="45"/>
  <c r="K21" i="45"/>
  <c r="F21" i="45"/>
  <c r="H21" i="45"/>
  <c r="L21" i="45"/>
  <c r="I21" i="45"/>
  <c r="J21" i="45"/>
  <c r="N21" i="45"/>
  <c r="M21" i="45"/>
  <c r="O37" i="1"/>
  <c r="O33" i="1"/>
  <c r="O32" i="1"/>
  <c r="O31" i="1"/>
  <c r="O29" i="1"/>
  <c r="O27" i="1"/>
  <c r="L166" i="28" l="1"/>
  <c r="K179" i="28"/>
  <c r="J179" i="28"/>
  <c r="I179" i="28"/>
  <c r="H179" i="28"/>
  <c r="G179" i="28"/>
  <c r="F179" i="28"/>
  <c r="E179" i="28"/>
  <c r="L178" i="28"/>
  <c r="L177" i="28"/>
  <c r="L165" i="28"/>
  <c r="L164" i="28"/>
  <c r="L163" i="28"/>
  <c r="L162" i="28"/>
  <c r="L161" i="28"/>
  <c r="L160" i="28"/>
  <c r="L159" i="28"/>
  <c r="K155" i="28"/>
  <c r="J155" i="28"/>
  <c r="I155" i="28"/>
  <c r="H155" i="28"/>
  <c r="G155" i="28"/>
  <c r="F155" i="28"/>
  <c r="E155" i="28"/>
  <c r="L154" i="28"/>
  <c r="L153" i="28"/>
  <c r="L152" i="28"/>
  <c r="L151" i="28"/>
  <c r="L150" i="28"/>
  <c r="L149" i="28"/>
  <c r="L148" i="28"/>
  <c r="L132" i="28"/>
  <c r="L131" i="28"/>
  <c r="F127" i="28"/>
  <c r="G127" i="28"/>
  <c r="H127" i="28"/>
  <c r="I127" i="28"/>
  <c r="J127" i="28"/>
  <c r="K127" i="28"/>
  <c r="E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F111" i="28"/>
  <c r="G111" i="28"/>
  <c r="H111" i="28"/>
  <c r="I111" i="28"/>
  <c r="J111" i="28"/>
  <c r="K111" i="28"/>
  <c r="E111" i="28"/>
  <c r="L109" i="28"/>
  <c r="L108" i="28"/>
  <c r="L107" i="28"/>
  <c r="L106" i="28"/>
  <c r="L105" i="28"/>
  <c r="L104" i="28"/>
  <c r="L103" i="28"/>
  <c r="L102" i="28"/>
  <c r="L101" i="28"/>
  <c r="L100" i="28"/>
  <c r="L99" i="28"/>
  <c r="L92" i="28"/>
  <c r="L91" i="28"/>
  <c r="L90" i="28"/>
  <c r="L89" i="28"/>
  <c r="L88" i="28"/>
  <c r="L87" i="28"/>
  <c r="L86" i="28"/>
  <c r="L85" i="28"/>
  <c r="L84" i="28"/>
  <c r="L83" i="28"/>
  <c r="K195" i="28"/>
  <c r="J195" i="28"/>
  <c r="I195" i="28"/>
  <c r="H195" i="28"/>
  <c r="G195" i="28"/>
  <c r="F195" i="28"/>
  <c r="E195" i="28"/>
  <c r="L194" i="28"/>
  <c r="L193" i="28"/>
  <c r="L189" i="28"/>
  <c r="L188" i="28"/>
  <c r="L187" i="28"/>
  <c r="L186" i="28"/>
  <c r="L185" i="28"/>
  <c r="L184" i="28"/>
  <c r="L183" i="28"/>
  <c r="K173" i="28"/>
  <c r="J173" i="28"/>
  <c r="I173" i="28"/>
  <c r="H173" i="28"/>
  <c r="G173" i="28"/>
  <c r="F173" i="28"/>
  <c r="E173" i="28"/>
  <c r="L172" i="28"/>
  <c r="L171" i="28"/>
  <c r="K167" i="28"/>
  <c r="J167" i="28"/>
  <c r="I167" i="28"/>
  <c r="H167" i="28"/>
  <c r="G167" i="28"/>
  <c r="F167" i="28"/>
  <c r="E167" i="28"/>
  <c r="K144" i="28"/>
  <c r="J144" i="28"/>
  <c r="I144" i="28"/>
  <c r="H144" i="28"/>
  <c r="G144" i="28"/>
  <c r="F144" i="28"/>
  <c r="E144" i="28"/>
  <c r="L143" i="28"/>
  <c r="L142" i="28"/>
  <c r="L141" i="28"/>
  <c r="L140" i="28"/>
  <c r="L139" i="28"/>
  <c r="L138" i="28"/>
  <c r="L137" i="28"/>
  <c r="K133" i="28"/>
  <c r="J133" i="28"/>
  <c r="I133" i="28"/>
  <c r="H133" i="28"/>
  <c r="G133" i="28"/>
  <c r="F133" i="28"/>
  <c r="E133" i="28"/>
  <c r="L110" i="28"/>
  <c r="L94" i="28"/>
  <c r="L93" i="28"/>
  <c r="L179" i="28" l="1"/>
  <c r="D179" i="28"/>
  <c r="L155" i="28"/>
  <c r="D155" i="28"/>
  <c r="L127" i="28"/>
  <c r="L111" i="28"/>
  <c r="L144" i="28"/>
  <c r="L173" i="28"/>
  <c r="L195" i="28"/>
  <c r="L133" i="28"/>
  <c r="L167" i="28"/>
  <c r="D195" i="28"/>
  <c r="D173" i="28"/>
  <c r="D167" i="28"/>
  <c r="D144" i="28"/>
  <c r="D133" i="28"/>
  <c r="D127" i="28"/>
  <c r="D111" i="28"/>
  <c r="F20" i="6"/>
  <c r="G20" i="6"/>
  <c r="I21" i="6"/>
  <c r="F21" i="6"/>
  <c r="D284" i="28" l="1"/>
  <c r="E17" i="1"/>
  <c r="G17" i="1" s="1"/>
  <c r="E18" i="1"/>
  <c r="E19" i="1"/>
  <c r="E20" i="1"/>
  <c r="N20" i="1" s="1"/>
  <c r="E21" i="1"/>
  <c r="F21" i="1" s="1"/>
  <c r="E22" i="1"/>
  <c r="N22" i="1" s="1"/>
  <c r="E23" i="1"/>
  <c r="N23" i="1" s="1"/>
  <c r="E24" i="1"/>
  <c r="E25" i="1"/>
  <c r="N25" i="1" s="1"/>
  <c r="CZ1" i="31"/>
  <c r="CN1" i="31"/>
  <c r="CB1" i="31"/>
  <c r="BO1" i="31"/>
  <c r="AE1" i="31"/>
  <c r="A4" i="31"/>
  <c r="F25" i="1" l="1"/>
  <c r="I25" i="1"/>
  <c r="L25" i="1"/>
  <c r="H25" i="1"/>
  <c r="O25" i="1" s="1"/>
  <c r="J25" i="1"/>
  <c r="K25" i="1"/>
  <c r="G25" i="1"/>
  <c r="K24" i="1"/>
  <c r="G24" i="1"/>
  <c r="I23" i="1"/>
  <c r="L23" i="1"/>
  <c r="H23" i="1"/>
  <c r="K23" i="1"/>
  <c r="G23" i="1"/>
  <c r="J23" i="1"/>
  <c r="I22" i="1"/>
  <c r="L22" i="1"/>
  <c r="H22" i="1"/>
  <c r="K22" i="1"/>
  <c r="G22" i="1"/>
  <c r="J22" i="1"/>
  <c r="L21" i="1"/>
  <c r="J21" i="1"/>
  <c r="I21" i="1"/>
  <c r="K21" i="1"/>
  <c r="G21" i="1"/>
  <c r="I20" i="1"/>
  <c r="L20" i="1"/>
  <c r="H20" i="1"/>
  <c r="K20" i="1"/>
  <c r="G20" i="1"/>
  <c r="J20" i="1"/>
  <c r="F20" i="1"/>
  <c r="L17" i="1"/>
  <c r="H17" i="1"/>
  <c r="J17" i="1"/>
  <c r="N17" i="1"/>
  <c r="I17" i="1"/>
  <c r="K17" i="1"/>
  <c r="E56" i="31"/>
  <c r="D56" i="31"/>
  <c r="E55" i="31"/>
  <c r="D55" i="31"/>
  <c r="E54" i="31"/>
  <c r="D54" i="31"/>
  <c r="E53" i="31"/>
  <c r="D53" i="31"/>
  <c r="E52" i="31"/>
  <c r="D52" i="31"/>
  <c r="E51" i="31"/>
  <c r="D51" i="31"/>
  <c r="E50" i="31"/>
  <c r="D50" i="31"/>
  <c r="E49" i="31"/>
  <c r="D49" i="31"/>
  <c r="E11" i="31"/>
  <c r="D11" i="31"/>
  <c r="E48" i="31"/>
  <c r="D48" i="31"/>
  <c r="E47" i="31"/>
  <c r="D47" i="31"/>
  <c r="E46" i="31"/>
  <c r="D46" i="31"/>
  <c r="E45" i="31"/>
  <c r="D45" i="31"/>
  <c r="E44" i="31"/>
  <c r="D44" i="31"/>
  <c r="E43" i="31"/>
  <c r="D43" i="31"/>
  <c r="E42" i="31"/>
  <c r="D42" i="31"/>
  <c r="E41" i="31"/>
  <c r="D41" i="31"/>
  <c r="E40" i="31"/>
  <c r="D40" i="31"/>
  <c r="E39" i="31"/>
  <c r="D39" i="31"/>
  <c r="E38" i="31"/>
  <c r="D38" i="31"/>
  <c r="E36" i="31"/>
  <c r="D36" i="31"/>
  <c r="E35" i="31"/>
  <c r="D35" i="31"/>
  <c r="E34" i="31"/>
  <c r="D34" i="31"/>
  <c r="E33" i="31"/>
  <c r="D33" i="31"/>
  <c r="E32" i="31"/>
  <c r="D32" i="31"/>
  <c r="E31" i="31"/>
  <c r="D31" i="31"/>
  <c r="E30" i="31"/>
  <c r="D30" i="31"/>
  <c r="E29" i="31"/>
  <c r="D29" i="31"/>
  <c r="E28" i="31"/>
  <c r="D28" i="31"/>
  <c r="O21" i="1" l="1"/>
  <c r="O24" i="1"/>
  <c r="O23" i="1"/>
  <c r="O22" i="1"/>
  <c r="O20" i="1"/>
  <c r="O17" i="1"/>
  <c r="O19" i="1"/>
  <c r="O18" i="1"/>
  <c r="B52" i="31"/>
  <c r="B49" i="31"/>
  <c r="B11" i="31"/>
  <c r="C4" i="4"/>
  <c r="N4" i="33"/>
  <c r="N5" i="33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39" i="33"/>
  <c r="N40" i="33"/>
  <c r="N41" i="33"/>
  <c r="N42" i="33"/>
  <c r="N43" i="33"/>
  <c r="N44" i="33"/>
  <c r="N45" i="33"/>
  <c r="N46" i="33"/>
  <c r="N47" i="33"/>
  <c r="N48" i="33"/>
  <c r="N49" i="33"/>
  <c r="N50" i="33"/>
  <c r="N51" i="33"/>
  <c r="N52" i="33"/>
  <c r="N53" i="33"/>
  <c r="N54" i="33"/>
  <c r="N55" i="33"/>
  <c r="N56" i="33"/>
  <c r="N57" i="33"/>
  <c r="N58" i="33"/>
  <c r="N59" i="33"/>
  <c r="N60" i="33"/>
  <c r="N61" i="33"/>
  <c r="N62" i="33"/>
  <c r="N63" i="33"/>
  <c r="N64" i="33"/>
  <c r="N65" i="33"/>
  <c r="N66" i="33"/>
  <c r="N67" i="33"/>
  <c r="N68" i="33"/>
  <c r="N69" i="33"/>
  <c r="N70" i="33"/>
  <c r="N71" i="33"/>
  <c r="N72" i="33"/>
  <c r="N73" i="33"/>
  <c r="N74" i="33"/>
  <c r="N75" i="33"/>
  <c r="N76" i="33"/>
  <c r="N77" i="33"/>
  <c r="N78" i="33"/>
  <c r="N79" i="33"/>
  <c r="N80" i="33"/>
  <c r="N81" i="33"/>
  <c r="N82" i="33"/>
  <c r="N83" i="33"/>
  <c r="N84" i="33"/>
  <c r="N85" i="33"/>
  <c r="N86" i="33"/>
  <c r="N87" i="33"/>
  <c r="N88" i="33"/>
  <c r="N89" i="33"/>
  <c r="N90" i="33"/>
  <c r="N91" i="33"/>
  <c r="N92" i="33"/>
  <c r="N93" i="33"/>
  <c r="N94" i="33"/>
  <c r="N95" i="33"/>
  <c r="N96" i="33"/>
  <c r="N97" i="33"/>
  <c r="N98" i="33"/>
  <c r="N99" i="33"/>
  <c r="N100" i="33"/>
  <c r="N101" i="33"/>
  <c r="N102" i="33"/>
  <c r="N103" i="33"/>
  <c r="N104" i="33"/>
  <c r="N105" i="33"/>
  <c r="N106" i="33"/>
  <c r="N107" i="33"/>
  <c r="N108" i="33"/>
  <c r="N109" i="33"/>
  <c r="N110" i="33"/>
  <c r="N111" i="33"/>
  <c r="N112" i="33"/>
  <c r="N113" i="33"/>
  <c r="N114" i="33"/>
  <c r="N115" i="33"/>
  <c r="N116" i="33"/>
  <c r="N117" i="33"/>
  <c r="N118" i="33"/>
  <c r="N119" i="33"/>
  <c r="N120" i="33"/>
  <c r="N121" i="33"/>
  <c r="N122" i="33"/>
  <c r="N123" i="33"/>
  <c r="N124" i="33"/>
  <c r="N125" i="33"/>
  <c r="N126" i="33"/>
  <c r="N127" i="33"/>
  <c r="N128" i="33"/>
  <c r="N129" i="33"/>
  <c r="N130" i="33"/>
  <c r="N131" i="33"/>
  <c r="N132" i="33"/>
  <c r="N133" i="33"/>
  <c r="N134" i="33"/>
  <c r="N135" i="33"/>
  <c r="N136" i="33"/>
  <c r="N137" i="33"/>
  <c r="N138" i="33"/>
  <c r="N139" i="33"/>
  <c r="N140" i="33"/>
  <c r="N141" i="33"/>
  <c r="N142" i="33"/>
  <c r="N143" i="33"/>
  <c r="N144" i="33"/>
  <c r="N145" i="33"/>
  <c r="N146" i="33"/>
  <c r="N147" i="33"/>
  <c r="N148" i="33"/>
  <c r="N149" i="33"/>
  <c r="N150" i="33"/>
  <c r="N151" i="33"/>
  <c r="N152" i="33"/>
  <c r="N153" i="33"/>
  <c r="N154" i="33"/>
  <c r="N155" i="33"/>
  <c r="N156" i="33"/>
  <c r="N157" i="33"/>
  <c r="N158" i="33"/>
  <c r="N159" i="33"/>
  <c r="N160" i="33"/>
  <c r="N161" i="33"/>
  <c r="N162" i="33"/>
  <c r="N163" i="33"/>
  <c r="N164" i="33"/>
  <c r="N165" i="33"/>
  <c r="N166" i="33"/>
  <c r="N167" i="33"/>
  <c r="N168" i="33"/>
  <c r="N169" i="33"/>
  <c r="N170" i="33"/>
  <c r="N171" i="33"/>
  <c r="N172" i="33"/>
  <c r="N173" i="33"/>
  <c r="N174" i="33"/>
  <c r="N175" i="33"/>
  <c r="N176" i="33"/>
  <c r="N177" i="33"/>
  <c r="N178" i="33"/>
  <c r="N179" i="33"/>
  <c r="N180" i="33"/>
  <c r="N181" i="33"/>
  <c r="N182" i="33"/>
  <c r="N183" i="33"/>
  <c r="N184" i="33"/>
  <c r="N185" i="33"/>
  <c r="N186" i="33"/>
  <c r="N187" i="33"/>
  <c r="N188" i="33"/>
  <c r="N189" i="33"/>
  <c r="N190" i="33"/>
  <c r="N191" i="33"/>
  <c r="N192" i="33"/>
  <c r="N193" i="33"/>
  <c r="N194" i="33"/>
  <c r="N195" i="33"/>
  <c r="N196" i="33"/>
  <c r="N197" i="33"/>
  <c r="N198" i="33"/>
  <c r="N199" i="33"/>
  <c r="N200" i="33"/>
  <c r="N3" i="33"/>
  <c r="B21" i="32"/>
  <c r="K95" i="28"/>
  <c r="J95" i="28"/>
  <c r="I95" i="28"/>
  <c r="H95" i="28"/>
  <c r="G95" i="28"/>
  <c r="F95" i="28"/>
  <c r="E95" i="28"/>
  <c r="L82" i="28"/>
  <c r="J78" i="28"/>
  <c r="I78" i="28"/>
  <c r="H78" i="28"/>
  <c r="G78" i="28"/>
  <c r="F78" i="28"/>
  <c r="E78" i="28"/>
  <c r="L77" i="28"/>
  <c r="L76" i="28"/>
  <c r="K78" i="28"/>
  <c r="K72" i="28"/>
  <c r="J72" i="28"/>
  <c r="I72" i="28"/>
  <c r="H72" i="28"/>
  <c r="G72" i="28"/>
  <c r="F72" i="28"/>
  <c r="E72" i="28"/>
  <c r="L71" i="28"/>
  <c r="L70" i="28"/>
  <c r="L69" i="28"/>
  <c r="K65" i="28"/>
  <c r="J65" i="28"/>
  <c r="I65" i="28"/>
  <c r="H65" i="28"/>
  <c r="G65" i="28"/>
  <c r="F65" i="28"/>
  <c r="E65" i="28"/>
  <c r="L64" i="28"/>
  <c r="K60" i="28"/>
  <c r="J60" i="28"/>
  <c r="I60" i="28"/>
  <c r="H60" i="28"/>
  <c r="G60" i="28"/>
  <c r="F60" i="28"/>
  <c r="E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K43" i="28"/>
  <c r="J43" i="28"/>
  <c r="I43" i="28"/>
  <c r="H43" i="28"/>
  <c r="G43" i="28"/>
  <c r="F43" i="28"/>
  <c r="E43" i="28"/>
  <c r="L42" i="28"/>
  <c r="L41" i="28"/>
  <c r="L40" i="28"/>
  <c r="L39" i="28"/>
  <c r="L38" i="28"/>
  <c r="L37" i="28"/>
  <c r="L36" i="28"/>
  <c r="L35" i="28"/>
  <c r="L34" i="28"/>
  <c r="K30" i="28"/>
  <c r="J30" i="28"/>
  <c r="I30" i="28"/>
  <c r="H30" i="28"/>
  <c r="G30" i="28"/>
  <c r="E30" i="28"/>
  <c r="L29" i="28"/>
  <c r="L27" i="28"/>
  <c r="L26" i="28"/>
  <c r="L25" i="28"/>
  <c r="L24" i="28"/>
  <c r="L23" i="28"/>
  <c r="L22" i="28"/>
  <c r="L21" i="28"/>
  <c r="F20" i="28"/>
  <c r="L20" i="28" s="1"/>
  <c r="K16" i="28"/>
  <c r="J16" i="28"/>
  <c r="I16" i="28"/>
  <c r="H16" i="28"/>
  <c r="G16" i="28"/>
  <c r="E16" i="28"/>
  <c r="L15" i="28"/>
  <c r="L14" i="28"/>
  <c r="L13" i="28"/>
  <c r="L12" i="28"/>
  <c r="L11" i="28"/>
  <c r="L10" i="28"/>
  <c r="L9" i="28"/>
  <c r="L8" i="28"/>
  <c r="L7" i="28"/>
  <c r="L6" i="28"/>
  <c r="L5" i="28"/>
  <c r="F4" i="28"/>
  <c r="F16" i="28" s="1"/>
  <c r="L3" i="28"/>
  <c r="O26" i="33" l="1"/>
  <c r="D60" i="28"/>
  <c r="L60" i="28"/>
  <c r="L72" i="28"/>
  <c r="L95" i="28"/>
  <c r="L43" i="28"/>
  <c r="L65" i="28"/>
  <c r="D95" i="28"/>
  <c r="D180" i="28" s="1"/>
  <c r="L78" i="28"/>
  <c r="D78" i="28"/>
  <c r="L4" i="28"/>
  <c r="L16" i="28" s="1"/>
  <c r="D16" i="28"/>
  <c r="F30" i="28"/>
  <c r="D43" i="28"/>
  <c r="D65" i="28"/>
  <c r="D72" i="28"/>
  <c r="D30" i="28" l="1"/>
  <c r="D79" i="28" s="1"/>
  <c r="L30" i="28"/>
  <c r="K10" i="1" l="1"/>
  <c r="E8" i="1" l="1"/>
  <c r="K8" i="1" s="1"/>
  <c r="E9" i="1"/>
  <c r="F9" i="1" l="1"/>
  <c r="G9" i="1"/>
  <c r="H9" i="1"/>
  <c r="L8" i="1"/>
  <c r="G8" i="1"/>
  <c r="H8" i="1"/>
  <c r="J8" i="1"/>
  <c r="F8" i="1"/>
  <c r="C115" i="4"/>
  <c r="C117" i="4"/>
  <c r="C118" i="4"/>
  <c r="C119" i="4"/>
  <c r="C120" i="4"/>
  <c r="C121" i="4"/>
  <c r="C123" i="4"/>
  <c r="C124" i="4"/>
  <c r="D115" i="4"/>
  <c r="E115" i="4"/>
  <c r="F115" i="4"/>
  <c r="G115" i="4"/>
  <c r="H115" i="4"/>
  <c r="I115" i="4"/>
  <c r="J115" i="4"/>
  <c r="K115" i="4"/>
  <c r="L115" i="4"/>
  <c r="M115" i="4"/>
  <c r="N115" i="4"/>
  <c r="D116" i="4"/>
  <c r="E116" i="4"/>
  <c r="F116" i="4"/>
  <c r="G116" i="4"/>
  <c r="H116" i="4"/>
  <c r="I116" i="4"/>
  <c r="J116" i="4"/>
  <c r="K116" i="4"/>
  <c r="L116" i="4"/>
  <c r="M116" i="4"/>
  <c r="N116" i="4"/>
  <c r="D117" i="4"/>
  <c r="E117" i="4"/>
  <c r="F117" i="4"/>
  <c r="G117" i="4"/>
  <c r="H117" i="4"/>
  <c r="I117" i="4"/>
  <c r="J117" i="4"/>
  <c r="K117" i="4"/>
  <c r="L117" i="4"/>
  <c r="M117" i="4"/>
  <c r="N117" i="4"/>
  <c r="D118" i="4"/>
  <c r="E118" i="4"/>
  <c r="F118" i="4"/>
  <c r="G118" i="4"/>
  <c r="H118" i="4"/>
  <c r="I118" i="4"/>
  <c r="J118" i="4"/>
  <c r="K118" i="4"/>
  <c r="L118" i="4"/>
  <c r="M118" i="4"/>
  <c r="N118" i="4"/>
  <c r="D119" i="4"/>
  <c r="E119" i="4"/>
  <c r="F119" i="4"/>
  <c r="G119" i="4"/>
  <c r="H119" i="4"/>
  <c r="I119" i="4"/>
  <c r="J119" i="4"/>
  <c r="K119" i="4"/>
  <c r="L119" i="4"/>
  <c r="M119" i="4"/>
  <c r="N119" i="4"/>
  <c r="D120" i="4"/>
  <c r="E120" i="4"/>
  <c r="F120" i="4"/>
  <c r="G120" i="4"/>
  <c r="H120" i="4"/>
  <c r="I120" i="4"/>
  <c r="J120" i="4"/>
  <c r="K120" i="4"/>
  <c r="L120" i="4"/>
  <c r="M120" i="4"/>
  <c r="N120" i="4"/>
  <c r="D121" i="4"/>
  <c r="E121" i="4"/>
  <c r="F121" i="4"/>
  <c r="G121" i="4"/>
  <c r="H121" i="4"/>
  <c r="I121" i="4"/>
  <c r="J121" i="4"/>
  <c r="K121" i="4"/>
  <c r="L121" i="4"/>
  <c r="M121" i="4"/>
  <c r="N121" i="4"/>
  <c r="D122" i="4"/>
  <c r="F122" i="4"/>
  <c r="G122" i="4"/>
  <c r="H122" i="4"/>
  <c r="I122" i="4"/>
  <c r="J122" i="4"/>
  <c r="K122" i="4"/>
  <c r="L122" i="4"/>
  <c r="N122" i="4"/>
  <c r="D123" i="4"/>
  <c r="E123" i="4"/>
  <c r="F123" i="4"/>
  <c r="G123" i="4"/>
  <c r="H123" i="4"/>
  <c r="I123" i="4"/>
  <c r="J123" i="4"/>
  <c r="K123" i="4"/>
  <c r="L123" i="4"/>
  <c r="M123" i="4"/>
  <c r="N123" i="4"/>
  <c r="D124" i="4"/>
  <c r="E124" i="4"/>
  <c r="F124" i="4"/>
  <c r="G124" i="4"/>
  <c r="H124" i="4"/>
  <c r="I124" i="4"/>
  <c r="J124" i="4"/>
  <c r="K124" i="4"/>
  <c r="L124" i="4"/>
  <c r="M124" i="4"/>
  <c r="N124" i="4"/>
  <c r="D127" i="4"/>
  <c r="E127" i="4"/>
  <c r="F127" i="4"/>
  <c r="G127" i="4"/>
  <c r="H127" i="4"/>
  <c r="I127" i="4"/>
  <c r="J127" i="4"/>
  <c r="K127" i="4"/>
  <c r="L127" i="4"/>
  <c r="M127" i="4"/>
  <c r="N127" i="4"/>
  <c r="D131" i="4"/>
  <c r="E131" i="4"/>
  <c r="F131" i="4"/>
  <c r="G131" i="4"/>
  <c r="H131" i="4"/>
  <c r="I131" i="4"/>
  <c r="J131" i="4"/>
  <c r="K131" i="4"/>
  <c r="L131" i="4"/>
  <c r="M131" i="4"/>
  <c r="N131" i="4"/>
  <c r="D135" i="4"/>
  <c r="E135" i="4"/>
  <c r="F135" i="4"/>
  <c r="G135" i="4"/>
  <c r="H135" i="4"/>
  <c r="I135" i="4"/>
  <c r="J135" i="4"/>
  <c r="K135" i="4"/>
  <c r="L135" i="4"/>
  <c r="M135" i="4"/>
  <c r="N135" i="4"/>
  <c r="D139" i="4"/>
  <c r="E139" i="4"/>
  <c r="F139" i="4"/>
  <c r="G139" i="4"/>
  <c r="H139" i="4"/>
  <c r="I139" i="4"/>
  <c r="J139" i="4"/>
  <c r="K139" i="4"/>
  <c r="L139" i="4"/>
  <c r="M139" i="4"/>
  <c r="N139" i="4"/>
  <c r="D142" i="4"/>
  <c r="E142" i="4"/>
  <c r="F142" i="4"/>
  <c r="G142" i="4"/>
  <c r="H142" i="4"/>
  <c r="I142" i="4"/>
  <c r="J142" i="4"/>
  <c r="K142" i="4"/>
  <c r="L142" i="4"/>
  <c r="M142" i="4"/>
  <c r="N142" i="4"/>
  <c r="D146" i="4"/>
  <c r="E146" i="4"/>
  <c r="F146" i="4"/>
  <c r="G146" i="4"/>
  <c r="H146" i="4"/>
  <c r="I146" i="4"/>
  <c r="J146" i="4"/>
  <c r="K146" i="4"/>
  <c r="L146" i="4"/>
  <c r="M146" i="4"/>
  <c r="N146" i="4"/>
  <c r="D151" i="4"/>
  <c r="E151" i="4"/>
  <c r="F151" i="4"/>
  <c r="G151" i="4"/>
  <c r="H151" i="4"/>
  <c r="I151" i="4"/>
  <c r="J151" i="4"/>
  <c r="K151" i="4"/>
  <c r="L151" i="4"/>
  <c r="M151" i="4"/>
  <c r="N151" i="4"/>
  <c r="D155" i="4"/>
  <c r="E155" i="4"/>
  <c r="F155" i="4"/>
  <c r="G155" i="4"/>
  <c r="H155" i="4"/>
  <c r="I155" i="4"/>
  <c r="J155" i="4"/>
  <c r="K155" i="4"/>
  <c r="L155" i="4"/>
  <c r="M155" i="4"/>
  <c r="N155" i="4"/>
  <c r="D159" i="4"/>
  <c r="E159" i="4"/>
  <c r="F159" i="4"/>
  <c r="G159" i="4"/>
  <c r="H159" i="4"/>
  <c r="I159" i="4"/>
  <c r="J159" i="4"/>
  <c r="K159" i="4"/>
  <c r="L159" i="4"/>
  <c r="M159" i="4"/>
  <c r="N159" i="4"/>
  <c r="D163" i="4"/>
  <c r="E163" i="4"/>
  <c r="F163" i="4"/>
  <c r="G163" i="4"/>
  <c r="H163" i="4"/>
  <c r="I163" i="4"/>
  <c r="J163" i="4"/>
  <c r="K163" i="4"/>
  <c r="L163" i="4"/>
  <c r="M163" i="4"/>
  <c r="N163" i="4"/>
  <c r="C163" i="4"/>
  <c r="C159" i="4"/>
  <c r="C155" i="4"/>
  <c r="C151" i="4"/>
  <c r="C146" i="4"/>
  <c r="C142" i="4"/>
  <c r="C139" i="4"/>
  <c r="C135" i="4"/>
  <c r="C131" i="4"/>
  <c r="C127" i="4"/>
  <c r="B165" i="4"/>
  <c r="B164" i="4"/>
  <c r="B161" i="4"/>
  <c r="B162" i="4"/>
  <c r="B160" i="4"/>
  <c r="B157" i="4"/>
  <c r="B158" i="4"/>
  <c r="B156" i="4"/>
  <c r="B153" i="4"/>
  <c r="B154" i="4"/>
  <c r="B152" i="4"/>
  <c r="B147" i="4"/>
  <c r="B149" i="4"/>
  <c r="B150" i="4"/>
  <c r="B148" i="4"/>
  <c r="B144" i="4"/>
  <c r="B145" i="4"/>
  <c r="B143" i="4"/>
  <c r="B141" i="4"/>
  <c r="B140" i="4"/>
  <c r="B137" i="4"/>
  <c r="B138" i="4"/>
  <c r="B136" i="4"/>
  <c r="B133" i="4"/>
  <c r="B134" i="4"/>
  <c r="B132" i="4"/>
  <c r="B129" i="4"/>
  <c r="B130" i="4"/>
  <c r="B128" i="4"/>
  <c r="P24" i="4"/>
  <c r="S10" i="4"/>
  <c r="T10" i="4" l="1"/>
  <c r="A10" i="4"/>
  <c r="O9" i="1"/>
  <c r="O8" i="1"/>
  <c r="P131" i="4"/>
  <c r="P155" i="4"/>
  <c r="P151" i="4"/>
  <c r="P146" i="4"/>
  <c r="P142" i="4"/>
  <c r="P163" i="4"/>
  <c r="P159" i="4"/>
  <c r="P135" i="4"/>
  <c r="G126" i="4"/>
  <c r="K126" i="4"/>
  <c r="P127" i="4"/>
  <c r="L126" i="4"/>
  <c r="H126" i="4"/>
  <c r="D126" i="4"/>
  <c r="N126" i="4"/>
  <c r="J126" i="4"/>
  <c r="F126" i="4"/>
  <c r="M126" i="4"/>
  <c r="I126" i="4"/>
  <c r="E126" i="4"/>
  <c r="P139" i="4"/>
  <c r="C126" i="4"/>
  <c r="E4" i="1"/>
  <c r="G4" i="1" s="1"/>
  <c r="E5" i="1"/>
  <c r="F5" i="1" s="1"/>
  <c r="E3" i="1"/>
  <c r="F3" i="1" s="1"/>
  <c r="E6" i="1"/>
  <c r="K6" i="1" s="1"/>
  <c r="E7" i="1"/>
  <c r="F7" i="1" s="1"/>
  <c r="E10" i="1"/>
  <c r="F10" i="1"/>
  <c r="G10" i="1"/>
  <c r="H10" i="1"/>
  <c r="I10" i="1"/>
  <c r="J10" i="1"/>
  <c r="L10" i="1"/>
  <c r="E11" i="1"/>
  <c r="K11" i="1" s="1"/>
  <c r="E12" i="1"/>
  <c r="E13" i="1"/>
  <c r="E14" i="1"/>
  <c r="E15" i="1"/>
  <c r="K15" i="1" s="1"/>
  <c r="E16" i="1"/>
  <c r="E26" i="1"/>
  <c r="I26" i="1" s="1"/>
  <c r="E39" i="1"/>
  <c r="F39" i="1" s="1"/>
  <c r="E40" i="1"/>
  <c r="E41" i="1"/>
  <c r="Z3" i="1"/>
  <c r="Z4" i="1"/>
  <c r="L18" i="3" s="1"/>
  <c r="Z5" i="1"/>
  <c r="Z6" i="1"/>
  <c r="Z7" i="1"/>
  <c r="Z8" i="1"/>
  <c r="Y9" i="1"/>
  <c r="Z9" i="1"/>
  <c r="Y10" i="1"/>
  <c r="Z10" i="1"/>
  <c r="A21" i="7"/>
  <c r="A30" i="7" s="1"/>
  <c r="A39" i="7" s="1"/>
  <c r="A48" i="7" s="1"/>
  <c r="A57" i="7" s="1"/>
  <c r="A66" i="7" s="1"/>
  <c r="A75" i="7" s="1"/>
  <c r="A84" i="7" s="1"/>
  <c r="A93" i="7" s="1"/>
  <c r="A102" i="7" s="1"/>
  <c r="A12" i="7"/>
  <c r="D34" i="3"/>
  <c r="D35" i="3" s="1"/>
  <c r="B5" i="3"/>
  <c r="D5" i="3"/>
  <c r="E5" i="3" s="1"/>
  <c r="B6" i="3"/>
  <c r="D6" i="3"/>
  <c r="E6" i="3" s="1"/>
  <c r="D7" i="3"/>
  <c r="E7" i="3" s="1"/>
  <c r="E8" i="3"/>
  <c r="T4" i="4"/>
  <c r="S5" i="4"/>
  <c r="S6" i="4"/>
  <c r="S7" i="4"/>
  <c r="S8" i="4"/>
  <c r="S9" i="4"/>
  <c r="S12" i="4"/>
  <c r="S3" i="4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0" i="31"/>
  <c r="D9" i="31"/>
  <c r="D8" i="31"/>
  <c r="D7" i="31"/>
  <c r="D6" i="31"/>
  <c r="D5" i="31"/>
  <c r="D4" i="31"/>
  <c r="A40" i="4"/>
  <c r="L14" i="6"/>
  <c r="L18" i="6"/>
  <c r="L16" i="6"/>
  <c r="L17" i="6"/>
  <c r="L15" i="6"/>
  <c r="L19" i="6"/>
  <c r="L20" i="6"/>
  <c r="L21" i="6"/>
  <c r="L22" i="6"/>
  <c r="L23" i="6"/>
  <c r="L25" i="6"/>
  <c r="L26" i="6"/>
  <c r="L27" i="6"/>
  <c r="L28" i="6"/>
  <c r="L29" i="6"/>
  <c r="L30" i="6"/>
  <c r="L31" i="6"/>
  <c r="L32" i="6"/>
  <c r="L33" i="6"/>
  <c r="L34" i="6"/>
  <c r="L39" i="6"/>
  <c r="L42" i="6"/>
  <c r="F43" i="31"/>
  <c r="AP1" i="24"/>
  <c r="AM1" i="24"/>
  <c r="P126" i="4" l="1"/>
  <c r="T5" i="4"/>
  <c r="A5" i="4"/>
  <c r="K40" i="1"/>
  <c r="J40" i="1"/>
  <c r="N40" i="1"/>
  <c r="L40" i="1"/>
  <c r="F40" i="1"/>
  <c r="I40" i="1"/>
  <c r="H40" i="1"/>
  <c r="N41" i="1"/>
  <c r="K41" i="1"/>
  <c r="H41" i="1"/>
  <c r="G41" i="1"/>
  <c r="T7" i="4"/>
  <c r="A7" i="4"/>
  <c r="T9" i="4"/>
  <c r="A9" i="4"/>
  <c r="T6" i="4"/>
  <c r="A6" i="4"/>
  <c r="G40" i="1"/>
  <c r="I39" i="1"/>
  <c r="L39" i="1"/>
  <c r="G39" i="1"/>
  <c r="J39" i="1"/>
  <c r="N39" i="1"/>
  <c r="K39" i="1"/>
  <c r="H39" i="1"/>
  <c r="T12" i="4"/>
  <c r="A12" i="4"/>
  <c r="T3" i="4"/>
  <c r="A3" i="4"/>
  <c r="T8" i="4"/>
  <c r="A8" i="4"/>
  <c r="F26" i="1"/>
  <c r="J26" i="1"/>
  <c r="N26" i="1"/>
  <c r="K26" i="1"/>
  <c r="H26" i="1"/>
  <c r="G26" i="1"/>
  <c r="I11" i="1"/>
  <c r="L6" i="1"/>
  <c r="H11" i="1"/>
  <c r="J6" i="1"/>
  <c r="F6" i="1"/>
  <c r="O16" i="1"/>
  <c r="J15" i="1"/>
  <c r="F15" i="1"/>
  <c r="H15" i="1"/>
  <c r="L15" i="1"/>
  <c r="G15" i="1"/>
  <c r="F14" i="1"/>
  <c r="G14" i="1"/>
  <c r="H14" i="1"/>
  <c r="H13" i="1"/>
  <c r="G13" i="1"/>
  <c r="F13" i="1"/>
  <c r="L11" i="1"/>
  <c r="G11" i="1"/>
  <c r="J11" i="1"/>
  <c r="F11" i="1"/>
  <c r="H6" i="1"/>
  <c r="G6" i="1"/>
  <c r="O10" i="1"/>
  <c r="O7" i="1"/>
  <c r="I6" i="1"/>
  <c r="F4" i="1"/>
  <c r="O3" i="1"/>
  <c r="Y4" i="1" s="1"/>
  <c r="H5" i="1"/>
  <c r="G5" i="1"/>
  <c r="H4" i="1"/>
  <c r="Z11" i="1"/>
  <c r="E9" i="3"/>
  <c r="S11" i="4"/>
  <c r="A11" i="4" s="1"/>
  <c r="O39" i="1" l="1"/>
  <c r="O40" i="1"/>
  <c r="O41" i="1"/>
  <c r="O26" i="1"/>
  <c r="O11" i="1"/>
  <c r="O15" i="1"/>
  <c r="O14" i="1"/>
  <c r="O13" i="1"/>
  <c r="O12" i="1"/>
  <c r="O6" i="1"/>
  <c r="O4" i="1"/>
  <c r="O5" i="1"/>
  <c r="S13" i="4"/>
  <c r="T11" i="4"/>
  <c r="N11" i="6"/>
  <c r="E111" i="7"/>
  <c r="G111" i="7"/>
  <c r="N50" i="24"/>
  <c r="P59" i="4"/>
  <c r="P60" i="4"/>
  <c r="P61" i="4"/>
  <c r="P62" i="4"/>
  <c r="P63" i="4"/>
  <c r="P64" i="4"/>
  <c r="J75" i="3"/>
  <c r="B76" i="3" s="1"/>
  <c r="B112" i="7"/>
  <c r="C112" i="7"/>
  <c r="D112" i="7"/>
  <c r="E112" i="7"/>
  <c r="F112" i="7"/>
  <c r="G112" i="7"/>
  <c r="H112" i="7"/>
  <c r="I112" i="7"/>
  <c r="J112" i="7"/>
  <c r="B113" i="7"/>
  <c r="C113" i="7"/>
  <c r="D113" i="7"/>
  <c r="E113" i="7"/>
  <c r="F113" i="7"/>
  <c r="G113" i="7"/>
  <c r="H113" i="7"/>
  <c r="I113" i="7"/>
  <c r="J113" i="7"/>
  <c r="B114" i="7"/>
  <c r="C114" i="7"/>
  <c r="D114" i="7"/>
  <c r="E114" i="7"/>
  <c r="F114" i="7"/>
  <c r="G114" i="7"/>
  <c r="H114" i="7"/>
  <c r="I114" i="7"/>
  <c r="J114" i="7"/>
  <c r="B115" i="7"/>
  <c r="C115" i="7"/>
  <c r="D115" i="7"/>
  <c r="E115" i="7"/>
  <c r="F115" i="7"/>
  <c r="G115" i="7"/>
  <c r="H115" i="7"/>
  <c r="I115" i="7"/>
  <c r="J115" i="7"/>
  <c r="B116" i="7"/>
  <c r="C116" i="7"/>
  <c r="D116" i="7"/>
  <c r="E116" i="7"/>
  <c r="F116" i="7"/>
  <c r="G116" i="7"/>
  <c r="H116" i="7"/>
  <c r="I116" i="7"/>
  <c r="J116" i="7"/>
  <c r="B117" i="7"/>
  <c r="C117" i="7"/>
  <c r="D117" i="7"/>
  <c r="E117" i="7"/>
  <c r="F117" i="7"/>
  <c r="G117" i="7"/>
  <c r="H117" i="7"/>
  <c r="I117" i="7"/>
  <c r="J117" i="7"/>
  <c r="D111" i="7"/>
  <c r="F111" i="7"/>
  <c r="I111" i="7"/>
  <c r="J111" i="7"/>
  <c r="H111" i="7"/>
  <c r="D2" i="6"/>
  <c r="F2" i="6"/>
  <c r="G2" i="6"/>
  <c r="H2" i="6"/>
  <c r="I2" i="6"/>
  <c r="J2" i="6"/>
  <c r="K2" i="6"/>
  <c r="B5" i="6"/>
  <c r="D5" i="6"/>
  <c r="F5" i="6"/>
  <c r="G5" i="6"/>
  <c r="H5" i="6"/>
  <c r="I5" i="6"/>
  <c r="J5" i="6"/>
  <c r="K5" i="6"/>
  <c r="B7" i="6"/>
  <c r="D7" i="6"/>
  <c r="F7" i="6"/>
  <c r="G7" i="6"/>
  <c r="H7" i="6"/>
  <c r="I7" i="6"/>
  <c r="J7" i="6"/>
  <c r="K7" i="6"/>
  <c r="B111" i="7"/>
  <c r="B12" i="6"/>
  <c r="P1" i="1"/>
  <c r="P58" i="4"/>
  <c r="AD20" i="24" l="1"/>
  <c r="AP3" i="24" s="1"/>
  <c r="M116" i="7"/>
  <c r="L14" i="3"/>
  <c r="L19" i="3"/>
  <c r="L20" i="3"/>
  <c r="L16" i="3"/>
  <c r="L17" i="3"/>
  <c r="L15" i="3"/>
  <c r="M112" i="7"/>
  <c r="M114" i="7"/>
  <c r="O11" i="6"/>
  <c r="M117" i="7"/>
  <c r="M115" i="7"/>
  <c r="M113" i="7"/>
  <c r="L13" i="3"/>
  <c r="L2" i="6"/>
  <c r="B2" i="6" s="1"/>
  <c r="L5" i="6"/>
  <c r="L7" i="6"/>
  <c r="F51" i="31"/>
  <c r="T13" i="4" l="1"/>
  <c r="I6" i="24"/>
  <c r="E7" i="31" l="1"/>
  <c r="F7" i="31" l="1"/>
  <c r="P76" i="4"/>
  <c r="N51" i="24" s="1"/>
  <c r="D40" i="4"/>
  <c r="C3" i="7" l="1"/>
  <c r="C111" i="7"/>
  <c r="D50" i="4"/>
  <c r="M111" i="7" l="1"/>
  <c r="E42" i="1"/>
  <c r="E43" i="1"/>
  <c r="E44" i="1"/>
  <c r="I44" i="1" s="1"/>
  <c r="E45" i="1"/>
  <c r="E46" i="1"/>
  <c r="N46" i="1" l="1"/>
  <c r="K46" i="1"/>
  <c r="N45" i="1"/>
  <c r="K45" i="1"/>
  <c r="N43" i="1"/>
  <c r="K43" i="1"/>
  <c r="K42" i="1"/>
  <c r="C119" i="7"/>
  <c r="D119" i="7"/>
  <c r="E119" i="7"/>
  <c r="F119" i="7"/>
  <c r="G119" i="7"/>
  <c r="H119" i="7"/>
  <c r="I119" i="7"/>
  <c r="J119" i="7"/>
  <c r="B119" i="7"/>
  <c r="J102" i="7"/>
  <c r="I102" i="7"/>
  <c r="H102" i="7"/>
  <c r="G102" i="7"/>
  <c r="F102" i="7"/>
  <c r="E102" i="7"/>
  <c r="D102" i="7"/>
  <c r="C102" i="7"/>
  <c r="B102" i="7"/>
  <c r="J93" i="7"/>
  <c r="I93" i="7"/>
  <c r="H93" i="7"/>
  <c r="G93" i="7"/>
  <c r="F93" i="7"/>
  <c r="E93" i="7"/>
  <c r="D93" i="7"/>
  <c r="C93" i="7"/>
  <c r="B93" i="7"/>
  <c r="J84" i="7"/>
  <c r="I84" i="7"/>
  <c r="H84" i="7"/>
  <c r="G84" i="7"/>
  <c r="F84" i="7"/>
  <c r="E84" i="7"/>
  <c r="D84" i="7"/>
  <c r="C84" i="7"/>
  <c r="B84" i="7"/>
  <c r="J75" i="7"/>
  <c r="I75" i="7"/>
  <c r="H75" i="7"/>
  <c r="G75" i="7"/>
  <c r="F75" i="7"/>
  <c r="E75" i="7"/>
  <c r="D75" i="7"/>
  <c r="C75" i="7"/>
  <c r="B75" i="7"/>
  <c r="J66" i="7"/>
  <c r="I66" i="7"/>
  <c r="H66" i="7"/>
  <c r="G66" i="7"/>
  <c r="F66" i="7"/>
  <c r="E66" i="7"/>
  <c r="D66" i="7"/>
  <c r="C66" i="7"/>
  <c r="B66" i="7"/>
  <c r="J57" i="7"/>
  <c r="I57" i="7"/>
  <c r="H57" i="7"/>
  <c r="G57" i="7"/>
  <c r="F57" i="7"/>
  <c r="E57" i="7"/>
  <c r="D57" i="7"/>
  <c r="C57" i="7"/>
  <c r="B57" i="7"/>
  <c r="J48" i="7"/>
  <c r="I48" i="7"/>
  <c r="H48" i="7"/>
  <c r="G48" i="7"/>
  <c r="F48" i="7"/>
  <c r="E48" i="7"/>
  <c r="D48" i="7"/>
  <c r="C48" i="7"/>
  <c r="B48" i="7"/>
  <c r="J39" i="7"/>
  <c r="I39" i="7"/>
  <c r="H39" i="7"/>
  <c r="G39" i="7"/>
  <c r="F39" i="7"/>
  <c r="E39" i="7"/>
  <c r="D39" i="7"/>
  <c r="C39" i="7"/>
  <c r="B39" i="7"/>
  <c r="J30" i="7"/>
  <c r="I30" i="7"/>
  <c r="H30" i="7"/>
  <c r="G30" i="7"/>
  <c r="F30" i="7"/>
  <c r="E30" i="7"/>
  <c r="D30" i="7"/>
  <c r="C30" i="7"/>
  <c r="B30" i="7"/>
  <c r="J21" i="7"/>
  <c r="I21" i="7"/>
  <c r="H21" i="7"/>
  <c r="G21" i="7"/>
  <c r="F21" i="7"/>
  <c r="E21" i="7"/>
  <c r="D21" i="7"/>
  <c r="C21" i="7"/>
  <c r="B21" i="7"/>
  <c r="J12" i="7"/>
  <c r="I12" i="7"/>
  <c r="H12" i="7"/>
  <c r="G12" i="7"/>
  <c r="F12" i="7"/>
  <c r="E12" i="7"/>
  <c r="D12" i="7"/>
  <c r="C12" i="7"/>
  <c r="B12" i="7"/>
  <c r="J3" i="7"/>
  <c r="I3" i="7"/>
  <c r="H3" i="7"/>
  <c r="G3" i="7"/>
  <c r="F3" i="7"/>
  <c r="E3" i="7"/>
  <c r="D3" i="7"/>
  <c r="B3" i="7"/>
  <c r="L43" i="1"/>
  <c r="L45" i="1"/>
  <c r="L46" i="1"/>
  <c r="J45" i="1"/>
  <c r="J46" i="1"/>
  <c r="I43" i="1"/>
  <c r="I45" i="1"/>
  <c r="I46" i="1"/>
  <c r="H42" i="1"/>
  <c r="H43" i="1"/>
  <c r="H45" i="1"/>
  <c r="H46" i="1"/>
  <c r="G42" i="1"/>
  <c r="G44" i="1"/>
  <c r="G45" i="1"/>
  <c r="G46" i="1"/>
  <c r="F43" i="1"/>
  <c r="F44" i="1"/>
  <c r="E118" i="7" l="1"/>
  <c r="F118" i="7"/>
  <c r="H118" i="7"/>
  <c r="G118" i="7"/>
  <c r="I118" i="7"/>
  <c r="C118" i="7"/>
  <c r="D118" i="7"/>
  <c r="B118" i="7"/>
  <c r="J118" i="7"/>
  <c r="E4" i="31"/>
  <c r="E5" i="31"/>
  <c r="E6" i="31"/>
  <c r="E8" i="31"/>
  <c r="E9" i="31"/>
  <c r="E10" i="31"/>
  <c r="E12" i="31"/>
  <c r="E13" i="31"/>
  <c r="E14" i="31"/>
  <c r="B14" i="31" s="1"/>
  <c r="E15" i="31"/>
  <c r="B15" i="31" s="1"/>
  <c r="E16" i="31"/>
  <c r="E17" i="31"/>
  <c r="E18" i="31"/>
  <c r="E19" i="31"/>
  <c r="B19" i="31" s="1"/>
  <c r="E20" i="31"/>
  <c r="B20" i="31" s="1"/>
  <c r="E21" i="31"/>
  <c r="E22" i="31"/>
  <c r="E23" i="31"/>
  <c r="E24" i="31"/>
  <c r="E25" i="31"/>
  <c r="E26" i="31"/>
  <c r="B26" i="31" s="1"/>
  <c r="B55" i="31"/>
  <c r="F55" i="31"/>
  <c r="E3" i="31"/>
  <c r="E1" i="34"/>
  <c r="L1" i="33"/>
  <c r="K1" i="33"/>
  <c r="J1" i="33"/>
  <c r="I1" i="33"/>
  <c r="H1" i="33"/>
  <c r="G1" i="33"/>
  <c r="N125" i="32"/>
  <c r="H125" i="32"/>
  <c r="B125" i="32"/>
  <c r="N112" i="32"/>
  <c r="H112" i="32"/>
  <c r="B112" i="32"/>
  <c r="N99" i="32"/>
  <c r="H99" i="32"/>
  <c r="B99" i="32"/>
  <c r="N86" i="32"/>
  <c r="H86" i="32"/>
  <c r="B86" i="32"/>
  <c r="N73" i="32"/>
  <c r="H73" i="32"/>
  <c r="B73" i="32"/>
  <c r="N60" i="32"/>
  <c r="H60" i="32"/>
  <c r="B60" i="32"/>
  <c r="N47" i="32"/>
  <c r="H47" i="32"/>
  <c r="B47" i="32"/>
  <c r="N34" i="32"/>
  <c r="H34" i="32"/>
  <c r="B34" i="32"/>
  <c r="N21" i="32"/>
  <c r="H21" i="32"/>
  <c r="N8" i="32"/>
  <c r="H8" i="32"/>
  <c r="D3" i="31"/>
  <c r="BC1" i="31"/>
  <c r="AQ1" i="31"/>
  <c r="B42" i="31" l="1"/>
  <c r="F29" i="31"/>
  <c r="F12" i="31"/>
  <c r="F20" i="31"/>
  <c r="F18" i="31"/>
  <c r="B3" i="31"/>
  <c r="B5" i="31"/>
  <c r="B4" i="31"/>
  <c r="F13" i="31"/>
  <c r="B25" i="31"/>
  <c r="F11" i="31"/>
  <c r="F16" i="31"/>
  <c r="F14" i="31"/>
  <c r="F42" i="31"/>
  <c r="B12" i="31"/>
  <c r="F49" i="31"/>
  <c r="F4" i="31"/>
  <c r="F34" i="31"/>
  <c r="F45" i="31"/>
  <c r="F17" i="31"/>
  <c r="F50" i="31"/>
  <c r="F46" i="31"/>
  <c r="F47" i="31"/>
  <c r="F39" i="31"/>
  <c r="F30" i="31"/>
  <c r="F35" i="31"/>
  <c r="F33" i="31"/>
  <c r="F28" i="31"/>
  <c r="F9" i="31"/>
  <c r="F10" i="31"/>
  <c r="F5" i="31"/>
  <c r="B30" i="31"/>
  <c r="F32" i="31"/>
  <c r="F31" i="31"/>
  <c r="F8" i="31"/>
  <c r="M1" i="33"/>
  <c r="N1" i="33"/>
  <c r="O1" i="33" s="1"/>
  <c r="F54" i="31"/>
  <c r="F48" i="31"/>
  <c r="F19" i="31"/>
  <c r="F21" i="31"/>
  <c r="F36" i="31"/>
  <c r="B36" i="31"/>
  <c r="F41" i="31"/>
  <c r="F15" i="31"/>
  <c r="F25" i="31"/>
  <c r="B24" i="31"/>
  <c r="B21" i="31"/>
  <c r="F22" i="31"/>
  <c r="F23" i="31"/>
  <c r="F52" i="31"/>
  <c r="F26" i="31"/>
  <c r="F40" i="31"/>
  <c r="F3" i="31"/>
  <c r="B33" i="31"/>
  <c r="B13" i="31"/>
  <c r="F24" i="31"/>
  <c r="B46" i="31"/>
  <c r="F6" i="31"/>
  <c r="F38" i="31"/>
  <c r="F53" i="31"/>
  <c r="F56" i="31"/>
  <c r="B8" i="31"/>
  <c r="B39" i="31"/>
  <c r="B16" i="31"/>
  <c r="S1" i="31" l="1"/>
  <c r="E52" i="3" l="1"/>
  <c r="I45" i="24" s="1"/>
  <c r="D108" i="4"/>
  <c r="D114" i="4" s="1"/>
  <c r="E108" i="4"/>
  <c r="E114" i="4" s="1"/>
  <c r="F108" i="4"/>
  <c r="F114" i="4" s="1"/>
  <c r="G108" i="4"/>
  <c r="G114" i="4" s="1"/>
  <c r="H108" i="4"/>
  <c r="H114" i="4" s="1"/>
  <c r="I108" i="4"/>
  <c r="I114" i="4" s="1"/>
  <c r="J108" i="4"/>
  <c r="J114" i="4" s="1"/>
  <c r="K108" i="4"/>
  <c r="K114" i="4" s="1"/>
  <c r="L108" i="4"/>
  <c r="L114" i="4" s="1"/>
  <c r="M108" i="4"/>
  <c r="M114" i="4" s="1"/>
  <c r="N108" i="4"/>
  <c r="N114" i="4" s="1"/>
  <c r="C108" i="4"/>
  <c r="C114" i="4" s="1"/>
  <c r="H45" i="24"/>
  <c r="R45" i="24" s="1"/>
  <c r="F50" i="4"/>
  <c r="E50" i="4"/>
  <c r="C50" i="4"/>
  <c r="M110" i="7"/>
  <c r="M109" i="7"/>
  <c r="N49" i="4" s="1"/>
  <c r="M108" i="7"/>
  <c r="N48" i="4" s="1"/>
  <c r="M107" i="7"/>
  <c r="N47" i="4" s="1"/>
  <c r="M106" i="7"/>
  <c r="N46" i="4" s="1"/>
  <c r="M105" i="7"/>
  <c r="N45" i="4" s="1"/>
  <c r="M104" i="7"/>
  <c r="N44" i="4" s="1"/>
  <c r="M103" i="7"/>
  <c r="N43" i="4" s="1"/>
  <c r="M101" i="7"/>
  <c r="M100" i="7"/>
  <c r="M49" i="4" s="1"/>
  <c r="M99" i="7"/>
  <c r="M48" i="4" s="1"/>
  <c r="M98" i="7"/>
  <c r="M47" i="4" s="1"/>
  <c r="M97" i="7"/>
  <c r="M46" i="4" s="1"/>
  <c r="M96" i="7"/>
  <c r="M45" i="4" s="1"/>
  <c r="M95" i="7"/>
  <c r="M44" i="4" s="1"/>
  <c r="M94" i="7"/>
  <c r="M92" i="7"/>
  <c r="M91" i="7"/>
  <c r="L49" i="4" s="1"/>
  <c r="M90" i="7"/>
  <c r="L48" i="4" s="1"/>
  <c r="M89" i="7"/>
  <c r="L47" i="4" s="1"/>
  <c r="M88" i="7"/>
  <c r="L46" i="4" s="1"/>
  <c r="M87" i="7"/>
  <c r="L45" i="4" s="1"/>
  <c r="M86" i="7"/>
  <c r="L44" i="4" s="1"/>
  <c r="M85" i="7"/>
  <c r="L43" i="4" s="1"/>
  <c r="M83" i="7"/>
  <c r="M82" i="7"/>
  <c r="K49" i="4" s="1"/>
  <c r="M81" i="7"/>
  <c r="K48" i="4" s="1"/>
  <c r="M80" i="7"/>
  <c r="K47" i="4" s="1"/>
  <c r="M79" i="7"/>
  <c r="K46" i="4" s="1"/>
  <c r="M78" i="7"/>
  <c r="K45" i="4" s="1"/>
  <c r="M77" i="7"/>
  <c r="K44" i="4" s="1"/>
  <c r="M76" i="7"/>
  <c r="M74" i="7"/>
  <c r="M73" i="7"/>
  <c r="J49" i="4" s="1"/>
  <c r="M72" i="7"/>
  <c r="J48" i="4" s="1"/>
  <c r="M71" i="7"/>
  <c r="J47" i="4" s="1"/>
  <c r="M70" i="7"/>
  <c r="J46" i="4" s="1"/>
  <c r="M69" i="7"/>
  <c r="J45" i="4" s="1"/>
  <c r="M68" i="7"/>
  <c r="J44" i="4" s="1"/>
  <c r="M67" i="7"/>
  <c r="J43" i="4" s="1"/>
  <c r="M65" i="7"/>
  <c r="M64" i="7"/>
  <c r="I49" i="4" s="1"/>
  <c r="M63" i="7"/>
  <c r="I48" i="4" s="1"/>
  <c r="M62" i="7"/>
  <c r="I47" i="4" s="1"/>
  <c r="M61" i="7"/>
  <c r="M60" i="7"/>
  <c r="M59" i="7"/>
  <c r="I44" i="4" s="1"/>
  <c r="M58" i="7"/>
  <c r="M56" i="7"/>
  <c r="M55" i="7"/>
  <c r="H49" i="4" s="1"/>
  <c r="M54" i="7"/>
  <c r="H48" i="4" s="1"/>
  <c r="M53" i="7"/>
  <c r="H47" i="4" s="1"/>
  <c r="M52" i="7"/>
  <c r="H46" i="4" s="1"/>
  <c r="M51" i="7"/>
  <c r="H45" i="4" s="1"/>
  <c r="M50" i="7"/>
  <c r="H44" i="4" s="1"/>
  <c r="M49" i="7"/>
  <c r="M47" i="7"/>
  <c r="M46" i="7"/>
  <c r="G49" i="4" s="1"/>
  <c r="M45" i="7"/>
  <c r="G48" i="4" s="1"/>
  <c r="M44" i="7"/>
  <c r="G47" i="4" s="1"/>
  <c r="M43" i="7"/>
  <c r="G46" i="4" s="1"/>
  <c r="M42" i="7"/>
  <c r="G45" i="4" s="1"/>
  <c r="M41" i="7"/>
  <c r="G44" i="4" s="1"/>
  <c r="M40" i="7"/>
  <c r="G43" i="4" s="1"/>
  <c r="M38" i="7"/>
  <c r="M37" i="7"/>
  <c r="M36" i="7"/>
  <c r="F48" i="4" s="1"/>
  <c r="M35" i="7"/>
  <c r="F47" i="4" s="1"/>
  <c r="M34" i="7"/>
  <c r="F46" i="4" s="1"/>
  <c r="M33" i="7"/>
  <c r="F45" i="4" s="1"/>
  <c r="M32" i="7"/>
  <c r="F44" i="4" s="1"/>
  <c r="M31" i="7"/>
  <c r="M29" i="7"/>
  <c r="M28" i="7"/>
  <c r="E49" i="4" s="1"/>
  <c r="M27" i="7"/>
  <c r="E48" i="4" s="1"/>
  <c r="M26" i="7"/>
  <c r="E47" i="4" s="1"/>
  <c r="M25" i="7"/>
  <c r="E46" i="4" s="1"/>
  <c r="M24" i="7"/>
  <c r="E45" i="4" s="1"/>
  <c r="M23" i="7"/>
  <c r="E44" i="4" s="1"/>
  <c r="M22" i="7"/>
  <c r="M20" i="7"/>
  <c r="M19" i="7"/>
  <c r="D49" i="4" s="1"/>
  <c r="M18" i="7"/>
  <c r="D48" i="4" s="1"/>
  <c r="M17" i="7"/>
  <c r="D47" i="4" s="1"/>
  <c r="M16" i="7"/>
  <c r="M15" i="7"/>
  <c r="D45" i="4" s="1"/>
  <c r="M14" i="7"/>
  <c r="D44" i="4" s="1"/>
  <c r="M13" i="7"/>
  <c r="M11" i="7"/>
  <c r="D9" i="6"/>
  <c r="D8" i="6"/>
  <c r="D6" i="6"/>
  <c r="E18" i="6" s="1"/>
  <c r="D4" i="6"/>
  <c r="D3" i="6"/>
  <c r="P68" i="4"/>
  <c r="N51" i="4" l="1"/>
  <c r="E40" i="6"/>
  <c r="E41" i="6"/>
  <c r="E38" i="6"/>
  <c r="E36" i="6"/>
  <c r="E37" i="6"/>
  <c r="E35" i="6"/>
  <c r="E24" i="6"/>
  <c r="E25" i="6"/>
  <c r="E22" i="6"/>
  <c r="E23" i="6"/>
  <c r="E21" i="6"/>
  <c r="E20" i="6"/>
  <c r="E19" i="6"/>
  <c r="E14" i="6"/>
  <c r="E17" i="6"/>
  <c r="E15" i="6"/>
  <c r="E16" i="6"/>
  <c r="J52" i="3"/>
  <c r="K52" i="3" s="1"/>
  <c r="M12" i="7"/>
  <c r="D43" i="4"/>
  <c r="M21" i="7"/>
  <c r="M39" i="7"/>
  <c r="M48" i="7"/>
  <c r="M66" i="7"/>
  <c r="M75" i="7"/>
  <c r="M84" i="7"/>
  <c r="M93" i="7"/>
  <c r="M102" i="7"/>
  <c r="L72" i="46" s="1"/>
  <c r="E43" i="4"/>
  <c r="E51" i="4" s="1"/>
  <c r="H43" i="4"/>
  <c r="H51" i="4" s="1"/>
  <c r="K43" i="4"/>
  <c r="K51" i="4" s="1"/>
  <c r="M43" i="4"/>
  <c r="M51" i="4" s="1"/>
  <c r="I46" i="4"/>
  <c r="I45" i="4"/>
  <c r="M119" i="7"/>
  <c r="M120" i="7" s="1"/>
  <c r="M57" i="7"/>
  <c r="N65" i="7" s="1"/>
  <c r="I43" i="4"/>
  <c r="L51" i="4"/>
  <c r="J51" i="4"/>
  <c r="M30" i="7"/>
  <c r="N38" i="7" s="1"/>
  <c r="F49" i="4"/>
  <c r="F43" i="4"/>
  <c r="G51" i="4"/>
  <c r="S45" i="24"/>
  <c r="D46" i="4"/>
  <c r="F44" i="31" l="1"/>
  <c r="N37" i="7"/>
  <c r="N35" i="7"/>
  <c r="N32" i="7"/>
  <c r="N31" i="7"/>
  <c r="D51" i="4"/>
  <c r="F51" i="4"/>
  <c r="N101" i="7"/>
  <c r="N99" i="7"/>
  <c r="N97" i="7"/>
  <c r="N95" i="7"/>
  <c r="N100" i="7"/>
  <c r="N98" i="7"/>
  <c r="N96" i="7"/>
  <c r="N94" i="7"/>
  <c r="N83" i="7"/>
  <c r="N81" i="7"/>
  <c r="N79" i="7"/>
  <c r="N77" i="7"/>
  <c r="N80" i="7"/>
  <c r="N76" i="7"/>
  <c r="N82" i="7"/>
  <c r="N78" i="7"/>
  <c r="N56" i="7"/>
  <c r="N54" i="7"/>
  <c r="N52" i="7"/>
  <c r="N50" i="7"/>
  <c r="N53" i="7"/>
  <c r="N49" i="7"/>
  <c r="N55" i="7"/>
  <c r="N51" i="7"/>
  <c r="N29" i="7"/>
  <c r="N27" i="7"/>
  <c r="N25" i="7"/>
  <c r="N23" i="7"/>
  <c r="N26" i="7"/>
  <c r="N22" i="7"/>
  <c r="N28" i="7"/>
  <c r="N24" i="7"/>
  <c r="N20" i="7"/>
  <c r="N18" i="7"/>
  <c r="N16" i="7"/>
  <c r="N14" i="7"/>
  <c r="N17" i="7"/>
  <c r="N13" i="7"/>
  <c r="N19" i="7"/>
  <c r="N15" i="7"/>
  <c r="N34" i="7"/>
  <c r="N33" i="7"/>
  <c r="N36" i="7"/>
  <c r="I51" i="4"/>
  <c r="N110" i="7"/>
  <c r="N108" i="7"/>
  <c r="N106" i="7"/>
  <c r="N104" i="7"/>
  <c r="N109" i="7"/>
  <c r="N107" i="7"/>
  <c r="N105" i="7"/>
  <c r="N103" i="7"/>
  <c r="N92" i="7"/>
  <c r="N90" i="7"/>
  <c r="N88" i="7"/>
  <c r="N86" i="7"/>
  <c r="N89" i="7"/>
  <c r="N85" i="7"/>
  <c r="N91" i="7"/>
  <c r="N87" i="7"/>
  <c r="N74" i="7"/>
  <c r="N72" i="7"/>
  <c r="N70" i="7"/>
  <c r="N68" i="7"/>
  <c r="N71" i="7"/>
  <c r="N67" i="7"/>
  <c r="N73" i="7"/>
  <c r="N69" i="7"/>
  <c r="N47" i="7"/>
  <c r="N45" i="7"/>
  <c r="N43" i="7"/>
  <c r="N41" i="7"/>
  <c r="N44" i="7"/>
  <c r="N40" i="7"/>
  <c r="N46" i="7"/>
  <c r="N42" i="7"/>
  <c r="N59" i="7"/>
  <c r="N64" i="7"/>
  <c r="N63" i="7"/>
  <c r="N60" i="7"/>
  <c r="N61" i="7"/>
  <c r="N62" i="7"/>
  <c r="N58" i="7"/>
  <c r="B43" i="31" l="1"/>
  <c r="C75" i="4"/>
  <c r="R28" i="24" l="1"/>
  <c r="R29" i="24"/>
  <c r="R7" i="24"/>
  <c r="R5" i="24"/>
  <c r="H6" i="24"/>
  <c r="R6" i="24" s="1"/>
  <c r="H3" i="24"/>
  <c r="H16" i="24"/>
  <c r="R16" i="24" s="1"/>
  <c r="H15" i="24"/>
  <c r="R15" i="24" s="1"/>
  <c r="H14" i="24"/>
  <c r="R14" i="24" s="1"/>
  <c r="H13" i="24"/>
  <c r="R13" i="24" s="1"/>
  <c r="H12" i="24"/>
  <c r="R12" i="24" s="1"/>
  <c r="H11" i="24"/>
  <c r="R11" i="24" s="1"/>
  <c r="H10" i="24"/>
  <c r="R10" i="24" s="1"/>
  <c r="H9" i="24"/>
  <c r="R9" i="24" s="1"/>
  <c r="H22" i="24"/>
  <c r="R22" i="24" s="1"/>
  <c r="H23" i="24"/>
  <c r="R23" i="24" s="1"/>
  <c r="H21" i="24"/>
  <c r="R21" i="24" s="1"/>
  <c r="H20" i="24"/>
  <c r="R20" i="24" s="1"/>
  <c r="H19" i="24"/>
  <c r="R19" i="24" s="1"/>
  <c r="H37" i="24"/>
  <c r="R37" i="24" s="1"/>
  <c r="H38" i="24"/>
  <c r="R38" i="24" s="1"/>
  <c r="H39" i="24"/>
  <c r="R39" i="24" s="1"/>
  <c r="H40" i="24"/>
  <c r="R40" i="24" s="1"/>
  <c r="H41" i="24"/>
  <c r="R41" i="24" s="1"/>
  <c r="H42" i="24"/>
  <c r="R42" i="24" s="1"/>
  <c r="H43" i="24"/>
  <c r="R43" i="24" s="1"/>
  <c r="H44" i="24"/>
  <c r="R44" i="24" s="1"/>
  <c r="H33" i="24"/>
  <c r="R33" i="24" s="1"/>
  <c r="H34" i="24"/>
  <c r="R34" i="24" s="1"/>
  <c r="H35" i="24"/>
  <c r="R35" i="24" s="1"/>
  <c r="H36" i="24"/>
  <c r="R36" i="24" s="1"/>
  <c r="H32" i="24"/>
  <c r="R32" i="24" s="1"/>
  <c r="H48" i="24"/>
  <c r="R48" i="24" s="1"/>
  <c r="H49" i="24"/>
  <c r="R49" i="24" s="1"/>
  <c r="H50" i="24"/>
  <c r="R50" i="24" s="1"/>
  <c r="H51" i="24"/>
  <c r="R51" i="24" s="1"/>
  <c r="H52" i="24"/>
  <c r="R52" i="24" s="1"/>
  <c r="H47" i="24"/>
  <c r="R47" i="24" s="1"/>
  <c r="E51" i="3"/>
  <c r="I44" i="24" s="1"/>
  <c r="D57" i="3"/>
  <c r="D58" i="3"/>
  <c r="D59" i="3"/>
  <c r="D60" i="3"/>
  <c r="D61" i="3"/>
  <c r="D56" i="3"/>
  <c r="I47" i="24" s="1"/>
  <c r="N3" i="6"/>
  <c r="O3" i="6" s="1"/>
  <c r="N4" i="6"/>
  <c r="O4" i="6" s="1"/>
  <c r="N5" i="6"/>
  <c r="O5" i="6" s="1"/>
  <c r="N6" i="6"/>
  <c r="O6" i="6" s="1"/>
  <c r="N7" i="6"/>
  <c r="O7" i="6" s="1"/>
  <c r="N8" i="6"/>
  <c r="O8" i="6" s="1"/>
  <c r="N9" i="6"/>
  <c r="O9" i="6" s="1"/>
  <c r="N10" i="6"/>
  <c r="O10" i="6" s="1"/>
  <c r="N2" i="6"/>
  <c r="O2" i="6" s="1"/>
  <c r="G13" i="3"/>
  <c r="P48" i="24"/>
  <c r="F48" i="24" s="1"/>
  <c r="P37" i="24"/>
  <c r="P27" i="24"/>
  <c r="F27" i="24" s="1"/>
  <c r="P11" i="24"/>
  <c r="F11" i="24" s="1"/>
  <c r="P20" i="24"/>
  <c r="F20" i="24" s="1"/>
  <c r="H27" i="24"/>
  <c r="R27" i="24" s="1"/>
  <c r="I35" i="24"/>
  <c r="A1" i="1"/>
  <c r="X2" i="1"/>
  <c r="G16" i="3"/>
  <c r="H16" i="3" s="1"/>
  <c r="I12" i="24" s="1"/>
  <c r="G14" i="3"/>
  <c r="H14" i="3" s="1"/>
  <c r="I10" i="24" s="1"/>
  <c r="E41" i="3"/>
  <c r="K41" i="3" s="1"/>
  <c r="H4" i="24" l="1"/>
  <c r="R4" i="24" s="1"/>
  <c r="I34" i="24"/>
  <c r="D43" i="6" l="1"/>
  <c r="A12" i="6" s="1"/>
  <c r="A2" i="6" s="1"/>
  <c r="F43" i="6"/>
  <c r="F12" i="6" s="1"/>
  <c r="G43" i="6"/>
  <c r="G12" i="6" s="1"/>
  <c r="H43" i="6"/>
  <c r="H12" i="6" s="1"/>
  <c r="I43" i="6"/>
  <c r="I12" i="6" s="1"/>
  <c r="J43" i="6"/>
  <c r="J12" i="6" s="1"/>
  <c r="K43" i="6"/>
  <c r="K12" i="6" s="1"/>
  <c r="E42" i="6"/>
  <c r="E39" i="6"/>
  <c r="E34" i="6"/>
  <c r="E33" i="6"/>
  <c r="E32" i="6"/>
  <c r="E31" i="6"/>
  <c r="E30" i="6"/>
  <c r="E29" i="6"/>
  <c r="E28" i="6"/>
  <c r="E27" i="6"/>
  <c r="E26" i="6"/>
  <c r="L30" i="7"/>
  <c r="L3" i="7"/>
  <c r="A7" i="6" l="1"/>
  <c r="A5" i="6"/>
  <c r="A4" i="6"/>
  <c r="A10" i="6"/>
  <c r="A3" i="6"/>
  <c r="A6" i="6"/>
  <c r="A8" i="6"/>
  <c r="A9" i="6"/>
  <c r="L43" i="6"/>
  <c r="L21" i="7"/>
  <c r="L12" i="7"/>
  <c r="L12" i="6" l="1"/>
  <c r="L39" i="7"/>
  <c r="L48" i="7" l="1"/>
  <c r="L57" i="7" l="1"/>
  <c r="L66" i="7" l="1"/>
  <c r="L75" i="7" l="1"/>
  <c r="L84" i="7" l="1"/>
  <c r="L102" i="7" l="1"/>
  <c r="L93" i="7"/>
  <c r="P65" i="4" l="1"/>
  <c r="P66" i="4"/>
  <c r="P67" i="4"/>
  <c r="P69" i="4"/>
  <c r="P70" i="4"/>
  <c r="P71" i="4"/>
  <c r="N75" i="4"/>
  <c r="N77" i="4" s="1"/>
  <c r="N110" i="4" s="1"/>
  <c r="M75" i="4"/>
  <c r="M77" i="4" s="1"/>
  <c r="M110" i="4" s="1"/>
  <c r="L75" i="4"/>
  <c r="L77" i="4" s="1"/>
  <c r="L110" i="4" s="1"/>
  <c r="J75" i="4"/>
  <c r="J77" i="4" s="1"/>
  <c r="J110" i="4" s="1"/>
  <c r="H75" i="4"/>
  <c r="H77" i="4" s="1"/>
  <c r="H110" i="4" s="1"/>
  <c r="G75" i="4"/>
  <c r="G77" i="4" s="1"/>
  <c r="G110" i="4" s="1"/>
  <c r="F75" i="4"/>
  <c r="F77" i="4" s="1"/>
  <c r="F110" i="4" s="1"/>
  <c r="E75" i="4"/>
  <c r="E77" i="4" s="1"/>
  <c r="E110" i="4" s="1"/>
  <c r="D75" i="4"/>
  <c r="P74" i="4"/>
  <c r="P73" i="4"/>
  <c r="P72" i="4"/>
  <c r="P57" i="4"/>
  <c r="P56" i="4"/>
  <c r="P50" i="4"/>
  <c r="P53" i="4"/>
  <c r="J34" i="3" s="1"/>
  <c r="E34" i="3"/>
  <c r="E33" i="3"/>
  <c r="I27" i="24" s="1"/>
  <c r="E35" i="3"/>
  <c r="K35" i="3" s="1"/>
  <c r="S44" i="24" l="1"/>
  <c r="J51" i="3"/>
  <c r="K51" i="3" s="1"/>
  <c r="D77" i="4"/>
  <c r="D110" i="4" s="1"/>
  <c r="Q68" i="4"/>
  <c r="Q50" i="4"/>
  <c r="J56" i="3"/>
  <c r="K56" i="3" s="1"/>
  <c r="J60" i="3"/>
  <c r="J61" i="3"/>
  <c r="J59" i="3"/>
  <c r="J58" i="3"/>
  <c r="I29" i="24"/>
  <c r="J57" i="3"/>
  <c r="S43" i="24"/>
  <c r="S40" i="24"/>
  <c r="J47" i="3"/>
  <c r="S42" i="24"/>
  <c r="J49" i="3"/>
  <c r="S41" i="24"/>
  <c r="J48" i="3"/>
  <c r="S39" i="24"/>
  <c r="J46" i="3"/>
  <c r="S38" i="24"/>
  <c r="J45" i="3"/>
  <c r="J42" i="3"/>
  <c r="K42" i="3" s="1"/>
  <c r="J43" i="3"/>
  <c r="J44" i="3"/>
  <c r="S37" i="24"/>
  <c r="S36" i="24"/>
  <c r="S35" i="24"/>
  <c r="J41" i="3"/>
  <c r="S34" i="24"/>
  <c r="S51" i="24"/>
  <c r="S52" i="24"/>
  <c r="S50" i="24"/>
  <c r="J39" i="3"/>
  <c r="S32" i="24"/>
  <c r="S48" i="24"/>
  <c r="S47" i="24"/>
  <c r="Q74" i="4"/>
  <c r="S49" i="24"/>
  <c r="J40" i="3"/>
  <c r="S33" i="24"/>
  <c r="K34" i="3"/>
  <c r="I28" i="24"/>
  <c r="P39" i="24" l="1"/>
  <c r="T45" i="24" s="1"/>
  <c r="P50" i="24"/>
  <c r="T48" i="24" s="1"/>
  <c r="J53" i="3"/>
  <c r="J69" i="3" s="1"/>
  <c r="J62" i="3"/>
  <c r="E50" i="3"/>
  <c r="E49" i="3"/>
  <c r="E48" i="3"/>
  <c r="E43" i="3"/>
  <c r="I36" i="24" s="1"/>
  <c r="E44" i="3"/>
  <c r="E45" i="3"/>
  <c r="E46" i="3"/>
  <c r="E47" i="3"/>
  <c r="E40" i="3"/>
  <c r="E39" i="3"/>
  <c r="B70" i="3"/>
  <c r="G70" i="3" s="1"/>
  <c r="B69" i="3"/>
  <c r="G69" i="3" s="1"/>
  <c r="B68" i="3"/>
  <c r="G68" i="3" s="1"/>
  <c r="B67" i="3"/>
  <c r="G67" i="3" s="1"/>
  <c r="B66" i="3"/>
  <c r="G66" i="3" s="1"/>
  <c r="G72" i="3"/>
  <c r="G71" i="3"/>
  <c r="I3" i="24"/>
  <c r="J70" i="3" l="1"/>
  <c r="E53" i="3"/>
  <c r="H54" i="3" s="1"/>
  <c r="G54" i="3" s="1"/>
  <c r="T42" i="24"/>
  <c r="T40" i="24"/>
  <c r="T34" i="24"/>
  <c r="T38" i="24"/>
  <c r="T35" i="24"/>
  <c r="T36" i="24"/>
  <c r="T32" i="24"/>
  <c r="T39" i="24"/>
  <c r="T37" i="24"/>
  <c r="T33" i="24"/>
  <c r="T43" i="24"/>
  <c r="T41" i="24"/>
  <c r="T44" i="24"/>
  <c r="T52" i="24"/>
  <c r="T50" i="24"/>
  <c r="T49" i="24"/>
  <c r="T47" i="24"/>
  <c r="T51" i="24"/>
  <c r="K49" i="3"/>
  <c r="I42" i="24"/>
  <c r="K48" i="3"/>
  <c r="I41" i="24"/>
  <c r="K47" i="3"/>
  <c r="I40" i="24"/>
  <c r="K40" i="3"/>
  <c r="I33" i="24"/>
  <c r="K44" i="3"/>
  <c r="I37" i="24"/>
  <c r="K50" i="3"/>
  <c r="I43" i="24"/>
  <c r="K39" i="3"/>
  <c r="I32" i="24"/>
  <c r="K45" i="3"/>
  <c r="I38" i="24"/>
  <c r="K46" i="3"/>
  <c r="I39" i="24"/>
  <c r="K43" i="3"/>
  <c r="G27" i="3"/>
  <c r="H27" i="3" s="1"/>
  <c r="G26" i="3"/>
  <c r="H26" i="3" s="1"/>
  <c r="G29" i="3"/>
  <c r="H29" i="3" s="1"/>
  <c r="G28" i="3"/>
  <c r="H28" i="3" s="1"/>
  <c r="G25" i="3"/>
  <c r="H25" i="3" s="1"/>
  <c r="G20" i="3"/>
  <c r="H20" i="3" s="1"/>
  <c r="G19" i="3"/>
  <c r="H19" i="3" s="1"/>
  <c r="H13" i="3"/>
  <c r="G18" i="3"/>
  <c r="H18" i="3" s="1"/>
  <c r="G17" i="3"/>
  <c r="H17" i="3" s="1"/>
  <c r="G15" i="3"/>
  <c r="H15" i="3" s="1"/>
  <c r="I13" i="4"/>
  <c r="L13" i="4"/>
  <c r="P28" i="4"/>
  <c r="B111" i="4"/>
  <c r="B110" i="4"/>
  <c r="B109" i="4"/>
  <c r="N40" i="4"/>
  <c r="M40" i="4"/>
  <c r="L40" i="4"/>
  <c r="K40" i="4"/>
  <c r="J40" i="4"/>
  <c r="I40" i="4"/>
  <c r="H40" i="4"/>
  <c r="G40" i="4"/>
  <c r="F40" i="4"/>
  <c r="E40" i="4"/>
  <c r="C40" i="4"/>
  <c r="P39" i="4"/>
  <c r="P38" i="4"/>
  <c r="P37" i="4"/>
  <c r="P36" i="4"/>
  <c r="P35" i="4"/>
  <c r="P34" i="4"/>
  <c r="P33" i="4"/>
  <c r="P32" i="4"/>
  <c r="P31" i="4"/>
  <c r="P30" i="4"/>
  <c r="P29" i="4"/>
  <c r="N26" i="4"/>
  <c r="M26" i="4"/>
  <c r="L26" i="4"/>
  <c r="K26" i="4"/>
  <c r="J26" i="4"/>
  <c r="H26" i="4"/>
  <c r="G26" i="4"/>
  <c r="F26" i="4"/>
  <c r="E26" i="4"/>
  <c r="D26" i="4"/>
  <c r="C26" i="4"/>
  <c r="P25" i="4"/>
  <c r="P23" i="4"/>
  <c r="P22" i="4"/>
  <c r="P21" i="4"/>
  <c r="P20" i="4"/>
  <c r="P19" i="4"/>
  <c r="P18" i="4"/>
  <c r="P17" i="4"/>
  <c r="P16" i="4"/>
  <c r="P15" i="4"/>
  <c r="P14" i="4"/>
  <c r="N13" i="4"/>
  <c r="M13" i="4"/>
  <c r="K13" i="4"/>
  <c r="J13" i="4"/>
  <c r="H13" i="4"/>
  <c r="G13" i="4"/>
  <c r="F13" i="4"/>
  <c r="E13" i="4"/>
  <c r="D13" i="4"/>
  <c r="P11" i="4"/>
  <c r="P10" i="4"/>
  <c r="P9" i="4"/>
  <c r="P8" i="4"/>
  <c r="P7" i="4"/>
  <c r="P6" i="4"/>
  <c r="P4" i="4"/>
  <c r="P3" i="4"/>
  <c r="E36" i="3"/>
  <c r="Q1" i="1"/>
  <c r="G41" i="4" l="1"/>
  <c r="G109" i="4" s="1"/>
  <c r="F41" i="4"/>
  <c r="F109" i="4" s="1"/>
  <c r="N41" i="4"/>
  <c r="N109" i="4" s="1"/>
  <c r="H41" i="4"/>
  <c r="H109" i="4" s="1"/>
  <c r="I41" i="4"/>
  <c r="I109" i="4" s="1"/>
  <c r="J41" i="4"/>
  <c r="J109" i="4" s="1"/>
  <c r="K41" i="4"/>
  <c r="K109" i="4" s="1"/>
  <c r="L41" i="4"/>
  <c r="L109" i="4" s="1"/>
  <c r="E41" i="4"/>
  <c r="E109" i="4" s="1"/>
  <c r="M41" i="4"/>
  <c r="M109" i="4" s="1"/>
  <c r="I5" i="24"/>
  <c r="S6" i="24"/>
  <c r="I22" i="24"/>
  <c r="C8" i="6"/>
  <c r="I19" i="24"/>
  <c r="C4" i="6"/>
  <c r="K4" i="6" s="1"/>
  <c r="I23" i="24"/>
  <c r="C9" i="6"/>
  <c r="I21" i="24"/>
  <c r="C3" i="6"/>
  <c r="I20" i="24"/>
  <c r="C6" i="6"/>
  <c r="I14" i="24"/>
  <c r="I13" i="24"/>
  <c r="I11" i="24"/>
  <c r="I16" i="24"/>
  <c r="I15" i="24"/>
  <c r="F39" i="24"/>
  <c r="C69" i="3"/>
  <c r="K69" i="3" s="1"/>
  <c r="K61" i="3"/>
  <c r="I52" i="24"/>
  <c r="K58" i="3"/>
  <c r="I49" i="24"/>
  <c r="K60" i="3"/>
  <c r="I51" i="24"/>
  <c r="K57" i="3"/>
  <c r="I48" i="24"/>
  <c r="D62" i="3"/>
  <c r="K59" i="3"/>
  <c r="I50" i="24"/>
  <c r="I9" i="24"/>
  <c r="I4" i="24"/>
  <c r="F29" i="24"/>
  <c r="J8" i="3"/>
  <c r="K8" i="3" s="1"/>
  <c r="K53" i="3"/>
  <c r="C68" i="3"/>
  <c r="H30" i="3"/>
  <c r="P5" i="4"/>
  <c r="H21" i="3"/>
  <c r="C13" i="4"/>
  <c r="P12" i="4"/>
  <c r="Q40" i="4"/>
  <c r="Q26" i="4"/>
  <c r="F50" i="24" l="1"/>
  <c r="J52" i="24" s="1"/>
  <c r="H63" i="3"/>
  <c r="G63" i="3" s="1"/>
  <c r="F13" i="24"/>
  <c r="J11" i="24" s="1"/>
  <c r="Q13" i="4"/>
  <c r="J5" i="3" s="1"/>
  <c r="C10" i="6"/>
  <c r="C41" i="4"/>
  <c r="C109" i="4" s="1"/>
  <c r="J38" i="24"/>
  <c r="J45" i="24"/>
  <c r="AD4" i="24"/>
  <c r="S4" i="24"/>
  <c r="J6" i="3"/>
  <c r="K6" i="3" s="1"/>
  <c r="F23" i="24"/>
  <c r="J23" i="24" s="1"/>
  <c r="C67" i="3"/>
  <c r="J51" i="24"/>
  <c r="J49" i="24"/>
  <c r="J50" i="24"/>
  <c r="J48" i="24"/>
  <c r="J47" i="24"/>
  <c r="J10" i="24"/>
  <c r="J9" i="24"/>
  <c r="J32" i="24"/>
  <c r="J44" i="24"/>
  <c r="J33" i="24"/>
  <c r="P40" i="24"/>
  <c r="J41" i="24"/>
  <c r="J34" i="24"/>
  <c r="J40" i="24"/>
  <c r="J42" i="24"/>
  <c r="J39" i="24"/>
  <c r="J36" i="24"/>
  <c r="J35" i="24"/>
  <c r="J43" i="24"/>
  <c r="J37" i="24"/>
  <c r="J27" i="24"/>
  <c r="J28" i="24"/>
  <c r="J29" i="24"/>
  <c r="J7" i="3"/>
  <c r="K7" i="3" s="1"/>
  <c r="S5" i="24"/>
  <c r="J8" i="6"/>
  <c r="G8" i="6"/>
  <c r="I8" i="6"/>
  <c r="K8" i="6"/>
  <c r="H8" i="6"/>
  <c r="F8" i="6"/>
  <c r="H6" i="6"/>
  <c r="J6" i="6"/>
  <c r="F6" i="6"/>
  <c r="G6" i="6"/>
  <c r="I6" i="6"/>
  <c r="K6" i="6"/>
  <c r="K3" i="6"/>
  <c r="G3" i="6"/>
  <c r="H3" i="6"/>
  <c r="J3" i="6"/>
  <c r="F3" i="6"/>
  <c r="I3" i="6"/>
  <c r="G9" i="6"/>
  <c r="I9" i="6"/>
  <c r="H9" i="6"/>
  <c r="J9" i="6"/>
  <c r="F9" i="6"/>
  <c r="K9" i="6"/>
  <c r="G4" i="6"/>
  <c r="I4" i="6"/>
  <c r="J4" i="6"/>
  <c r="F4" i="6"/>
  <c r="H4" i="6"/>
  <c r="C66" i="3"/>
  <c r="C70" i="3"/>
  <c r="K70" i="3" s="1"/>
  <c r="K62" i="3"/>
  <c r="M1" i="1"/>
  <c r="Y15" i="24" s="1"/>
  <c r="I1" i="1"/>
  <c r="Y11" i="24" s="1"/>
  <c r="Y3" i="1"/>
  <c r="O45" i="1"/>
  <c r="Y8" i="1" s="1"/>
  <c r="O46" i="1"/>
  <c r="O42" i="1"/>
  <c r="O43" i="1"/>
  <c r="Y6" i="1" s="1"/>
  <c r="O44" i="1"/>
  <c r="N80" i="4"/>
  <c r="J80" i="4"/>
  <c r="E80" i="4"/>
  <c r="E111" i="4" s="1"/>
  <c r="M80" i="4"/>
  <c r="L80" i="4"/>
  <c r="F80" i="4"/>
  <c r="F111" i="4" s="1"/>
  <c r="G80" i="4"/>
  <c r="H80" i="4"/>
  <c r="K10" i="6" l="1"/>
  <c r="J13" i="24"/>
  <c r="P51" i="24"/>
  <c r="J16" i="24"/>
  <c r="J15" i="24"/>
  <c r="J12" i="24"/>
  <c r="Y5" i="1"/>
  <c r="J111" i="4"/>
  <c r="L111" i="4"/>
  <c r="N111" i="4"/>
  <c r="M111" i="4"/>
  <c r="G111" i="4"/>
  <c r="H111" i="4"/>
  <c r="J14" i="24"/>
  <c r="S3" i="24"/>
  <c r="Y7" i="1"/>
  <c r="J9" i="3"/>
  <c r="J72" i="3" s="1"/>
  <c r="K2" i="3" s="1"/>
  <c r="AJ3" i="24"/>
  <c r="D5" i="24"/>
  <c r="G10" i="6"/>
  <c r="Y19" i="24" s="1"/>
  <c r="J10" i="6"/>
  <c r="Y22" i="24" s="1"/>
  <c r="H10" i="6"/>
  <c r="Y20" i="24" s="1"/>
  <c r="I10" i="6"/>
  <c r="Y21" i="24" s="1"/>
  <c r="F10" i="6"/>
  <c r="Y18" i="24" s="1"/>
  <c r="C72" i="3"/>
  <c r="J2" i="3" s="1"/>
  <c r="J22" i="24"/>
  <c r="J21" i="24"/>
  <c r="J20" i="24"/>
  <c r="J19" i="24"/>
  <c r="K5" i="3"/>
  <c r="L4" i="6"/>
  <c r="L9" i="6"/>
  <c r="L6" i="6"/>
  <c r="L3" i="6"/>
  <c r="L8" i="6"/>
  <c r="L10" i="6"/>
  <c r="C71" i="3"/>
  <c r="J1" i="3" s="1"/>
  <c r="N1" i="1"/>
  <c r="Y16" i="24" s="1"/>
  <c r="H1" i="1"/>
  <c r="Y10" i="24" s="1"/>
  <c r="K1" i="1"/>
  <c r="Y13" i="24" s="1"/>
  <c r="G1" i="1"/>
  <c r="Y9" i="24" s="1"/>
  <c r="L1" i="1"/>
  <c r="Y14" i="24" s="1"/>
  <c r="J1" i="1"/>
  <c r="Y12" i="24" s="1"/>
  <c r="F1" i="1"/>
  <c r="Y8" i="24" s="1"/>
  <c r="Y23" i="24" l="1"/>
  <c r="V22" i="24" s="1"/>
  <c r="K11" i="6"/>
  <c r="L2" i="3"/>
  <c r="Y11" i="1"/>
  <c r="V13" i="24"/>
  <c r="K72" i="3"/>
  <c r="J6" i="24"/>
  <c r="J4" i="24"/>
  <c r="J5" i="24"/>
  <c r="J3" i="24"/>
  <c r="S16" i="24"/>
  <c r="S20" i="24"/>
  <c r="S23" i="24"/>
  <c r="S22" i="24"/>
  <c r="S21" i="24"/>
  <c r="D72" i="3"/>
  <c r="D66" i="3"/>
  <c r="D68" i="3"/>
  <c r="D67" i="3"/>
  <c r="D70" i="3"/>
  <c r="D69" i="3"/>
  <c r="D22" i="24"/>
  <c r="AD12" i="24" s="1"/>
  <c r="AM3" i="24" s="1"/>
  <c r="S19" i="24"/>
  <c r="J20" i="3"/>
  <c r="K20" i="3" s="1"/>
  <c r="J29" i="3"/>
  <c r="K29" i="3" s="1"/>
  <c r="B9" i="6"/>
  <c r="J27" i="3"/>
  <c r="K27" i="3" s="1"/>
  <c r="B3" i="6"/>
  <c r="J26" i="3"/>
  <c r="K26" i="3" s="1"/>
  <c r="B6" i="6"/>
  <c r="J28" i="3"/>
  <c r="K28" i="3" s="1"/>
  <c r="B8" i="6"/>
  <c r="J25" i="3"/>
  <c r="B4" i="6"/>
  <c r="O1" i="1"/>
  <c r="P22" i="24" l="1"/>
  <c r="S13" i="24"/>
  <c r="Z13" i="24"/>
  <c r="J18" i="3"/>
  <c r="K18" i="3" s="1"/>
  <c r="S14" i="24"/>
  <c r="S10" i="24"/>
  <c r="S15" i="24"/>
  <c r="S12" i="24"/>
  <c r="S9" i="24"/>
  <c r="S11" i="24"/>
  <c r="J19" i="3"/>
  <c r="K19" i="3" s="1"/>
  <c r="J16" i="3"/>
  <c r="K16" i="3" s="1"/>
  <c r="J14" i="3"/>
  <c r="K14" i="3" s="1"/>
  <c r="D71" i="3"/>
  <c r="D13" i="24"/>
  <c r="F51" i="24"/>
  <c r="F40" i="24"/>
  <c r="F30" i="24"/>
  <c r="F24" i="24"/>
  <c r="F14" i="24"/>
  <c r="J13" i="3"/>
  <c r="K13" i="3" s="1"/>
  <c r="D6" i="24"/>
  <c r="K25" i="3"/>
  <c r="J30" i="3"/>
  <c r="H31" i="3" s="1"/>
  <c r="G31" i="3" s="1"/>
  <c r="J17" i="3"/>
  <c r="J15" i="3"/>
  <c r="P13" i="24" l="1"/>
  <c r="D14" i="24"/>
  <c r="Z15" i="24"/>
  <c r="Z12" i="24"/>
  <c r="Z8" i="24"/>
  <c r="Z11" i="24"/>
  <c r="Z14" i="24"/>
  <c r="Z16" i="24"/>
  <c r="Z10" i="24"/>
  <c r="Z9" i="24"/>
  <c r="K15" i="3"/>
  <c r="K17" i="3"/>
  <c r="K30" i="3"/>
  <c r="J21" i="3"/>
  <c r="H22" i="3" l="1"/>
  <c r="G22" i="3" s="1"/>
  <c r="P14" i="24"/>
  <c r="T15" i="24"/>
  <c r="T12" i="24"/>
  <c r="T10" i="24"/>
  <c r="T11" i="24"/>
  <c r="T13" i="24"/>
  <c r="T9" i="24"/>
  <c r="T16" i="24"/>
  <c r="V14" i="24"/>
  <c r="T14" i="24"/>
  <c r="K21" i="3"/>
  <c r="C73" i="3" l="1"/>
  <c r="C77" i="3" l="1"/>
  <c r="B77" i="3"/>
  <c r="H6" i="3"/>
  <c r="G6" i="3" s="1"/>
  <c r="D73" i="3"/>
  <c r="B73" i="3"/>
  <c r="M8" i="7" l="1"/>
  <c r="M9" i="7"/>
  <c r="C48" i="4" s="1"/>
  <c r="P48" i="4" s="1"/>
  <c r="M7" i="7"/>
  <c r="C46" i="4" s="1"/>
  <c r="P46" i="4" s="1"/>
  <c r="M5" i="7"/>
  <c r="M6" i="7"/>
  <c r="C45" i="4" s="1"/>
  <c r="P45" i="4" s="1"/>
  <c r="M10" i="7"/>
  <c r="M4" i="7"/>
  <c r="C43" i="4" l="1"/>
  <c r="J66" i="3"/>
  <c r="K66" i="3" s="1"/>
  <c r="J67" i="3"/>
  <c r="C49" i="4"/>
  <c r="P49" i="4" s="1"/>
  <c r="C44" i="4"/>
  <c r="P44" i="4" s="1"/>
  <c r="S121" i="7"/>
  <c r="M3" i="7"/>
  <c r="C47" i="4"/>
  <c r="S120" i="7"/>
  <c r="P43" i="4"/>
  <c r="P53" i="24" l="1"/>
  <c r="K67" i="3"/>
  <c r="P47" i="4"/>
  <c r="Q49" i="4" s="1"/>
  <c r="C51" i="4"/>
  <c r="C77" i="4" s="1"/>
  <c r="Q43" i="4"/>
  <c r="N7" i="7"/>
  <c r="N5" i="7"/>
  <c r="M1" i="7"/>
  <c r="N10" i="7"/>
  <c r="M118" i="7"/>
  <c r="N9" i="7"/>
  <c r="N11" i="7"/>
  <c r="N6" i="7"/>
  <c r="N8" i="7"/>
  <c r="N4" i="7"/>
  <c r="N118" i="7" l="1"/>
  <c r="N114" i="7"/>
  <c r="N115" i="7"/>
  <c r="N116" i="7"/>
  <c r="N112" i="7"/>
  <c r="N117" i="7"/>
  <c r="N113" i="7"/>
  <c r="N111" i="7"/>
  <c r="C80" i="4"/>
  <c r="C110" i="4"/>
  <c r="Q51" i="4"/>
  <c r="N66" i="7"/>
  <c r="N75" i="7"/>
  <c r="N57" i="7"/>
  <c r="N102" i="7"/>
  <c r="N30" i="7"/>
  <c r="N84" i="7"/>
  <c r="N93" i="7"/>
  <c r="N48" i="7"/>
  <c r="N39" i="7"/>
  <c r="N12" i="7"/>
  <c r="N3" i="7"/>
  <c r="N21" i="7"/>
  <c r="Z19" i="24"/>
  <c r="Z23" i="24"/>
  <c r="Z22" i="24"/>
  <c r="Z18" i="24"/>
  <c r="P23" i="24"/>
  <c r="Z21" i="24"/>
  <c r="Z20" i="24"/>
  <c r="C111" i="4" l="1"/>
  <c r="C81" i="4"/>
  <c r="T19" i="24"/>
  <c r="T20" i="24"/>
  <c r="V23" i="24"/>
  <c r="T22" i="24"/>
  <c r="T21" i="24"/>
  <c r="T23" i="24"/>
  <c r="C82" i="4" l="1"/>
  <c r="K9" i="3" l="1"/>
  <c r="AJ1" i="24" l="1"/>
  <c r="C84" i="4" l="1"/>
  <c r="C85" i="4" s="1"/>
  <c r="BZ57" i="31"/>
  <c r="BY58" i="31" s="1"/>
  <c r="E27" i="31"/>
  <c r="E1" i="31" s="1"/>
  <c r="G1" i="31"/>
  <c r="A1" i="31" s="1"/>
  <c r="D27" i="31"/>
  <c r="B27" i="31" l="1"/>
  <c r="BY59" i="31"/>
  <c r="F27" i="31"/>
  <c r="D1" i="31"/>
  <c r="C1" i="31" l="1"/>
  <c r="B1" i="31"/>
  <c r="F1" i="31" s="1"/>
  <c r="P52" i="4"/>
  <c r="Q54" i="4" s="1"/>
  <c r="K75" i="4"/>
  <c r="K77" i="4" s="1"/>
  <c r="K110" i="4" s="1"/>
  <c r="K80" i="4" l="1"/>
  <c r="K111" i="4" s="1"/>
  <c r="S27" i="24"/>
  <c r="J33" i="3"/>
  <c r="K33" i="3" s="1"/>
  <c r="J36" i="3" l="1"/>
  <c r="J68" i="3" l="1"/>
  <c r="J71" i="3" s="1"/>
  <c r="H37" i="3"/>
  <c r="G37" i="3" s="1"/>
  <c r="K36" i="3"/>
  <c r="K68" i="3" l="1"/>
  <c r="K1" i="3"/>
  <c r="L1" i="3" s="1"/>
  <c r="K71" i="3"/>
  <c r="J73" i="3"/>
  <c r="K73" i="3" l="1"/>
  <c r="G73" i="3"/>
  <c r="P27" i="4" l="1"/>
  <c r="S7" i="24" s="1"/>
  <c r="D41" i="4"/>
  <c r="D80" i="4" s="1"/>
  <c r="D81" i="4" l="1"/>
  <c r="D111" i="4"/>
  <c r="D109" i="4"/>
  <c r="P109" i="4" s="1"/>
  <c r="Q41" i="4"/>
  <c r="R41" i="4" s="1"/>
  <c r="N5" i="24" s="1"/>
  <c r="J10" i="3"/>
  <c r="AD6" i="24" l="1"/>
  <c r="AK3" i="24" s="1"/>
  <c r="AL3" i="24" s="1"/>
  <c r="E81" i="4"/>
  <c r="J11" i="3"/>
  <c r="K10" i="3"/>
  <c r="D82" i="4"/>
  <c r="D84" i="4" s="1"/>
  <c r="D85" i="4" s="1"/>
  <c r="T3" i="24" l="1"/>
  <c r="T7" i="24"/>
  <c r="T5" i="24"/>
  <c r="T4" i="24"/>
  <c r="N6" i="24"/>
  <c r="T6" i="24"/>
  <c r="F81" i="4"/>
  <c r="E82" i="4"/>
  <c r="E84" i="4" s="1"/>
  <c r="E85" i="4" s="1"/>
  <c r="AD8" i="24"/>
  <c r="AE5" i="24"/>
  <c r="AK1" i="24" s="1"/>
  <c r="AD7" i="24"/>
  <c r="AL2" i="24" s="1"/>
  <c r="AE7" i="24" l="1"/>
  <c r="AL1" i="24" s="1"/>
  <c r="G81" i="4"/>
  <c r="F82" i="4"/>
  <c r="F84" i="4" s="1"/>
  <c r="F85" i="4" s="1"/>
  <c r="H81" i="4" l="1"/>
  <c r="G82" i="4"/>
  <c r="G84" i="4" s="1"/>
  <c r="G85" i="4" s="1"/>
  <c r="H82" i="4" l="1"/>
  <c r="H84" i="4" s="1"/>
  <c r="H85" i="4" s="1"/>
  <c r="I75" i="4"/>
  <c r="I77" i="4" s="1"/>
  <c r="I110" i="4" l="1"/>
  <c r="P110" i="4" s="1"/>
  <c r="I80" i="4"/>
  <c r="P55" i="4"/>
  <c r="P79" i="4" l="1"/>
  <c r="Q55" i="4"/>
  <c r="P80" i="4"/>
  <c r="P82" i="4" s="1"/>
  <c r="I1" i="4" s="1"/>
  <c r="I111" i="4"/>
  <c r="P111" i="4" s="1"/>
  <c r="I81" i="4"/>
  <c r="P83" i="4" l="1"/>
  <c r="J76" i="3"/>
  <c r="J77" i="3" s="1"/>
  <c r="J1" i="4"/>
  <c r="M1" i="4"/>
  <c r="N1" i="4" s="1"/>
  <c r="J81" i="4"/>
  <c r="I82" i="4"/>
  <c r="I84" i="4" s="1"/>
  <c r="I85" i="4" s="1"/>
  <c r="Q75" i="4"/>
  <c r="Q77" i="4" s="1"/>
  <c r="S30" i="24"/>
  <c r="P29" i="24" s="1"/>
  <c r="Q80" i="4" l="1"/>
  <c r="AD14" i="24"/>
  <c r="AN3" i="24" s="1"/>
  <c r="AO3" i="24" s="1"/>
  <c r="F1" i="4"/>
  <c r="P30" i="24"/>
  <c r="T29" i="24"/>
  <c r="T28" i="24"/>
  <c r="N22" i="24"/>
  <c r="T30" i="24"/>
  <c r="T27" i="24"/>
  <c r="K81" i="4"/>
  <c r="J82" i="4"/>
  <c r="J84" i="4" s="1"/>
  <c r="J85" i="4" s="1"/>
  <c r="K77" i="3"/>
  <c r="G77" i="3"/>
  <c r="L81" i="4" l="1"/>
  <c r="K82" i="4"/>
  <c r="K84" i="4" s="1"/>
  <c r="K85" i="4" s="1"/>
  <c r="AD24" i="24"/>
  <c r="AD16" i="24"/>
  <c r="AE15" i="24" s="1"/>
  <c r="AO1" i="24" s="1"/>
  <c r="AE13" i="24"/>
  <c r="AN1" i="24" s="1"/>
  <c r="AD15" i="24"/>
  <c r="AO2" i="24" s="1"/>
  <c r="AS3" i="24"/>
  <c r="N13" i="24"/>
  <c r="N14" i="24" s="1"/>
  <c r="N52" i="24"/>
  <c r="N23" i="24"/>
  <c r="AR3" i="24" l="1"/>
  <c r="AT3" i="24" s="1"/>
  <c r="AE23" i="24"/>
  <c r="AR1" i="24" s="1"/>
  <c r="AD22" i="24"/>
  <c r="M81" i="4"/>
  <c r="L82" i="4"/>
  <c r="L84" i="4" s="1"/>
  <c r="L85" i="4" s="1"/>
  <c r="N81" i="4" l="1"/>
  <c r="N82" i="4" s="1"/>
  <c r="N84" i="4" s="1"/>
  <c r="N85" i="4" s="1"/>
  <c r="M82" i="4"/>
  <c r="M84" i="4" s="1"/>
  <c r="M85" i="4" s="1"/>
  <c r="AE21" i="24"/>
  <c r="AQ1" i="24" s="1"/>
  <c r="AQ3" i="24"/>
  <c r="P8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I12" authorId="0" shapeId="0" xr:uid="{612A121B-F64B-4D80-AC05-4D7EA7504CD0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pagado en abril 2024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J5" authorId="0" shapeId="0" xr:uid="{ABB1262B-1899-4427-8AE8-9F0170D06440}">
      <text>
        <r>
          <rPr>
            <b/>
            <sz val="9"/>
            <color indexed="81"/>
            <rFont val="Tahoma"/>
            <family val="2"/>
          </rPr>
          <t>INGRESO SINDICAL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2F8B9874-019B-4FA6-BAFF-DFF9817F6AA8}">
      <text>
        <r>
          <rPr>
            <b/>
            <sz val="9"/>
            <color indexed="81"/>
            <rFont val="Tahoma"/>
            <family val="2"/>
          </rPr>
          <t>INGRESO DEMANDAS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C4" authorId="0" shapeId="0" xr:uid="{B7E10B1C-73B2-45CA-98FF-797F91DDE41E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pagado nov-dic-ene-feb-mar falta abril</t>
        </r>
      </text>
    </comment>
    <comment ref="H8" authorId="0" shapeId="0" xr:uid="{08BDA30D-FEF8-45E5-AF96-DCD7038C76A9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Paga diferencia de 700 a la fecha de agosto pero, aun no modifica cuota</t>
        </r>
      </text>
    </comment>
    <comment ref="I8" authorId="0" shapeId="0" xr:uid="{05C9312B-35A0-4FD3-84F0-DC5FACE2E329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de dif 700 completa</t>
        </r>
      </text>
    </comment>
    <comment ref="F10" authorId="0" shapeId="0" xr:uid="{1E861953-9304-4562-851B-29D6A8B65DF7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jun y jul</t>
        </r>
      </text>
    </comment>
    <comment ref="I10" authorId="0" shapeId="0" xr:uid="{756CA564-F22C-4957-B76E-DC24D29C2062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ajuste 2 meses de cuota $700</t>
        </r>
      </text>
    </comment>
    <comment ref="D27" authorId="0" shapeId="0" xr:uid="{21396094-607D-419F-AE03-C14092ED816F}">
      <text>
        <r>
          <rPr>
            <b/>
            <sz val="9"/>
            <color indexed="81"/>
            <rFont val="Tahoma"/>
            <family val="2"/>
          </rPr>
          <t>Deposito erroneo Puerto Montt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0" authorId="0" shapeId="0" xr:uid="{C6E2109D-4A1C-4374-B4E5-F85ECBE0A171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Asume Richard la presidencia y el beneficio del celular</t>
        </r>
      </text>
    </comment>
    <comment ref="N51" authorId="0" shapeId="0" xr:uid="{80350016-4420-4A11-B187-3D24553F8614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descuento teams marzo</t>
        </r>
      </text>
    </comment>
    <comment ref="G58" authorId="0" shapeId="0" xr:uid="{B7F1D9F2-9EA2-4EE9-9F59-329B7A7A744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ene, feb, mar , abr, may, jun jul, agosto 2024</t>
        </r>
      </text>
    </comment>
    <comment ref="I58" authorId="0" shapeId="0" xr:uid="{88DCC8B2-64F5-45D2-A1DA-5A057A3B999C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sep y oct, termino de relacion</t>
        </r>
      </text>
    </comment>
    <comment ref="J58" authorId="0" shapeId="0" xr:uid="{D840F776-7D64-429A-84C0-E6D63B5D4B9A}">
      <text>
        <r>
          <rPr>
            <b/>
            <sz val="9"/>
            <color indexed="81"/>
            <rFont val="Tahoma"/>
            <family val="2"/>
          </rPr>
          <t xml:space="preserve">Termino asesoria joaquin silva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8" authorId="0" shapeId="0" xr:uid="{392BB1C5-8D02-4958-BBA6-ED4F4AF2F795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ENE-FEB-MAR</t>
        </r>
      </text>
    </comment>
    <comment ref="I59" authorId="0" shapeId="0" xr:uid="{ABBC7AB0-D7E8-4DAD-B5D6-55F6E3D37D0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Asado Plenarias Aniversario oct 24 Villarrica Y LLAVEROS</t>
        </r>
      </text>
    </comment>
    <comment ref="N61" authorId="0" shapeId="0" xr:uid="{721710E5-49E5-4A69-B37D-2A088722A774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ENERO Y MARZO 25</t>
        </r>
      </text>
    </comment>
    <comment ref="N67" authorId="0" shapeId="0" xr:uid="{1CC544F5-DC06-49D2-97D3-37BFCCE777C0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VIATICO VISITA ABOGADO CURICO</t>
        </r>
      </text>
    </comment>
    <comment ref="I68" authorId="0" shapeId="0" xr:uid="{94C0A71A-20F3-4CCC-A80A-C3790A9A63EA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Transfer Iquique Plenarias oct 24 Villarrica. 
Faltaron $5.000</t>
        </r>
      </text>
    </comment>
    <comment ref="N68" authorId="0" shapeId="0" xr:uid="{E4728D60-1613-42A6-A8F9-7A10B2FFF5DA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ENVIO DOCUMENTOS FIRMA DIRECTORES</t>
        </r>
      </text>
    </comment>
    <comment ref="E76" authorId="0" shapeId="0" xr:uid="{AE33E128-FE1C-4E33-AC6C-22EAD256CD2F}">
      <text>
        <r>
          <rPr>
            <b/>
            <sz val="9"/>
            <color indexed="81"/>
            <rFont val="Tahoma"/>
            <family val="2"/>
          </rPr>
          <t>Devolucion deposito erroneo Puerto Montt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J27" authorId="0" shapeId="0" xr:uid="{064C0556-6619-4CE4-A28D-ADD2243EF768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teams dic 24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A27" authorId="0" shapeId="0" xr:uid="{418752C3-5CB3-4CA4-9E8B-2CF2F2A6CF6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ver tema de la hora convenida y vacaciones de asesor comparativo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K23" authorId="0" shapeId="0" xr:uid="{402734FD-730F-4AAC-AD95-C4FDBACEB693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combustible y peajes</t>
        </r>
      </text>
    </comment>
    <comment ref="K24" authorId="0" shapeId="0" xr:uid="{364010FB-AFF4-477C-B817-2ECEB3C3AEAA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insumos de reunion comida, bebestibles y bencina.</t>
        </r>
      </text>
    </comment>
    <comment ref="K26" authorId="0" shapeId="0" xr:uid="{ACC5271B-402B-471A-AF34-5F2E63FF4711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TEAMS NOV</t>
        </r>
      </text>
    </comment>
    <comment ref="K31" authorId="0" shapeId="0" xr:uid="{A666002C-F40A-41A8-8BEA-A9861955AA70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teams dic 24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B4" authorId="0" shapeId="0" xr:uid="{233E131A-64DE-45D8-874E-380103FB8646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talonario plenarias INGRESO</t>
        </r>
      </text>
    </comment>
  </commentList>
</comments>
</file>

<file path=xl/sharedStrings.xml><?xml version="1.0" encoding="utf-8"?>
<sst xmlns="http://schemas.openxmlformats.org/spreadsheetml/2006/main" count="8937" uniqueCount="818">
  <si>
    <t>FECHA</t>
  </si>
  <si>
    <t>INICIO</t>
  </si>
  <si>
    <t>FINAL</t>
  </si>
  <si>
    <t>CITACION</t>
  </si>
  <si>
    <t>TIPO</t>
  </si>
  <si>
    <t>COSTO</t>
  </si>
  <si>
    <t>MOTIVO</t>
  </si>
  <si>
    <t>ACTA</t>
  </si>
  <si>
    <t>REMUNERACION</t>
  </si>
  <si>
    <t>N° DE DIAS</t>
  </si>
  <si>
    <t>VALOR DIA</t>
  </si>
  <si>
    <t>VALOR MES</t>
  </si>
  <si>
    <t>TOTAL ANUAL</t>
  </si>
  <si>
    <t>ZOOM</t>
  </si>
  <si>
    <t>ASAMBLEAS PLENARIAS ZOOM</t>
  </si>
  <si>
    <t>REUNIONES DIRECTORIO ZOOM (2H)</t>
  </si>
  <si>
    <t>PRESENCIAL</t>
  </si>
  <si>
    <t>REUNION EJECUTIVO PRESENCIAL</t>
  </si>
  <si>
    <t>REUNIONES ZOOM (2 HR)</t>
  </si>
  <si>
    <t>REUNIONES ESPECIALES</t>
  </si>
  <si>
    <t>PLENARIAS DIRECTOR S/SB</t>
  </si>
  <si>
    <t>VISITAS ZONA NORTE</t>
  </si>
  <si>
    <t>VISITAS ZONA SUR</t>
  </si>
  <si>
    <t>FEDERACION DE SINDICATOS DE TRABAJADORES DEL HOLDING FALABELLA</t>
  </si>
  <si>
    <t>DETALLE</t>
  </si>
  <si>
    <t>ANUAL</t>
  </si>
  <si>
    <t>TOTAL DIRECTORES</t>
  </si>
  <si>
    <t>REUNION DE DIRECTORES</t>
  </si>
  <si>
    <t>TOTAL VIATICOS</t>
  </si>
  <si>
    <t>TOTAL</t>
  </si>
  <si>
    <t>ASESORIA NEGOCIACION</t>
  </si>
  <si>
    <t>ASESORIA (ABOGADO)</t>
  </si>
  <si>
    <t>ANIVERSARIO</t>
  </si>
  <si>
    <t>CAJA CHICA</t>
  </si>
  <si>
    <t>REPRESENTACION</t>
  </si>
  <si>
    <t>UNIFORMES</t>
  </si>
  <si>
    <t>ATENCION INVITADOS</t>
  </si>
  <si>
    <t>CAPACITACION</t>
  </si>
  <si>
    <t>GASTOS VARIOS</t>
  </si>
  <si>
    <t>TOTAL INGRESOS</t>
  </si>
  <si>
    <t xml:space="preserve">CARTOLA MENSUAL </t>
  </si>
  <si>
    <t>SALDO INICIAL:</t>
  </si>
  <si>
    <t>SALDO FINAL:</t>
  </si>
  <si>
    <t>CUADRATURA FINAL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</si>
  <si>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</si>
  <si>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</si>
  <si>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</si>
  <si>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</si>
  <si>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</si>
  <si>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</si>
  <si>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</si>
  <si>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</si>
  <si>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</si>
  <si>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</si>
  <si>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</si>
  <si>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</si>
  <si>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1 IQUIQUE</t>
  </si>
  <si>
    <t>PATRICIO BUSTOS</t>
  </si>
  <si>
    <t>INGRESO SINDICATOS</t>
  </si>
  <si>
    <t>APORTE EMPRESA</t>
  </si>
  <si>
    <t>INGRESOS PLENARIAS</t>
  </si>
  <si>
    <t>APORTE DIRECTORES</t>
  </si>
  <si>
    <t>PASAJES</t>
  </si>
  <si>
    <t>COLACION</t>
  </si>
  <si>
    <t>METRO</t>
  </si>
  <si>
    <t>TAXI / COLECTIVO</t>
  </si>
  <si>
    <t>HOTEL</t>
  </si>
  <si>
    <t>CELULAR PRESIDENTE</t>
  </si>
  <si>
    <t>REEMBOLSO</t>
  </si>
  <si>
    <t>GASTO DIRECTOR</t>
  </si>
  <si>
    <t>COLACION / BREAK</t>
  </si>
  <si>
    <t>MATERIAL OFICINA</t>
  </si>
  <si>
    <t>GASTO FEDERACION</t>
  </si>
  <si>
    <t>TOTAL GASTOS</t>
  </si>
  <si>
    <t>AHORRO O DÉFICIT</t>
  </si>
  <si>
    <t>VARIACIONES TESORERIA</t>
  </si>
  <si>
    <t>SALDO DISPONIBLE</t>
  </si>
  <si>
    <t>CARTOLA</t>
  </si>
  <si>
    <t>CONTROL</t>
  </si>
  <si>
    <t>ok</t>
  </si>
  <si>
    <t xml:space="preserve">COMISIONES </t>
  </si>
  <si>
    <t>Ingresos por demandas</t>
  </si>
  <si>
    <t>TOTAL COMISIONES</t>
  </si>
  <si>
    <t>COSTO PLENARIAS</t>
  </si>
  <si>
    <t>TOTAL GASTO x GESTION</t>
  </si>
  <si>
    <t>TOTAL PLENARIAS</t>
  </si>
  <si>
    <t xml:space="preserve">REMUNERACION DIRECTORES </t>
  </si>
  <si>
    <t xml:space="preserve">VIATICOS DE DIRECTORES </t>
  </si>
  <si>
    <t xml:space="preserve">GASTOS GESTION </t>
  </si>
  <si>
    <t>PROPINA</t>
  </si>
  <si>
    <t>% Part Gasto</t>
  </si>
  <si>
    <t>% Cump Gasto</t>
  </si>
  <si>
    <t>ALMUERZO EJECUTIVO (6)</t>
  </si>
  <si>
    <t xml:space="preserve">PLENARIA </t>
  </si>
  <si>
    <t>REVISORA DE CUENTAS (PLENARIAS 3p)</t>
  </si>
  <si>
    <t>DISCIPLINA (3p)</t>
  </si>
  <si>
    <t>BIENESTAR SOCIAL (3p)</t>
  </si>
  <si>
    <t>CONFLICTO, COMUNICACIÓN Y DIFUSION (3p)</t>
  </si>
  <si>
    <t>DEPORTE, CULTURA Y RECREACION (3p)</t>
  </si>
  <si>
    <t xml:space="preserve">CONFL, COMUN Y DIFUS </t>
  </si>
  <si>
    <t xml:space="preserve">DISCIPLINA </t>
  </si>
  <si>
    <t xml:space="preserve">CAPACITACION </t>
  </si>
  <si>
    <t xml:space="preserve">BIENESTAR SOCIAL </t>
  </si>
  <si>
    <t>DEPORT, CULT Y RECREA</t>
  </si>
  <si>
    <t>CUOTA</t>
  </si>
  <si>
    <t>Total</t>
  </si>
  <si>
    <t>DIRECTORES</t>
  </si>
  <si>
    <t>PRESIDENTE</t>
  </si>
  <si>
    <t>SECRETARIO</t>
  </si>
  <si>
    <t>TESORERO</t>
  </si>
  <si>
    <t>SEC. ACTA</t>
  </si>
  <si>
    <t>VICE. SUR</t>
  </si>
  <si>
    <t>DIRECTOR 1</t>
  </si>
  <si>
    <t>DIRECTOR 2</t>
  </si>
  <si>
    <t>DIRECTOR 3</t>
  </si>
  <si>
    <t>COMISION</t>
  </si>
  <si>
    <t>MES</t>
  </si>
  <si>
    <t>TOTAL REMUNERACION</t>
  </si>
  <si>
    <t>TOTAL PASAJES</t>
  </si>
  <si>
    <t>TOTAL COLACION</t>
  </si>
  <si>
    <t>TOTAL METRO</t>
  </si>
  <si>
    <t>TAXI-COLEC</t>
  </si>
  <si>
    <t>TOTAL TAXI-COLEC</t>
  </si>
  <si>
    <t>TOTAL HOTEL</t>
  </si>
  <si>
    <t>CELULAR</t>
  </si>
  <si>
    <t>TOTAL REEMBOLSO</t>
  </si>
  <si>
    <t>NOMBRE</t>
  </si>
  <si>
    <t>Patricio Bustos</t>
  </si>
  <si>
    <t>Richard Toloza</t>
  </si>
  <si>
    <t>Christian Torres</t>
  </si>
  <si>
    <t>Xavier Carvajal</t>
  </si>
  <si>
    <t>Andrea Diaz</t>
  </si>
  <si>
    <t>Claudia Villagran</t>
  </si>
  <si>
    <t>Jorge Yañez</t>
  </si>
  <si>
    <t>PLAN</t>
  </si>
  <si>
    <t>%</t>
  </si>
  <si>
    <t>TAXI / COLEC</t>
  </si>
  <si>
    <t>CHEQUE</t>
  </si>
  <si>
    <t>EFECTIVO</t>
  </si>
  <si>
    <t>CHRISTIAN TORRES</t>
  </si>
  <si>
    <t>RICHARD TOLOZA</t>
  </si>
  <si>
    <t>SANTIAGO</t>
  </si>
  <si>
    <t>TRANFER</t>
  </si>
  <si>
    <t>CONCEPCION</t>
  </si>
  <si>
    <t>CARGO</t>
  </si>
  <si>
    <t>SINDICATO</t>
  </si>
  <si>
    <t xml:space="preserve">Marco Toro </t>
  </si>
  <si>
    <t>Yubiza Robledo</t>
  </si>
  <si>
    <t>Corina Coronel</t>
  </si>
  <si>
    <t>Sandra Flores</t>
  </si>
  <si>
    <t xml:space="preserve">Veronica Bonilla </t>
  </si>
  <si>
    <t>Constanza Flores</t>
  </si>
  <si>
    <t>Gonzalo Muñoz</t>
  </si>
  <si>
    <t>Ruth Sanchez</t>
  </si>
  <si>
    <t xml:space="preserve">Alejandro Gonzales </t>
  </si>
  <si>
    <t xml:space="preserve">Cecilia Narea </t>
  </si>
  <si>
    <t xml:space="preserve">Enrique Vilchez </t>
  </si>
  <si>
    <t xml:space="preserve">Carlos Arriagada </t>
  </si>
  <si>
    <t>Maria Eugenia Ortis</t>
  </si>
  <si>
    <t>Carmen Quinchavil</t>
  </si>
  <si>
    <t>Ruben Salamanca</t>
  </si>
  <si>
    <t>Jorge Yañes</t>
  </si>
  <si>
    <t>Victor Trejo</t>
  </si>
  <si>
    <t>Angie Muñoz</t>
  </si>
  <si>
    <t>Pablo Pino</t>
  </si>
  <si>
    <t xml:space="preserve">Patricio Bustos </t>
  </si>
  <si>
    <t>Nicole Maturana</t>
  </si>
  <si>
    <t>Mauricio Pacheco</t>
  </si>
  <si>
    <t xml:space="preserve">Christian Torres </t>
  </si>
  <si>
    <t>Luis Espinoza</t>
  </si>
  <si>
    <t>Pedro Hurtado</t>
  </si>
  <si>
    <t>Giesela Castro</t>
  </si>
  <si>
    <t xml:space="preserve">Viviana Arias </t>
  </si>
  <si>
    <t>Gabriel Burgos</t>
  </si>
  <si>
    <t xml:space="preserve">Ingrid Paredes  </t>
  </si>
  <si>
    <t>Norma Quezada</t>
  </si>
  <si>
    <t>Felipe Salazar</t>
  </si>
  <si>
    <t xml:space="preserve">Luis Hernandez </t>
  </si>
  <si>
    <t>Alejandra Diaz</t>
  </si>
  <si>
    <t>FECHA:</t>
  </si>
  <si>
    <t>JORGE YAÑEZ</t>
  </si>
  <si>
    <t xml:space="preserve">Katherine Kimer </t>
  </si>
  <si>
    <t>REUNION</t>
  </si>
  <si>
    <t>RESUMEN</t>
  </si>
  <si>
    <t>PLENARIA</t>
  </si>
  <si>
    <t>XAVIER CARVAJAL</t>
  </si>
  <si>
    <t>ANDREA DIAZ</t>
  </si>
  <si>
    <t>CLAUDIA VILLAGRAN</t>
  </si>
  <si>
    <t>CAPACITACION Y EXTENSION (3p)</t>
  </si>
  <si>
    <t>FELIPE SALAZAR, PATRICIO BUSTOS y INGRID PAREDES</t>
  </si>
  <si>
    <t>RESPONSABLES</t>
  </si>
  <si>
    <t>TIPO DE REUNION</t>
  </si>
  <si>
    <t>DIRECTOR CITADO</t>
  </si>
  <si>
    <t>DIRECTORIO COMPLETO (9 DIRECTORES)</t>
  </si>
  <si>
    <t>PRESIDENTE, SECRETARIO.</t>
  </si>
  <si>
    <t>DIRECTOR ZONA NORTE</t>
  </si>
  <si>
    <t>DIRECTOR ZONA SUR</t>
  </si>
  <si>
    <t>GASTO</t>
  </si>
  <si>
    <t>COMISION ASESORIA NEGOCIACION</t>
  </si>
  <si>
    <t>INGRESO x DEMANDAS ABOGADO</t>
  </si>
  <si>
    <t>INGRESO APORTE $ 1000 DIRECTORES</t>
  </si>
  <si>
    <t>VIATICOS RENDIDOS x DIRECTOR</t>
  </si>
  <si>
    <t>REMUNERACION ANUAL x DIRECTORES</t>
  </si>
  <si>
    <t>INGRESO x SINDICATO</t>
  </si>
  <si>
    <t>PROYECTO GASTO</t>
  </si>
  <si>
    <t>TOTAL DE GASTOS</t>
  </si>
  <si>
    <t>RESULTADO PROYECTO</t>
  </si>
  <si>
    <t>PROYECTO INGRESO</t>
  </si>
  <si>
    <t>NEGOCIACION COLECTIVA</t>
  </si>
  <si>
    <t>RESULTADO 2023-2024</t>
  </si>
  <si>
    <t>N°</t>
  </si>
  <si>
    <t>ZONAL NORTE</t>
  </si>
  <si>
    <t>ZONAL SUR</t>
  </si>
  <si>
    <t xml:space="preserve">PATRICIO BUSTOS </t>
  </si>
  <si>
    <t>NEGOCIACION COLECTIVA (3p)</t>
  </si>
  <si>
    <t>INGRESO x APORTE DIRECTORES ($1000)</t>
  </si>
  <si>
    <t>IQUIQUE</t>
  </si>
  <si>
    <t>SAN FELIPE</t>
  </si>
  <si>
    <t>VALPARAISO</t>
  </si>
  <si>
    <t>VIÑA DEL MAR</t>
  </si>
  <si>
    <t>PLAZA NORTE</t>
  </si>
  <si>
    <t>COSTANERA</t>
  </si>
  <si>
    <t>CHILLAN</t>
  </si>
  <si>
    <t>RANCAGUA</t>
  </si>
  <si>
    <t>CURICO</t>
  </si>
  <si>
    <t>TREBOL</t>
  </si>
  <si>
    <t>PUERTO MONTT</t>
  </si>
  <si>
    <t>DIRECTOR</t>
  </si>
  <si>
    <t xml:space="preserve">Cristian Reyes </t>
  </si>
  <si>
    <t>ESTADO</t>
  </si>
  <si>
    <t>VIGENTE</t>
  </si>
  <si>
    <t xml:space="preserve">Carolina Fredes </t>
  </si>
  <si>
    <t>Alejandra Becerra</t>
  </si>
  <si>
    <t>Gabriela Pizarro</t>
  </si>
  <si>
    <t>Rosa Vargas</t>
  </si>
  <si>
    <t>LAS CRUCES</t>
  </si>
  <si>
    <t>LUGAR:</t>
  </si>
  <si>
    <t>TIPO:</t>
  </si>
  <si>
    <t>PROPINA TOTAL</t>
  </si>
  <si>
    <t>NO ASISTE</t>
  </si>
  <si>
    <t>PRESENTES</t>
  </si>
  <si>
    <t>AUSENTES</t>
  </si>
  <si>
    <t>IMPREVISTOS</t>
  </si>
  <si>
    <t>VISITAS ZONA NORTE ZOOM</t>
  </si>
  <si>
    <t xml:space="preserve">VISITAS ZONA SUR ZOOM </t>
  </si>
  <si>
    <t>TOTAL CELULAR</t>
  </si>
  <si>
    <t>NOMBRE:</t>
  </si>
  <si>
    <t xml:space="preserve">REGISTRO TRABAJO DIRECTOR </t>
  </si>
  <si>
    <t>EGRESO:</t>
  </si>
  <si>
    <t>CIUDAD</t>
  </si>
  <si>
    <t>$ DIA</t>
  </si>
  <si>
    <t>TAXI-COLEC.</t>
  </si>
  <si>
    <t>TOTAL x DIA</t>
  </si>
  <si>
    <t>-</t>
  </si>
  <si>
    <t>PAGADO</t>
  </si>
  <si>
    <t>GASTO MES</t>
  </si>
  <si>
    <t>DIRECTORIO</t>
  </si>
  <si>
    <t>Zoom</t>
  </si>
  <si>
    <t>Dir - Abo JSG</t>
  </si>
  <si>
    <t>DIR-RRHH- San Felipe</t>
  </si>
  <si>
    <t>SINDICATOS</t>
  </si>
  <si>
    <t>ACTAS</t>
  </si>
  <si>
    <t>CARÁCTER</t>
  </si>
  <si>
    <t>ACUERDOS</t>
  </si>
  <si>
    <t>Presencial</t>
  </si>
  <si>
    <t>PLENARIA FRUTILLAR - Cambio Tesorero</t>
  </si>
  <si>
    <t>Recontratar Abogado-Acuerdo Demanda</t>
  </si>
  <si>
    <t>PLENARIA LAS CRUCES - Cambio Comision Asesor compra-Cambio razon social-Pago por Cambio y Devolucion</t>
  </si>
  <si>
    <t>Cuota fed $500-$100 multa-$1000 x director-Multa x Asistencia - Movilizacion</t>
  </si>
  <si>
    <t>PLENARIA FRUTILLAR - Comision C/D $350 - Acuerdo Ext. Beneficios 2017-Inasistencia plenarias confirmadas - Listado socios mensual sindicatos-Socios actualmente 2.262 - Disminucion Horas Tienda</t>
  </si>
  <si>
    <t>Solicitar a empresa BASE DATOS.-Uso uniforme en plenarias-Cuota de $500 desde mayo 2019 - $1.000  Por dirigente quedó en acta (pan y vino)</t>
  </si>
  <si>
    <t>PLENARIAS LAS CRUCES - Asume Viviana Presidente Reemplazo-Grupo Federados y No federados-Carta San Bernardo-Reliquidacion</t>
  </si>
  <si>
    <t>Envío de Contratos Colectivos al Comité-Asesoria Negociación</t>
  </si>
  <si>
    <t>ASAMBLEA</t>
  </si>
  <si>
    <t>Tema remuneracion Covid-Descuento creditos internos</t>
  </si>
  <si>
    <t xml:space="preserve">Omisión cobro de cuota federacion a sindicatos  x covid. Negativa piloto camaras de Reloj Control </t>
  </si>
  <si>
    <t xml:space="preserve">Consultas varias a RRHH-Diretorio-FPAY: Es concurso no incluye sem.corrida(empresa)-Tarjeta vta. Cajeras ext. - Riesgo en Multifuncion probadores - </t>
  </si>
  <si>
    <t>Aumento sueldo auxiliar de abastecimiento a $400.000 - Empresa entrara comparativo Tienda Futuro - Modificacion anexo asesores</t>
  </si>
  <si>
    <t>Reunion con Abogado Joaquin Silva y Directorio.</t>
  </si>
  <si>
    <t>Tema: Polifuncionalidad</t>
  </si>
  <si>
    <t>Reunion con Abogado Joaquin Silva y Federacion.</t>
  </si>
  <si>
    <t>Tema: Polifuncionalidad v/s RRHH</t>
  </si>
  <si>
    <t>TDA FUTURO - Contrato Colec v/s TDA FUTURO - FPAY - Comision 0,7% HOMOLOGABLES - Se realiza votacion para NO FIRMAR ANEXOS - Gestión reunion RRHH</t>
  </si>
  <si>
    <t>FPAY: Empresa compromete cancelar la semana corrida y el retroactivo,  se converso en el congreso con Juan Luis Mingo, el cual da el visto bueno y mandata a RRHH.</t>
  </si>
  <si>
    <t>Reunion gestionada: Directorio y RRHH - Tda Futuro aumento comision 0,26% - Temas varios</t>
  </si>
  <si>
    <t>Contrato Colectivo v/s TDA FUTURO: Establecer acta variaciones que afecten a los asesores de clientes, desapareciendo los cargos y los bonos que ya no existirán.</t>
  </si>
  <si>
    <t>Pago dia de inventario - Hospedaje Iquique - Reg. Interno (estudio tripartito)</t>
  </si>
  <si>
    <t>Planificación Plenaria BORDELAGO</t>
  </si>
  <si>
    <t xml:space="preserve">Plenaria Zoom: Elecciones cuota al dia mes de maro 2022 </t>
  </si>
  <si>
    <t xml:space="preserve">Richard Toloza administrador y receptor de las negociaciones colectivas - Empresa corrige dia inventario con goce de sueldo, pero no retroactivo </t>
  </si>
  <si>
    <t>Atribuciones comision revisora de cuentas - Plenarias - Plenaria elecciones mayo 2022</t>
  </si>
  <si>
    <t>Se plantea subir la cuota de $500 a $600 y el aporte de los sindicatos de $15.000 a $20.000</t>
  </si>
  <si>
    <t>Plenaria BordeLago - 1530 trabajadores federados - Comisión revisora de cuentas Optimizar gastos - Se aprueba descuento vale vista.</t>
  </si>
  <si>
    <t>Tema de Iquique (costo viajes) - Ayuda caso enfermedad grave  del directorio pleno $1000 - Aumento Pago dia director a $20.000 - Elimina pago celular directores, excepto sin base sindical.</t>
  </si>
  <si>
    <t>Plenaria Las Cruces: TRICEL - Puntos Juan Luis Mingo - Karim "Polar a todos" - Elecciones 11 Mayo.</t>
  </si>
  <si>
    <t>Reporte comisiones aun NO Implementado - Se duplica Bono Cajeras x Cambio y Devolución - Transparentar el pago de los $1000 pesos por director base.</t>
  </si>
  <si>
    <t>DT y RRHH presentacion directorio</t>
  </si>
  <si>
    <t>Firma Directorio DT y presentacion directores a RRHH</t>
  </si>
  <si>
    <t>Presentacion Nuevo Directorio de la Federación</t>
  </si>
  <si>
    <t>Coorporativo</t>
  </si>
  <si>
    <t>Directorio concepcion</t>
  </si>
  <si>
    <t>PB_RT_CT</t>
  </si>
  <si>
    <t>Directorio DT</t>
  </si>
  <si>
    <t>Todos</t>
  </si>
  <si>
    <t>Directorio</t>
  </si>
  <si>
    <t>Asamblea Federacion</t>
  </si>
  <si>
    <t>Directorio-RRHH  GA-CC</t>
  </si>
  <si>
    <t>EJECUTIVO</t>
  </si>
  <si>
    <t>Solicitud Banco Estado Firma Tesoreria</t>
  </si>
  <si>
    <t>Solicitud cambio de firma tesorero</t>
  </si>
  <si>
    <t>Autorización</t>
  </si>
  <si>
    <t>Documentos Banco Estado Firma Tesoreria</t>
  </si>
  <si>
    <t>Documentos</t>
  </si>
  <si>
    <t xml:space="preserve">Directorio-RRHH </t>
  </si>
  <si>
    <t>Frutillar</t>
  </si>
  <si>
    <t>Acta Plenaria Frutillar 26-27-28 de Julio 2022</t>
  </si>
  <si>
    <t>RRHH Servicio Tecnico</t>
  </si>
  <si>
    <t>PB_RT_XC</t>
  </si>
  <si>
    <t>DT y RRHH</t>
  </si>
  <si>
    <t>Reunion Asamblea</t>
  </si>
  <si>
    <t>Directorio-RRHH CUBO</t>
  </si>
  <si>
    <t>Reunión asamblea Zoom 04-10-2022</t>
  </si>
  <si>
    <t xml:space="preserve">ACTA </t>
  </si>
  <si>
    <t>Caro Fredes</t>
  </si>
  <si>
    <t>Reunion Directorio DT y Joaquin Silva</t>
  </si>
  <si>
    <t>Tema Fiscalizaciones Polifunción y Flexit</t>
  </si>
  <si>
    <t>Nueva Reunion Agenda para Lunes 21 de noviembre</t>
  </si>
  <si>
    <t>Reunion Direccion del Trabajo Santiago</t>
  </si>
  <si>
    <t>Reunión asamblea Zoom pedida en Plenaria</t>
  </si>
  <si>
    <t>Directorio-RRHH  GA</t>
  </si>
  <si>
    <t>Teams</t>
  </si>
  <si>
    <t>META</t>
  </si>
  <si>
    <t xml:space="preserve">Iquique </t>
  </si>
  <si>
    <t>San Felipe</t>
  </si>
  <si>
    <t xml:space="preserve">Carolina fredes </t>
  </si>
  <si>
    <t>Gabriela pizarro</t>
  </si>
  <si>
    <t xml:space="preserve">Valparaiso </t>
  </si>
  <si>
    <t xml:space="preserve">Viña del Mar </t>
  </si>
  <si>
    <t xml:space="preserve">Paseo Centro </t>
  </si>
  <si>
    <t>Plaza Norte</t>
  </si>
  <si>
    <t>Costanera</t>
  </si>
  <si>
    <t>Cristian lira</t>
  </si>
  <si>
    <t xml:space="preserve">Rancagua </t>
  </si>
  <si>
    <t xml:space="preserve">Curico </t>
  </si>
  <si>
    <t>Rosa vargas</t>
  </si>
  <si>
    <t xml:space="preserve">Chillan </t>
  </si>
  <si>
    <t xml:space="preserve">Trébol </t>
  </si>
  <si>
    <t>Richard Tolosa</t>
  </si>
  <si>
    <t>Los Angeles</t>
  </si>
  <si>
    <t>Carmen Gloria Rivas</t>
  </si>
  <si>
    <t>Jose Miranda</t>
  </si>
  <si>
    <t>Ruth Lastra</t>
  </si>
  <si>
    <t>Felipe A. Carrasco</t>
  </si>
  <si>
    <t>Daniel A. Torres</t>
  </si>
  <si>
    <t>Concepcion</t>
  </si>
  <si>
    <t>Alejandra becerra</t>
  </si>
  <si>
    <t>Daniel Garces</t>
  </si>
  <si>
    <t xml:space="preserve">Puerto Montt </t>
  </si>
  <si>
    <t>RENDICION BOLETA FEDERACION</t>
  </si>
  <si>
    <t xml:space="preserve">MOTIVO: </t>
  </si>
  <si>
    <t>ASISTENTES:</t>
  </si>
  <si>
    <t>MONTO:</t>
  </si>
  <si>
    <t>PROPINA:</t>
  </si>
  <si>
    <t>TOTAL:</t>
  </si>
  <si>
    <t>CHEQUE:</t>
  </si>
  <si>
    <t>BOLETA:</t>
  </si>
  <si>
    <t>PROPINA PLENARIAS</t>
  </si>
  <si>
    <t>AÑO</t>
  </si>
  <si>
    <t>EGRESO</t>
  </si>
  <si>
    <t>COBRADO</t>
  </si>
  <si>
    <t>Año</t>
  </si>
  <si>
    <t>MONTO</t>
  </si>
  <si>
    <t>DIR</t>
  </si>
  <si>
    <t>BOLETA</t>
  </si>
  <si>
    <t>COD.</t>
  </si>
  <si>
    <t>PATRICIO B.</t>
  </si>
  <si>
    <t>RICHARD T.</t>
  </si>
  <si>
    <t>CHRISTIAN T.</t>
  </si>
  <si>
    <t>ANDREA D.</t>
  </si>
  <si>
    <t>CLAUDIA V.</t>
  </si>
  <si>
    <t>JORGE Y.</t>
  </si>
  <si>
    <t>Patricio B.</t>
  </si>
  <si>
    <t>Richard T.</t>
  </si>
  <si>
    <t>Christian T.</t>
  </si>
  <si>
    <t>Andrea D.</t>
  </si>
  <si>
    <t>Claudia V.</t>
  </si>
  <si>
    <t>Jorge Y.</t>
  </si>
  <si>
    <t>Otros Ingresos</t>
  </si>
  <si>
    <t>Otros Salidas</t>
  </si>
  <si>
    <t>Denegados</t>
  </si>
  <si>
    <t>Aceptados</t>
  </si>
  <si>
    <t>Victor Tejo</t>
  </si>
  <si>
    <t>LICENCIA</t>
  </si>
  <si>
    <t>RENUNCIA</t>
  </si>
  <si>
    <t>Diego Arsola</t>
  </si>
  <si>
    <t>Acta Plenaria 28-08-18.docx</t>
  </si>
  <si>
    <t>Acta Plenaria 28-11-18.docx</t>
  </si>
  <si>
    <t>Acta Plenaria 26-03-19.docx</t>
  </si>
  <si>
    <t>Reunion 22.04.20 Dir-Fed ZOOM.docx</t>
  </si>
  <si>
    <t>Reunion 06.11.21 RRHH.docx</t>
  </si>
  <si>
    <t>Reunion 07.11.21 joaquin.docx</t>
  </si>
  <si>
    <t>Acta Plenaria 20-08-19.docx</t>
  </si>
  <si>
    <t>Reunion 08.11.21 federación.docx</t>
  </si>
  <si>
    <t>Reunion 13.11.21 federacion.docx</t>
  </si>
  <si>
    <t>Reunion 14.03.22 federación.docx</t>
  </si>
  <si>
    <t>Reunion 17.03.22 federación.docx</t>
  </si>
  <si>
    <t>Reunion 18.03.22 plenaria zoom.docx</t>
  </si>
  <si>
    <t>Acta Plenaria 10-05-22.docx</t>
  </si>
  <si>
    <t>Reunion 01.06.22 RRHH y Fed.docx</t>
  </si>
  <si>
    <t>ayuda al acta 13-08-2022 FEDERACION.docx</t>
  </si>
  <si>
    <t>Reunión 16.08.22 Directorio-RRHH-Tomas Platovsky.docx</t>
  </si>
  <si>
    <t>Reunion 23.08.22 Dir- RRHH.docx</t>
  </si>
  <si>
    <t>ayuda reunion 31.08.22 DT UMAÑA.docx</t>
  </si>
  <si>
    <t>Reunion 15.09.22 Dir. Reg. Int..docx</t>
  </si>
  <si>
    <t>Reunion 04.11.22  RRHH directorio.docx</t>
  </si>
  <si>
    <t>Reunión Zoom 07-11-2022 DIr - Joaquin Silva.docx</t>
  </si>
  <si>
    <t>reunion 21-11-22 DIR y DT (Cristian Umaña).docx</t>
  </si>
  <si>
    <t>Reunion 15.11.21 RRHH.docx</t>
  </si>
  <si>
    <t>Reunion 28.03.22 federación.docx</t>
  </si>
  <si>
    <t>Acta Plenaria 31-03-22.docx</t>
  </si>
  <si>
    <t>REU</t>
  </si>
  <si>
    <t>Carlos Moncada</t>
  </si>
  <si>
    <t>FALTA</t>
  </si>
  <si>
    <t>GASTOS POR GESTION</t>
  </si>
  <si>
    <t>CELULAR ANUAL</t>
  </si>
  <si>
    <t>REM. TOTAL ANUAL</t>
  </si>
  <si>
    <t>CELULAR TOTAL ANUAL</t>
  </si>
  <si>
    <t xml:space="preserve">GASTO TOTAL </t>
  </si>
  <si>
    <t>GASTO TOTAL ANUAL</t>
  </si>
  <si>
    <t>GASTO ANUAL</t>
  </si>
  <si>
    <t>PASAJES TOTAL ANUAL</t>
  </si>
  <si>
    <t>COLACION TOTAL ANUAL</t>
  </si>
  <si>
    <t>METRO TOTAL ANUAL</t>
  </si>
  <si>
    <t>TAXI-COLEC TOTAL ANUAL</t>
  </si>
  <si>
    <t>REEMBOLSO TOTAL ANUAL</t>
  </si>
  <si>
    <t>PLAN GASTO</t>
  </si>
  <si>
    <t>CAPITAL 2022-2023</t>
  </si>
  <si>
    <t>RENTABILIDAD</t>
  </si>
  <si>
    <t>SALDO CARTOLA</t>
  </si>
  <si>
    <t xml:space="preserve">PLAN INGRESOS </t>
  </si>
  <si>
    <t xml:space="preserve">INGRESOS ACTUAL </t>
  </si>
  <si>
    <t>GASTOS ACTUAL</t>
  </si>
  <si>
    <t>cantidad</t>
  </si>
  <si>
    <t>si se pasan es gratis</t>
  </si>
  <si>
    <t>VIATICOS</t>
  </si>
  <si>
    <t xml:space="preserve">N° EVENTOS </t>
  </si>
  <si>
    <t xml:space="preserve"> $ 2.500 x Hr.</t>
  </si>
  <si>
    <t>N° PARTICIP.</t>
  </si>
  <si>
    <t>PRESID., SECRET., TESORERO, ACTAS, Z. NORTE, Z. SUR</t>
  </si>
  <si>
    <t>TODA LA FEDERACION (COSTO DIRECTOR S S/B)</t>
  </si>
  <si>
    <t>Felipe S.</t>
  </si>
  <si>
    <t>FELIPE S.</t>
  </si>
  <si>
    <t>PROGRESO 23-24</t>
  </si>
  <si>
    <t>RESUMEN 23-24</t>
  </si>
  <si>
    <t xml:space="preserve">INGRESO ACTUAL </t>
  </si>
  <si>
    <t>INGRESOS 2024-2025</t>
  </si>
  <si>
    <t>RESUMEN PROYECTO 2024-2025</t>
  </si>
  <si>
    <t>HOTEL TOTAL ANUAL</t>
  </si>
  <si>
    <t>Oscar Lara</t>
  </si>
  <si>
    <t>Maricela Campos</t>
  </si>
  <si>
    <t>PLENARIA LAS CRUCES 2-3-4 ABRIL 2024</t>
  </si>
  <si>
    <t>FELIPE SALAZAR</t>
  </si>
  <si>
    <t>falta</t>
  </si>
  <si>
    <t>Cuota</t>
  </si>
  <si>
    <t>mes</t>
  </si>
  <si>
    <t>2-3-4 ABRIL 2024</t>
  </si>
  <si>
    <t>SE ACUERDA SUBIR CUOTA A $700</t>
  </si>
  <si>
    <t>TESORERIA FEDERACION - PERIODO 2024 / 2025</t>
  </si>
  <si>
    <t xml:space="preserve">GASTO APROBADO PERIODO 2024-2025 </t>
  </si>
  <si>
    <t>Se acuerda modificacion estatuitaria (invertir e invertir $10000000+Util)</t>
  </si>
  <si>
    <t>RESULTADO 2024-2025</t>
  </si>
  <si>
    <t>COMPARATIVO 24-25</t>
  </si>
  <si>
    <t>SE ACUERDA INCREMENTO DE IPC APLICADO EN ABRIL 2024</t>
  </si>
  <si>
    <t>2024-2025</t>
  </si>
  <si>
    <t>2 VIÑA DEL MAR</t>
  </si>
  <si>
    <t>3 SANTIAGO</t>
  </si>
  <si>
    <t>4 PLAZA NORTE</t>
  </si>
  <si>
    <t>5 COSTANERA</t>
  </si>
  <si>
    <t>6 RANCAGUA</t>
  </si>
  <si>
    <t>7 CURICO</t>
  </si>
  <si>
    <t xml:space="preserve">8 TREBOL </t>
  </si>
  <si>
    <t>9 CONCEPCION</t>
  </si>
  <si>
    <t>10 PUERTO MONTT</t>
  </si>
  <si>
    <t>DIRECTOR 24-25</t>
  </si>
  <si>
    <t>VICE. NORT</t>
  </si>
  <si>
    <t>GASTOS 24-25</t>
  </si>
  <si>
    <t>RESULTADO ACTUAL 24-25</t>
  </si>
  <si>
    <t>INGRESOS 24-25</t>
  </si>
  <si>
    <t>(1) PLAN DE INGRESO Y GASTO AÑO 2024 - 2025 (INICIO ABRIL 2024)</t>
  </si>
  <si>
    <t>(2) EJERCICIO AÑO 2024 - 2025 (INICIO ABRIL 2024)</t>
  </si>
  <si>
    <t>(3) RESULTADO 2024 - 2025</t>
  </si>
  <si>
    <t>CAPITAL 2023-2024</t>
  </si>
  <si>
    <t>INGRID PAREDES, MARICELA CAMPOS Y CRISTIAN REYES</t>
  </si>
  <si>
    <r>
      <t xml:space="preserve">ALEJANDRA BECERRA, PATRICIO BUSTOS Y </t>
    </r>
    <r>
      <rPr>
        <sz val="11"/>
        <color rgb="FFFF0000"/>
        <rFont val="Calibri"/>
        <family val="2"/>
        <scheme val="minor"/>
      </rPr>
      <t>FALTA</t>
    </r>
  </si>
  <si>
    <r>
      <t xml:space="preserve">RICHARD TOLOSA, CHRISTIAN TORRES , </t>
    </r>
    <r>
      <rPr>
        <sz val="11"/>
        <color rgb="FFFF0000"/>
        <rFont val="Calibri"/>
        <family val="2"/>
        <scheme val="minor"/>
      </rPr>
      <t>FALTA</t>
    </r>
  </si>
  <si>
    <r>
      <t xml:space="preserve">INGRID PAREDES, </t>
    </r>
    <r>
      <rPr>
        <sz val="11"/>
        <color rgb="FFFF0000"/>
        <rFont val="Calibri"/>
        <family val="2"/>
        <scheme val="minor"/>
      </rPr>
      <t>FALTA y FALTA</t>
    </r>
  </si>
  <si>
    <r>
      <t xml:space="preserve">LUIS ESPINOZA, PABLO PINO Y </t>
    </r>
    <r>
      <rPr>
        <sz val="11"/>
        <color rgb="FFFF0000"/>
        <rFont val="Calibri"/>
        <family val="2"/>
        <scheme val="minor"/>
      </rPr>
      <t>FALTA</t>
    </r>
  </si>
  <si>
    <t>PRESIDENTE - SECRETARIO - TESORERO (3 DIRECTORES)</t>
  </si>
  <si>
    <t>Reunion con DT Hernan Larrain, Reglamento Interno.</t>
  </si>
  <si>
    <t>Pendiente</t>
  </si>
  <si>
    <t>Analisis de la reunión.</t>
  </si>
  <si>
    <t>Acuerdos</t>
  </si>
  <si>
    <t>Licencia</t>
  </si>
  <si>
    <t>Analisis dictamen 44 hrs. Hr rebajada</t>
  </si>
  <si>
    <t>Reunion especial EB</t>
  </si>
  <si>
    <t>Reunion 40 hrs. Plan reunion RRHH C. Carvajal</t>
  </si>
  <si>
    <t>OBJETIVO (1):</t>
  </si>
  <si>
    <t>Que la empresa quiera juntarce con nosotros, por eso se actuo y se llevarona a cabo las fiscalizaciones</t>
  </si>
  <si>
    <t>y demandas. Se han ido dando los pasos para reconstruir el dialogo. Si hay acuerdo en las demandas</t>
  </si>
  <si>
    <t>debieramos retirarlas siempre que la empresa tambien flexivilice su postura y corrija.</t>
  </si>
  <si>
    <t>PB tiene reunion con EB y CC, para tocar temas y se agendaron 2 reuniones para ver tema 40 hrs.</t>
  </si>
  <si>
    <t>REUNIONES ESPECIALES (Curico)</t>
  </si>
  <si>
    <t>Curico</t>
  </si>
  <si>
    <t>Reunion planificacion año (peajes)</t>
  </si>
  <si>
    <t>Las Cruces</t>
  </si>
  <si>
    <t>Plenarias (bolsa regalo andrea)</t>
  </si>
  <si>
    <t>Plenarias (snack de reuniones)</t>
  </si>
  <si>
    <t>Caja</t>
  </si>
  <si>
    <t>Pago Plenarias Caja La Araucana Abril 2-3-4del 2024</t>
  </si>
  <si>
    <t>Cheque</t>
  </si>
  <si>
    <t>Pago Propina PLENARIAS 15000 FED. + 17000 RECAUDADO ($32.000)</t>
  </si>
  <si>
    <t>XC</t>
  </si>
  <si>
    <t xml:space="preserve">REM. XAVIER CARVAJAL  - (2) reu. presenciales - (12) reu. zoom </t>
  </si>
  <si>
    <t>Transferencia</t>
  </si>
  <si>
    <t>AD</t>
  </si>
  <si>
    <t xml:space="preserve">REM. ANDREA DIAZ  - (1) reu. presenciales - (9) reu. zoom </t>
  </si>
  <si>
    <t>CV</t>
  </si>
  <si>
    <t xml:space="preserve">REM. CLAUDIA VILLAGRAN  - (9) reu. zoom </t>
  </si>
  <si>
    <t>FS</t>
  </si>
  <si>
    <t xml:space="preserve">REM. FELIPE SALAZAR  - (2) reu. presenciales - (11) reu. zoom </t>
  </si>
  <si>
    <t>PB</t>
  </si>
  <si>
    <t xml:space="preserve">REM. PATRICIO BUSTOS  - (1) reu. zoom </t>
  </si>
  <si>
    <t>RT</t>
  </si>
  <si>
    <t>REM. RICHARD TOLOZA  - (1) reu. Presenciales REEMBOLSO PEAJES - BOLSSA REGALO</t>
  </si>
  <si>
    <t>CT</t>
  </si>
  <si>
    <t>REM. CHRISTIAN TORRES - (1) reu. presenciales REEMBOLSO SNACK PLENARIAS</t>
  </si>
  <si>
    <t>G 82</t>
  </si>
  <si>
    <t>OK IMPRESO</t>
  </si>
  <si>
    <t>G82</t>
  </si>
  <si>
    <t>Plenarias Las Cruces</t>
  </si>
  <si>
    <t>17 personas</t>
  </si>
  <si>
    <t>2-3-4 de abril 2024</t>
  </si>
  <si>
    <t>Cheque: 221741</t>
  </si>
  <si>
    <t>Cheque 221742 - Ingreso 1095</t>
  </si>
  <si>
    <t>RUT:</t>
  </si>
  <si>
    <t>96635520-4</t>
  </si>
  <si>
    <t>Empresa:</t>
  </si>
  <si>
    <t>Instituto Profesional La Araucana SPA</t>
  </si>
  <si>
    <t>PERIODO ABRIL 2024-MARZO 2025</t>
  </si>
  <si>
    <t>ACUMULADO</t>
  </si>
  <si>
    <t>PATRICIO BUSTOS, JORGE YAÑEZ</t>
  </si>
  <si>
    <r>
      <rPr>
        <b/>
        <sz val="11"/>
        <color theme="7" tint="-0.249977111117893"/>
        <rFont val="Calibri"/>
        <family val="2"/>
        <scheme val="minor"/>
      </rPr>
      <t>Por presentar</t>
    </r>
    <r>
      <rPr>
        <sz val="11"/>
        <rFont val="Calibri"/>
        <family val="2"/>
        <scheme val="minor"/>
      </rPr>
      <t>: Demanda Reglamento Interno. Demanda Premio Vacaciones.</t>
    </r>
  </si>
  <si>
    <t>Asm. Extraordinaria Tema 44 horas</t>
  </si>
  <si>
    <t>reunion extraordinaria 9 mayo 2024</t>
  </si>
  <si>
    <t>TEAMS</t>
  </si>
  <si>
    <t>Reunion DT M. Santana y Dir, ejecutivo Reg. Int.</t>
  </si>
  <si>
    <t>Reacción Pronunciamiento y fiscalizacion.</t>
  </si>
  <si>
    <t>Reacción Renuncia de Xavier Carvajal</t>
  </si>
  <si>
    <t>reunion extraordinaria 4 junio 2024</t>
  </si>
  <si>
    <t>Extraordinaria</t>
  </si>
  <si>
    <t>director 3</t>
  </si>
  <si>
    <t>Alejandra B.</t>
  </si>
  <si>
    <t>Eugenia O.</t>
  </si>
  <si>
    <t>acepta</t>
  </si>
  <si>
    <t>secretario actas</t>
  </si>
  <si>
    <t>Asiste</t>
  </si>
  <si>
    <t>Xavier</t>
  </si>
  <si>
    <t>Ok</t>
  </si>
  <si>
    <t>PAGINA WEB (TEAMS)</t>
  </si>
  <si>
    <t>PROTESTADO</t>
  </si>
  <si>
    <t>AB</t>
  </si>
  <si>
    <t>EO</t>
  </si>
  <si>
    <t>REM. PATRICIO BUSTOS (3) reuniones presencial - (10) reuniones zoom</t>
  </si>
  <si>
    <t>REM. RICHARD TOLOZA  (1) reuniones presencial - (11) reuniones zoom</t>
  </si>
  <si>
    <t>REM. CHRISTIAN TORRES (1) reuniones presencial - (11) reuniones zoom</t>
  </si>
  <si>
    <t>REM. ALEJANDRA BECERRA (2) reuniones zoom</t>
  </si>
  <si>
    <t>REM.  XAVIER CARVAJAL (2) reuniones zoom</t>
  </si>
  <si>
    <t>REM.  ANDREA DIAZ (7) reuniones zoom</t>
  </si>
  <si>
    <t>REM. FELIPE SALAZAR  (4) reuniones zoom</t>
  </si>
  <si>
    <t>REM. EUGENIA ORTIZ (1) asamblea gral. (1) reuniones zoom</t>
  </si>
  <si>
    <r>
      <t xml:space="preserve">Devolución Claudia Villagran por </t>
    </r>
    <r>
      <rPr>
        <b/>
        <sz val="11"/>
        <color theme="1"/>
        <rFont val="Calibri"/>
        <family val="2"/>
        <scheme val="minor"/>
      </rPr>
      <t>mal deposito de $1.521.065</t>
    </r>
    <r>
      <rPr>
        <sz val="11"/>
        <color theme="1"/>
        <rFont val="Calibri"/>
        <family val="2"/>
        <scheme val="minor"/>
      </rPr>
      <t xml:space="preserve"> + $28875 (7) reuniones zoom</t>
    </r>
  </si>
  <si>
    <t>EUGENIA ORTIZ</t>
  </si>
  <si>
    <t>ROTACION</t>
  </si>
  <si>
    <t>Plenaria Zoom</t>
  </si>
  <si>
    <t>Preparacion reunion plenaria zoom</t>
  </si>
  <si>
    <t>Direccion del Trabajo Santiago</t>
  </si>
  <si>
    <t>faltan talonarios</t>
  </si>
  <si>
    <t>Devolucion x error deposito</t>
  </si>
  <si>
    <t>Eugenia Ortis</t>
  </si>
  <si>
    <t>Plenarias Las Cruces abr 2024</t>
  </si>
  <si>
    <t>Santiago</t>
  </si>
  <si>
    <t>PENDIENTE BOLETAS</t>
  </si>
  <si>
    <t>CEL RICHRD 1/2 JUN</t>
  </si>
  <si>
    <t>CEL PATO ABR-MAY-1/2JUN</t>
  </si>
  <si>
    <t>IMPRIMIR</t>
  </si>
  <si>
    <t>ALEJANDRA BECERRA</t>
  </si>
  <si>
    <t>SEC. ACTAS</t>
  </si>
  <si>
    <t>ALEJANDRA B.</t>
  </si>
  <si>
    <t>EUGENIA ORTIS</t>
  </si>
  <si>
    <t>Eugenia Ortiz</t>
  </si>
  <si>
    <t>DEUDA 23-24</t>
  </si>
  <si>
    <t>TEAMS $80.000 (10 MESES)</t>
  </si>
  <si>
    <t>PROPINA FEDERACION</t>
  </si>
  <si>
    <t>PROPINA ASISTENTES</t>
  </si>
  <si>
    <t>ASISTEN</t>
  </si>
  <si>
    <t>BREAK</t>
  </si>
  <si>
    <r>
      <rPr>
        <b/>
        <sz val="11"/>
        <color rgb="FFFF0000"/>
        <rFont val="Calibri"/>
        <family val="2"/>
        <scheme val="minor"/>
      </rPr>
      <t>Demandas activas</t>
    </r>
    <r>
      <rPr>
        <sz val="11"/>
        <rFont val="Calibri"/>
        <family val="2"/>
        <scheme val="minor"/>
      </rPr>
      <t>: Multifuncion, presentada por tienda Trebol, representado por abogado Joaquin Silva. Con esto se le dispara al SAE.</t>
    </r>
  </si>
  <si>
    <t>pagado</t>
  </si>
  <si>
    <t>Objeciones reglamento interno</t>
  </si>
  <si>
    <t>RRHH y Directorio</t>
  </si>
  <si>
    <t>Ley Karin</t>
  </si>
  <si>
    <t>Zoom DT Nacional Joaquin Grille</t>
  </si>
  <si>
    <t>Analisis reunion DT</t>
  </si>
  <si>
    <t>OK</t>
  </si>
  <si>
    <t>DIRECTORIO CURICO (2 DIAS-8 PERS.)</t>
  </si>
  <si>
    <t>Talonarios (3 egresos - 3 ingresos)</t>
  </si>
  <si>
    <t>Pago Plataforma Teams</t>
  </si>
  <si>
    <t>Maria Eugenia Ortiz</t>
  </si>
  <si>
    <t>Santiago-Cco</t>
  </si>
  <si>
    <t>Cco-Santiago</t>
  </si>
  <si>
    <t>Concep-Cco</t>
  </si>
  <si>
    <t>Cco-Concep</t>
  </si>
  <si>
    <t>ABRIL-MAYO-JUNIO(50%)</t>
  </si>
  <si>
    <t>JUNIO(50%) -JULIO-AGOSTO</t>
  </si>
  <si>
    <t>Andrea Dias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</si>
  <si>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</si>
  <si>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</si>
  <si>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</si>
  <si>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</si>
  <si>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</si>
  <si>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</si>
  <si>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</si>
  <si>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</si>
  <si>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Asesor Judicial (Abogado)</t>
  </si>
  <si>
    <t>Joaquin Silva Grille</t>
  </si>
  <si>
    <t>Mensual</t>
  </si>
  <si>
    <t>Abogado</t>
  </si>
  <si>
    <t>REGISTRO TRABAJO DIRECTOR</t>
  </si>
  <si>
    <t>Ingresos x error</t>
  </si>
  <si>
    <t>Presupuesto Restante</t>
  </si>
  <si>
    <t>a)</t>
  </si>
  <si>
    <t>b)</t>
  </si>
  <si>
    <t>c)</t>
  </si>
  <si>
    <t>d)</t>
  </si>
  <si>
    <t>e)</t>
  </si>
  <si>
    <t>f)</t>
  </si>
  <si>
    <t>g)</t>
  </si>
  <si>
    <t>Reg. Int.-Zapato Seg. - Abogado - Demandas</t>
  </si>
  <si>
    <t>Temas abogado 1 (Solange) Reg. Interno</t>
  </si>
  <si>
    <t>Reuniom H Larrain online, DT.</t>
  </si>
  <si>
    <t>Devolución Claudia Villagran por mal deposito de $1.521.065 + $28875 (7) reuniones zoom</t>
  </si>
  <si>
    <t>Pago Abogado Joaquin silva (enero 2024 hasta Agosto 2024)</t>
  </si>
  <si>
    <t>Abogado Claudio</t>
  </si>
  <si>
    <t>Previa de reunión con RRHH</t>
  </si>
  <si>
    <t>Pendientes: RRHH. V. Molfino y Directorio</t>
  </si>
  <si>
    <t>INGRESO POR APORTES</t>
  </si>
  <si>
    <t>abogada rancagua</t>
  </si>
  <si>
    <t>tema SAE Electro y celulares.</t>
  </si>
  <si>
    <t>3 días (1) director</t>
  </si>
  <si>
    <t>PLENARIA VILLARRICA 8-9-10 OCTUBRE 2024</t>
  </si>
  <si>
    <t>VILLARRICA</t>
  </si>
  <si>
    <t>8-9-10 OCTUBRE 2024</t>
  </si>
  <si>
    <t>xavier</t>
  </si>
  <si>
    <t>ruth</t>
  </si>
  <si>
    <t xml:space="preserve">Gonzalo </t>
  </si>
  <si>
    <t>Reembolso</t>
  </si>
  <si>
    <t>decision x abogado y otros</t>
  </si>
  <si>
    <t>Asamblea general, tema abogado</t>
  </si>
  <si>
    <t>PLENARIA ZOOM 29-10-2024</t>
  </si>
  <si>
    <t>Redondeo de temas tratados en Plen. Zoom</t>
  </si>
  <si>
    <t>CUT, CAJA, DIR. NACIONAL</t>
  </si>
  <si>
    <t>ASESORIA ABOGADOS</t>
  </si>
  <si>
    <t>preparacion reuniones lunes 25-11-24</t>
  </si>
  <si>
    <t>Reunion RRHH-DT-CUT-TOBALABA</t>
  </si>
  <si>
    <t>informar a directorio reunion RRHH</t>
  </si>
  <si>
    <t>REUNIONES</t>
  </si>
  <si>
    <t>ABOGADO</t>
  </si>
  <si>
    <t>PAGAR</t>
  </si>
  <si>
    <t>VALOR</t>
  </si>
  <si>
    <t>SEISCIENTOS DIECISIETE MIL CUATROCIENTOS CUARENTA Y DOS</t>
  </si>
  <si>
    <t>Pago Plenarias VILLARRICA 9-10-11 del 2024</t>
  </si>
  <si>
    <t>pago directores y otros</t>
  </si>
  <si>
    <t>Reunion SEREMI del trabajo</t>
  </si>
  <si>
    <t>DT: Miguel Santana, Carla Gonzalez</t>
  </si>
  <si>
    <t>Continuacion y analisis</t>
  </si>
  <si>
    <t>total (2)</t>
  </si>
  <si>
    <t>TOTAL (2)</t>
  </si>
  <si>
    <t>falta depositar</t>
  </si>
  <si>
    <t>reunion especial navidad y avances</t>
  </si>
  <si>
    <t>CT-PB</t>
  </si>
  <si>
    <t>prep. visita curico y demanda</t>
  </si>
  <si>
    <t>Patrico Bustos</t>
  </si>
  <si>
    <t>SEPTIEMBRE</t>
  </si>
  <si>
    <t>ABOGADOS</t>
  </si>
  <si>
    <t>SEPTIEMBRE Y OCTUBRE</t>
  </si>
  <si>
    <t>PLATAFORMA TEAMS</t>
  </si>
  <si>
    <t>OTROS</t>
  </si>
  <si>
    <t>LLAVEROS PLENARIAS</t>
  </si>
  <si>
    <t>PAGO VIATICOS IQUIQUE PLENARIAS</t>
  </si>
  <si>
    <t>PAGO ABOGADO JOAQUIN SILVA G.</t>
  </si>
  <si>
    <t>BUFETE ABOGADOS</t>
  </si>
  <si>
    <t>CAROLINA FREDES</t>
  </si>
  <si>
    <t>MARCO TORO</t>
  </si>
  <si>
    <t>Viaticos</t>
  </si>
  <si>
    <t>TEAMS-ene25</t>
  </si>
  <si>
    <t>Claudia villagran</t>
  </si>
  <si>
    <t>Envio doc.</t>
  </si>
  <si>
    <t>remuneracion</t>
  </si>
  <si>
    <t xml:space="preserve">SUBTOTAL </t>
  </si>
  <si>
    <t>TOTAL A PAGAR</t>
  </si>
  <si>
    <t>PAGADO 62810</t>
  </si>
  <si>
    <t>celular presidente</t>
  </si>
  <si>
    <t>nov24-ene25-feb25-mar25</t>
  </si>
  <si>
    <t>TOTAL GASTO</t>
  </si>
  <si>
    <t>DIFERENCIA</t>
  </si>
  <si>
    <t>cheque : 221751</t>
  </si>
  <si>
    <t>Remuneracion  directores</t>
  </si>
  <si>
    <t>Reembolsos</t>
  </si>
  <si>
    <t>Remuneracion</t>
  </si>
  <si>
    <t>Celular</t>
  </si>
  <si>
    <t>Subtotal</t>
  </si>
  <si>
    <t>Director</t>
  </si>
  <si>
    <t>Un millon doce mil setecientos treinta y cinco.</t>
  </si>
  <si>
    <t>Pagado</t>
  </si>
  <si>
    <t>stm</t>
  </si>
  <si>
    <t>srm</t>
  </si>
  <si>
    <t>spm</t>
  </si>
  <si>
    <t>spn</t>
  </si>
  <si>
    <t>sic</t>
  </si>
  <si>
    <t>scc</t>
  </si>
  <si>
    <t>mi cuenta ok</t>
  </si>
  <si>
    <t>fed</t>
  </si>
  <si>
    <t>sofia</t>
  </si>
  <si>
    <t>2 coke</t>
  </si>
  <si>
    <t>dev fedearcion</t>
  </si>
  <si>
    <t>me queda</t>
  </si>
  <si>
    <t>Reunion Alejandra Sepulveda (flex-jornada- multifun)</t>
  </si>
  <si>
    <t>tema feriado viernes santo</t>
  </si>
  <si>
    <t>reunion arzobispo feriado viernes santo</t>
  </si>
  <si>
    <t>por pagar en marzo 2025</t>
  </si>
  <si>
    <t>cheque 221752</t>
  </si>
  <si>
    <t>Total marzo 2025</t>
  </si>
  <si>
    <t>teams</t>
  </si>
  <si>
    <t>Reunion Zoom Realizacion programa plenarias</t>
  </si>
  <si>
    <t>tema calculo de vacaciones y excel richard</t>
  </si>
  <si>
    <t>2023-2024</t>
  </si>
  <si>
    <t>TOTAL SOCIOS</t>
  </si>
  <si>
    <t>Ingresos</t>
  </si>
  <si>
    <t>Proyeccion</t>
  </si>
  <si>
    <t>DIC 24- ENE25 -FEB 25-MAR-25</t>
  </si>
  <si>
    <t>ENE 25 - FEB 25</t>
  </si>
  <si>
    <t>DEPOSITO FIRMA DOC. DIRECTORIO</t>
  </si>
  <si>
    <t>PASAJES Y METRO</t>
  </si>
  <si>
    <t>LEONARDO BARRA (ABOGADO)</t>
  </si>
  <si>
    <t>ASESORIA LABORAL FEDERACION</t>
  </si>
  <si>
    <t>REUNION ESPECIAL CURICO</t>
  </si>
  <si>
    <t>DOS MILLONES CIENTO CUARENTA Y TRES MIL SETECIENTOS CINCUENTA Y CUATRO.</t>
  </si>
  <si>
    <t>MONTO ADIONAL PLENARIAS POR SOBRE COTIZACION</t>
  </si>
  <si>
    <t>X PERSONA POR DIA</t>
  </si>
  <si>
    <t xml:space="preserve">X PERSONA </t>
  </si>
  <si>
    <t>TOTAL MES DE MARZO 25</t>
  </si>
  <si>
    <t>CHEQUE (PLENARIAS)</t>
  </si>
  <si>
    <t>CHEQUE DIR</t>
  </si>
  <si>
    <t>Cheque (abogados)</t>
  </si>
  <si>
    <t>sandwich chinito</t>
  </si>
  <si>
    <t>MALL</t>
  </si>
  <si>
    <t>VACIO</t>
  </si>
  <si>
    <t>Paulina Iturrieta</t>
  </si>
  <si>
    <t>CENTRO</t>
  </si>
  <si>
    <t>CLAVE_TREBOL</t>
  </si>
  <si>
    <t>CLAVE_RANCAGUA</t>
  </si>
  <si>
    <t>CLAVE_PUERTOMONTT</t>
  </si>
  <si>
    <t>CLAVE_PLAZANORTE</t>
  </si>
  <si>
    <t>CLAVE_IQUIQUE</t>
  </si>
  <si>
    <t>scm</t>
  </si>
  <si>
    <t>Z</t>
  </si>
  <si>
    <t>Y</t>
  </si>
  <si>
    <t>X</t>
  </si>
  <si>
    <t>W</t>
  </si>
  <si>
    <t>V</t>
  </si>
  <si>
    <t>U</t>
  </si>
  <si>
    <t>CLAVE_CURICO</t>
  </si>
  <si>
    <t>T</t>
  </si>
  <si>
    <t>S</t>
  </si>
  <si>
    <t>R</t>
  </si>
  <si>
    <t>Q</t>
  </si>
  <si>
    <t>P</t>
  </si>
  <si>
    <t>O</t>
  </si>
  <si>
    <t>N</t>
  </si>
  <si>
    <t>M</t>
  </si>
  <si>
    <t>L</t>
  </si>
  <si>
    <t>K</t>
  </si>
  <si>
    <t>CLAVE_COSTANERA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</si>
  <si>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</si>
  <si>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</si>
  <si>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</si>
  <si>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</si>
  <si>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</si>
  <si>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</si>
  <si>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</si>
  <si>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</si>
  <si>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</si>
  <si>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</si>
  <si>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CLAVE_CONCEPCION</t>
  </si>
  <si>
    <t>fthf1999</t>
  </si>
  <si>
    <t>CODIGO_ACCESO</t>
  </si>
  <si>
    <t>HCA Chile S.A.</t>
  </si>
  <si>
    <t>Rut 96,871,080-k</t>
  </si>
  <si>
    <t>Banco Santander</t>
  </si>
  <si>
    <t>Cta Corriente</t>
  </si>
  <si>
    <t>solylago@novoacia.cl</t>
  </si>
  <si>
    <t>depositado</t>
  </si>
  <si>
    <t>me quedan!!!!!</t>
  </si>
  <si>
    <t>Voto</t>
  </si>
  <si>
    <t>PLENARIA VILLARRICA 25-26-27 marzo 2025</t>
  </si>
  <si>
    <t>Carolina Saldivia</t>
  </si>
  <si>
    <t>43461</t>
  </si>
  <si>
    <t>5934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</si>
</sst>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 &quot;$&quot;* #,##0_ ;_ &quot;$&quot;* \-#,##0_ ;_ &quot;$&quot;* &quot;-&quot;_ ;_ @_ "/>
    <numFmt numFmtId="164" formatCode="_(&quot;$&quot;* #,##0_);_(&quot;$&quot;* \(#,##0\);_(&quot;$&quot;* &quot;-&quot;_);_(@_)"/>
    <numFmt numFmtId="165" formatCode="&quot;$&quot;#,##0_);[Red]\(&quot;$&quot;#,##0\)"/>
    <numFmt numFmtId="166" formatCode="_(* #,##0_);_(* \(#,##0\);_(* &quot;-&quot;_);_(@_)"/>
    <numFmt numFmtId="167" formatCode="dd/mm/yy"/>
    <numFmt numFmtId="168" formatCode="0.0%"/>
    <numFmt numFmtId="169" formatCode="_-* #,##0.00_-;\-* #,##0.00_-;_-* &quot;-&quot;??_-;_-@_-"/>
    <numFmt numFmtId="170" formatCode="_-&quot;$&quot;\ * #,##0.00_-;\-&quot;$&quot;\ * #,##0.00_-;_-&quot;$&quot;\ * &quot;-&quot;??_-;_-@_-"/>
    <numFmt numFmtId="171" formatCode="_-&quot;$&quot;\ * #,##0.0_-;\-&quot;$&quot;\ * #,##0.0_-;_-&quot;$&quot;\ * &quot;-&quot;??_-;_-@_-"/>
    <numFmt numFmtId="172" formatCode="_-&quot;$&quot;\ * #,##0_-;\-&quot;$&quot;\ * #,##0_-;_-&quot;$&quot;\ * &quot;-&quot;??_-;_-@_-"/>
    <numFmt numFmtId="173" formatCode="_-* #,##0_-;\-* #,##0_-;_-* &quot;-&quot;??_-;_-@_-"/>
    <numFmt numFmtId="174" formatCode="#,##0_ ;[Red]\-#,##0\ "/>
    <numFmt numFmtId="175" formatCode="&quot;$&quot;\ #,##0;[Red]\-&quot;$&quot;\ #,##0"/>
    <numFmt numFmtId="176" formatCode="&quot;$&quot;#,##0"/>
    <numFmt numFmtId="177" formatCode="0.0&quot; hr.&quot;"/>
    <numFmt numFmtId="178" formatCode="dd/mm/yy;@"/>
    <numFmt numFmtId="179" formatCode="dd/mm/yyyy;@"/>
    <numFmt numFmtId="180" formatCode="#,##0.0;[Red]\-#,##0.0%"/>
    <numFmt numFmtId="181" formatCode="_ [$$-340A]* #,##0_ ;_ [$$-340A]* \-#,##0_ ;_ [$$-340A]* &quot;-&quot;??_ ;_ @_ "/>
  </numFmts>
  <fonts count="6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Stencil"/>
      <family val="5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66FF3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orbel Light"/>
      <family val="2"/>
    </font>
    <font>
      <b/>
      <sz val="11"/>
      <color rgb="FFFFFF00"/>
      <name val="Franklin Gothic Book"/>
      <family val="2"/>
    </font>
    <font>
      <sz val="11"/>
      <color theme="1"/>
      <name val="Franklin Gothic Book"/>
      <family val="2"/>
    </font>
    <font>
      <sz val="11"/>
      <name val="Franklin Gothic Book"/>
      <family val="2"/>
    </font>
    <font>
      <sz val="11"/>
      <color rgb="FFFF0000"/>
      <name val="Franklin Gothic Book"/>
      <family val="2"/>
    </font>
    <font>
      <b/>
      <sz val="11"/>
      <color theme="1"/>
      <name val="Corbel Light"/>
      <family val="2"/>
    </font>
    <font>
      <sz val="14"/>
      <name val="Arial"/>
      <family val="2"/>
    </font>
    <font>
      <sz val="11"/>
      <name val="Arial"/>
      <family val="2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24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2"/>
      <name val="Arial"/>
      <family val="2"/>
    </font>
    <font>
      <b/>
      <sz val="10"/>
      <color rgb="FF66FF66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rgb="FFFF000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i/>
      <sz val="10"/>
      <name val="Calibri"/>
      <family val="2"/>
      <scheme val="minor"/>
    </font>
    <font>
      <sz val="14"/>
      <color rgb="FFFF0000"/>
      <name val="Arial"/>
      <family val="2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rgb="FF30F042"/>
        <bgColor indexed="64"/>
      </patternFill>
    </fill>
    <fill>
      <patternFill patternType="solid">
        <fgColor theme="5" tint="0.59999389629810485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/>
      </left>
      <right/>
      <top style="thin">
        <color theme="8"/>
      </top>
      <bottom style="medium">
        <color theme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22" borderId="46" applyNumberFormat="0" applyFont="0" applyAlignment="0" applyProtection="0"/>
  </cellStyleXfs>
  <cellXfs count="1068">
    <xf numFmtId="0" fontId="0" fillId="0" borderId="0" xfId="0"/>
    <xf numFmtId="0" fontId="14" fillId="0" borderId="1" xfId="0" applyFont="1" applyFill="1" applyBorder="1" applyProtection="1">
      <protection hidden="1"/>
    </xf>
    <xf numFmtId="17" fontId="20" fillId="0" borderId="0" xfId="4" applyNumberFormat="1" applyFont="1" applyFill="1" applyAlignment="1" applyProtection="1">
      <alignment horizontal="center"/>
      <protection hidden="1"/>
    </xf>
    <xf numFmtId="0" fontId="20" fillId="0" borderId="0" xfId="0" applyFont="1" applyFill="1" applyAlignment="1" applyProtection="1">
      <alignment horizontal="left"/>
      <protection hidden="1"/>
    </xf>
    <xf numFmtId="172" fontId="20" fillId="0" borderId="0" xfId="5" applyNumberFormat="1" applyFont="1" applyFill="1" applyAlignment="1" applyProtection="1">
      <alignment horizontal="center"/>
      <protection hidden="1"/>
    </xf>
    <xf numFmtId="173" fontId="20" fillId="0" borderId="0" xfId="4" applyNumberFormat="1" applyFont="1" applyFill="1" applyAlignment="1" applyProtection="1">
      <alignment horizontal="center"/>
      <protection hidden="1"/>
    </xf>
    <xf numFmtId="0" fontId="20" fillId="0" borderId="0" xfId="0" applyFont="1" applyFill="1" applyAlignment="1" applyProtection="1">
      <alignment horizontal="center"/>
      <protection hidden="1"/>
    </xf>
    <xf numFmtId="168" fontId="14" fillId="0" borderId="0" xfId="3" applyNumberFormat="1" applyFont="1" applyFill="1" applyProtection="1">
      <protection hidden="1"/>
    </xf>
    <xf numFmtId="0" fontId="14" fillId="0" borderId="0" xfId="0" applyFont="1" applyFill="1" applyProtection="1">
      <protection hidden="1"/>
    </xf>
    <xf numFmtId="174" fontId="14" fillId="0" borderId="0" xfId="4" applyNumberFormat="1" applyFont="1" applyFill="1" applyAlignment="1" applyProtection="1">
      <alignment horizontal="right"/>
      <protection hidden="1"/>
    </xf>
    <xf numFmtId="171" fontId="14" fillId="0" borderId="12" xfId="4" applyNumberFormat="1" applyFont="1" applyFill="1" applyBorder="1" applyAlignment="1" applyProtection="1">
      <alignment horizontal="left"/>
      <protection hidden="1"/>
    </xf>
    <xf numFmtId="172" fontId="14" fillId="0" borderId="13" xfId="5" applyNumberFormat="1" applyFont="1" applyFill="1" applyBorder="1" applyAlignment="1" applyProtection="1">
      <alignment horizontal="right"/>
      <protection hidden="1"/>
    </xf>
    <xf numFmtId="171" fontId="14" fillId="0" borderId="14" xfId="4" applyNumberFormat="1" applyFont="1" applyFill="1" applyBorder="1" applyAlignment="1" applyProtection="1">
      <alignment horizontal="left"/>
      <protection hidden="1"/>
    </xf>
    <xf numFmtId="171" fontId="14" fillId="0" borderId="6" xfId="4" applyNumberFormat="1" applyFont="1" applyFill="1" applyBorder="1" applyAlignment="1" applyProtection="1">
      <alignment horizontal="left"/>
      <protection hidden="1"/>
    </xf>
    <xf numFmtId="172" fontId="14" fillId="0" borderId="8" xfId="5" applyNumberFormat="1" applyFont="1" applyFill="1" applyBorder="1" applyAlignment="1" applyProtection="1">
      <alignment horizontal="right"/>
      <protection hidden="1"/>
    </xf>
    <xf numFmtId="17" fontId="14" fillId="0" borderId="0" xfId="0" applyNumberFormat="1" applyFont="1" applyFill="1" applyProtection="1">
      <protection hidden="1"/>
    </xf>
    <xf numFmtId="172" fontId="14" fillId="0" borderId="0" xfId="0" applyNumberFormat="1" applyFont="1" applyFill="1" applyProtection="1">
      <protection hidden="1"/>
    </xf>
    <xf numFmtId="173" fontId="14" fillId="0" borderId="0" xfId="4" applyNumberFormat="1" applyFont="1" applyFill="1" applyProtection="1">
      <protection hidden="1"/>
    </xf>
    <xf numFmtId="164" fontId="14" fillId="0" borderId="0" xfId="2" applyFont="1" applyFill="1" applyProtection="1">
      <protection hidden="1"/>
    </xf>
    <xf numFmtId="168" fontId="14" fillId="0" borderId="0" xfId="3" applyNumberFormat="1" applyFont="1" applyFill="1" applyAlignment="1" applyProtection="1">
      <alignment horizontal="right"/>
      <protection hidden="1"/>
    </xf>
    <xf numFmtId="0" fontId="14" fillId="0" borderId="0" xfId="0" applyFont="1" applyFill="1" applyAlignment="1" applyProtection="1">
      <alignment horizontal="left"/>
      <protection hidden="1"/>
    </xf>
    <xf numFmtId="0" fontId="14" fillId="0" borderId="0" xfId="0" applyFont="1" applyFill="1" applyAlignment="1" applyProtection="1">
      <alignment horizontal="center"/>
      <protection hidden="1"/>
    </xf>
    <xf numFmtId="171" fontId="14" fillId="0" borderId="15" xfId="4" applyNumberFormat="1" applyFont="1" applyFill="1" applyBorder="1" applyAlignment="1" applyProtection="1">
      <alignment horizontal="left"/>
      <protection hidden="1"/>
    </xf>
    <xf numFmtId="0" fontId="0" fillId="0" borderId="0" xfId="0" applyFont="1" applyProtection="1">
      <protection hidden="1"/>
    </xf>
    <xf numFmtId="9" fontId="0" fillId="0" borderId="0" xfId="3" applyFont="1" applyAlignment="1" applyProtection="1">
      <alignment horizontal="center"/>
      <protection hidden="1"/>
    </xf>
    <xf numFmtId="9" fontId="0" fillId="0" borderId="0" xfId="0" applyNumberFormat="1" applyFont="1" applyAlignment="1" applyProtection="1">
      <alignment horizontal="center"/>
      <protection hidden="1"/>
    </xf>
    <xf numFmtId="164" fontId="0" fillId="0" borderId="0" xfId="0" applyNumberFormat="1" applyFont="1" applyProtection="1">
      <protection hidden="1"/>
    </xf>
    <xf numFmtId="0" fontId="0" fillId="0" borderId="0" xfId="0" applyFont="1" applyBorder="1" applyProtection="1">
      <protection hidden="1"/>
    </xf>
    <xf numFmtId="164" fontId="0" fillId="0" borderId="0" xfId="0" applyNumberFormat="1" applyFont="1" applyBorder="1" applyProtection="1"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5" xfId="0" applyFont="1" applyBorder="1" applyProtection="1">
      <protection hidden="1"/>
    </xf>
    <xf numFmtId="0" fontId="14" fillId="0" borderId="0" xfId="0" applyFont="1" applyBorder="1" applyAlignment="1" applyProtection="1">
      <alignment horizontal="left" vertical="center"/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0" fillId="0" borderId="0" xfId="0" applyFont="1" applyBorder="1" applyAlignment="1" applyProtection="1">
      <alignment horizontal="center"/>
      <protection hidden="1"/>
    </xf>
    <xf numFmtId="164" fontId="0" fillId="0" borderId="15" xfId="2" applyFont="1" applyBorder="1" applyProtection="1">
      <protection hidden="1"/>
    </xf>
    <xf numFmtId="0" fontId="14" fillId="0" borderId="15" xfId="0" applyFont="1" applyFill="1" applyBorder="1" applyProtection="1">
      <protection hidden="1"/>
    </xf>
    <xf numFmtId="164" fontId="0" fillId="0" borderId="5" xfId="2" applyFont="1" applyBorder="1" applyProtection="1">
      <protection hidden="1"/>
    </xf>
    <xf numFmtId="0" fontId="14" fillId="0" borderId="5" xfId="0" applyFont="1" applyFill="1" applyBorder="1" applyProtection="1">
      <protection hidden="1"/>
    </xf>
    <xf numFmtId="164" fontId="0" fillId="0" borderId="0" xfId="0" applyNumberFormat="1" applyFont="1" applyBorder="1" applyAlignment="1" applyProtection="1">
      <alignment horizontal="center"/>
      <protection hidden="1"/>
    </xf>
    <xf numFmtId="9" fontId="0" fillId="0" borderId="0" xfId="3" applyFont="1" applyBorder="1" applyAlignment="1" applyProtection="1">
      <alignment horizontal="center"/>
      <protection hidden="1"/>
    </xf>
    <xf numFmtId="164" fontId="0" fillId="0" borderId="0" xfId="2" applyFont="1" applyBorder="1" applyProtection="1">
      <protection hidden="1"/>
    </xf>
    <xf numFmtId="0" fontId="14" fillId="0" borderId="0" xfId="0" applyFont="1" applyFill="1" applyBorder="1" applyProtection="1">
      <protection hidden="1"/>
    </xf>
    <xf numFmtId="164" fontId="0" fillId="0" borderId="0" xfId="2" applyFont="1" applyBorder="1" applyAlignment="1" applyProtection="1">
      <alignment horizontal="center"/>
      <protection hidden="1"/>
    </xf>
    <xf numFmtId="164" fontId="18" fillId="0" borderId="0" xfId="2" applyFont="1" applyBorder="1" applyAlignment="1" applyProtection="1">
      <alignment horizontal="center"/>
      <protection hidden="1"/>
    </xf>
    <xf numFmtId="0" fontId="20" fillId="0" borderId="0" xfId="0" applyFont="1" applyFill="1" applyBorder="1" applyAlignment="1" applyProtection="1">
      <alignment horizontal="center"/>
      <protection hidden="1"/>
    </xf>
    <xf numFmtId="164" fontId="20" fillId="0" borderId="0" xfId="2" applyFont="1" applyFill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/>
      <protection hidden="1"/>
    </xf>
    <xf numFmtId="0" fontId="0" fillId="0" borderId="0" xfId="0" applyNumberFormat="1" applyFont="1" applyBorder="1" applyAlignment="1" applyProtection="1">
      <alignment horizontal="center"/>
      <protection hidden="1"/>
    </xf>
    <xf numFmtId="0" fontId="17" fillId="0" borderId="0" xfId="0" applyFont="1" applyFill="1" applyBorder="1" applyProtection="1">
      <protection hidden="1"/>
    </xf>
    <xf numFmtId="164" fontId="20" fillId="0" borderId="0" xfId="2" applyFont="1" applyFill="1" applyBorder="1" applyProtection="1">
      <protection hidden="1"/>
    </xf>
    <xf numFmtId="20" fontId="0" fillId="0" borderId="0" xfId="0" applyNumberFormat="1" applyFont="1" applyBorder="1" applyProtection="1">
      <protection hidden="1"/>
    </xf>
    <xf numFmtId="168" fontId="14" fillId="0" borderId="0" xfId="3" applyNumberFormat="1" applyFont="1" applyFill="1" applyAlignment="1" applyProtection="1">
      <alignment horizontal="center"/>
      <protection hidden="1"/>
    </xf>
    <xf numFmtId="0" fontId="20" fillId="0" borderId="0" xfId="0" applyFont="1" applyFill="1" applyProtection="1">
      <protection hidden="1"/>
    </xf>
    <xf numFmtId="166" fontId="20" fillId="0" borderId="0" xfId="1" applyFont="1" applyFill="1" applyAlignment="1" applyProtection="1">
      <alignment horizontal="center"/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164" fontId="14" fillId="0" borderId="1" xfId="2" applyFont="1" applyFill="1" applyBorder="1" applyProtection="1">
      <protection hidden="1"/>
    </xf>
    <xf numFmtId="164" fontId="20" fillId="0" borderId="1" xfId="2" applyFont="1" applyFill="1" applyBorder="1" applyProtection="1">
      <protection hidden="1"/>
    </xf>
    <xf numFmtId="164" fontId="14" fillId="0" borderId="0" xfId="0" applyNumberFormat="1" applyFont="1" applyFill="1" applyProtection="1">
      <protection hidden="1"/>
    </xf>
    <xf numFmtId="0" fontId="14" fillId="0" borderId="1" xfId="0" applyFont="1" applyFill="1" applyBorder="1" applyAlignment="1" applyProtection="1">
      <alignment horizontal="left"/>
      <protection hidden="1"/>
    </xf>
    <xf numFmtId="164" fontId="14" fillId="0" borderId="1" xfId="2" applyFont="1" applyFill="1" applyBorder="1" applyAlignment="1" applyProtection="1">
      <alignment horizontal="center"/>
      <protection hidden="1"/>
    </xf>
    <xf numFmtId="164" fontId="14" fillId="0" borderId="5" xfId="2" applyFont="1" applyFill="1" applyBorder="1" applyAlignment="1" applyProtection="1">
      <alignment horizontal="center"/>
      <protection hidden="1"/>
    </xf>
    <xf numFmtId="168" fontId="19" fillId="0" borderId="0" xfId="3" applyNumberFormat="1" applyFont="1" applyFill="1" applyBorder="1" applyAlignment="1" applyProtection="1">
      <alignment wrapText="1"/>
      <protection hidden="1"/>
    </xf>
    <xf numFmtId="0" fontId="20" fillId="0" borderId="1" xfId="0" applyFont="1" applyFill="1" applyBorder="1" applyAlignment="1" applyProtection="1">
      <alignment horizontal="left"/>
      <protection hidden="1"/>
    </xf>
    <xf numFmtId="0" fontId="20" fillId="0" borderId="1" xfId="0" applyFont="1" applyFill="1" applyBorder="1" applyAlignment="1" applyProtection="1">
      <alignment horizontal="center"/>
      <protection hidden="1"/>
    </xf>
    <xf numFmtId="0" fontId="14" fillId="0" borderId="1" xfId="0" applyFont="1" applyFill="1" applyBorder="1" applyAlignment="1" applyProtection="1">
      <alignment horizontal="center"/>
      <protection hidden="1"/>
    </xf>
    <xf numFmtId="164" fontId="20" fillId="0" borderId="1" xfId="2" applyFont="1" applyFill="1" applyBorder="1" applyAlignment="1" applyProtection="1">
      <alignment horizontal="center"/>
      <protection hidden="1"/>
    </xf>
    <xf numFmtId="0" fontId="14" fillId="0" borderId="5" xfId="0" applyFont="1" applyFill="1" applyBorder="1" applyAlignment="1" applyProtection="1">
      <alignment horizontal="center"/>
      <protection hidden="1"/>
    </xf>
    <xf numFmtId="164" fontId="20" fillId="0" borderId="5" xfId="2" applyFont="1" applyFill="1" applyBorder="1" applyAlignment="1" applyProtection="1">
      <alignment horizontal="center"/>
      <protection hidden="1"/>
    </xf>
    <xf numFmtId="166" fontId="20" fillId="0" borderId="0" xfId="1" applyFont="1" applyFill="1" applyBorder="1" applyProtection="1">
      <protection hidden="1"/>
    </xf>
    <xf numFmtId="166" fontId="14" fillId="0" borderId="0" xfId="0" applyNumberFormat="1" applyFont="1" applyFill="1" applyProtection="1">
      <protection hidden="1"/>
    </xf>
    <xf numFmtId="166" fontId="14" fillId="0" borderId="0" xfId="1" applyFont="1" applyFill="1" applyProtection="1">
      <protection hidden="1"/>
    </xf>
    <xf numFmtId="1" fontId="14" fillId="0" borderId="1" xfId="1" applyNumberFormat="1" applyFont="1" applyFill="1" applyBorder="1" applyAlignment="1" applyProtection="1">
      <alignment horizontal="center"/>
      <protection hidden="1"/>
    </xf>
    <xf numFmtId="0" fontId="20" fillId="0" borderId="0" xfId="0" applyFont="1" applyFill="1" applyBorder="1" applyProtection="1">
      <protection hidden="1"/>
    </xf>
    <xf numFmtId="0" fontId="14" fillId="0" borderId="2" xfId="0" applyFont="1" applyFill="1" applyBorder="1" applyProtection="1">
      <protection hidden="1"/>
    </xf>
    <xf numFmtId="10" fontId="14" fillId="0" borderId="0" xfId="3" applyNumberFormat="1" applyFont="1" applyFill="1" applyProtection="1">
      <protection hidden="1"/>
    </xf>
    <xf numFmtId="164" fontId="14" fillId="0" borderId="0" xfId="2" applyFont="1" applyFill="1" applyBorder="1" applyAlignment="1" applyProtection="1">
      <alignment horizontal="center"/>
      <protection hidden="1"/>
    </xf>
    <xf numFmtId="164" fontId="14" fillId="0" borderId="0" xfId="2" applyFont="1" applyFill="1" applyBorder="1" applyProtection="1">
      <protection hidden="1"/>
    </xf>
    <xf numFmtId="0" fontId="14" fillId="0" borderId="1" xfId="0" applyFont="1" applyFill="1" applyBorder="1" applyAlignment="1" applyProtection="1">
      <alignment wrapText="1"/>
      <protection hidden="1"/>
    </xf>
    <xf numFmtId="164" fontId="0" fillId="0" borderId="0" xfId="0" applyNumberFormat="1" applyFont="1" applyFill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Fill="1" applyBorder="1" applyAlignment="1" applyProtection="1">
      <protection hidden="1"/>
    </xf>
    <xf numFmtId="0" fontId="14" fillId="0" borderId="11" xfId="0" applyFont="1" applyFill="1" applyBorder="1" applyProtection="1">
      <protection hidden="1"/>
    </xf>
    <xf numFmtId="0" fontId="0" fillId="0" borderId="14" xfId="0" applyFont="1" applyBorder="1" applyProtection="1">
      <protection hidden="1"/>
    </xf>
    <xf numFmtId="164" fontId="0" fillId="0" borderId="14" xfId="2" applyFont="1" applyBorder="1" applyProtection="1">
      <protection hidden="1"/>
    </xf>
    <xf numFmtId="0" fontId="14" fillId="0" borderId="13" xfId="0" applyFont="1" applyFill="1" applyBorder="1" applyProtection="1">
      <protection hidden="1"/>
    </xf>
    <xf numFmtId="0" fontId="0" fillId="0" borderId="15" xfId="0" applyFont="1" applyBorder="1" applyProtection="1">
      <protection hidden="1"/>
    </xf>
    <xf numFmtId="0" fontId="14" fillId="0" borderId="8" xfId="0" applyFont="1" applyFill="1" applyBorder="1" applyProtection="1">
      <protection hidden="1"/>
    </xf>
    <xf numFmtId="0" fontId="18" fillId="0" borderId="5" xfId="0" applyFont="1" applyBorder="1" applyProtection="1">
      <protection hidden="1"/>
    </xf>
    <xf numFmtId="164" fontId="18" fillId="0" borderId="5" xfId="2" applyFont="1" applyBorder="1" applyProtection="1">
      <protection hidden="1"/>
    </xf>
    <xf numFmtId="0" fontId="18" fillId="0" borderId="15" xfId="0" applyFont="1" applyFill="1" applyBorder="1" applyProtection="1">
      <protection hidden="1"/>
    </xf>
    <xf numFmtId="164" fontId="18" fillId="0" borderId="15" xfId="2" applyFont="1" applyBorder="1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 vertical="center" wrapText="1"/>
      <protection hidden="1"/>
    </xf>
    <xf numFmtId="0" fontId="0" fillId="0" borderId="0" xfId="0" applyBorder="1"/>
    <xf numFmtId="0" fontId="0" fillId="0" borderId="0" xfId="0" applyProtection="1">
      <protection hidden="1"/>
    </xf>
    <xf numFmtId="0" fontId="2" fillId="4" borderId="0" xfId="0" applyFont="1" applyFill="1" applyProtection="1">
      <protection hidden="1"/>
    </xf>
    <xf numFmtId="164" fontId="2" fillId="4" borderId="0" xfId="2" applyFont="1" applyFill="1" applyProtection="1">
      <protection hidden="1"/>
    </xf>
    <xf numFmtId="0" fontId="0" fillId="0" borderId="0" xfId="0" applyFont="1" applyAlignment="1" applyProtection="1">
      <alignment horizontal="left"/>
      <protection hidden="1"/>
    </xf>
    <xf numFmtId="0" fontId="0" fillId="0" borderId="0" xfId="0" applyBorder="1" applyAlignment="1" applyProtection="1">
      <alignment horizontal="left" vertical="center" wrapText="1"/>
      <protection hidden="1"/>
    </xf>
    <xf numFmtId="0" fontId="18" fillId="0" borderId="0" xfId="0" applyFont="1" applyBorder="1" applyAlignment="1" applyProtection="1">
      <alignment horizontal="left" vertical="center" wrapText="1"/>
      <protection hidden="1"/>
    </xf>
    <xf numFmtId="0" fontId="14" fillId="0" borderId="12" xfId="0" applyFont="1" applyFill="1" applyBorder="1" applyAlignment="1" applyProtection="1">
      <alignment wrapText="1"/>
      <protection hidden="1"/>
    </xf>
    <xf numFmtId="0" fontId="14" fillId="0" borderId="12" xfId="0" applyFont="1" applyFill="1" applyBorder="1" applyProtection="1">
      <protection hidden="1"/>
    </xf>
    <xf numFmtId="0" fontId="26" fillId="0" borderId="0" xfId="0" applyFont="1" applyFill="1" applyProtection="1">
      <protection hidden="1"/>
    </xf>
    <xf numFmtId="0" fontId="14" fillId="0" borderId="12" xfId="0" applyFont="1" applyFill="1" applyBorder="1" applyAlignment="1" applyProtection="1">
      <alignment vertical="center"/>
      <protection hidden="1"/>
    </xf>
    <xf numFmtId="0" fontId="14" fillId="0" borderId="9" xfId="0" applyFont="1" applyFill="1" applyBorder="1" applyAlignment="1" applyProtection="1">
      <alignment vertical="center"/>
      <protection hidden="1"/>
    </xf>
    <xf numFmtId="0" fontId="14" fillId="0" borderId="6" xfId="0" applyFont="1" applyFill="1" applyBorder="1" applyAlignment="1" applyProtection="1">
      <alignment vertical="center"/>
      <protection hidden="1"/>
    </xf>
    <xf numFmtId="0" fontId="20" fillId="8" borderId="2" xfId="0" applyFont="1" applyFill="1" applyBorder="1" applyProtection="1">
      <protection hidden="1"/>
    </xf>
    <xf numFmtId="164" fontId="20" fillId="8" borderId="3" xfId="2" applyFont="1" applyFill="1" applyBorder="1" applyProtection="1">
      <protection hidden="1"/>
    </xf>
    <xf numFmtId="164" fontId="20" fillId="8" borderId="4" xfId="2" applyFont="1" applyFill="1" applyBorder="1" applyProtection="1">
      <protection hidden="1"/>
    </xf>
    <xf numFmtId="166" fontId="20" fillId="8" borderId="2" xfId="1" applyFont="1" applyFill="1" applyBorder="1" applyProtection="1">
      <protection hidden="1"/>
    </xf>
    <xf numFmtId="0" fontId="14" fillId="8" borderId="3" xfId="0" applyFont="1" applyFill="1" applyBorder="1" applyProtection="1">
      <protection hidden="1"/>
    </xf>
    <xf numFmtId="164" fontId="14" fillId="8" borderId="3" xfId="2" applyFont="1" applyFill="1" applyBorder="1" applyProtection="1">
      <protection hidden="1"/>
    </xf>
    <xf numFmtId="164" fontId="14" fillId="8" borderId="0" xfId="0" applyNumberFormat="1" applyFont="1" applyFill="1" applyBorder="1" applyProtection="1">
      <protection hidden="1"/>
    </xf>
    <xf numFmtId="164" fontId="20" fillId="8" borderId="0" xfId="0" applyNumberFormat="1" applyFont="1" applyFill="1" applyBorder="1" applyProtection="1">
      <protection hidden="1"/>
    </xf>
    <xf numFmtId="164" fontId="14" fillId="0" borderId="0" xfId="0" applyNumberFormat="1" applyFont="1" applyFill="1" applyBorder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164" fontId="17" fillId="0" borderId="0" xfId="2" applyFont="1" applyProtection="1">
      <protection hidden="1"/>
    </xf>
    <xf numFmtId="9" fontId="14" fillId="0" borderId="0" xfId="0" applyNumberFormat="1" applyFont="1" applyFill="1" applyProtection="1">
      <protection hidden="1"/>
    </xf>
    <xf numFmtId="0" fontId="14" fillId="0" borderId="14" xfId="0" applyFont="1" applyFill="1" applyBorder="1" applyProtection="1">
      <protection hidden="1"/>
    </xf>
    <xf numFmtId="0" fontId="14" fillId="0" borderId="6" xfId="0" applyFont="1" applyFill="1" applyBorder="1" applyAlignment="1" applyProtection="1">
      <alignment wrapText="1"/>
      <protection hidden="1"/>
    </xf>
    <xf numFmtId="0" fontId="14" fillId="0" borderId="9" xfId="0" applyFont="1" applyFill="1" applyBorder="1" applyProtection="1">
      <protection hidden="1"/>
    </xf>
    <xf numFmtId="0" fontId="20" fillId="7" borderId="1" xfId="0" applyFont="1" applyFill="1" applyBorder="1" applyProtection="1">
      <protection hidden="1"/>
    </xf>
    <xf numFmtId="0" fontId="20" fillId="7" borderId="2" xfId="0" applyFont="1" applyFill="1" applyBorder="1" applyProtection="1">
      <protection hidden="1"/>
    </xf>
    <xf numFmtId="0" fontId="14" fillId="7" borderId="4" xfId="0" applyFont="1" applyFill="1" applyBorder="1" applyProtection="1">
      <protection hidden="1"/>
    </xf>
    <xf numFmtId="0" fontId="20" fillId="7" borderId="3" xfId="0" applyFont="1" applyFill="1" applyBorder="1" applyProtection="1">
      <protection hidden="1"/>
    </xf>
    <xf numFmtId="0" fontId="20" fillId="7" borderId="4" xfId="0" applyFont="1" applyFill="1" applyBorder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168" fontId="25" fillId="0" borderId="0" xfId="3" applyNumberFormat="1" applyFont="1" applyFill="1" applyBorder="1" applyAlignment="1" applyProtection="1">
      <protection hidden="1"/>
    </xf>
    <xf numFmtId="0" fontId="19" fillId="0" borderId="0" xfId="0" applyFont="1" applyFill="1" applyBorder="1" applyProtection="1">
      <protection hidden="1"/>
    </xf>
    <xf numFmtId="0" fontId="24" fillId="0" borderId="0" xfId="0" applyFont="1" applyBorder="1" applyAlignment="1" applyProtection="1">
      <alignment horizontal="left" vertical="center"/>
      <protection hidden="1"/>
    </xf>
    <xf numFmtId="1" fontId="14" fillId="0" borderId="0" xfId="0" applyNumberFormat="1" applyFont="1" applyFill="1" applyAlignment="1" applyProtection="1">
      <alignment horizontal="center"/>
      <protection hidden="1"/>
    </xf>
    <xf numFmtId="168" fontId="14" fillId="8" borderId="0" xfId="3" applyNumberFormat="1" applyFont="1" applyFill="1" applyBorder="1" applyAlignment="1" applyProtection="1">
      <alignment horizontal="right"/>
      <protection hidden="1"/>
    </xf>
    <xf numFmtId="168" fontId="14" fillId="0" borderId="0" xfId="3" applyNumberFormat="1" applyFont="1" applyFill="1" applyBorder="1" applyAlignment="1" applyProtection="1">
      <alignment horizontal="right"/>
      <protection hidden="1"/>
    </xf>
    <xf numFmtId="0" fontId="17" fillId="0" borderId="0" xfId="0" applyFont="1" applyAlignment="1" applyProtection="1">
      <alignment horizontal="right"/>
      <protection hidden="1"/>
    </xf>
    <xf numFmtId="17" fontId="20" fillId="10" borderId="5" xfId="0" applyNumberFormat="1" applyFont="1" applyFill="1" applyBorder="1" applyAlignment="1" applyProtection="1">
      <alignment horizontal="left"/>
      <protection hidden="1"/>
    </xf>
    <xf numFmtId="164" fontId="20" fillId="10" borderId="10" xfId="0" applyNumberFormat="1" applyFont="1" applyFill="1" applyBorder="1" applyAlignment="1" applyProtection="1">
      <alignment horizontal="center"/>
      <protection hidden="1"/>
    </xf>
    <xf numFmtId="17" fontId="20" fillId="10" borderId="9" xfId="0" applyNumberFormat="1" applyFont="1" applyFill="1" applyBorder="1" applyAlignment="1" applyProtection="1">
      <alignment horizontal="left"/>
      <protection hidden="1"/>
    </xf>
    <xf numFmtId="172" fontId="20" fillId="10" borderId="11" xfId="5" applyNumberFormat="1" applyFont="1" applyFill="1" applyBorder="1" applyAlignment="1" applyProtection="1">
      <alignment horizontal="center"/>
      <protection hidden="1"/>
    </xf>
    <xf numFmtId="164" fontId="7" fillId="0" borderId="0" xfId="2" applyNumberFormat="1" applyFont="1" applyFill="1" applyBorder="1" applyAlignment="1">
      <alignment horizontal="left"/>
    </xf>
    <xf numFmtId="164" fontId="8" fillId="0" borderId="0" xfId="2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vertical="center" readingOrder="1"/>
    </xf>
    <xf numFmtId="0" fontId="8" fillId="0" borderId="0" xfId="0" applyFont="1" applyFill="1" applyBorder="1" applyAlignment="1" applyProtection="1">
      <protection hidden="1"/>
    </xf>
    <xf numFmtId="0" fontId="8" fillId="0" borderId="0" xfId="2" applyNumberFormat="1" applyFont="1" applyFill="1" applyBorder="1" applyAlignment="1" applyProtection="1"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164" fontId="8" fillId="0" borderId="0" xfId="2" applyFont="1" applyFill="1" applyBorder="1" applyAlignment="1" applyProtection="1">
      <alignment horizontal="center"/>
      <protection hidden="1"/>
    </xf>
    <xf numFmtId="0" fontId="8" fillId="0" borderId="0" xfId="0" applyFont="1" applyFill="1" applyAlignment="1" applyProtection="1">
      <alignment horizontal="center" vertical="center"/>
      <protection hidden="1"/>
    </xf>
    <xf numFmtId="0" fontId="8" fillId="0" borderId="0" xfId="0" applyFont="1" applyFill="1" applyAlignment="1" applyProtection="1">
      <alignment horizontal="center"/>
      <protection hidden="1"/>
    </xf>
    <xf numFmtId="164" fontId="8" fillId="0" borderId="0" xfId="0" applyNumberFormat="1" applyFont="1" applyFill="1" applyAlignment="1" applyProtection="1">
      <alignment horizontal="center"/>
      <protection hidden="1"/>
    </xf>
    <xf numFmtId="0" fontId="7" fillId="0" borderId="16" xfId="0" applyFont="1" applyBorder="1" applyAlignment="1" applyProtection="1">
      <alignment horizontal="left" vertical="center"/>
      <protection hidden="1"/>
    </xf>
    <xf numFmtId="164" fontId="7" fillId="0" borderId="16" xfId="2" applyFont="1" applyBorder="1" applyAlignment="1" applyProtection="1">
      <alignment horizontal="left"/>
      <protection hidden="1"/>
    </xf>
    <xf numFmtId="164" fontId="7" fillId="0" borderId="16" xfId="2" applyFont="1" applyBorder="1" applyAlignment="1" applyProtection="1">
      <alignment horizont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 applyProtection="1">
      <alignment horizontal="center"/>
      <protection hidden="1"/>
    </xf>
    <xf numFmtId="177" fontId="14" fillId="0" borderId="1" xfId="2" applyNumberFormat="1" applyFont="1" applyFill="1" applyBorder="1" applyAlignment="1" applyProtection="1">
      <alignment horizontal="center"/>
      <protection hidden="1"/>
    </xf>
    <xf numFmtId="17" fontId="20" fillId="10" borderId="12" xfId="0" applyNumberFormat="1" applyFont="1" applyFill="1" applyBorder="1" applyAlignment="1" applyProtection="1">
      <alignment horizontal="left"/>
      <protection hidden="1"/>
    </xf>
    <xf numFmtId="172" fontId="20" fillId="10" borderId="13" xfId="5" applyNumberFormat="1" applyFont="1" applyFill="1" applyBorder="1" applyAlignment="1" applyProtection="1">
      <alignment horizontal="center"/>
      <protection hidden="1"/>
    </xf>
    <xf numFmtId="171" fontId="14" fillId="0" borderId="9" xfId="4" applyNumberFormat="1" applyFont="1" applyFill="1" applyBorder="1" applyAlignment="1" applyProtection="1">
      <alignment horizontal="left"/>
      <protection hidden="1"/>
    </xf>
    <xf numFmtId="172" fontId="14" fillId="0" borderId="11" xfId="5" applyNumberFormat="1" applyFont="1" applyFill="1" applyBorder="1" applyAlignment="1" applyProtection="1">
      <alignment horizontal="right"/>
      <protection hidden="1"/>
    </xf>
    <xf numFmtId="164" fontId="20" fillId="10" borderId="11" xfId="0" applyNumberFormat="1" applyFont="1" applyFill="1" applyBorder="1" applyAlignment="1" applyProtection="1">
      <alignment horizontal="center"/>
      <protection hidden="1"/>
    </xf>
    <xf numFmtId="0" fontId="14" fillId="3" borderId="13" xfId="0" applyFont="1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172" fontId="7" fillId="0" borderId="1" xfId="4" applyNumberFormat="1" applyFont="1" applyFill="1" applyBorder="1" applyAlignment="1" applyProtection="1">
      <alignment horizontal="right" vertical="center"/>
      <protection hidden="1"/>
    </xf>
    <xf numFmtId="173" fontId="8" fillId="0" borderId="1" xfId="4" applyNumberFormat="1" applyFont="1" applyFill="1" applyBorder="1" applyAlignment="1" applyProtection="1">
      <alignment horizontal="right" vertical="center"/>
      <protection hidden="1"/>
    </xf>
    <xf numFmtId="0" fontId="0" fillId="0" borderId="0" xfId="0" applyAlignment="1">
      <alignment horizontal="center"/>
    </xf>
    <xf numFmtId="0" fontId="18" fillId="0" borderId="0" xfId="0" applyFont="1"/>
    <xf numFmtId="0" fontId="0" fillId="5" borderId="0" xfId="0" applyFont="1" applyFill="1" applyAlignment="1" applyProtection="1">
      <alignment horizontal="center" vertical="center" textRotation="45" wrapText="1"/>
      <protection hidden="1"/>
    </xf>
    <xf numFmtId="0" fontId="0" fillId="5" borderId="0" xfId="0" applyFont="1" applyFill="1" applyAlignment="1" applyProtection="1">
      <alignment horizontal="center" textRotation="45" wrapText="1"/>
      <protection hidden="1"/>
    </xf>
    <xf numFmtId="0" fontId="0" fillId="5" borderId="0" xfId="0" applyFont="1" applyFill="1" applyAlignment="1" applyProtection="1">
      <alignment horizontal="left"/>
      <protection hidden="1"/>
    </xf>
    <xf numFmtId="0" fontId="0" fillId="5" borderId="0" xfId="0" applyFont="1" applyFill="1" applyAlignment="1" applyProtection="1">
      <alignment horizontal="left" vertical="center"/>
      <protection hidden="1"/>
    </xf>
    <xf numFmtId="0" fontId="0" fillId="5" borderId="0" xfId="0" applyFont="1" applyFill="1" applyAlignment="1" applyProtection="1">
      <alignment horizontal="center" vertical="center" wrapText="1"/>
      <protection hidden="1"/>
    </xf>
    <xf numFmtId="0" fontId="0" fillId="5" borderId="0" xfId="0" applyFont="1" applyFill="1" applyAlignment="1" applyProtection="1">
      <alignment horizontal="left" wrapText="1"/>
      <protection hidden="1"/>
    </xf>
    <xf numFmtId="0" fontId="42" fillId="0" borderId="0" xfId="0" applyFont="1" applyAlignment="1" applyProtection="1">
      <alignment horizontal="left" vertical="center" wrapText="1"/>
      <protection locked="0"/>
    </xf>
    <xf numFmtId="0" fontId="0" fillId="0" borderId="9" xfId="0" applyBorder="1" applyProtection="1">
      <protection hidden="1"/>
    </xf>
    <xf numFmtId="0" fontId="0" fillId="12" borderId="0" xfId="0" applyFont="1" applyFill="1" applyBorder="1" applyAlignment="1" applyProtection="1">
      <alignment vertical="center"/>
      <protection hidden="1"/>
    </xf>
    <xf numFmtId="0" fontId="20" fillId="12" borderId="0" xfId="0" applyFont="1" applyFill="1" applyBorder="1" applyAlignment="1" applyProtection="1">
      <alignment vertical="center"/>
      <protection hidden="1"/>
    </xf>
    <xf numFmtId="0" fontId="20" fillId="12" borderId="0" xfId="0" applyFont="1" applyFill="1" applyBorder="1" applyAlignment="1" applyProtection="1">
      <protection hidden="1"/>
    </xf>
    <xf numFmtId="0" fontId="0" fillId="12" borderId="0" xfId="0" applyFont="1" applyFill="1" applyBorder="1" applyProtection="1">
      <protection hidden="1"/>
    </xf>
    <xf numFmtId="0" fontId="29" fillId="12" borderId="0" xfId="0" applyFont="1" applyFill="1" applyBorder="1" applyAlignment="1" applyProtection="1">
      <alignment vertical="center"/>
      <protection hidden="1"/>
    </xf>
    <xf numFmtId="0" fontId="29" fillId="0" borderId="0" xfId="0" applyFont="1" applyFill="1" applyBorder="1" applyAlignment="1" applyProtection="1">
      <alignment vertical="center"/>
      <protection hidden="1"/>
    </xf>
    <xf numFmtId="0" fontId="27" fillId="0" borderId="0" xfId="0" applyFont="1" applyBorder="1" applyProtection="1">
      <protection hidden="1"/>
    </xf>
    <xf numFmtId="0" fontId="29" fillId="0" borderId="0" xfId="0" applyFont="1" applyBorder="1" applyAlignment="1" applyProtection="1">
      <alignment vertical="center"/>
      <protection hidden="1"/>
    </xf>
    <xf numFmtId="9" fontId="27" fillId="0" borderId="0" xfId="3" applyNumberFormat="1" applyFont="1" applyBorder="1" applyAlignment="1" applyProtection="1">
      <alignment horizontal="right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164" fontId="27" fillId="0" borderId="0" xfId="0" applyNumberFormat="1" applyFont="1" applyBorder="1" applyProtection="1">
      <protection hidden="1"/>
    </xf>
    <xf numFmtId="164" fontId="29" fillId="0" borderId="0" xfId="0" applyNumberFormat="1" applyFont="1" applyBorder="1" applyAlignment="1" applyProtection="1">
      <alignment vertical="center"/>
      <protection hidden="1"/>
    </xf>
    <xf numFmtId="0" fontId="27" fillId="0" borderId="0" xfId="0" applyFont="1" applyBorder="1" applyAlignment="1" applyProtection="1">
      <alignment horizontal="center"/>
      <protection hidden="1"/>
    </xf>
    <xf numFmtId="0" fontId="24" fillId="12" borderId="0" xfId="0" applyFont="1" applyFill="1" applyBorder="1" applyAlignment="1" applyProtection="1">
      <alignment horizontal="left"/>
      <protection hidden="1"/>
    </xf>
    <xf numFmtId="0" fontId="24" fillId="0" borderId="0" xfId="0" applyFont="1" applyFill="1" applyBorder="1" applyAlignment="1" applyProtection="1">
      <alignment horizontal="left"/>
      <protection hidden="1"/>
    </xf>
    <xf numFmtId="0" fontId="27" fillId="0" borderId="0" xfId="0" applyFont="1" applyBorder="1" applyAlignment="1" applyProtection="1">
      <alignment horizontal="left"/>
      <protection hidden="1"/>
    </xf>
    <xf numFmtId="0" fontId="24" fillId="0" borderId="13" xfId="0" applyFont="1" applyFill="1" applyBorder="1" applyAlignment="1" applyProtection="1">
      <alignment horizontal="left"/>
      <protection hidden="1"/>
    </xf>
    <xf numFmtId="9" fontId="27" fillId="0" borderId="0" xfId="3" applyFont="1" applyBorder="1" applyAlignment="1" applyProtection="1">
      <alignment horizontal="right"/>
      <protection hidden="1"/>
    </xf>
    <xf numFmtId="176" fontId="28" fillId="11" borderId="0" xfId="0" applyNumberFormat="1" applyFont="1" applyFill="1" applyBorder="1" applyAlignment="1" applyProtection="1">
      <alignment horizontal="center" vertical="center"/>
      <protection hidden="1"/>
    </xf>
    <xf numFmtId="176" fontId="28" fillId="11" borderId="15" xfId="0" applyNumberFormat="1" applyFont="1" applyFill="1" applyBorder="1" applyAlignment="1" applyProtection="1">
      <alignment horizontal="center" vertical="center"/>
      <protection hidden="1"/>
    </xf>
    <xf numFmtId="10" fontId="27" fillId="0" borderId="0" xfId="3" applyNumberFormat="1" applyFont="1" applyBorder="1" applyAlignment="1" applyProtection="1">
      <alignment horizontal="center" vertical="center"/>
      <protection hidden="1"/>
    </xf>
    <xf numFmtId="9" fontId="27" fillId="0" borderId="0" xfId="3" applyFont="1" applyBorder="1" applyAlignment="1" applyProtection="1">
      <alignment horizontal="center" vertical="center"/>
      <protection hidden="1"/>
    </xf>
    <xf numFmtId="0" fontId="27" fillId="0" borderId="0" xfId="0" applyFont="1" applyBorder="1" applyAlignment="1" applyProtection="1">
      <alignment horizontal="right"/>
      <protection hidden="1"/>
    </xf>
    <xf numFmtId="0" fontId="28" fillId="0" borderId="0" xfId="0" applyFont="1" applyBorder="1" applyAlignment="1" applyProtection="1">
      <protection hidden="1"/>
    </xf>
    <xf numFmtId="176" fontId="27" fillId="0" borderId="0" xfId="0" applyNumberFormat="1" applyFont="1" applyBorder="1" applyAlignment="1" applyProtection="1">
      <alignment horizontal="right"/>
      <protection hidden="1"/>
    </xf>
    <xf numFmtId="0" fontId="27" fillId="0" borderId="0" xfId="0" applyFont="1" applyFill="1" applyBorder="1" applyProtection="1">
      <protection hidden="1"/>
    </xf>
    <xf numFmtId="0" fontId="28" fillId="0" borderId="0" xfId="0" applyFont="1" applyBorder="1" applyAlignment="1" applyProtection="1">
      <alignment horizontal="center"/>
      <protection hidden="1"/>
    </xf>
    <xf numFmtId="176" fontId="27" fillId="0" borderId="0" xfId="0" applyNumberFormat="1" applyFont="1" applyBorder="1" applyProtection="1">
      <protection hidden="1"/>
    </xf>
    <xf numFmtId="176" fontId="29" fillId="8" borderId="0" xfId="0" applyNumberFormat="1" applyFont="1" applyFill="1" applyBorder="1" applyAlignment="1" applyProtection="1">
      <alignment horizontal="center"/>
      <protection hidden="1"/>
    </xf>
    <xf numFmtId="176" fontId="27" fillId="0" borderId="15" xfId="0" applyNumberFormat="1" applyFont="1" applyBorder="1" applyAlignment="1" applyProtection="1">
      <alignment horizontal="center" vertical="center"/>
      <protection hidden="1"/>
    </xf>
    <xf numFmtId="176" fontId="29" fillId="8" borderId="14" xfId="0" applyNumberFormat="1" applyFont="1" applyFill="1" applyBorder="1" applyAlignment="1" applyProtection="1">
      <alignment horizontal="center"/>
      <protection hidden="1"/>
    </xf>
    <xf numFmtId="0" fontId="24" fillId="8" borderId="0" xfId="0" applyFont="1" applyFill="1" applyBorder="1" applyAlignment="1" applyProtection="1">
      <alignment horizontal="center" wrapText="1"/>
      <protection hidden="1"/>
    </xf>
    <xf numFmtId="0" fontId="24" fillId="8" borderId="15" xfId="0" applyFont="1" applyFill="1" applyBorder="1" applyAlignment="1" applyProtection="1">
      <alignment horizontal="center" wrapText="1"/>
      <protection hidden="1"/>
    </xf>
    <xf numFmtId="9" fontId="27" fillId="0" borderId="0" xfId="3" applyNumberFormat="1" applyFont="1" applyBorder="1" applyAlignment="1" applyProtection="1">
      <alignment horizontal="center" vertical="center"/>
      <protection hidden="1"/>
    </xf>
    <xf numFmtId="0" fontId="24" fillId="0" borderId="0" xfId="0" applyFont="1" applyBorder="1" applyProtection="1">
      <protection hidden="1"/>
    </xf>
    <xf numFmtId="164" fontId="24" fillId="0" borderId="0" xfId="0" applyNumberFormat="1" applyFont="1" applyBorder="1" applyProtection="1">
      <protection hidden="1"/>
    </xf>
    <xf numFmtId="9" fontId="24" fillId="0" borderId="0" xfId="3" applyNumberFormat="1" applyFont="1" applyBorder="1" applyAlignment="1" applyProtection="1">
      <alignment horizontal="right"/>
      <protection hidden="1"/>
    </xf>
    <xf numFmtId="0" fontId="24" fillId="0" borderId="0" xfId="0" applyFont="1" applyFill="1" applyBorder="1" applyProtection="1">
      <protection hidden="1"/>
    </xf>
    <xf numFmtId="176" fontId="28" fillId="9" borderId="0" xfId="0" applyNumberFormat="1" applyFont="1" applyFill="1" applyBorder="1" applyAlignment="1" applyProtection="1">
      <alignment horizontal="center"/>
      <protection hidden="1"/>
    </xf>
    <xf numFmtId="176" fontId="28" fillId="9" borderId="15" xfId="0" applyNumberFormat="1" applyFont="1" applyFill="1" applyBorder="1" applyAlignment="1" applyProtection="1">
      <alignment horizontal="center"/>
      <protection hidden="1"/>
    </xf>
    <xf numFmtId="164" fontId="27" fillId="0" borderId="0" xfId="0" applyNumberFormat="1" applyFont="1" applyFill="1" applyBorder="1" applyProtection="1">
      <protection hidden="1"/>
    </xf>
    <xf numFmtId="9" fontId="24" fillId="0" borderId="0" xfId="3" applyFont="1" applyFill="1" applyBorder="1" applyAlignment="1" applyProtection="1">
      <alignment horizontal="right"/>
      <protection hidden="1"/>
    </xf>
    <xf numFmtId="0" fontId="24" fillId="0" borderId="0" xfId="0" applyFont="1" applyFill="1" applyBorder="1" applyAlignment="1" applyProtection="1">
      <alignment horizontal="right"/>
      <protection hidden="1"/>
    </xf>
    <xf numFmtId="0" fontId="27" fillId="0" borderId="0" xfId="3" applyNumberFormat="1" applyFont="1" applyBorder="1" applyAlignment="1" applyProtection="1">
      <alignment horizontal="right"/>
      <protection hidden="1"/>
    </xf>
    <xf numFmtId="0" fontId="27" fillId="12" borderId="0" xfId="0" applyFont="1" applyFill="1" applyBorder="1" applyProtection="1">
      <protection hidden="1"/>
    </xf>
    <xf numFmtId="0" fontId="27" fillId="12" borderId="0" xfId="0" applyFont="1" applyFill="1" applyBorder="1" applyAlignment="1" applyProtection="1">
      <alignment horizontal="right"/>
      <protection hidden="1"/>
    </xf>
    <xf numFmtId="0" fontId="27" fillId="12" borderId="0" xfId="0" applyFont="1" applyFill="1" applyBorder="1" applyAlignment="1" applyProtection="1">
      <alignment horizontal="left"/>
      <protection hidden="1"/>
    </xf>
    <xf numFmtId="0" fontId="24" fillId="12" borderId="0" xfId="0" applyFont="1" applyFill="1" applyBorder="1" applyAlignment="1" applyProtection="1">
      <alignment horizontal="right"/>
      <protection hidden="1"/>
    </xf>
    <xf numFmtId="9" fontId="27" fillId="12" borderId="0" xfId="3" applyFont="1" applyFill="1" applyBorder="1" applyAlignment="1" applyProtection="1">
      <alignment horizontal="right"/>
      <protection hidden="1"/>
    </xf>
    <xf numFmtId="0" fontId="4" fillId="0" borderId="0" xfId="0" applyNumberFormat="1" applyFont="1" applyFill="1" applyAlignment="1" applyProtection="1">
      <alignment vertical="center"/>
      <protection hidden="1"/>
    </xf>
    <xf numFmtId="0" fontId="5" fillId="13" borderId="0" xfId="0" applyNumberFormat="1" applyFont="1" applyFill="1" applyBorder="1" applyAlignment="1" applyProtection="1">
      <alignment horizontal="center" vertical="center" readingOrder="1"/>
      <protection hidden="1"/>
    </xf>
    <xf numFmtId="164" fontId="5" fillId="13" borderId="0" xfId="1" applyNumberFormat="1" applyFont="1" applyFill="1" applyBorder="1" applyAlignment="1" applyProtection="1">
      <alignment horizontal="center" vertical="center"/>
      <protection hidden="1"/>
    </xf>
    <xf numFmtId="9" fontId="5" fillId="13" borderId="0" xfId="3" applyNumberFormat="1" applyFont="1" applyFill="1" applyBorder="1" applyAlignment="1" applyProtection="1">
      <alignment horizontal="center" vertical="center"/>
      <protection hidden="1"/>
    </xf>
    <xf numFmtId="168" fontId="5" fillId="13" borderId="0" xfId="3" applyNumberFormat="1" applyFont="1" applyFill="1" applyBorder="1" applyAlignment="1" applyProtection="1">
      <alignment horizontal="center" vertical="center"/>
      <protection hidden="1"/>
    </xf>
    <xf numFmtId="164" fontId="4" fillId="0" borderId="0" xfId="0" applyNumberFormat="1" applyFont="1" applyFill="1" applyAlignment="1" applyProtection="1">
      <alignment vertical="center"/>
      <protection hidden="1"/>
    </xf>
    <xf numFmtId="1" fontId="6" fillId="0" borderId="0" xfId="2" applyNumberFormat="1" applyFont="1" applyFill="1" applyBorder="1" applyAlignment="1" applyProtection="1">
      <alignment horizontal="center" vertical="center"/>
      <protection hidden="1"/>
    </xf>
    <xf numFmtId="0" fontId="4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NumberFormat="1" applyFont="1" applyFill="1" applyAlignment="1" applyProtection="1">
      <alignment vertical="center"/>
      <protection hidden="1"/>
    </xf>
    <xf numFmtId="0" fontId="30" fillId="13" borderId="0" xfId="0" applyNumberFormat="1" applyFont="1" applyFill="1" applyBorder="1" applyAlignment="1" applyProtection="1">
      <alignment horizontal="center" readingOrder="1"/>
      <protection hidden="1"/>
    </xf>
    <xf numFmtId="164" fontId="30" fillId="13" borderId="0" xfId="2" applyNumberFormat="1" applyFont="1" applyFill="1" applyBorder="1" applyAlignment="1" applyProtection="1">
      <alignment horizontal="center" readingOrder="1"/>
      <protection hidden="1"/>
    </xf>
    <xf numFmtId="164" fontId="7" fillId="0" borderId="0" xfId="0" applyNumberFormat="1" applyFont="1" applyFill="1" applyBorder="1" applyAlignment="1" applyProtection="1">
      <alignment horizontal="center" vertical="center"/>
      <protection hidden="1"/>
    </xf>
    <xf numFmtId="1" fontId="7" fillId="0" borderId="0" xfId="2" applyNumberFormat="1" applyFont="1" applyFill="1" applyAlignment="1" applyProtection="1">
      <alignment horizontal="center" vertical="center"/>
      <protection hidden="1"/>
    </xf>
    <xf numFmtId="0" fontId="7" fillId="0" borderId="0" xfId="0" applyNumberFormat="1" applyFont="1" applyFill="1" applyAlignment="1" applyProtection="1">
      <alignment horizontal="center" vertical="center"/>
      <protection hidden="1"/>
    </xf>
    <xf numFmtId="0" fontId="8" fillId="0" borderId="5" xfId="0" applyNumberFormat="1" applyFont="1" applyFill="1" applyBorder="1" applyAlignment="1" applyProtection="1">
      <alignment vertical="center" readingOrder="1"/>
      <protection hidden="1"/>
    </xf>
    <xf numFmtId="164" fontId="9" fillId="0" borderId="5" xfId="5" applyNumberFormat="1" applyFont="1" applyFill="1" applyBorder="1" applyAlignment="1" applyProtection="1">
      <alignment vertical="center"/>
      <protection hidden="1"/>
    </xf>
    <xf numFmtId="164" fontId="7" fillId="0" borderId="0" xfId="2" applyNumberFormat="1" applyFont="1" applyFill="1" applyAlignment="1" applyProtection="1">
      <alignment horizontal="center" vertical="center"/>
      <protection hidden="1"/>
    </xf>
    <xf numFmtId="0" fontId="8" fillId="0" borderId="14" xfId="0" applyNumberFormat="1" applyFont="1" applyFill="1" applyBorder="1" applyAlignment="1" applyProtection="1">
      <alignment vertical="center" readingOrder="1"/>
      <protection hidden="1"/>
    </xf>
    <xf numFmtId="164" fontId="9" fillId="0" borderId="14" xfId="5" applyNumberFormat="1" applyFont="1" applyFill="1" applyBorder="1" applyAlignment="1" applyProtection="1">
      <alignment vertical="center"/>
      <protection hidden="1"/>
    </xf>
    <xf numFmtId="0" fontId="8" fillId="0" borderId="15" xfId="0" applyNumberFormat="1" applyFont="1" applyFill="1" applyBorder="1" applyAlignment="1" applyProtection="1">
      <alignment vertical="center" readingOrder="1"/>
      <protection hidden="1"/>
    </xf>
    <xf numFmtId="164" fontId="9" fillId="0" borderId="15" xfId="5" applyNumberFormat="1" applyFont="1" applyFill="1" applyBorder="1" applyAlignment="1" applyProtection="1">
      <alignment vertical="center"/>
      <protection hidden="1"/>
    </xf>
    <xf numFmtId="0" fontId="4" fillId="2" borderId="2" xfId="0" applyNumberFormat="1" applyFont="1" applyFill="1" applyBorder="1" applyAlignment="1" applyProtection="1">
      <alignment vertical="center" readingOrder="1"/>
      <protection hidden="1"/>
    </xf>
    <xf numFmtId="164" fontId="9" fillId="0" borderId="0" xfId="0" applyNumberFormat="1" applyFont="1" applyFill="1" applyAlignment="1" applyProtection="1">
      <alignment vertical="center"/>
      <protection hidden="1"/>
    </xf>
    <xf numFmtId="164" fontId="7" fillId="0" borderId="0" xfId="2" applyNumberFormat="1" applyFont="1" applyFill="1" applyAlignment="1" applyProtection="1">
      <alignment vertical="center"/>
      <protection hidden="1"/>
    </xf>
    <xf numFmtId="0" fontId="9" fillId="0" borderId="15" xfId="0" applyNumberFormat="1" applyFont="1" applyFill="1" applyBorder="1" applyAlignment="1" applyProtection="1">
      <alignment vertical="center" readingOrder="1"/>
      <protection hidden="1"/>
    </xf>
    <xf numFmtId="0" fontId="4" fillId="2" borderId="6" xfId="0" applyNumberFormat="1" applyFont="1" applyFill="1" applyBorder="1" applyAlignment="1" applyProtection="1">
      <alignment vertical="center" readingOrder="1"/>
      <protection hidden="1"/>
    </xf>
    <xf numFmtId="164" fontId="7" fillId="2" borderId="7" xfId="2" applyNumberFormat="1" applyFont="1" applyFill="1" applyBorder="1" applyAlignment="1" applyProtection="1">
      <alignment horizontal="right" vertical="center"/>
      <protection hidden="1"/>
    </xf>
    <xf numFmtId="164" fontId="7" fillId="2" borderId="8" xfId="2" applyNumberFormat="1" applyFont="1" applyFill="1" applyBorder="1" applyAlignment="1" applyProtection="1">
      <alignment horizontal="right" vertical="center"/>
      <protection hidden="1"/>
    </xf>
    <xf numFmtId="164" fontId="4" fillId="0" borderId="0" xfId="0" applyNumberFormat="1" applyFont="1" applyFill="1" applyBorder="1" applyAlignment="1" applyProtection="1">
      <alignment vertical="center"/>
      <protection hidden="1"/>
    </xf>
    <xf numFmtId="164" fontId="4" fillId="0" borderId="0" xfId="5" applyNumberFormat="1" applyFont="1" applyFill="1" applyBorder="1" applyAlignment="1" applyProtection="1">
      <alignment vertical="center"/>
      <protection hidden="1"/>
    </xf>
    <xf numFmtId="164" fontId="7" fillId="0" borderId="0" xfId="5" applyNumberFormat="1" applyFont="1" applyFill="1" applyBorder="1" applyAlignment="1" applyProtection="1">
      <alignment vertical="center"/>
      <protection hidden="1"/>
    </xf>
    <xf numFmtId="0" fontId="4" fillId="2" borderId="12" xfId="0" applyNumberFormat="1" applyFont="1" applyFill="1" applyBorder="1" applyAlignment="1" applyProtection="1">
      <alignment vertical="center" readingOrder="1"/>
      <protection hidden="1"/>
    </xf>
    <xf numFmtId="164" fontId="4" fillId="2" borderId="7" xfId="2" applyNumberFormat="1" applyFont="1" applyFill="1" applyBorder="1" applyAlignment="1" applyProtection="1">
      <alignment horizontal="right" vertical="center"/>
      <protection hidden="1"/>
    </xf>
    <xf numFmtId="164" fontId="4" fillId="2" borderId="8" xfId="2" applyNumberFormat="1" applyFont="1" applyFill="1" applyBorder="1" applyAlignment="1" applyProtection="1">
      <alignment horizontal="right" vertical="center"/>
      <protection hidden="1"/>
    </xf>
    <xf numFmtId="164" fontId="4" fillId="0" borderId="0" xfId="5" applyNumberFormat="1" applyFont="1" applyFill="1" applyAlignment="1" applyProtection="1">
      <alignment vertical="center"/>
      <protection hidden="1"/>
    </xf>
    <xf numFmtId="0" fontId="4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NumberFormat="1" applyFont="1" applyFill="1" applyBorder="1" applyAlignment="1" applyProtection="1">
      <alignment vertical="center" readingOrder="1"/>
      <protection hidden="1"/>
    </xf>
    <xf numFmtId="164" fontId="7" fillId="0" borderId="0" xfId="2" applyNumberFormat="1" applyFont="1" applyFill="1" applyBorder="1" applyAlignment="1" applyProtection="1">
      <alignment vertical="center"/>
      <protection hidden="1"/>
    </xf>
    <xf numFmtId="0" fontId="8" fillId="6" borderId="1" xfId="0" applyNumberFormat="1" applyFont="1" applyFill="1" applyBorder="1" applyAlignment="1" applyProtection="1">
      <alignment vertical="center" readingOrder="1"/>
      <protection hidden="1"/>
    </xf>
    <xf numFmtId="166" fontId="8" fillId="0" borderId="3" xfId="1" applyFont="1" applyFill="1" applyBorder="1" applyAlignment="1" applyProtection="1">
      <alignment horizontal="right" vertical="center"/>
      <protection hidden="1"/>
    </xf>
    <xf numFmtId="166" fontId="8" fillId="0" borderId="4" xfId="1" applyFont="1" applyFill="1" applyBorder="1" applyAlignment="1" applyProtection="1">
      <alignment horizontal="right" vertical="center"/>
      <protection hidden="1"/>
    </xf>
    <xf numFmtId="164" fontId="12" fillId="0" borderId="1" xfId="5" applyNumberFormat="1" applyFont="1" applyFill="1" applyBorder="1" applyAlignment="1" applyProtection="1">
      <alignment vertical="center"/>
      <protection hidden="1"/>
    </xf>
    <xf numFmtId="0" fontId="4" fillId="0" borderId="0" xfId="3" applyNumberFormat="1" applyFont="1" applyFill="1" applyAlignment="1" applyProtection="1">
      <alignment vertical="center"/>
      <protection hidden="1"/>
    </xf>
    <xf numFmtId="0" fontId="8" fillId="6" borderId="14" xfId="0" applyNumberFormat="1" applyFont="1" applyFill="1" applyBorder="1" applyAlignment="1" applyProtection="1">
      <alignment vertical="center" readingOrder="1"/>
      <protection hidden="1"/>
    </xf>
    <xf numFmtId="166" fontId="8" fillId="0" borderId="0" xfId="1" applyFont="1" applyFill="1" applyBorder="1" applyAlignment="1" applyProtection="1">
      <alignment horizontal="right" vertical="center"/>
      <protection hidden="1"/>
    </xf>
    <xf numFmtId="166" fontId="8" fillId="0" borderId="13" xfId="1" applyFont="1" applyFill="1" applyBorder="1" applyAlignment="1" applyProtection="1">
      <alignment horizontal="right" vertical="center"/>
      <protection hidden="1"/>
    </xf>
    <xf numFmtId="164" fontId="12" fillId="0" borderId="14" xfId="5" applyNumberFormat="1" applyFont="1" applyFill="1" applyBorder="1" applyAlignment="1" applyProtection="1">
      <alignment vertical="center"/>
      <protection hidden="1"/>
    </xf>
    <xf numFmtId="164" fontId="12" fillId="0" borderId="5" xfId="5" applyNumberFormat="1" applyFont="1" applyFill="1" applyBorder="1" applyAlignment="1" applyProtection="1">
      <alignment vertical="center"/>
      <protection hidden="1"/>
    </xf>
    <xf numFmtId="164" fontId="12" fillId="0" borderId="15" xfId="5" applyNumberFormat="1" applyFont="1" applyFill="1" applyBorder="1" applyAlignment="1" applyProtection="1">
      <alignment vertical="center"/>
      <protection hidden="1"/>
    </xf>
    <xf numFmtId="0" fontId="8" fillId="0" borderId="1" xfId="0" applyNumberFormat="1" applyFont="1" applyFill="1" applyBorder="1" applyAlignment="1" applyProtection="1">
      <alignment vertical="center" readingOrder="1"/>
      <protection hidden="1"/>
    </xf>
    <xf numFmtId="164" fontId="8" fillId="0" borderId="3" xfId="0" applyNumberFormat="1" applyFont="1" applyFill="1" applyBorder="1" applyAlignment="1" applyProtection="1">
      <alignment horizontal="right" vertical="center"/>
      <protection hidden="1"/>
    </xf>
    <xf numFmtId="164" fontId="8" fillId="0" borderId="4" xfId="0" applyNumberFormat="1" applyFont="1" applyFill="1" applyBorder="1" applyAlignment="1" applyProtection="1">
      <alignment horizontal="right" vertical="center"/>
      <protection hidden="1"/>
    </xf>
    <xf numFmtId="0" fontId="6" fillId="0" borderId="0" xfId="0" applyNumberFormat="1" applyFont="1" applyFill="1" applyBorder="1" applyAlignment="1" applyProtection="1">
      <alignment vertical="center" readingOrder="1"/>
      <protection hidden="1"/>
    </xf>
    <xf numFmtId="9" fontId="6" fillId="0" borderId="0" xfId="3" applyFont="1" applyFill="1" applyBorder="1" applyAlignment="1" applyProtection="1">
      <alignment horizontal="center" vertical="center"/>
      <protection hidden="1"/>
    </xf>
    <xf numFmtId="0" fontId="7" fillId="0" borderId="0" xfId="0" applyNumberFormat="1" applyFont="1" applyFill="1" applyAlignment="1" applyProtection="1">
      <alignment vertical="center" readingOrder="1"/>
      <protection hidden="1"/>
    </xf>
    <xf numFmtId="164" fontId="6" fillId="0" borderId="0" xfId="0" applyNumberFormat="1" applyFont="1" applyFill="1" applyBorder="1" applyAlignment="1" applyProtection="1">
      <alignment horizontal="center" vertical="center"/>
      <protection hidden="1"/>
    </xf>
    <xf numFmtId="164" fontId="4" fillId="0" borderId="5" xfId="0" applyNumberFormat="1" applyFont="1" applyFill="1" applyBorder="1" applyAlignment="1" applyProtection="1">
      <alignment vertical="center"/>
      <protection hidden="1"/>
    </xf>
    <xf numFmtId="165" fontId="4" fillId="0" borderId="0" xfId="0" applyNumberFormat="1" applyFont="1" applyFill="1" applyAlignment="1" applyProtection="1">
      <alignment vertical="center"/>
      <protection hidden="1"/>
    </xf>
    <xf numFmtId="164" fontId="4" fillId="0" borderId="1" xfId="0" applyNumberFormat="1" applyFont="1" applyFill="1" applyBorder="1" applyAlignment="1" applyProtection="1">
      <alignment vertical="center"/>
      <protection hidden="1"/>
    </xf>
    <xf numFmtId="1" fontId="7" fillId="0" borderId="0" xfId="2" applyNumberFormat="1" applyFont="1" applyFill="1" applyAlignment="1" applyProtection="1">
      <alignment vertical="center"/>
      <protection hidden="1"/>
    </xf>
    <xf numFmtId="164" fontId="7" fillId="0" borderId="0" xfId="0" applyNumberFormat="1" applyFont="1" applyFill="1" applyAlignment="1" applyProtection="1">
      <alignment vertical="center"/>
      <protection hidden="1"/>
    </xf>
    <xf numFmtId="0" fontId="7" fillId="0" borderId="9" xfId="0" applyNumberFormat="1" applyFont="1" applyFill="1" applyBorder="1" applyAlignment="1" applyProtection="1">
      <alignment vertical="center" readingOrder="1"/>
      <protection hidden="1"/>
    </xf>
    <xf numFmtId="164" fontId="7" fillId="0" borderId="10" xfId="5" applyNumberFormat="1" applyFont="1" applyFill="1" applyBorder="1" applyAlignment="1" applyProtection="1">
      <alignment horizontal="center" vertical="center"/>
      <protection hidden="1"/>
    </xf>
    <xf numFmtId="164" fontId="7" fillId="0" borderId="11" xfId="5" applyNumberFormat="1" applyFont="1" applyFill="1" applyBorder="1" applyAlignment="1" applyProtection="1">
      <alignment horizontal="center" vertical="center"/>
      <protection hidden="1"/>
    </xf>
    <xf numFmtId="164" fontId="6" fillId="0" borderId="0" xfId="0" applyNumberFormat="1" applyFont="1" applyFill="1" applyAlignment="1" applyProtection="1">
      <alignment vertical="center"/>
      <protection hidden="1"/>
    </xf>
    <xf numFmtId="0" fontId="6" fillId="0" borderId="0" xfId="3" applyNumberFormat="1" applyFont="1" applyFill="1" applyAlignment="1" applyProtection="1">
      <alignment vertical="center"/>
      <protection hidden="1"/>
    </xf>
    <xf numFmtId="0" fontId="7" fillId="0" borderId="6" xfId="0" applyNumberFormat="1" applyFont="1" applyFill="1" applyBorder="1" applyAlignment="1" applyProtection="1">
      <alignment vertical="center" readingOrder="1"/>
      <protection hidden="1"/>
    </xf>
    <xf numFmtId="164" fontId="7" fillId="0" borderId="7" xfId="5" applyNumberFormat="1" applyFont="1" applyFill="1" applyBorder="1" applyAlignment="1" applyProtection="1">
      <alignment horizontal="center" vertical="center"/>
      <protection hidden="1"/>
    </xf>
    <xf numFmtId="164" fontId="7" fillId="0" borderId="8" xfId="5" applyNumberFormat="1" applyFont="1" applyFill="1" applyBorder="1" applyAlignment="1" applyProtection="1">
      <alignment horizontal="center" vertical="center"/>
      <protection hidden="1"/>
    </xf>
    <xf numFmtId="0" fontId="7" fillId="0" borderId="0" xfId="0" applyNumberFormat="1" applyFont="1" applyFill="1" applyBorder="1" applyAlignment="1" applyProtection="1">
      <alignment vertical="center" readingOrder="1"/>
      <protection hidden="1"/>
    </xf>
    <xf numFmtId="164" fontId="7" fillId="0" borderId="0" xfId="5" applyNumberFormat="1" applyFont="1" applyFill="1" applyBorder="1" applyAlignment="1" applyProtection="1">
      <alignment horizontal="center" vertical="center"/>
      <protection hidden="1"/>
    </xf>
    <xf numFmtId="9" fontId="4" fillId="0" borderId="0" xfId="3" applyFont="1" applyFill="1" applyAlignment="1" applyProtection="1">
      <alignment horizontal="center" vertical="center"/>
      <protection hidden="1"/>
    </xf>
    <xf numFmtId="164" fontId="9" fillId="0" borderId="0" xfId="2" applyFont="1" applyFill="1" applyBorder="1" applyAlignment="1" applyProtection="1">
      <alignment horizontal="center" vertical="center"/>
      <protection hidden="1"/>
    </xf>
    <xf numFmtId="164" fontId="14" fillId="0" borderId="0" xfId="4" applyNumberFormat="1" applyFont="1" applyFill="1" applyBorder="1" applyAlignment="1" applyProtection="1">
      <alignment horizontal="center"/>
      <protection hidden="1"/>
    </xf>
    <xf numFmtId="164" fontId="14" fillId="0" borderId="13" xfId="4" applyNumberFormat="1" applyFont="1" applyFill="1" applyBorder="1" applyAlignment="1" applyProtection="1">
      <alignment horizontal="center"/>
      <protection hidden="1"/>
    </xf>
    <xf numFmtId="164" fontId="14" fillId="0" borderId="7" xfId="4" applyNumberFormat="1" applyFont="1" applyFill="1" applyBorder="1" applyAlignment="1" applyProtection="1">
      <alignment horizontal="center"/>
      <protection hidden="1"/>
    </xf>
    <xf numFmtId="164" fontId="14" fillId="0" borderId="8" xfId="4" applyNumberFormat="1" applyFont="1" applyFill="1" applyBorder="1" applyAlignment="1" applyProtection="1">
      <alignment horizontal="center"/>
      <protection hidden="1"/>
    </xf>
    <xf numFmtId="20" fontId="0" fillId="0" borderId="0" xfId="0" applyNumberFormat="1" applyFont="1" applyBorder="1" applyAlignment="1" applyProtection="1">
      <alignment horizontal="center"/>
      <protection hidden="1"/>
    </xf>
    <xf numFmtId="164" fontId="17" fillId="0" borderId="0" xfId="2" applyFont="1" applyFill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67" fontId="0" fillId="0" borderId="0" xfId="0" applyNumberFormat="1" applyFont="1" applyBorder="1" applyAlignment="1" applyProtection="1">
      <alignment horizontal="left"/>
      <protection hidden="1"/>
    </xf>
    <xf numFmtId="0" fontId="32" fillId="0" borderId="2" xfId="0" applyFont="1" applyFill="1" applyBorder="1" applyProtection="1">
      <protection hidden="1"/>
    </xf>
    <xf numFmtId="0" fontId="34" fillId="0" borderId="1" xfId="0" applyFont="1" applyFill="1" applyBorder="1" applyAlignment="1" applyProtection="1">
      <alignment horizontal="center" vertical="center"/>
      <protection hidden="1"/>
    </xf>
    <xf numFmtId="14" fontId="8" fillId="0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left" vertical="center"/>
      <protection hidden="1"/>
    </xf>
    <xf numFmtId="0" fontId="9" fillId="0" borderId="1" xfId="0" applyFont="1" applyFill="1" applyBorder="1" applyAlignment="1" applyProtection="1">
      <alignment horizontal="left" vertical="center"/>
      <protection hidden="1"/>
    </xf>
    <xf numFmtId="164" fontId="8" fillId="0" borderId="1" xfId="1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/>
      <protection hidden="1"/>
    </xf>
    <xf numFmtId="0" fontId="18" fillId="0" borderId="0" xfId="0" applyFont="1" applyAlignment="1" applyProtection="1">
      <alignment horizontal="center"/>
      <protection hidden="1"/>
    </xf>
    <xf numFmtId="167" fontId="18" fillId="0" borderId="0" xfId="0" applyNumberFormat="1" applyFont="1" applyAlignment="1" applyProtection="1">
      <alignment horizontal="center"/>
      <protection hidden="1"/>
    </xf>
    <xf numFmtId="172" fontId="18" fillId="0" borderId="0" xfId="5" applyNumberFormat="1" applyFont="1" applyBorder="1" applyAlignment="1" applyProtection="1">
      <alignment horizontal="right"/>
      <protection hidden="1"/>
    </xf>
    <xf numFmtId="172" fontId="0" fillId="0" borderId="0" xfId="0" applyNumberFormat="1" applyProtection="1">
      <protection hidden="1"/>
    </xf>
    <xf numFmtId="0" fontId="0" fillId="0" borderId="0" xfId="0" applyAlignment="1" applyProtection="1">
      <alignment horizontal="left"/>
      <protection hidden="1"/>
    </xf>
    <xf numFmtId="167" fontId="18" fillId="0" borderId="0" xfId="0" applyNumberFormat="1" applyFont="1" applyAlignment="1" applyProtection="1">
      <alignment horizontal="left"/>
      <protection hidden="1"/>
    </xf>
    <xf numFmtId="164" fontId="18" fillId="0" borderId="0" xfId="2" applyFont="1" applyBorder="1" applyAlignment="1" applyProtection="1">
      <alignment horizontal="left"/>
      <protection hidden="1"/>
    </xf>
    <xf numFmtId="167" fontId="0" fillId="0" borderId="0" xfId="0" applyNumberFormat="1" applyAlignment="1" applyProtection="1">
      <alignment horizontal="center"/>
      <protection hidden="1"/>
    </xf>
    <xf numFmtId="164" fontId="0" fillId="0" borderId="0" xfId="2" applyFont="1" applyBorder="1" applyAlignment="1" applyProtection="1">
      <alignment horizontal="right"/>
      <protection hidden="1"/>
    </xf>
    <xf numFmtId="164" fontId="3" fillId="0" borderId="0" xfId="2" applyFont="1" applyFill="1" applyBorder="1" applyAlignment="1" applyProtection="1">
      <alignment horizontal="left"/>
      <protection hidden="1"/>
    </xf>
    <xf numFmtId="164" fontId="0" fillId="0" borderId="0" xfId="2" applyFont="1" applyFill="1" applyBorder="1" applyProtection="1"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14" fillId="7" borderId="0" xfId="0" applyFont="1" applyFill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164" fontId="3" fillId="3" borderId="0" xfId="2" applyFont="1" applyFill="1" applyBorder="1" applyAlignment="1" applyProtection="1">
      <alignment horizontal="left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46" fillId="0" borderId="0" xfId="0" applyFont="1" applyBorder="1" applyAlignment="1" applyProtection="1">
      <alignment horizontal="left"/>
      <protection hidden="1"/>
    </xf>
    <xf numFmtId="0" fontId="46" fillId="0" borderId="0" xfId="0" applyFont="1" applyBorder="1" applyProtection="1">
      <protection hidden="1"/>
    </xf>
    <xf numFmtId="0" fontId="14" fillId="0" borderId="0" xfId="0" applyFont="1" applyBorder="1" applyProtection="1">
      <protection hidden="1"/>
    </xf>
    <xf numFmtId="164" fontId="14" fillId="0" borderId="0" xfId="0" applyNumberFormat="1" applyFont="1" applyBorder="1" applyProtection="1">
      <protection hidden="1"/>
    </xf>
    <xf numFmtId="166" fontId="14" fillId="0" borderId="0" xfId="0" applyNumberFormat="1" applyFont="1" applyBorder="1" applyProtection="1">
      <protection hidden="1"/>
    </xf>
    <xf numFmtId="0" fontId="8" fillId="0" borderId="0" xfId="0" applyFont="1" applyFill="1" applyProtection="1">
      <protection hidden="1"/>
    </xf>
    <xf numFmtId="0" fontId="21" fillId="0" borderId="1" xfId="8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center" vertical="center"/>
      <protection hidden="1"/>
    </xf>
    <xf numFmtId="178" fontId="38" fillId="5" borderId="0" xfId="0" applyNumberFormat="1" applyFont="1" applyFill="1" applyAlignment="1" applyProtection="1">
      <alignment horizontal="left" vertical="center"/>
      <protection hidden="1"/>
    </xf>
    <xf numFmtId="179" fontId="38" fillId="5" borderId="1" xfId="0" applyNumberFormat="1" applyFont="1" applyFill="1" applyBorder="1" applyAlignment="1" applyProtection="1">
      <alignment horizontal="center" vertical="center"/>
      <protection hidden="1"/>
    </xf>
    <xf numFmtId="179" fontId="38" fillId="5" borderId="1" xfId="0" applyNumberFormat="1" applyFont="1" applyFill="1" applyBorder="1" applyAlignment="1" applyProtection="1">
      <alignment horizontal="left" vertical="center"/>
      <protection hidden="1"/>
    </xf>
    <xf numFmtId="0" fontId="38" fillId="5" borderId="1" xfId="0" applyFont="1" applyFill="1" applyBorder="1" applyAlignment="1" applyProtection="1">
      <alignment horizontal="left" vertical="center" wrapText="1"/>
      <protection hidden="1"/>
    </xf>
    <xf numFmtId="0" fontId="38" fillId="5" borderId="1" xfId="0" applyFont="1" applyFill="1" applyBorder="1" applyAlignment="1" applyProtection="1">
      <alignment horizontal="left" vertical="top" wrapText="1"/>
      <protection hidden="1"/>
    </xf>
    <xf numFmtId="0" fontId="37" fillId="0" borderId="0" xfId="0" applyFont="1" applyAlignment="1" applyProtection="1">
      <alignment vertical="top"/>
      <protection hidden="1"/>
    </xf>
    <xf numFmtId="178" fontId="39" fillId="0" borderId="1" xfId="0" applyNumberFormat="1" applyFont="1" applyBorder="1" applyAlignment="1" applyProtection="1">
      <alignment horizontal="left" vertical="center"/>
      <protection hidden="1"/>
    </xf>
    <xf numFmtId="179" fontId="39" fillId="0" borderId="1" xfId="0" applyNumberFormat="1" applyFont="1" applyBorder="1" applyAlignment="1" applyProtection="1">
      <alignment horizontal="center" vertical="center"/>
      <protection hidden="1"/>
    </xf>
    <xf numFmtId="179" fontId="39" fillId="0" borderId="1" xfId="0" applyNumberFormat="1" applyFont="1" applyBorder="1" applyAlignment="1" applyProtection="1">
      <alignment horizontal="left" vertical="center"/>
      <protection hidden="1"/>
    </xf>
    <xf numFmtId="0" fontId="39" fillId="0" borderId="1" xfId="0" applyFont="1" applyBorder="1" applyAlignment="1" applyProtection="1">
      <alignment horizontal="left" vertical="top" wrapText="1"/>
      <protection hidden="1"/>
    </xf>
    <xf numFmtId="0" fontId="39" fillId="3" borderId="1" xfId="0" applyFont="1" applyFill="1" applyBorder="1" applyAlignment="1" applyProtection="1">
      <alignment horizontal="left" vertical="top" wrapText="1"/>
      <protection hidden="1"/>
    </xf>
    <xf numFmtId="0" fontId="40" fillId="0" borderId="1" xfId="0" applyFont="1" applyBorder="1" applyAlignment="1" applyProtection="1">
      <alignment horizontal="left" vertical="top" wrapText="1"/>
      <protection hidden="1"/>
    </xf>
    <xf numFmtId="178" fontId="41" fillId="0" borderId="1" xfId="0" applyNumberFormat="1" applyFont="1" applyBorder="1" applyAlignment="1" applyProtection="1">
      <alignment horizontal="left" vertical="center"/>
      <protection hidden="1"/>
    </xf>
    <xf numFmtId="179" fontId="41" fillId="0" borderId="1" xfId="0" applyNumberFormat="1" applyFont="1" applyBorder="1" applyAlignment="1" applyProtection="1">
      <alignment horizontal="center" vertical="center"/>
      <protection hidden="1"/>
    </xf>
    <xf numFmtId="179" fontId="41" fillId="0" borderId="1" xfId="0" applyNumberFormat="1" applyFont="1" applyBorder="1" applyAlignment="1" applyProtection="1">
      <alignment horizontal="left" vertical="center"/>
      <protection hidden="1"/>
    </xf>
    <xf numFmtId="178" fontId="37" fillId="0" borderId="0" xfId="0" applyNumberFormat="1" applyFont="1" applyAlignment="1" applyProtection="1">
      <alignment horizontal="left" vertical="center"/>
      <protection hidden="1"/>
    </xf>
    <xf numFmtId="179" fontId="37" fillId="0" borderId="0" xfId="0" applyNumberFormat="1" applyFont="1" applyAlignment="1" applyProtection="1">
      <alignment horizontal="center" vertical="center"/>
      <protection hidden="1"/>
    </xf>
    <xf numFmtId="179" fontId="37" fillId="0" borderId="0" xfId="0" applyNumberFormat="1" applyFont="1" applyAlignment="1" applyProtection="1">
      <alignment horizontal="left" vertical="center"/>
      <protection hidden="1"/>
    </xf>
    <xf numFmtId="0" fontId="42" fillId="0" borderId="0" xfId="0" applyFont="1" applyAlignment="1" applyProtection="1">
      <alignment horizontal="left" vertical="center" wrapText="1"/>
      <protection hidden="1"/>
    </xf>
    <xf numFmtId="0" fontId="37" fillId="0" borderId="0" xfId="0" applyFont="1" applyAlignment="1" applyProtection="1">
      <alignment horizontal="left" vertical="top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45" fillId="0" borderId="9" xfId="0" applyFont="1" applyBorder="1" applyProtection="1">
      <protection hidden="1"/>
    </xf>
    <xf numFmtId="0" fontId="45" fillId="0" borderId="10" xfId="0" applyFont="1" applyBorder="1" applyProtection="1">
      <protection hidden="1"/>
    </xf>
    <xf numFmtId="0" fontId="45" fillId="0" borderId="11" xfId="0" applyFont="1" applyBorder="1" applyProtection="1">
      <protection hidden="1"/>
    </xf>
    <xf numFmtId="0" fontId="45" fillId="0" borderId="12" xfId="0" applyFont="1" applyBorder="1" applyProtection="1">
      <protection hidden="1"/>
    </xf>
    <xf numFmtId="0" fontId="45" fillId="0" borderId="0" xfId="0" applyFont="1" applyProtection="1">
      <protection hidden="1"/>
    </xf>
    <xf numFmtId="0" fontId="45" fillId="0" borderId="13" xfId="0" applyFont="1" applyBorder="1" applyProtection="1">
      <protection hidden="1"/>
    </xf>
    <xf numFmtId="14" fontId="45" fillId="0" borderId="0" xfId="0" applyNumberFormat="1" applyFont="1" applyAlignment="1" applyProtection="1">
      <alignment horizontal="center"/>
      <protection hidden="1"/>
    </xf>
    <xf numFmtId="172" fontId="45" fillId="0" borderId="0" xfId="5" applyNumberFormat="1" applyFont="1" applyFill="1" applyBorder="1" applyProtection="1">
      <protection hidden="1"/>
    </xf>
    <xf numFmtId="0" fontId="32" fillId="0" borderId="12" xfId="0" applyFont="1" applyBorder="1" applyProtection="1">
      <protection hidden="1"/>
    </xf>
    <xf numFmtId="172" fontId="32" fillId="0" borderId="0" xfId="5" applyNumberFormat="1" applyFont="1" applyFill="1" applyBorder="1" applyProtection="1">
      <protection hidden="1"/>
    </xf>
    <xf numFmtId="0" fontId="45" fillId="0" borderId="0" xfId="0" applyFont="1" applyAlignment="1" applyProtection="1">
      <alignment horizontal="center"/>
      <protection hidden="1"/>
    </xf>
    <xf numFmtId="0" fontId="45" fillId="0" borderId="6" xfId="0" applyFont="1" applyBorder="1" applyProtection="1">
      <protection hidden="1"/>
    </xf>
    <xf numFmtId="0" fontId="45" fillId="0" borderId="7" xfId="0" applyFont="1" applyBorder="1" applyProtection="1">
      <protection hidden="1"/>
    </xf>
    <xf numFmtId="0" fontId="45" fillId="0" borderId="8" xfId="0" applyFont="1" applyBorder="1" applyProtection="1">
      <protection hidden="1"/>
    </xf>
    <xf numFmtId="172" fontId="14" fillId="0" borderId="0" xfId="0" applyNumberFormat="1" applyFont="1" applyAlignment="1" applyProtection="1">
      <alignment horizontal="center"/>
      <protection hidden="1"/>
    </xf>
    <xf numFmtId="172" fontId="14" fillId="0" borderId="0" xfId="0" applyNumberFormat="1" applyFont="1" applyAlignment="1" applyProtection="1">
      <alignment horizontal="left"/>
      <protection hidden="1"/>
    </xf>
    <xf numFmtId="14" fontId="20" fillId="0" borderId="0" xfId="0" applyNumberFormat="1" applyFont="1" applyAlignment="1" applyProtection="1">
      <alignment horizontal="left"/>
      <protection hidden="1"/>
    </xf>
    <xf numFmtId="14" fontId="14" fillId="0" borderId="0" xfId="0" applyNumberFormat="1" applyFont="1" applyAlignment="1" applyProtection="1">
      <alignment horizontal="center"/>
      <protection hidden="1"/>
    </xf>
    <xf numFmtId="164" fontId="0" fillId="0" borderId="0" xfId="2" applyFont="1" applyFill="1" applyBorder="1" applyAlignment="1" applyProtection="1">
      <alignment horizontal="center"/>
      <protection hidden="1"/>
    </xf>
    <xf numFmtId="0" fontId="14" fillId="0" borderId="10" xfId="0" applyFont="1" applyBorder="1" applyAlignment="1" applyProtection="1">
      <alignment horizontal="center"/>
      <protection hidden="1"/>
    </xf>
    <xf numFmtId="0" fontId="14" fillId="0" borderId="7" xfId="0" applyFont="1" applyBorder="1" applyAlignment="1" applyProtection="1">
      <alignment horizontal="center"/>
      <protection hidden="1"/>
    </xf>
    <xf numFmtId="0" fontId="14" fillId="0" borderId="12" xfId="0" applyFont="1" applyBorder="1" applyAlignment="1" applyProtection="1">
      <alignment horizontal="center"/>
      <protection hidden="1"/>
    </xf>
    <xf numFmtId="14" fontId="14" fillId="0" borderId="0" xfId="0" applyNumberFormat="1" applyFont="1" applyAlignment="1" applyProtection="1">
      <alignment horizontal="left"/>
      <protection hidden="1"/>
    </xf>
    <xf numFmtId="0" fontId="20" fillId="0" borderId="10" xfId="4" applyNumberFormat="1" applyFont="1" applyFill="1" applyBorder="1" applyAlignment="1" applyProtection="1">
      <alignment horizontal="left"/>
      <protection hidden="1"/>
    </xf>
    <xf numFmtId="0" fontId="20" fillId="0" borderId="11" xfId="4" applyNumberFormat="1" applyFont="1" applyFill="1" applyBorder="1" applyAlignment="1" applyProtection="1">
      <alignment horizontal="left"/>
      <protection hidden="1"/>
    </xf>
    <xf numFmtId="0" fontId="20" fillId="0" borderId="7" xfId="0" applyNumberFormat="1" applyFont="1" applyFill="1" applyBorder="1" applyAlignment="1" applyProtection="1">
      <alignment horizontal="left"/>
      <protection hidden="1"/>
    </xf>
    <xf numFmtId="0" fontId="20" fillId="0" borderId="8" xfId="0" applyNumberFormat="1" applyFont="1" applyFill="1" applyBorder="1" applyAlignment="1" applyProtection="1">
      <alignment horizontal="left"/>
      <protection hidden="1"/>
    </xf>
    <xf numFmtId="0" fontId="49" fillId="16" borderId="0" xfId="0" applyFont="1" applyFill="1" applyBorder="1" applyAlignment="1" applyProtection="1">
      <alignment horizontal="center" vertical="center"/>
      <protection hidden="1"/>
    </xf>
    <xf numFmtId="17" fontId="19" fillId="16" borderId="0" xfId="0" applyNumberFormat="1" applyFont="1" applyFill="1" applyBorder="1" applyAlignment="1" applyProtection="1">
      <alignment horizontal="center" vertical="center"/>
      <protection hidden="1"/>
    </xf>
    <xf numFmtId="9" fontId="50" fillId="0" borderId="0" xfId="3" applyNumberFormat="1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164" fontId="6" fillId="0" borderId="0" xfId="3" applyNumberFormat="1" applyFont="1" applyFill="1" applyBorder="1" applyAlignment="1" applyProtection="1">
      <alignment horizontal="center" vertical="center"/>
      <protection hidden="1"/>
    </xf>
    <xf numFmtId="0" fontId="0" fillId="3" borderId="0" xfId="0" applyFill="1"/>
    <xf numFmtId="14" fontId="0" fillId="0" borderId="0" xfId="0" applyNumberFormat="1"/>
    <xf numFmtId="19" fontId="0" fillId="0" borderId="0" xfId="0" applyNumberFormat="1"/>
    <xf numFmtId="165" fontId="5" fillId="13" borderId="0" xfId="3" applyNumberFormat="1" applyFont="1" applyFill="1" applyBorder="1" applyAlignment="1" applyProtection="1">
      <alignment horizontal="center" vertical="center"/>
      <protection hidden="1"/>
    </xf>
    <xf numFmtId="0" fontId="18" fillId="7" borderId="1" xfId="0" applyFont="1" applyFill="1" applyBorder="1" applyAlignment="1" applyProtection="1">
      <alignment horizontal="center"/>
      <protection hidden="1"/>
    </xf>
    <xf numFmtId="0" fontId="45" fillId="7" borderId="12" xfId="0" applyFont="1" applyFill="1" applyBorder="1" applyProtection="1">
      <protection hidden="1"/>
    </xf>
    <xf numFmtId="0" fontId="45" fillId="7" borderId="0" xfId="0" applyFont="1" applyFill="1" applyProtection="1">
      <protection hidden="1"/>
    </xf>
    <xf numFmtId="0" fontId="45" fillId="7" borderId="13" xfId="0" applyFont="1" applyFill="1" applyBorder="1" applyProtection="1">
      <protection hidden="1"/>
    </xf>
    <xf numFmtId="0" fontId="32" fillId="7" borderId="12" xfId="0" applyFont="1" applyFill="1" applyBorder="1" applyProtection="1">
      <protection hidden="1"/>
    </xf>
    <xf numFmtId="0" fontId="45" fillId="7" borderId="6" xfId="0" applyFont="1" applyFill="1" applyBorder="1" applyProtection="1">
      <protection hidden="1"/>
    </xf>
    <xf numFmtId="0" fontId="45" fillId="7" borderId="7" xfId="0" applyFont="1" applyFill="1" applyBorder="1" applyProtection="1">
      <protection hidden="1"/>
    </xf>
    <xf numFmtId="0" fontId="45" fillId="7" borderId="8" xfId="0" applyFont="1" applyFill="1" applyBorder="1" applyProtection="1">
      <protection hidden="1"/>
    </xf>
    <xf numFmtId="0" fontId="45" fillId="7" borderId="0" xfId="0" applyFont="1" applyFill="1" applyAlignment="1" applyProtection="1">
      <alignment horizontal="left"/>
      <protection hidden="1"/>
    </xf>
    <xf numFmtId="14" fontId="45" fillId="7" borderId="0" xfId="0" applyNumberFormat="1" applyFont="1" applyFill="1" applyAlignment="1" applyProtection="1">
      <alignment horizontal="center"/>
      <protection hidden="1"/>
    </xf>
    <xf numFmtId="172" fontId="45" fillId="7" borderId="0" xfId="5" applyNumberFormat="1" applyFont="1" applyFill="1" applyBorder="1" applyProtection="1">
      <protection hidden="1"/>
    </xf>
    <xf numFmtId="172" fontId="32" fillId="7" borderId="0" xfId="5" applyNumberFormat="1" applyFont="1" applyFill="1" applyBorder="1" applyProtection="1">
      <protection hidden="1"/>
    </xf>
    <xf numFmtId="164" fontId="6" fillId="0" borderId="0" xfId="5" applyNumberFormat="1" applyFont="1" applyFill="1" applyBorder="1" applyAlignment="1" applyProtection="1">
      <alignment horizontal="center" vertical="center"/>
      <protection hidden="1"/>
    </xf>
    <xf numFmtId="0" fontId="21" fillId="0" borderId="0" xfId="8" applyFill="1"/>
    <xf numFmtId="0" fontId="21" fillId="0" borderId="0" xfId="8" applyFill="1" applyAlignment="1">
      <alignment vertical="center"/>
    </xf>
    <xf numFmtId="0" fontId="21" fillId="0" borderId="1" xfId="8" applyFill="1" applyBorder="1"/>
    <xf numFmtId="0" fontId="21" fillId="0" borderId="1" xfId="8" applyFill="1" applyBorder="1" applyAlignment="1">
      <alignment vertical="center"/>
    </xf>
    <xf numFmtId="0" fontId="0" fillId="0" borderId="0" xfId="0" applyFont="1" applyBorder="1" applyProtection="1">
      <protection locked="0"/>
    </xf>
    <xf numFmtId="0" fontId="10" fillId="5" borderId="6" xfId="0" applyNumberFormat="1" applyFont="1" applyFill="1" applyBorder="1" applyAlignment="1" applyProtection="1">
      <alignment vertical="center" readingOrder="1"/>
      <protection hidden="1"/>
    </xf>
    <xf numFmtId="164" fontId="10" fillId="5" borderId="7" xfId="2" applyNumberFormat="1" applyFont="1" applyFill="1" applyBorder="1" applyAlignment="1" applyProtection="1">
      <alignment horizontal="right" vertical="center"/>
      <protection hidden="1"/>
    </xf>
    <xf numFmtId="0" fontId="10" fillId="5" borderId="2" xfId="0" applyNumberFormat="1" applyFont="1" applyFill="1" applyBorder="1" applyAlignment="1" applyProtection="1">
      <alignment vertical="center" readingOrder="1"/>
      <protection hidden="1"/>
    </xf>
    <xf numFmtId="164" fontId="10" fillId="5" borderId="3" xfId="2" applyNumberFormat="1" applyFont="1" applyFill="1" applyBorder="1" applyAlignment="1" applyProtection="1">
      <alignment horizontal="right" vertical="center"/>
      <protection hidden="1"/>
    </xf>
    <xf numFmtId="164" fontId="10" fillId="5" borderId="4" xfId="2" applyNumberFormat="1" applyFont="1" applyFill="1" applyBorder="1" applyAlignment="1" applyProtection="1">
      <alignment horizontal="right" vertical="center"/>
      <protection hidden="1"/>
    </xf>
    <xf numFmtId="0" fontId="4" fillId="14" borderId="2" xfId="0" applyNumberFormat="1" applyFont="1" applyFill="1" applyBorder="1" applyAlignment="1" applyProtection="1">
      <alignment vertical="center" readingOrder="1"/>
      <protection hidden="1"/>
    </xf>
    <xf numFmtId="164" fontId="4" fillId="14" borderId="3" xfId="2" applyNumberFormat="1" applyFont="1" applyFill="1" applyBorder="1" applyAlignment="1" applyProtection="1">
      <alignment horizontal="right" vertical="center"/>
      <protection hidden="1"/>
    </xf>
    <xf numFmtId="164" fontId="7" fillId="2" borderId="3" xfId="2" applyNumberFormat="1" applyFont="1" applyFill="1" applyBorder="1" applyAlignment="1" applyProtection="1">
      <alignment horizontal="right" vertical="center"/>
      <protection hidden="1"/>
    </xf>
    <xf numFmtId="164" fontId="7" fillId="2" borderId="4" xfId="2" applyNumberFormat="1" applyFont="1" applyFill="1" applyBorder="1" applyAlignment="1" applyProtection="1">
      <alignment horizontal="right" vertical="center"/>
      <protection hidden="1"/>
    </xf>
    <xf numFmtId="164" fontId="7" fillId="14" borderId="3" xfId="2" applyNumberFormat="1" applyFont="1" applyFill="1" applyBorder="1" applyAlignment="1" applyProtection="1">
      <alignment horizontal="right" vertical="center"/>
      <protection hidden="1"/>
    </xf>
    <xf numFmtId="164" fontId="7" fillId="14" borderId="4" xfId="2" applyNumberFormat="1" applyFont="1" applyFill="1" applyBorder="1" applyAlignment="1" applyProtection="1">
      <alignment horizontal="right" vertical="center"/>
      <protection hidden="1"/>
    </xf>
    <xf numFmtId="164" fontId="7" fillId="3" borderId="0" xfId="2" applyNumberFormat="1" applyFont="1" applyFill="1" applyAlignment="1" applyProtection="1">
      <alignment vertical="center"/>
      <protection hidden="1"/>
    </xf>
    <xf numFmtId="0" fontId="14" fillId="0" borderId="9" xfId="0" applyFont="1" applyBorder="1" applyAlignment="1" applyProtection="1">
      <alignment horizontal="center"/>
      <protection hidden="1"/>
    </xf>
    <xf numFmtId="0" fontId="14" fillId="0" borderId="11" xfId="0" applyFont="1" applyBorder="1" applyAlignment="1" applyProtection="1">
      <alignment horizontal="center"/>
      <protection hidden="1"/>
    </xf>
    <xf numFmtId="0" fontId="14" fillId="0" borderId="13" xfId="0" applyFont="1" applyBorder="1" applyAlignment="1" applyProtection="1">
      <alignment horizontal="center"/>
      <protection hidden="1"/>
    </xf>
    <xf numFmtId="0" fontId="14" fillId="7" borderId="12" xfId="0" applyFont="1" applyFill="1" applyBorder="1" applyAlignment="1" applyProtection="1">
      <alignment horizontal="center"/>
      <protection hidden="1"/>
    </xf>
    <xf numFmtId="0" fontId="14" fillId="7" borderId="13" xfId="0" applyFont="1" applyFill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hidden="1"/>
    </xf>
    <xf numFmtId="0" fontId="14" fillId="7" borderId="10" xfId="0" applyFont="1" applyFill="1" applyBorder="1" applyAlignment="1" applyProtection="1">
      <alignment horizontal="center"/>
      <protection hidden="1"/>
    </xf>
    <xf numFmtId="0" fontId="14" fillId="7" borderId="11" xfId="0" applyFont="1" applyFill="1" applyBorder="1" applyAlignment="1" applyProtection="1">
      <alignment horizontal="center"/>
      <protection hidden="1"/>
    </xf>
    <xf numFmtId="1" fontId="4" fillId="0" borderId="0" xfId="3" applyNumberFormat="1" applyFont="1" applyFill="1" applyAlignment="1" applyProtection="1">
      <alignment horizontal="center" vertical="center"/>
      <protection hidden="1"/>
    </xf>
    <xf numFmtId="1" fontId="4" fillId="0" borderId="0" xfId="0" applyNumberFormat="1" applyFont="1" applyFill="1" applyAlignment="1" applyProtection="1">
      <alignment horizontal="center" vertical="center"/>
      <protection hidden="1"/>
    </xf>
    <xf numFmtId="164" fontId="25" fillId="0" borderId="0" xfId="2" applyFont="1" applyFill="1" applyBorder="1" applyAlignment="1" applyProtection="1">
      <alignment horizontal="right"/>
      <protection hidden="1"/>
    </xf>
    <xf numFmtId="168" fontId="25" fillId="0" borderId="0" xfId="3" applyNumberFormat="1" applyFont="1" applyFill="1" applyBorder="1" applyAlignment="1" applyProtection="1">
      <alignment horizontal="right"/>
      <protection hidden="1"/>
    </xf>
    <xf numFmtId="166" fontId="25" fillId="0" borderId="0" xfId="1" applyFont="1" applyFill="1" applyBorder="1" applyAlignment="1" applyProtection="1">
      <alignment horizontal="right"/>
      <protection hidden="1"/>
    </xf>
    <xf numFmtId="17" fontId="19" fillId="16" borderId="17" xfId="0" applyNumberFormat="1" applyFont="1" applyFill="1" applyBorder="1" applyAlignment="1" applyProtection="1">
      <alignment horizontal="center" vertical="center"/>
      <protection hidden="1"/>
    </xf>
    <xf numFmtId="17" fontId="19" fillId="16" borderId="18" xfId="0" applyNumberFormat="1" applyFont="1" applyFill="1" applyBorder="1" applyAlignment="1" applyProtection="1">
      <alignment horizontal="center" vertical="center"/>
      <protection hidden="1"/>
    </xf>
    <xf numFmtId="17" fontId="19" fillId="16" borderId="19" xfId="0" applyNumberFormat="1" applyFont="1" applyFill="1" applyBorder="1" applyAlignment="1" applyProtection="1">
      <alignment horizontal="center" vertical="center"/>
      <protection hidden="1"/>
    </xf>
    <xf numFmtId="0" fontId="14" fillId="0" borderId="22" xfId="0" applyFont="1" applyBorder="1" applyAlignment="1" applyProtection="1">
      <alignment horizontal="center"/>
      <protection hidden="1"/>
    </xf>
    <xf numFmtId="0" fontId="14" fillId="0" borderId="23" xfId="0" applyFont="1" applyBorder="1" applyAlignment="1" applyProtection="1">
      <alignment horizontal="center"/>
      <protection hidden="1"/>
    </xf>
    <xf numFmtId="0" fontId="14" fillId="7" borderId="22" xfId="0" applyFont="1" applyFill="1" applyBorder="1" applyAlignment="1" applyProtection="1">
      <alignment horizontal="center"/>
      <protection hidden="1"/>
    </xf>
    <xf numFmtId="0" fontId="14" fillId="7" borderId="23" xfId="0" applyFont="1" applyFill="1" applyBorder="1" applyAlignment="1" applyProtection="1">
      <alignment horizontal="center"/>
      <protection hidden="1"/>
    </xf>
    <xf numFmtId="0" fontId="14" fillId="0" borderId="25" xfId="0" applyFont="1" applyBorder="1" applyAlignment="1" applyProtection="1">
      <alignment horizontal="center"/>
      <protection hidden="1"/>
    </xf>
    <xf numFmtId="0" fontId="14" fillId="0" borderId="26" xfId="0" applyFont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9" fontId="43" fillId="3" borderId="0" xfId="3" applyFont="1" applyFill="1" applyBorder="1" applyAlignment="1" applyProtection="1">
      <alignment horizontal="center" vertical="center"/>
      <protection hidden="1"/>
    </xf>
    <xf numFmtId="164" fontId="36" fillId="0" borderId="0" xfId="2" applyFont="1" applyFill="1" applyBorder="1" applyAlignment="1" applyProtection="1">
      <alignment horizontal="left"/>
      <protection hidden="1"/>
    </xf>
    <xf numFmtId="0" fontId="48" fillId="16" borderId="0" xfId="0" applyFont="1" applyFill="1" applyBorder="1" applyAlignment="1" applyProtection="1">
      <alignment horizontal="center" vertical="center"/>
      <protection hidden="1"/>
    </xf>
    <xf numFmtId="166" fontId="20" fillId="0" borderId="0" xfId="1" applyFont="1" applyFill="1" applyBorder="1" applyAlignment="1" applyProtection="1">
      <alignment horizontal="center"/>
      <protection hidden="1"/>
    </xf>
    <xf numFmtId="166" fontId="0" fillId="0" borderId="0" xfId="1" applyFont="1" applyBorder="1" applyAlignment="1" applyProtection="1">
      <alignment horizontal="left" vertical="center"/>
      <protection hidden="1"/>
    </xf>
    <xf numFmtId="166" fontId="18" fillId="0" borderId="0" xfId="1" applyFont="1" applyBorder="1" applyProtection="1">
      <protection hidden="1"/>
    </xf>
    <xf numFmtId="166" fontId="0" fillId="0" borderId="0" xfId="1" applyFont="1" applyBorder="1" applyProtection="1">
      <protection hidden="1"/>
    </xf>
    <xf numFmtId="166" fontId="0" fillId="0" borderId="0" xfId="1" applyFont="1" applyBorder="1" applyAlignment="1" applyProtection="1">
      <alignment horizontal="left" vertical="center" wrapText="1"/>
      <protection hidden="1"/>
    </xf>
    <xf numFmtId="166" fontId="0" fillId="0" borderId="0" xfId="1" applyFont="1" applyBorder="1" applyAlignment="1" applyProtection="1">
      <alignment horizontal="center"/>
      <protection hidden="1"/>
    </xf>
    <xf numFmtId="0" fontId="19" fillId="0" borderId="0" xfId="0" applyFont="1" applyFill="1" applyProtection="1">
      <protection hidden="1"/>
    </xf>
    <xf numFmtId="168" fontId="27" fillId="0" borderId="0" xfId="3" applyNumberFormat="1" applyFont="1" applyBorder="1" applyProtection="1">
      <protection hidden="1"/>
    </xf>
    <xf numFmtId="168" fontId="27" fillId="0" borderId="0" xfId="3" applyNumberFormat="1" applyFont="1" applyBorder="1" applyAlignment="1" applyProtection="1">
      <alignment horizontal="center"/>
      <protection hidden="1"/>
    </xf>
    <xf numFmtId="175" fontId="14" fillId="0" borderId="0" xfId="0" applyNumberFormat="1" applyFont="1" applyFill="1" applyProtection="1">
      <protection hidden="1"/>
    </xf>
    <xf numFmtId="17" fontId="14" fillId="10" borderId="27" xfId="0" applyNumberFormat="1" applyFont="1" applyFill="1" applyBorder="1" applyAlignment="1" applyProtection="1">
      <alignment horizontal="left"/>
      <protection hidden="1"/>
    </xf>
    <xf numFmtId="164" fontId="14" fillId="10" borderId="3" xfId="0" applyNumberFormat="1" applyFont="1" applyFill="1" applyBorder="1" applyAlignment="1" applyProtection="1">
      <alignment horizontal="center"/>
      <protection hidden="1"/>
    </xf>
    <xf numFmtId="164" fontId="14" fillId="10" borderId="28" xfId="0" applyNumberFormat="1" applyFont="1" applyFill="1" applyBorder="1" applyAlignment="1" applyProtection="1">
      <alignment horizontal="center"/>
      <protection hidden="1"/>
    </xf>
    <xf numFmtId="17" fontId="14" fillId="10" borderId="34" xfId="0" applyNumberFormat="1" applyFont="1" applyFill="1" applyBorder="1" applyAlignment="1" applyProtection="1">
      <alignment horizontal="left"/>
      <protection hidden="1"/>
    </xf>
    <xf numFmtId="164" fontId="14" fillId="10" borderId="10" xfId="0" applyNumberFormat="1" applyFont="1" applyFill="1" applyBorder="1" applyAlignment="1" applyProtection="1">
      <alignment horizontal="center"/>
      <protection hidden="1"/>
    </xf>
    <xf numFmtId="164" fontId="14" fillId="10" borderId="21" xfId="0" applyNumberFormat="1" applyFont="1" applyFill="1" applyBorder="1" applyAlignment="1" applyProtection="1">
      <alignment horizontal="center"/>
      <protection hidden="1"/>
    </xf>
    <xf numFmtId="17" fontId="14" fillId="10" borderId="29" xfId="0" applyNumberFormat="1" applyFont="1" applyFill="1" applyBorder="1" applyAlignment="1" applyProtection="1">
      <alignment horizontal="left"/>
      <protection hidden="1"/>
    </xf>
    <xf numFmtId="172" fontId="14" fillId="10" borderId="28" xfId="5" applyNumberFormat="1" applyFont="1" applyFill="1" applyBorder="1" applyAlignment="1" applyProtection="1">
      <alignment horizontal="center"/>
      <protection hidden="1"/>
    </xf>
    <xf numFmtId="17" fontId="14" fillId="10" borderId="20" xfId="0" applyNumberFormat="1" applyFont="1" applyFill="1" applyBorder="1" applyAlignment="1" applyProtection="1">
      <alignment horizontal="left"/>
      <protection hidden="1"/>
    </xf>
    <xf numFmtId="172" fontId="14" fillId="10" borderId="21" xfId="5" applyNumberFormat="1" applyFont="1" applyFill="1" applyBorder="1" applyAlignment="1" applyProtection="1">
      <alignment horizontal="center"/>
      <protection hidden="1"/>
    </xf>
    <xf numFmtId="17" fontId="14" fillId="10" borderId="35" xfId="0" applyNumberFormat="1" applyFont="1" applyFill="1" applyBorder="1" applyAlignment="1" applyProtection="1">
      <alignment horizontal="left"/>
      <protection hidden="1"/>
    </xf>
    <xf numFmtId="164" fontId="14" fillId="10" borderId="7" xfId="0" applyNumberFormat="1" applyFont="1" applyFill="1" applyBorder="1" applyAlignment="1" applyProtection="1">
      <alignment horizontal="center"/>
      <protection hidden="1"/>
    </xf>
    <xf numFmtId="164" fontId="14" fillId="10" borderId="36" xfId="0" applyNumberFormat="1" applyFont="1" applyFill="1" applyBorder="1" applyAlignment="1" applyProtection="1">
      <alignment horizontal="center"/>
      <protection hidden="1"/>
    </xf>
    <xf numFmtId="17" fontId="20" fillId="10" borderId="30" xfId="0" applyNumberFormat="1" applyFont="1" applyFill="1" applyBorder="1" applyAlignment="1" applyProtection="1">
      <alignment horizontal="left"/>
      <protection hidden="1"/>
    </xf>
    <xf numFmtId="164" fontId="20" fillId="10" borderId="31" xfId="0" applyNumberFormat="1" applyFont="1" applyFill="1" applyBorder="1" applyAlignment="1" applyProtection="1">
      <alignment horizontal="center"/>
      <protection hidden="1"/>
    </xf>
    <xf numFmtId="164" fontId="20" fillId="10" borderId="32" xfId="0" applyNumberFormat="1" applyFont="1" applyFill="1" applyBorder="1" applyAlignment="1" applyProtection="1">
      <alignment horizontal="center"/>
      <protection hidden="1"/>
    </xf>
    <xf numFmtId="17" fontId="14" fillId="10" borderId="37" xfId="0" applyNumberFormat="1" applyFont="1" applyFill="1" applyBorder="1" applyAlignment="1" applyProtection="1">
      <alignment horizontal="left"/>
      <protection hidden="1"/>
    </xf>
    <xf numFmtId="172" fontId="14" fillId="10" borderId="36" xfId="5" applyNumberFormat="1" applyFont="1" applyFill="1" applyBorder="1" applyAlignment="1" applyProtection="1">
      <alignment horizontal="center"/>
      <protection hidden="1"/>
    </xf>
    <xf numFmtId="17" fontId="20" fillId="10" borderId="33" xfId="0" applyNumberFormat="1" applyFont="1" applyFill="1" applyBorder="1" applyAlignment="1" applyProtection="1">
      <alignment horizontal="left"/>
      <protection hidden="1"/>
    </xf>
    <xf numFmtId="172" fontId="20" fillId="10" borderId="32" xfId="5" applyNumberFormat="1" applyFont="1" applyFill="1" applyBorder="1" applyAlignment="1" applyProtection="1">
      <alignment horizontal="center"/>
      <protection hidden="1"/>
    </xf>
    <xf numFmtId="176" fontId="27" fillId="0" borderId="0" xfId="2" applyNumberFormat="1" applyFont="1" applyBorder="1" applyAlignment="1" applyProtection="1">
      <alignment horizontal="center"/>
      <protection hidden="1"/>
    </xf>
    <xf numFmtId="176" fontId="27" fillId="0" borderId="0" xfId="3" applyNumberFormat="1" applyFont="1" applyBorder="1" applyProtection="1">
      <protection hidden="1"/>
    </xf>
    <xf numFmtId="168" fontId="24" fillId="0" borderId="0" xfId="0" applyNumberFormat="1" applyFont="1" applyFill="1" applyBorder="1" applyAlignment="1" applyProtection="1">
      <alignment horizontal="left"/>
      <protection hidden="1"/>
    </xf>
    <xf numFmtId="175" fontId="27" fillId="0" borderId="0" xfId="0" applyNumberFormat="1" applyFont="1" applyBorder="1" applyProtection="1">
      <protection hidden="1"/>
    </xf>
    <xf numFmtId="0" fontId="27" fillId="0" borderId="5" xfId="0" applyFont="1" applyBorder="1" applyAlignment="1" applyProtection="1">
      <alignment horizontal="center"/>
      <protection hidden="1"/>
    </xf>
    <xf numFmtId="164" fontId="27" fillId="0" borderId="15" xfId="0" applyNumberFormat="1" applyFont="1" applyBorder="1" applyProtection="1">
      <protection hidden="1"/>
    </xf>
    <xf numFmtId="0" fontId="18" fillId="11" borderId="5" xfId="0" applyFont="1" applyFill="1" applyBorder="1" applyAlignment="1" applyProtection="1">
      <alignment horizontal="left" vertical="center" wrapText="1"/>
      <protection hidden="1"/>
    </xf>
    <xf numFmtId="175" fontId="20" fillId="11" borderId="15" xfId="0" applyNumberFormat="1" applyFont="1" applyFill="1" applyBorder="1" applyAlignment="1" applyProtection="1">
      <alignment horizontal="left" vertical="center"/>
      <protection hidden="1"/>
    </xf>
    <xf numFmtId="0" fontId="20" fillId="16" borderId="5" xfId="0" applyFont="1" applyFill="1" applyBorder="1" applyAlignment="1" applyProtection="1">
      <alignment horizontal="left" vertical="center" wrapText="1"/>
      <protection hidden="1"/>
    </xf>
    <xf numFmtId="175" fontId="20" fillId="16" borderId="15" xfId="0" applyNumberFormat="1" applyFont="1" applyFill="1" applyBorder="1" applyAlignment="1" applyProtection="1">
      <alignment horizontal="left" vertical="center"/>
      <protection hidden="1"/>
    </xf>
    <xf numFmtId="0" fontId="20" fillId="15" borderId="5" xfId="0" applyFont="1" applyFill="1" applyBorder="1" applyAlignment="1" applyProtection="1">
      <alignment horizontal="left" vertical="center" wrapText="1"/>
      <protection hidden="1"/>
    </xf>
    <xf numFmtId="175" fontId="20" fillId="15" borderId="15" xfId="0" applyNumberFormat="1" applyFont="1" applyFill="1" applyBorder="1" applyAlignment="1" applyProtection="1">
      <alignment horizontal="left" vertical="center"/>
      <protection hidden="1"/>
    </xf>
    <xf numFmtId="0" fontId="20" fillId="10" borderId="5" xfId="0" applyFont="1" applyFill="1" applyBorder="1" applyAlignment="1" applyProtection="1">
      <alignment horizontal="left" vertical="center" wrapText="1"/>
      <protection hidden="1"/>
    </xf>
    <xf numFmtId="175" fontId="20" fillId="10" borderId="15" xfId="0" applyNumberFormat="1" applyFont="1" applyFill="1" applyBorder="1" applyAlignment="1" applyProtection="1">
      <alignment horizontal="left" vertical="center"/>
      <protection hidden="1"/>
    </xf>
    <xf numFmtId="0" fontId="20" fillId="8" borderId="5" xfId="0" applyFont="1" applyFill="1" applyBorder="1" applyAlignment="1" applyProtection="1">
      <alignment horizontal="left" vertical="center" wrapText="1"/>
      <protection hidden="1"/>
    </xf>
    <xf numFmtId="175" fontId="20" fillId="8" borderId="15" xfId="0" applyNumberFormat="1" applyFont="1" applyFill="1" applyBorder="1" applyAlignment="1" applyProtection="1">
      <alignment horizontal="left" vertical="center"/>
      <protection hidden="1"/>
    </xf>
    <xf numFmtId="176" fontId="27" fillId="0" borderId="0" xfId="0" applyNumberFormat="1" applyFont="1" applyBorder="1" applyAlignment="1" applyProtection="1">
      <alignment horizontal="center"/>
      <protection hidden="1"/>
    </xf>
    <xf numFmtId="168" fontId="20" fillId="0" borderId="0" xfId="3" applyNumberFormat="1" applyFont="1" applyFill="1" applyAlignment="1" applyProtection="1">
      <alignment horizontal="center"/>
      <protection hidden="1"/>
    </xf>
    <xf numFmtId="166" fontId="0" fillId="0" borderId="0" xfId="0" applyNumberFormat="1" applyFont="1" applyBorder="1" applyProtection="1">
      <protection hidden="1"/>
    </xf>
    <xf numFmtId="168" fontId="18" fillId="0" borderId="0" xfId="0" applyNumberFormat="1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17" fontId="17" fillId="0" borderId="0" xfId="0" applyNumberFormat="1" applyFont="1" applyFill="1" applyProtection="1">
      <protection hidden="1"/>
    </xf>
    <xf numFmtId="0" fontId="14" fillId="8" borderId="3" xfId="0" applyFont="1" applyFill="1" applyBorder="1" applyAlignment="1" applyProtection="1">
      <alignment horizontal="center"/>
      <protection hidden="1"/>
    </xf>
    <xf numFmtId="168" fontId="32" fillId="0" borderId="0" xfId="3" applyNumberFormat="1" applyFont="1" applyBorder="1" applyAlignment="1" applyProtection="1">
      <alignment horizontal="center"/>
      <protection hidden="1"/>
    </xf>
    <xf numFmtId="168" fontId="18" fillId="0" borderId="0" xfId="3" applyNumberFormat="1" applyFont="1" applyBorder="1" applyAlignment="1" applyProtection="1">
      <alignment horizontal="center"/>
      <protection hidden="1"/>
    </xf>
    <xf numFmtId="0" fontId="0" fillId="0" borderId="0" xfId="0" applyFill="1"/>
    <xf numFmtId="9" fontId="51" fillId="5" borderId="0" xfId="3" applyFont="1" applyFill="1" applyAlignment="1" applyProtection="1">
      <alignment horizontal="center" vertical="center"/>
      <protection hidden="1"/>
    </xf>
    <xf numFmtId="0" fontId="0" fillId="0" borderId="0" xfId="0" applyFont="1"/>
    <xf numFmtId="0" fontId="14" fillId="0" borderId="24" xfId="0" applyFont="1" applyBorder="1" applyAlignment="1" applyProtection="1">
      <alignment horizontal="center"/>
      <protection hidden="1"/>
    </xf>
    <xf numFmtId="164" fontId="27" fillId="0" borderId="0" xfId="2" applyFont="1" applyBorder="1" applyProtection="1">
      <protection hidden="1"/>
    </xf>
    <xf numFmtId="164" fontId="28" fillId="0" borderId="0" xfId="2" applyFont="1" applyBorder="1" applyProtection="1">
      <protection hidden="1"/>
    </xf>
    <xf numFmtId="164" fontId="28" fillId="0" borderId="0" xfId="0" applyNumberFormat="1" applyFont="1" applyBorder="1" applyProtection="1">
      <protection hidden="1"/>
    </xf>
    <xf numFmtId="164" fontId="7" fillId="0" borderId="0" xfId="2" applyFont="1" applyFill="1" applyAlignment="1" applyProtection="1">
      <alignment vertical="center"/>
      <protection hidden="1"/>
    </xf>
    <xf numFmtId="175" fontId="27" fillId="0" borderId="0" xfId="0" applyNumberFormat="1" applyFont="1" applyBorder="1" applyAlignment="1" applyProtection="1">
      <alignment horizontal="left"/>
      <protection hidden="1"/>
    </xf>
    <xf numFmtId="0" fontId="14" fillId="0" borderId="0" xfId="0" applyFont="1" applyFill="1" applyAlignment="1" applyProtection="1">
      <protection hidden="1"/>
    </xf>
    <xf numFmtId="164" fontId="4" fillId="0" borderId="0" xfId="2" applyFont="1" applyFill="1" applyAlignment="1" applyProtection="1">
      <alignment vertical="center"/>
      <protection hidden="1"/>
    </xf>
    <xf numFmtId="164" fontId="20" fillId="0" borderId="0" xfId="2" applyFont="1" applyFill="1" applyAlignment="1" applyProtection="1">
      <alignment horizontal="center"/>
      <protection hidden="1"/>
    </xf>
    <xf numFmtId="164" fontId="0" fillId="0" borderId="11" xfId="0" applyNumberFormat="1" applyFont="1" applyFill="1" applyBorder="1" applyProtection="1">
      <protection hidden="1"/>
    </xf>
    <xf numFmtId="164" fontId="0" fillId="0" borderId="13" xfId="0" applyNumberFormat="1" applyFont="1" applyFill="1" applyBorder="1" applyProtection="1">
      <protection hidden="1"/>
    </xf>
    <xf numFmtId="42" fontId="0" fillId="0" borderId="0" xfId="0" applyNumberFormat="1" applyFont="1" applyAlignment="1" applyProtection="1">
      <alignment horizontal="right"/>
      <protection hidden="1"/>
    </xf>
    <xf numFmtId="42" fontId="18" fillId="0" borderId="11" xfId="0" applyNumberFormat="1" applyFont="1" applyFill="1" applyBorder="1" applyProtection="1">
      <protection hidden="1"/>
    </xf>
    <xf numFmtId="42" fontId="18" fillId="0" borderId="8" xfId="0" applyNumberFormat="1" applyFont="1" applyFill="1" applyBorder="1" applyProtection="1">
      <protection hidden="1"/>
    </xf>
    <xf numFmtId="0" fontId="19" fillId="3" borderId="33" xfId="0" applyFont="1" applyFill="1" applyBorder="1" applyProtection="1">
      <protection hidden="1"/>
    </xf>
    <xf numFmtId="175" fontId="19" fillId="3" borderId="32" xfId="0" applyNumberFormat="1" applyFont="1" applyFill="1" applyBorder="1" applyProtection="1">
      <protection hidden="1"/>
    </xf>
    <xf numFmtId="168" fontId="0" fillId="0" borderId="0" xfId="3" applyNumberFormat="1" applyFont="1" applyProtection="1">
      <protection hidden="1"/>
    </xf>
    <xf numFmtId="17" fontId="20" fillId="17" borderId="30" xfId="0" applyNumberFormat="1" applyFont="1" applyFill="1" applyBorder="1" applyAlignment="1" applyProtection="1">
      <alignment horizontal="left"/>
      <protection hidden="1"/>
    </xf>
    <xf numFmtId="164" fontId="20" fillId="17" borderId="31" xfId="0" applyNumberFormat="1" applyFont="1" applyFill="1" applyBorder="1" applyAlignment="1" applyProtection="1">
      <alignment horizontal="center"/>
      <protection hidden="1"/>
    </xf>
    <xf numFmtId="164" fontId="20" fillId="17" borderId="32" xfId="0" applyNumberFormat="1" applyFont="1" applyFill="1" applyBorder="1" applyAlignment="1" applyProtection="1">
      <alignment horizontal="center"/>
      <protection hidden="1"/>
    </xf>
    <xf numFmtId="17" fontId="20" fillId="17" borderId="33" xfId="0" applyNumberFormat="1" applyFont="1" applyFill="1" applyBorder="1" applyAlignment="1" applyProtection="1">
      <alignment horizontal="left"/>
      <protection hidden="1"/>
    </xf>
    <xf numFmtId="172" fontId="20" fillId="17" borderId="32" xfId="5" applyNumberFormat="1" applyFont="1" applyFill="1" applyBorder="1" applyAlignment="1" applyProtection="1">
      <alignment horizontal="center"/>
      <protection hidden="1"/>
    </xf>
    <xf numFmtId="0" fontId="14" fillId="0" borderId="23" xfId="0" applyFont="1" applyFill="1" applyBorder="1" applyAlignment="1" applyProtection="1">
      <alignment horizontal="center"/>
      <protection hidden="1"/>
    </xf>
    <xf numFmtId="0" fontId="27" fillId="0" borderId="38" xfId="0" applyFont="1" applyBorder="1" applyAlignment="1" applyProtection="1">
      <alignment horizontal="center" vertical="center"/>
      <protection hidden="1"/>
    </xf>
    <xf numFmtId="0" fontId="27" fillId="0" borderId="39" xfId="0" applyFont="1" applyBorder="1" applyAlignment="1" applyProtection="1">
      <alignment horizontal="center" vertical="center"/>
      <protection hidden="1"/>
    </xf>
    <xf numFmtId="0" fontId="27" fillId="0" borderId="40" xfId="0" applyFont="1" applyBorder="1" applyAlignment="1" applyProtection="1">
      <alignment horizontal="center" vertical="center"/>
      <protection hidden="1"/>
    </xf>
    <xf numFmtId="175" fontId="27" fillId="0" borderId="41" xfId="0" applyNumberFormat="1" applyFont="1" applyBorder="1" applyAlignment="1" applyProtection="1">
      <alignment horizontal="center"/>
      <protection hidden="1"/>
    </xf>
    <xf numFmtId="175" fontId="27" fillId="0" borderId="42" xfId="0" applyNumberFormat="1" applyFont="1" applyBorder="1" applyAlignment="1" applyProtection="1">
      <alignment horizontal="center"/>
      <protection hidden="1"/>
    </xf>
    <xf numFmtId="175" fontId="27" fillId="0" borderId="43" xfId="0" applyNumberFormat="1" applyFont="1" applyBorder="1" applyAlignment="1" applyProtection="1">
      <alignment horizontal="center"/>
      <protection hidden="1"/>
    </xf>
    <xf numFmtId="0" fontId="7" fillId="18" borderId="0" xfId="0" applyNumberFormat="1" applyFont="1" applyFill="1" applyAlignment="1" applyProtection="1">
      <alignment horizontal="center" vertical="center"/>
      <protection hidden="1"/>
    </xf>
    <xf numFmtId="1" fontId="4" fillId="18" borderId="0" xfId="3" applyNumberFormat="1" applyFont="1" applyFill="1" applyAlignment="1" applyProtection="1">
      <alignment horizontal="center" vertical="center"/>
      <protection hidden="1"/>
    </xf>
    <xf numFmtId="1" fontId="4" fillId="18" borderId="0" xfId="0" applyNumberFormat="1" applyFont="1" applyFill="1" applyAlignment="1" applyProtection="1">
      <alignment horizontal="center" vertical="center"/>
      <protection hidden="1"/>
    </xf>
    <xf numFmtId="164" fontId="4" fillId="0" borderId="0" xfId="2" applyFont="1" applyFill="1" applyAlignment="1" applyProtection="1">
      <alignment horizontal="center" vertical="center"/>
      <protection hidden="1"/>
    </xf>
    <xf numFmtId="0" fontId="19" fillId="3" borderId="9" xfId="0" applyFont="1" applyFill="1" applyBorder="1" applyAlignment="1" applyProtection="1">
      <protection hidden="1"/>
    </xf>
    <xf numFmtId="0" fontId="19" fillId="3" borderId="11" xfId="0" applyFont="1" applyFill="1" applyBorder="1" applyAlignment="1" applyProtection="1">
      <protection hidden="1"/>
    </xf>
    <xf numFmtId="164" fontId="14" fillId="3" borderId="12" xfId="0" applyNumberFormat="1" applyFont="1" applyFill="1" applyBorder="1" applyAlignment="1" applyProtection="1">
      <alignment horizontal="center"/>
      <protection hidden="1"/>
    </xf>
    <xf numFmtId="164" fontId="20" fillId="3" borderId="6" xfId="0" applyNumberFormat="1" applyFont="1" applyFill="1" applyBorder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42" fontId="20" fillId="0" borderId="1" xfId="2" applyNumberFormat="1" applyFont="1" applyFill="1" applyBorder="1" applyAlignment="1" applyProtection="1">
      <alignment horizontal="center"/>
      <protection hidden="1"/>
    </xf>
    <xf numFmtId="168" fontId="20" fillId="3" borderId="8" xfId="3" applyNumberFormat="1" applyFont="1" applyFill="1" applyBorder="1" applyAlignment="1" applyProtection="1">
      <alignment horizontal="center"/>
      <protection hidden="1"/>
    </xf>
    <xf numFmtId="0" fontId="8" fillId="0" borderId="0" xfId="0" applyNumberFormat="1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 applyProtection="1">
      <alignment vertical="center"/>
      <protection hidden="1"/>
    </xf>
    <xf numFmtId="164" fontId="4" fillId="8" borderId="0" xfId="0" applyNumberFormat="1" applyFont="1" applyFill="1" applyAlignment="1" applyProtection="1">
      <alignment vertical="center"/>
      <protection hidden="1"/>
    </xf>
    <xf numFmtId="42" fontId="8" fillId="0" borderId="12" xfId="0" applyNumberFormat="1" applyFont="1" applyFill="1" applyBorder="1" applyAlignment="1" applyProtection="1">
      <alignment horizontal="center" vertical="center"/>
      <protection hidden="1"/>
    </xf>
    <xf numFmtId="42" fontId="8" fillId="0" borderId="12" xfId="0" applyNumberFormat="1" applyFont="1" applyFill="1" applyBorder="1" applyAlignment="1" applyProtection="1">
      <alignment horizontal="right" vertical="center"/>
      <protection hidden="1"/>
    </xf>
    <xf numFmtId="42" fontId="8" fillId="0" borderId="6" xfId="0" applyNumberFormat="1" applyFont="1" applyFill="1" applyBorder="1" applyAlignment="1" applyProtection="1">
      <alignment horizontal="right" vertical="center"/>
      <protection hidden="1"/>
    </xf>
    <xf numFmtId="42" fontId="8" fillId="0" borderId="0" xfId="0" applyNumberFormat="1" applyFont="1" applyFill="1" applyAlignment="1" applyProtection="1">
      <alignment horizontal="right" vertical="center"/>
      <protection hidden="1"/>
    </xf>
    <xf numFmtId="42" fontId="8" fillId="0" borderId="0" xfId="0" applyNumberFormat="1" applyFont="1" applyFill="1" applyBorder="1" applyAlignment="1" applyProtection="1">
      <alignment horizontal="right" vertical="center"/>
      <protection hidden="1"/>
    </xf>
    <xf numFmtId="42" fontId="8" fillId="0" borderId="7" xfId="0" applyNumberFormat="1" applyFont="1" applyFill="1" applyBorder="1" applyAlignment="1" applyProtection="1">
      <alignment horizontal="right" vertical="center"/>
      <protection hidden="1"/>
    </xf>
    <xf numFmtId="42" fontId="8" fillId="0" borderId="10" xfId="0" applyNumberFormat="1" applyFont="1" applyFill="1" applyBorder="1" applyAlignment="1" applyProtection="1">
      <alignment horizontal="right" vertical="center"/>
      <protection hidden="1"/>
    </xf>
    <xf numFmtId="42" fontId="8" fillId="0" borderId="11" xfId="0" applyNumberFormat="1" applyFont="1" applyFill="1" applyBorder="1" applyAlignment="1" applyProtection="1">
      <alignment horizontal="right" vertical="center"/>
      <protection hidden="1"/>
    </xf>
    <xf numFmtId="42" fontId="8" fillId="0" borderId="0" xfId="0" applyNumberFormat="1" applyFont="1" applyFill="1" applyBorder="1" applyAlignment="1" applyProtection="1">
      <alignment horizontal="center" vertical="center"/>
      <protection hidden="1"/>
    </xf>
    <xf numFmtId="42" fontId="8" fillId="0" borderId="13" xfId="0" applyNumberFormat="1" applyFont="1" applyFill="1" applyBorder="1" applyAlignment="1" applyProtection="1">
      <alignment horizontal="right" vertical="center"/>
      <protection hidden="1"/>
    </xf>
    <xf numFmtId="42" fontId="8" fillId="0" borderId="8" xfId="0" applyNumberFormat="1" applyFont="1" applyFill="1" applyBorder="1" applyAlignment="1" applyProtection="1">
      <alignment horizontal="right" vertical="center"/>
      <protection hidden="1"/>
    </xf>
    <xf numFmtId="0" fontId="36" fillId="0" borderId="0" xfId="0" applyNumberFormat="1" applyFont="1" applyFill="1" applyBorder="1" applyAlignment="1" applyProtection="1">
      <alignment vertical="center"/>
      <protection hidden="1"/>
    </xf>
    <xf numFmtId="164" fontId="36" fillId="0" borderId="0" xfId="0" applyNumberFormat="1" applyFont="1" applyFill="1" applyBorder="1" applyAlignment="1" applyProtection="1">
      <alignment horizontal="center"/>
      <protection hidden="1"/>
    </xf>
    <xf numFmtId="9" fontId="4" fillId="18" borderId="0" xfId="3" applyFont="1" applyFill="1" applyAlignment="1" applyProtection="1">
      <alignment horizontal="center" vertical="center"/>
      <protection hidden="1"/>
    </xf>
    <xf numFmtId="0" fontId="7" fillId="19" borderId="0" xfId="0" applyNumberFormat="1" applyFont="1" applyFill="1" applyAlignment="1" applyProtection="1">
      <alignment vertical="center"/>
      <protection hidden="1"/>
    </xf>
    <xf numFmtId="164" fontId="4" fillId="19" borderId="0" xfId="0" applyNumberFormat="1" applyFont="1" applyFill="1" applyAlignment="1" applyProtection="1">
      <alignment vertical="center"/>
      <protection hidden="1"/>
    </xf>
    <xf numFmtId="0" fontId="24" fillId="0" borderId="14" xfId="0" applyFont="1" applyFill="1" applyBorder="1" applyAlignment="1" applyProtection="1">
      <alignment horizontal="left" wrapText="1"/>
      <protection hidden="1"/>
    </xf>
    <xf numFmtId="0" fontId="24" fillId="0" borderId="15" xfId="0" applyFont="1" applyFill="1" applyBorder="1" applyAlignment="1" applyProtection="1">
      <alignment horizontal="left" wrapText="1"/>
      <protection hidden="1"/>
    </xf>
    <xf numFmtId="3" fontId="8" fillId="0" borderId="14" xfId="0" applyNumberFormat="1" applyFont="1" applyFill="1" applyBorder="1" applyAlignment="1" applyProtection="1">
      <alignment horizontal="center"/>
      <protection hidden="1"/>
    </xf>
    <xf numFmtId="3" fontId="8" fillId="0" borderId="15" xfId="0" applyNumberFormat="1" applyFont="1" applyFill="1" applyBorder="1" applyAlignment="1" applyProtection="1">
      <alignment horizontal="center"/>
      <protection hidden="1"/>
    </xf>
    <xf numFmtId="0" fontId="24" fillId="0" borderId="5" xfId="0" applyFont="1" applyFill="1" applyBorder="1" applyAlignment="1" applyProtection="1">
      <alignment horizontal="left" wrapText="1"/>
      <protection hidden="1"/>
    </xf>
    <xf numFmtId="3" fontId="8" fillId="0" borderId="5" xfId="0" applyNumberFormat="1" applyFont="1" applyFill="1" applyBorder="1" applyAlignment="1" applyProtection="1">
      <alignment horizontal="center"/>
      <protection hidden="1"/>
    </xf>
    <xf numFmtId="0" fontId="7" fillId="0" borderId="5" xfId="0" applyNumberFormat="1" applyFont="1" applyFill="1" applyBorder="1" applyAlignment="1" applyProtection="1">
      <alignment vertical="center"/>
      <protection hidden="1"/>
    </xf>
    <xf numFmtId="0" fontId="4" fillId="0" borderId="14" xfId="0" applyNumberFormat="1" applyFont="1" applyFill="1" applyBorder="1" applyAlignment="1" applyProtection="1">
      <alignment vertical="center"/>
      <protection hidden="1"/>
    </xf>
    <xf numFmtId="0" fontId="4" fillId="0" borderId="15" xfId="0" applyNumberFormat="1" applyFont="1" applyFill="1" applyBorder="1" applyAlignment="1" applyProtection="1">
      <alignment vertical="center"/>
      <protection hidden="1"/>
    </xf>
    <xf numFmtId="165" fontId="8" fillId="0" borderId="5" xfId="2" applyNumberFormat="1" applyFont="1" applyFill="1" applyBorder="1" applyAlignment="1" applyProtection="1">
      <alignment horizontal="center" vertical="center"/>
      <protection hidden="1"/>
    </xf>
    <xf numFmtId="165" fontId="9" fillId="0" borderId="14" xfId="2" applyNumberFormat="1" applyFont="1" applyFill="1" applyBorder="1" applyAlignment="1" applyProtection="1">
      <alignment horizontal="center" vertical="center"/>
      <protection hidden="1"/>
    </xf>
    <xf numFmtId="165" fontId="9" fillId="0" borderId="15" xfId="2" applyNumberFormat="1" applyFont="1" applyFill="1" applyBorder="1" applyAlignment="1" applyProtection="1">
      <alignment horizontal="center" vertical="center"/>
      <protection hidden="1"/>
    </xf>
    <xf numFmtId="167" fontId="0" fillId="0" borderId="0" xfId="0" applyNumberFormat="1" applyFont="1" applyFill="1" applyBorder="1" applyAlignment="1" applyProtection="1">
      <alignment horizontal="left"/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164" fontId="0" fillId="8" borderId="0" xfId="2" applyFont="1" applyFill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9" fontId="43" fillId="3" borderId="0" xfId="3" applyFont="1" applyFill="1" applyBorder="1" applyAlignment="1" applyProtection="1">
      <alignment horizontal="center" vertical="center"/>
      <protection hidden="1"/>
    </xf>
    <xf numFmtId="0" fontId="32" fillId="20" borderId="2" xfId="0" applyFont="1" applyFill="1" applyBorder="1" applyAlignment="1" applyProtection="1">
      <alignment horizontal="center"/>
      <protection hidden="1"/>
    </xf>
    <xf numFmtId="0" fontId="32" fillId="20" borderId="2" xfId="0" applyFont="1" applyFill="1" applyBorder="1" applyProtection="1">
      <protection hidden="1"/>
    </xf>
    <xf numFmtId="0" fontId="32" fillId="20" borderId="3" xfId="0" applyFont="1" applyFill="1" applyBorder="1" applyProtection="1">
      <protection hidden="1"/>
    </xf>
    <xf numFmtId="0" fontId="32" fillId="20" borderId="2" xfId="0" applyFont="1" applyFill="1" applyBorder="1" applyAlignment="1" applyProtection="1">
      <alignment horizontal="right"/>
      <protection hidden="1"/>
    </xf>
    <xf numFmtId="0" fontId="32" fillId="20" borderId="4" xfId="0" applyFont="1" applyFill="1" applyBorder="1" applyAlignment="1" applyProtection="1">
      <alignment horizontal="center"/>
      <protection hidden="1"/>
    </xf>
    <xf numFmtId="0" fontId="34" fillId="20" borderId="1" xfId="0" applyFont="1" applyFill="1" applyBorder="1" applyAlignment="1" applyProtection="1">
      <alignment horizontal="center" vertical="center"/>
      <protection hidden="1"/>
    </xf>
    <xf numFmtId="14" fontId="8" fillId="20" borderId="1" xfId="0" applyNumberFormat="1" applyFont="1" applyFill="1" applyBorder="1" applyAlignment="1" applyProtection="1">
      <alignment horizontal="center" vertical="center"/>
      <protection hidden="1"/>
    </xf>
    <xf numFmtId="0" fontId="8" fillId="20" borderId="1" xfId="0" applyFont="1" applyFill="1" applyBorder="1" applyAlignment="1" applyProtection="1">
      <alignment horizontal="left" vertical="center"/>
      <protection hidden="1"/>
    </xf>
    <xf numFmtId="0" fontId="8" fillId="20" borderId="1" xfId="0" applyFont="1" applyFill="1" applyBorder="1" applyAlignment="1" applyProtection="1">
      <alignment vertical="center" wrapText="1"/>
      <protection hidden="1"/>
    </xf>
    <xf numFmtId="164" fontId="8" fillId="20" borderId="1" xfId="1" applyNumberFormat="1" applyFont="1" applyFill="1" applyBorder="1" applyAlignment="1" applyProtection="1">
      <alignment horizontal="center" vertical="center"/>
      <protection hidden="1"/>
    </xf>
    <xf numFmtId="172" fontId="7" fillId="20" borderId="1" xfId="4" applyNumberFormat="1" applyFont="1" applyFill="1" applyBorder="1" applyAlignment="1" applyProtection="1">
      <alignment horizontal="right" vertical="center"/>
      <protection hidden="1"/>
    </xf>
    <xf numFmtId="14" fontId="0" fillId="0" borderId="0" xfId="0" applyNumberFormat="1" applyProtection="1">
      <protection hidden="1"/>
    </xf>
    <xf numFmtId="0" fontId="9" fillId="20" borderId="1" xfId="0" applyFont="1" applyFill="1" applyBorder="1" applyAlignment="1" applyProtection="1">
      <alignment horizontal="left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173" fontId="8" fillId="20" borderId="1" xfId="4" applyNumberFormat="1" applyFont="1" applyFill="1" applyBorder="1" applyAlignment="1" applyProtection="1">
      <alignment horizontal="right" vertical="center"/>
      <protection hidden="1"/>
    </xf>
    <xf numFmtId="173" fontId="19" fillId="0" borderId="0" xfId="0" applyNumberFormat="1" applyFont="1" applyProtection="1">
      <protection hidden="1"/>
    </xf>
    <xf numFmtId="164" fontId="53" fillId="3" borderId="0" xfId="2" applyFont="1" applyFill="1" applyProtection="1">
      <protection hidden="1"/>
    </xf>
    <xf numFmtId="42" fontId="35" fillId="0" borderId="1" xfId="0" applyNumberFormat="1" applyFont="1" applyFill="1" applyBorder="1" applyAlignment="1" applyProtection="1">
      <alignment horizontal="center" vertical="center"/>
      <protection hidden="1"/>
    </xf>
    <xf numFmtId="42" fontId="35" fillId="20" borderId="1" xfId="0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45" fillId="7" borderId="7" xfId="0" applyFont="1" applyFill="1" applyBorder="1" applyAlignment="1" applyProtection="1">
      <alignment horizontal="left"/>
      <protection hidden="1"/>
    </xf>
    <xf numFmtId="0" fontId="0" fillId="0" borderId="0" xfId="0" applyFill="1" applyAlignment="1" applyProtection="1">
      <alignment horizontal="center"/>
      <protection hidden="1"/>
    </xf>
    <xf numFmtId="0" fontId="18" fillId="0" borderId="0" xfId="0" applyFont="1" applyFill="1" applyAlignment="1" applyProtection="1">
      <alignment horizontal="left"/>
      <protection hidden="1"/>
    </xf>
    <xf numFmtId="0" fontId="19" fillId="0" borderId="0" xfId="0" applyFont="1" applyAlignment="1" applyProtection="1">
      <alignment horizontal="left"/>
      <protection hidden="1"/>
    </xf>
    <xf numFmtId="42" fontId="0" fillId="0" borderId="0" xfId="0" applyNumberFormat="1" applyAlignment="1" applyProtection="1">
      <alignment horizontal="right"/>
      <protection hidden="1"/>
    </xf>
    <xf numFmtId="42" fontId="18" fillId="0" borderId="0" xfId="5" applyNumberFormat="1" applyFont="1" applyBorder="1" applyAlignment="1" applyProtection="1">
      <alignment horizontal="right"/>
      <protection hidden="1"/>
    </xf>
    <xf numFmtId="42" fontId="18" fillId="0" borderId="0" xfId="0" applyNumberFormat="1" applyFont="1" applyAlignment="1" applyProtection="1">
      <alignment horizontal="left"/>
      <protection hidden="1"/>
    </xf>
    <xf numFmtId="42" fontId="8" fillId="0" borderId="3" xfId="1" applyNumberFormat="1" applyFont="1" applyFill="1" applyBorder="1" applyAlignment="1" applyProtection="1">
      <alignment horizontal="right" vertical="center"/>
      <protection hidden="1"/>
    </xf>
    <xf numFmtId="42" fontId="8" fillId="0" borderId="4" xfId="1" applyNumberFormat="1" applyFont="1" applyFill="1" applyBorder="1" applyAlignment="1" applyProtection="1">
      <alignment horizontal="right" vertical="center"/>
      <protection hidden="1"/>
    </xf>
    <xf numFmtId="14" fontId="18" fillId="0" borderId="0" xfId="0" applyNumberFormat="1" applyFont="1" applyAlignment="1" applyProtection="1">
      <alignment horizontal="center"/>
      <protection hidden="1"/>
    </xf>
    <xf numFmtId="14" fontId="18" fillId="0" borderId="0" xfId="0" applyNumberFormat="1" applyFont="1" applyFill="1" applyAlignment="1" applyProtection="1">
      <alignment horizontal="left"/>
      <protection hidden="1"/>
    </xf>
    <xf numFmtId="14" fontId="0" fillId="0" borderId="0" xfId="0" applyNumberFormat="1" applyFill="1" applyAlignment="1" applyProtection="1">
      <alignment horizontal="center"/>
      <protection hidden="1"/>
    </xf>
    <xf numFmtId="42" fontId="0" fillId="0" borderId="0" xfId="0" applyNumberFormat="1" applyAlignment="1" applyProtection="1">
      <alignment horizontal="center"/>
      <protection hidden="1"/>
    </xf>
    <xf numFmtId="42" fontId="8" fillId="0" borderId="9" xfId="2" applyNumberFormat="1" applyFont="1" applyFill="1" applyBorder="1" applyProtection="1">
      <protection hidden="1"/>
    </xf>
    <xf numFmtId="0" fontId="14" fillId="0" borderId="12" xfId="0" applyFont="1" applyFill="1" applyBorder="1" applyAlignment="1" applyProtection="1">
      <alignment horizontal="center"/>
      <protection hidden="1"/>
    </xf>
    <xf numFmtId="0" fontId="14" fillId="0" borderId="13" xfId="0" applyFont="1" applyFill="1" applyBorder="1" applyAlignment="1" applyProtection="1">
      <alignment horizontal="center"/>
      <protection hidden="1"/>
    </xf>
    <xf numFmtId="0" fontId="14" fillId="0" borderId="22" xfId="0" applyFont="1" applyFill="1" applyBorder="1" applyAlignment="1" applyProtection="1">
      <alignment horizontal="center"/>
      <protection hidden="1"/>
    </xf>
    <xf numFmtId="9" fontId="20" fillId="0" borderId="0" xfId="3" applyFont="1" applyFill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right"/>
      <protection hidden="1"/>
    </xf>
    <xf numFmtId="166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right"/>
      <protection hidden="1"/>
    </xf>
    <xf numFmtId="0" fontId="14" fillId="3" borderId="0" xfId="0" applyFont="1" applyFill="1" applyBorder="1" applyAlignment="1" applyProtection="1">
      <alignment horizontal="left"/>
      <protection hidden="1"/>
    </xf>
    <xf numFmtId="0" fontId="13" fillId="5" borderId="6" xfId="0" applyNumberFormat="1" applyFont="1" applyFill="1" applyBorder="1" applyAlignment="1" applyProtection="1">
      <alignment vertical="center" readingOrder="1"/>
      <protection hidden="1"/>
    </xf>
    <xf numFmtId="164" fontId="13" fillId="5" borderId="7" xfId="2" applyNumberFormat="1" applyFont="1" applyFill="1" applyBorder="1" applyAlignment="1" applyProtection="1">
      <alignment horizontal="right" vertical="center"/>
      <protection hidden="1"/>
    </xf>
    <xf numFmtId="164" fontId="13" fillId="5" borderId="8" xfId="2" applyNumberFormat="1" applyFont="1" applyFill="1" applyBorder="1" applyAlignment="1" applyProtection="1">
      <alignment horizontal="right" vertical="center"/>
      <protection hidden="1"/>
    </xf>
    <xf numFmtId="175" fontId="7" fillId="0" borderId="10" xfId="0" applyNumberFormat="1" applyFont="1" applyFill="1" applyBorder="1" applyAlignment="1" applyProtection="1">
      <alignment horizontal="right" vertical="center"/>
      <protection hidden="1"/>
    </xf>
    <xf numFmtId="175" fontId="7" fillId="0" borderId="11" xfId="0" applyNumberFormat="1" applyFont="1" applyFill="1" applyBorder="1" applyAlignment="1" applyProtection="1">
      <alignment horizontal="right" vertical="center"/>
      <protection hidden="1"/>
    </xf>
    <xf numFmtId="166" fontId="7" fillId="0" borderId="3" xfId="1" quotePrefix="1" applyFont="1" applyFill="1" applyBorder="1" applyAlignment="1" applyProtection="1">
      <alignment horizontal="right" vertical="center"/>
      <protection hidden="1"/>
    </xf>
    <xf numFmtId="166" fontId="0" fillId="15" borderId="0" xfId="1" applyFont="1" applyFill="1" applyBorder="1" applyAlignment="1" applyProtection="1">
      <alignment horizontal="center"/>
      <protection hidden="1"/>
    </xf>
    <xf numFmtId="167" fontId="0" fillId="21" borderId="44" xfId="0" applyNumberFormat="1" applyFont="1" applyFill="1" applyBorder="1" applyAlignment="1">
      <alignment horizontal="center"/>
    </xf>
    <xf numFmtId="20" fontId="0" fillId="21" borderId="44" xfId="0" applyNumberFormat="1" applyFont="1" applyFill="1" applyBorder="1" applyAlignment="1">
      <alignment horizontal="center"/>
    </xf>
    <xf numFmtId="0" fontId="0" fillId="21" borderId="44" xfId="0" applyFont="1" applyFill="1" applyBorder="1" applyAlignment="1">
      <alignment horizontal="left"/>
    </xf>
    <xf numFmtId="0" fontId="0" fillId="21" borderId="44" xfId="0" applyNumberFormat="1" applyFont="1" applyFill="1" applyBorder="1" applyAlignment="1">
      <alignment horizontal="center"/>
    </xf>
    <xf numFmtId="166" fontId="0" fillId="21" borderId="44" xfId="1" applyNumberFormat="1" applyFont="1" applyFill="1" applyBorder="1" applyAlignment="1">
      <alignment horizontal="center"/>
    </xf>
    <xf numFmtId="167" fontId="0" fillId="0" borderId="44" xfId="0" applyNumberFormat="1" applyFont="1" applyBorder="1" applyAlignment="1">
      <alignment horizontal="center"/>
    </xf>
    <xf numFmtId="20" fontId="0" fillId="0" borderId="44" xfId="0" applyNumberFormat="1" applyFont="1" applyBorder="1" applyAlignment="1">
      <alignment horizontal="center"/>
    </xf>
    <xf numFmtId="0" fontId="0" fillId="0" borderId="44" xfId="0" applyFont="1" applyBorder="1" applyAlignment="1">
      <alignment horizontal="left"/>
    </xf>
    <xf numFmtId="0" fontId="0" fillId="0" borderId="44" xfId="0" applyNumberFormat="1" applyFont="1" applyBorder="1" applyAlignment="1">
      <alignment horizontal="center"/>
    </xf>
    <xf numFmtId="166" fontId="0" fillId="0" borderId="44" xfId="1" applyNumberFormat="1" applyFont="1" applyBorder="1" applyAlignment="1">
      <alignment horizontal="center"/>
    </xf>
    <xf numFmtId="166" fontId="0" fillId="0" borderId="0" xfId="0" applyNumberFormat="1"/>
    <xf numFmtId="0" fontId="20" fillId="7" borderId="3" xfId="0" applyFont="1" applyFill="1" applyBorder="1" applyAlignment="1" applyProtection="1">
      <alignment horizontal="left"/>
      <protection hidden="1"/>
    </xf>
    <xf numFmtId="0" fontId="18" fillId="0" borderId="45" xfId="0" applyFont="1" applyBorder="1" applyAlignment="1">
      <alignment horizontal="left" vertical="center"/>
    </xf>
    <xf numFmtId="0" fontId="18" fillId="0" borderId="45" xfId="0" applyFont="1" applyBorder="1" applyAlignment="1">
      <alignment horizontal="left" vertical="center" wrapText="1"/>
    </xf>
    <xf numFmtId="166" fontId="18" fillId="0" borderId="45" xfId="1" applyNumberFormat="1" applyFont="1" applyBorder="1" applyAlignment="1">
      <alignment horizontal="left" vertical="center" wrapText="1"/>
    </xf>
    <xf numFmtId="0" fontId="19" fillId="3" borderId="0" xfId="0" applyFont="1" applyFill="1" applyAlignment="1" applyProtection="1">
      <alignment horizontal="center"/>
      <protection hidden="1"/>
    </xf>
    <xf numFmtId="14" fontId="19" fillId="0" borderId="0" xfId="0" applyNumberFormat="1" applyFont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164" fontId="19" fillId="0" borderId="0" xfId="2" applyFont="1" applyFill="1" applyBorder="1" applyAlignment="1" applyProtection="1">
      <alignment horizontal="center"/>
      <protection hidden="1"/>
    </xf>
    <xf numFmtId="14" fontId="14" fillId="7" borderId="3" xfId="0" applyNumberFormat="1" applyFont="1" applyFill="1" applyBorder="1" applyAlignment="1" applyProtection="1">
      <alignment horizontal="center"/>
      <protection hidden="1"/>
    </xf>
    <xf numFmtId="14" fontId="14" fillId="0" borderId="10" xfId="0" applyNumberFormat="1" applyFont="1" applyFill="1" applyBorder="1" applyProtection="1">
      <protection hidden="1"/>
    </xf>
    <xf numFmtId="14" fontId="14" fillId="0" borderId="0" xfId="0" applyNumberFormat="1" applyFont="1" applyFill="1" applyBorder="1" applyProtection="1">
      <protection hidden="1"/>
    </xf>
    <xf numFmtId="14" fontId="14" fillId="0" borderId="7" xfId="0" applyNumberFormat="1" applyFont="1" applyFill="1" applyBorder="1" applyProtection="1">
      <protection hidden="1"/>
    </xf>
    <xf numFmtId="164" fontId="0" fillId="0" borderId="0" xfId="0" applyNumberFormat="1"/>
    <xf numFmtId="20" fontId="19" fillId="0" borderId="0" xfId="0" applyNumberFormat="1" applyFont="1" applyBorder="1" applyAlignment="1" applyProtection="1">
      <alignment horizontal="center"/>
      <protection hidden="1"/>
    </xf>
    <xf numFmtId="0" fontId="19" fillId="0" borderId="0" xfId="0" applyNumberFormat="1" applyFont="1" applyBorder="1" applyAlignment="1" applyProtection="1">
      <alignment horizontal="center"/>
      <protection hidden="1"/>
    </xf>
    <xf numFmtId="166" fontId="19" fillId="0" borderId="0" xfId="1" applyFont="1" applyBorder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9" fillId="8" borderId="0" xfId="0" applyFont="1" applyFill="1" applyProtection="1">
      <protection hidden="1"/>
    </xf>
    <xf numFmtId="0" fontId="0" fillId="8" borderId="0" xfId="0" applyFill="1" applyProtection="1">
      <protection hidden="1"/>
    </xf>
    <xf numFmtId="0" fontId="14" fillId="0" borderId="6" xfId="0" applyFont="1" applyFill="1" applyBorder="1" applyProtection="1">
      <protection hidden="1"/>
    </xf>
    <xf numFmtId="0" fontId="17" fillId="0" borderId="12" xfId="0" applyFont="1" applyFill="1" applyBorder="1" applyProtection="1">
      <protection hidden="1"/>
    </xf>
    <xf numFmtId="1" fontId="14" fillId="0" borderId="10" xfId="0" applyNumberFormat="1" applyFont="1" applyFill="1" applyBorder="1" applyAlignment="1" applyProtection="1">
      <alignment horizontal="center"/>
      <protection hidden="1"/>
    </xf>
    <xf numFmtId="1" fontId="14" fillId="0" borderId="0" xfId="0" applyNumberFormat="1" applyFont="1" applyFill="1" applyBorder="1" applyAlignment="1" applyProtection="1">
      <alignment horizontal="center"/>
      <protection hidden="1"/>
    </xf>
    <xf numFmtId="1" fontId="14" fillId="0" borderId="7" xfId="0" applyNumberFormat="1" applyFont="1" applyFill="1" applyBorder="1" applyAlignment="1" applyProtection="1">
      <alignment horizontal="center"/>
      <protection hidden="1"/>
    </xf>
    <xf numFmtId="176" fontId="27" fillId="0" borderId="0" xfId="3" applyNumberFormat="1" applyFont="1" applyBorder="1" applyAlignment="1" applyProtection="1">
      <alignment horizontal="center"/>
      <protection hidden="1"/>
    </xf>
    <xf numFmtId="0" fontId="19" fillId="0" borderId="14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/>
      <protection hidden="1"/>
    </xf>
    <xf numFmtId="0" fontId="20" fillId="0" borderId="0" xfId="0" applyFont="1" applyBorder="1" applyAlignment="1" applyProtection="1">
      <alignment horizontal="center"/>
      <protection hidden="1"/>
    </xf>
    <xf numFmtId="166" fontId="0" fillId="0" borderId="0" xfId="1" applyFont="1" applyFill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/>
      <protection hidden="1"/>
    </xf>
    <xf numFmtId="1" fontId="4" fillId="0" borderId="0" xfId="0" applyNumberFormat="1" applyFont="1" applyFill="1" applyAlignment="1" applyProtection="1">
      <alignment vertical="center"/>
      <protection hidden="1"/>
    </xf>
    <xf numFmtId="1" fontId="7" fillId="0" borderId="0" xfId="0" applyNumberFormat="1" applyFont="1" applyFill="1" applyAlignment="1" applyProtection="1">
      <alignment horizontal="right" vertical="center"/>
      <protection hidden="1"/>
    </xf>
    <xf numFmtId="166" fontId="18" fillId="0" borderId="44" xfId="1" applyNumberFormat="1" applyFont="1" applyBorder="1"/>
    <xf numFmtId="166" fontId="18" fillId="21" borderId="44" xfId="1" applyNumberFormat="1" applyFont="1" applyFill="1" applyBorder="1"/>
    <xf numFmtId="0" fontId="8" fillId="20" borderId="1" xfId="0" applyFont="1" applyFill="1" applyBorder="1" applyAlignment="1" applyProtection="1">
      <alignment horizontal="left" vertical="center" wrapText="1"/>
      <protection hidden="1"/>
    </xf>
    <xf numFmtId="167" fontId="0" fillId="21" borderId="44" xfId="0" applyNumberFormat="1" applyFont="1" applyFill="1" applyBorder="1" applyAlignment="1">
      <alignment horizontal="left"/>
    </xf>
    <xf numFmtId="0" fontId="0" fillId="21" borderId="44" xfId="0" applyFont="1" applyFill="1" applyBorder="1"/>
    <xf numFmtId="0" fontId="0" fillId="21" borderId="44" xfId="0" applyFont="1" applyFill="1" applyBorder="1" applyAlignment="1">
      <alignment horizontal="center"/>
    </xf>
    <xf numFmtId="164" fontId="0" fillId="21" borderId="44" xfId="2" applyNumberFormat="1" applyFont="1" applyFill="1" applyBorder="1" applyAlignment="1">
      <alignment horizontal="center"/>
    </xf>
    <xf numFmtId="164" fontId="0" fillId="21" borderId="44" xfId="0" applyNumberFormat="1" applyFont="1" applyFill="1" applyBorder="1"/>
    <xf numFmtId="167" fontId="0" fillId="0" borderId="44" xfId="0" applyNumberFormat="1" applyFont="1" applyBorder="1" applyAlignment="1">
      <alignment horizontal="left"/>
    </xf>
    <xf numFmtId="0" fontId="0" fillId="0" borderId="44" xfId="0" applyFont="1" applyBorder="1"/>
    <xf numFmtId="0" fontId="0" fillId="0" borderId="44" xfId="0" applyFont="1" applyBorder="1" applyAlignment="1">
      <alignment horizontal="center"/>
    </xf>
    <xf numFmtId="164" fontId="0" fillId="0" borderId="44" xfId="2" applyNumberFormat="1" applyFont="1" applyBorder="1" applyAlignment="1">
      <alignment horizontal="center"/>
    </xf>
    <xf numFmtId="164" fontId="0" fillId="0" borderId="44" xfId="0" applyNumberFormat="1" applyFont="1" applyBorder="1"/>
    <xf numFmtId="168" fontId="44" fillId="0" borderId="0" xfId="9" applyNumberFormat="1" applyFont="1" applyFill="1" applyBorder="1" applyAlignment="1" applyProtection="1">
      <alignment horizontal="left" vertical="center"/>
      <protection hidden="1"/>
    </xf>
    <xf numFmtId="164" fontId="14" fillId="7" borderId="0" xfId="0" applyNumberFormat="1" applyFont="1" applyFill="1" applyBorder="1" applyAlignment="1" applyProtection="1">
      <alignment horizontal="center"/>
      <protection hidden="1"/>
    </xf>
    <xf numFmtId="9" fontId="14" fillId="0" borderId="0" xfId="3" applyFont="1" applyFill="1" applyBorder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0" applyNumberFormat="1" applyAlignment="1" applyProtection="1">
      <alignment horizontal="center"/>
      <protection hidden="1"/>
    </xf>
    <xf numFmtId="172" fontId="19" fillId="0" borderId="0" xfId="0" applyNumberFormat="1" applyFont="1" applyProtection="1">
      <protection hidden="1"/>
    </xf>
    <xf numFmtId="42" fontId="0" fillId="0" borderId="0" xfId="0" applyNumberFormat="1" applyFill="1" applyAlignment="1" applyProtection="1">
      <alignment horizontal="right"/>
      <protection hidden="1"/>
    </xf>
    <xf numFmtId="0" fontId="0" fillId="0" borderId="0" xfId="0" applyFill="1" applyAlignment="1" applyProtection="1">
      <alignment horizontal="left"/>
      <protection hidden="1"/>
    </xf>
    <xf numFmtId="167" fontId="0" fillId="0" borderId="0" xfId="0" applyNumberFormat="1" applyFill="1" applyAlignment="1" applyProtection="1">
      <alignment horizontal="center"/>
      <protection hidden="1"/>
    </xf>
    <xf numFmtId="42" fontId="9" fillId="0" borderId="0" xfId="0" applyNumberFormat="1" applyFont="1" applyFill="1" applyAlignment="1" applyProtection="1">
      <alignment vertical="center"/>
      <protection hidden="1"/>
    </xf>
    <xf numFmtId="164" fontId="0" fillId="0" borderId="0" xfId="2" applyFont="1"/>
    <xf numFmtId="0" fontId="32" fillId="0" borderId="2" xfId="0" applyFont="1" applyFill="1" applyBorder="1" applyAlignment="1" applyProtection="1">
      <alignment horizontal="left"/>
      <protection hidden="1"/>
    </xf>
    <xf numFmtId="168" fontId="20" fillId="8" borderId="0" xfId="3" applyNumberFormat="1" applyFont="1" applyFill="1" applyBorder="1" applyAlignment="1" applyProtection="1">
      <alignment horizontal="right"/>
      <protection hidden="1"/>
    </xf>
    <xf numFmtId="168" fontId="20" fillId="0" borderId="0" xfId="3" applyNumberFormat="1" applyFont="1" applyFill="1" applyAlignment="1" applyProtection="1">
      <alignment horizontal="right"/>
      <protection hidden="1"/>
    </xf>
    <xf numFmtId="164" fontId="8" fillId="9" borderId="2" xfId="0" applyNumberFormat="1" applyFont="1" applyFill="1" applyBorder="1" applyAlignment="1" applyProtection="1">
      <alignment horizontal="right" vertical="center"/>
      <protection hidden="1"/>
    </xf>
    <xf numFmtId="164" fontId="8" fillId="9" borderId="3" xfId="0" applyNumberFormat="1" applyFont="1" applyFill="1" applyBorder="1" applyAlignment="1" applyProtection="1">
      <alignment horizontal="right" vertical="center"/>
      <protection hidden="1"/>
    </xf>
    <xf numFmtId="164" fontId="8" fillId="23" borderId="3" xfId="0" applyNumberFormat="1" applyFont="1" applyFill="1" applyBorder="1" applyAlignment="1" applyProtection="1">
      <alignment horizontal="right" vertical="center"/>
      <protection hidden="1"/>
    </xf>
    <xf numFmtId="166" fontId="19" fillId="0" borderId="0" xfId="1" applyFont="1" applyFill="1" applyBorder="1" applyProtection="1">
      <protection hidden="1"/>
    </xf>
    <xf numFmtId="0" fontId="19" fillId="0" borderId="0" xfId="0" applyFont="1" applyFill="1" applyAlignment="1" applyProtection="1">
      <alignment horizontal="right"/>
      <protection hidden="1"/>
    </xf>
    <xf numFmtId="164" fontId="19" fillId="0" borderId="0" xfId="2" applyFont="1" applyFill="1" applyBorder="1" applyProtection="1">
      <protection hidden="1"/>
    </xf>
    <xf numFmtId="168" fontId="19" fillId="0" borderId="0" xfId="3" applyNumberFormat="1" applyFont="1" applyFill="1" applyAlignment="1" applyProtection="1">
      <alignment horizontal="center"/>
      <protection hidden="1"/>
    </xf>
    <xf numFmtId="9" fontId="0" fillId="0" borderId="0" xfId="3" applyFont="1" applyAlignment="1">
      <alignment horizontal="center"/>
    </xf>
    <xf numFmtId="0" fontId="18" fillId="0" borderId="2" xfId="0" applyFont="1" applyBorder="1"/>
    <xf numFmtId="9" fontId="14" fillId="0" borderId="0" xfId="0" applyNumberFormat="1" applyFont="1" applyBorder="1" applyAlignment="1" applyProtection="1">
      <alignment horizontal="center" vertical="center"/>
      <protection hidden="1"/>
    </xf>
    <xf numFmtId="9" fontId="56" fillId="0" borderId="0" xfId="3" applyFont="1" applyFill="1" applyBorder="1" applyAlignment="1" applyProtection="1">
      <alignment horizontal="center" vertical="center"/>
      <protection hidden="1"/>
    </xf>
    <xf numFmtId="14" fontId="14" fillId="0" borderId="0" xfId="0" applyNumberFormat="1" applyFont="1" applyFill="1" applyAlignment="1" applyProtection="1">
      <alignment horizontal="left"/>
      <protection hidden="1"/>
    </xf>
    <xf numFmtId="164" fontId="0" fillId="0" borderId="0" xfId="2" applyFont="1" applyFill="1" applyBorder="1" applyAlignment="1" applyProtection="1">
      <alignment horizontal="right"/>
      <protection hidden="1"/>
    </xf>
    <xf numFmtId="0" fontId="8" fillId="7" borderId="0" xfId="0" applyNumberFormat="1" applyFont="1" applyFill="1" applyAlignment="1" applyProtection="1">
      <alignment vertical="center"/>
      <protection hidden="1"/>
    </xf>
    <xf numFmtId="0" fontId="0" fillId="0" borderId="1" xfId="0" applyBorder="1"/>
    <xf numFmtId="42" fontId="8" fillId="11" borderId="9" xfId="0" applyNumberFormat="1" applyFont="1" applyFill="1" applyBorder="1" applyAlignment="1" applyProtection="1">
      <alignment horizontal="right" vertical="center"/>
      <protection hidden="1"/>
    </xf>
    <xf numFmtId="42" fontId="8" fillId="11" borderId="12" xfId="0" applyNumberFormat="1" applyFont="1" applyFill="1" applyBorder="1" applyAlignment="1" applyProtection="1">
      <alignment horizontal="right" vertical="center"/>
      <protection hidden="1"/>
    </xf>
    <xf numFmtId="0" fontId="8" fillId="0" borderId="9" xfId="0" applyNumberFormat="1" applyFont="1" applyFill="1" applyBorder="1" applyAlignment="1" applyProtection="1">
      <alignment vertical="center" readingOrder="1"/>
      <protection hidden="1"/>
    </xf>
    <xf numFmtId="164" fontId="0" fillId="0" borderId="1" xfId="2" applyFont="1" applyBorder="1"/>
    <xf numFmtId="42" fontId="12" fillId="0" borderId="7" xfId="0" applyNumberFormat="1" applyFont="1" applyFill="1" applyBorder="1" applyAlignment="1" applyProtection="1">
      <alignment horizontal="right" vertical="center"/>
      <protection hidden="1"/>
    </xf>
    <xf numFmtId="42" fontId="12" fillId="0" borderId="0" xfId="0" applyNumberFormat="1" applyFont="1" applyFill="1" applyBorder="1" applyAlignment="1" applyProtection="1">
      <alignment horizontal="right" vertical="center"/>
      <protection hidden="1"/>
    </xf>
    <xf numFmtId="164" fontId="17" fillId="0" borderId="0" xfId="2" applyFont="1" applyFill="1" applyProtection="1">
      <protection hidden="1"/>
    </xf>
    <xf numFmtId="0" fontId="14" fillId="0" borderId="0" xfId="0" applyFont="1" applyAlignment="1" applyProtection="1">
      <protection hidden="1"/>
    </xf>
    <xf numFmtId="42" fontId="8" fillId="7" borderId="0" xfId="0" applyNumberFormat="1" applyFont="1" applyFill="1" applyBorder="1" applyAlignment="1" applyProtection="1">
      <alignment horizontal="center" vertical="center"/>
      <protection hidden="1"/>
    </xf>
    <xf numFmtId="42" fontId="8" fillId="7" borderId="0" xfId="0" applyNumberFormat="1" applyFont="1" applyFill="1" applyBorder="1" applyAlignment="1" applyProtection="1">
      <alignment horizontal="right" vertical="center"/>
      <protection hidden="1"/>
    </xf>
    <xf numFmtId="0" fontId="14" fillId="8" borderId="0" xfId="0" applyFont="1" applyFill="1" applyProtection="1">
      <protection hidden="1"/>
    </xf>
    <xf numFmtId="164" fontId="0" fillId="0" borderId="14" xfId="2" applyFont="1" applyBorder="1"/>
    <xf numFmtId="164" fontId="19" fillId="8" borderId="1" xfId="2" applyFont="1" applyFill="1" applyBorder="1"/>
    <xf numFmtId="0" fontId="0" fillId="0" borderId="14" xfId="0" applyBorder="1"/>
    <xf numFmtId="0" fontId="18" fillId="0" borderId="1" xfId="0" applyFont="1" applyBorder="1"/>
    <xf numFmtId="0" fontId="18" fillId="0" borderId="1" xfId="0" applyFont="1" applyBorder="1" applyAlignment="1" applyProtection="1">
      <alignment horizontal="left" vertical="center"/>
      <protection hidden="1"/>
    </xf>
    <xf numFmtId="166" fontId="18" fillId="0" borderId="1" xfId="1" applyFont="1" applyBorder="1" applyAlignment="1" applyProtection="1">
      <alignment horizontal="left" vertical="center"/>
      <protection hidden="1"/>
    </xf>
    <xf numFmtId="167" fontId="0" fillId="9" borderId="44" xfId="0" applyNumberFormat="1" applyFont="1" applyFill="1" applyBorder="1" applyAlignment="1">
      <alignment horizontal="center"/>
    </xf>
    <xf numFmtId="166" fontId="18" fillId="20" borderId="1" xfId="1" applyFont="1" applyFill="1" applyBorder="1" applyAlignment="1" applyProtection="1">
      <alignment horizontal="left" vertical="center" wrapText="1"/>
      <protection hidden="1"/>
    </xf>
    <xf numFmtId="164" fontId="0" fillId="20" borderId="14" xfId="2" applyFont="1" applyFill="1" applyBorder="1"/>
    <xf numFmtId="164" fontId="18" fillId="20" borderId="1" xfId="0" applyNumberFormat="1" applyFont="1" applyFill="1" applyBorder="1"/>
    <xf numFmtId="166" fontId="18" fillId="0" borderId="47" xfId="1" applyNumberFormat="1" applyFont="1" applyBorder="1" applyAlignment="1">
      <alignment horizontal="left" vertical="center" wrapText="1"/>
    </xf>
    <xf numFmtId="166" fontId="18" fillId="0" borderId="0" xfId="1" applyNumberFormat="1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/>
    </xf>
    <xf numFmtId="166" fontId="18" fillId="0" borderId="0" xfId="1" applyNumberFormat="1" applyFont="1" applyBorder="1" applyAlignment="1">
      <alignment horizontal="left" vertical="center" wrapText="1"/>
    </xf>
    <xf numFmtId="164" fontId="18" fillId="0" borderId="1" xfId="0" applyNumberFormat="1" applyFont="1" applyFill="1" applyBorder="1"/>
    <xf numFmtId="164" fontId="0" fillId="0" borderId="0" xfId="0" applyNumberFormat="1" applyAlignment="1">
      <alignment horizontal="right"/>
    </xf>
    <xf numFmtId="0" fontId="0" fillId="8" borderId="0" xfId="0" applyFill="1" applyAlignment="1" applyProtection="1">
      <alignment horizontal="left"/>
      <protection hidden="1"/>
    </xf>
    <xf numFmtId="0" fontId="0" fillId="8" borderId="0" xfId="0" applyFill="1" applyAlignment="1" applyProtection="1">
      <alignment horizontal="center"/>
      <protection hidden="1"/>
    </xf>
    <xf numFmtId="14" fontId="0" fillId="8" borderId="0" xfId="0" applyNumberFormat="1" applyFill="1" applyAlignment="1" applyProtection="1">
      <alignment horizontal="center"/>
      <protection hidden="1"/>
    </xf>
    <xf numFmtId="14" fontId="14" fillId="8" borderId="0" xfId="0" applyNumberFormat="1" applyFont="1" applyFill="1" applyAlignment="1" applyProtection="1">
      <alignment horizontal="center"/>
      <protection hidden="1"/>
    </xf>
    <xf numFmtId="14" fontId="14" fillId="8" borderId="0" xfId="0" applyNumberFormat="1" applyFont="1" applyFill="1" applyAlignment="1" applyProtection="1">
      <alignment horizontal="left"/>
      <protection hidden="1"/>
    </xf>
    <xf numFmtId="164" fontId="18" fillId="0" borderId="0" xfId="2" applyFont="1"/>
    <xf numFmtId="0" fontId="4" fillId="0" borderId="1" xfId="0" applyNumberFormat="1" applyFont="1" applyFill="1" applyBorder="1" applyAlignment="1" applyProtection="1">
      <alignment vertical="center"/>
      <protection hidden="1"/>
    </xf>
    <xf numFmtId="164" fontId="18" fillId="0" borderId="1" xfId="2" applyFont="1" applyBorder="1"/>
    <xf numFmtId="164" fontId="18" fillId="0" borderId="4" xfId="0" applyNumberFormat="1" applyFont="1" applyBorder="1"/>
    <xf numFmtId="0" fontId="18" fillId="0" borderId="9" xfId="0" applyFont="1" applyBorder="1"/>
    <xf numFmtId="0" fontId="18" fillId="0" borderId="12" xfId="0" applyFont="1" applyBorder="1"/>
    <xf numFmtId="0" fontId="18" fillId="0" borderId="6" xfId="0" applyFont="1" applyBorder="1"/>
    <xf numFmtId="14" fontId="0" fillId="0" borderId="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81" fontId="0" fillId="0" borderId="14" xfId="2" applyNumberFormat="1" applyFont="1" applyBorder="1"/>
    <xf numFmtId="181" fontId="0" fillId="0" borderId="15" xfId="2" applyNumberFormat="1" applyFont="1" applyBorder="1"/>
    <xf numFmtId="181" fontId="0" fillId="0" borderId="0" xfId="0" applyNumberFormat="1"/>
    <xf numFmtId="181" fontId="0" fillId="0" borderId="3" xfId="0" applyNumberFormat="1" applyBorder="1"/>
    <xf numFmtId="164" fontId="0" fillId="0" borderId="3" xfId="0" applyNumberFormat="1" applyBorder="1"/>
    <xf numFmtId="164" fontId="53" fillId="0" borderId="0" xfId="2" applyFont="1" applyFill="1" applyProtection="1">
      <protection hidden="1"/>
    </xf>
    <xf numFmtId="164" fontId="0" fillId="0" borderId="1" xfId="2" applyFont="1" applyFill="1" applyBorder="1"/>
    <xf numFmtId="164" fontId="0" fillId="0" borderId="1" xfId="0" applyNumberFormat="1" applyFill="1" applyBorder="1"/>
    <xf numFmtId="181" fontId="0" fillId="0" borderId="1" xfId="2" applyNumberFormat="1" applyFont="1" applyBorder="1"/>
    <xf numFmtId="164" fontId="18" fillId="0" borderId="0" xfId="2" applyFont="1" applyAlignment="1">
      <alignment horizontal="center"/>
    </xf>
    <xf numFmtId="164" fontId="18" fillId="0" borderId="3" xfId="2" applyFont="1" applyBorder="1" applyAlignment="1">
      <alignment horizontal="center"/>
    </xf>
    <xf numFmtId="164" fontId="0" fillId="0" borderId="10" xfId="2" applyFont="1" applyBorder="1" applyAlignment="1">
      <alignment horizontal="center"/>
    </xf>
    <xf numFmtId="164" fontId="0" fillId="0" borderId="0" xfId="2" applyFont="1" applyBorder="1" applyAlignment="1">
      <alignment horizontal="center"/>
    </xf>
    <xf numFmtId="164" fontId="0" fillId="0" borderId="7" xfId="2" applyFont="1" applyBorder="1" applyAlignment="1">
      <alignment horizontal="center"/>
    </xf>
    <xf numFmtId="164" fontId="18" fillId="0" borderId="1" xfId="2" applyFont="1" applyBorder="1" applyAlignment="1">
      <alignment horizontal="center"/>
    </xf>
    <xf numFmtId="164" fontId="0" fillId="0" borderId="5" xfId="2" applyFont="1" applyBorder="1" applyAlignment="1">
      <alignment horizontal="center"/>
    </xf>
    <xf numFmtId="164" fontId="0" fillId="0" borderId="14" xfId="2" applyFont="1" applyBorder="1" applyAlignment="1">
      <alignment horizontal="center"/>
    </xf>
    <xf numFmtId="164" fontId="0" fillId="0" borderId="15" xfId="2" applyFont="1" applyBorder="1" applyAlignment="1">
      <alignment horizontal="center"/>
    </xf>
    <xf numFmtId="0" fontId="18" fillId="0" borderId="5" xfId="0" applyFont="1" applyBorder="1"/>
    <xf numFmtId="0" fontId="18" fillId="0" borderId="14" xfId="0" applyFont="1" applyBorder="1"/>
    <xf numFmtId="0" fontId="18" fillId="0" borderId="15" xfId="0" applyFont="1" applyBorder="1"/>
    <xf numFmtId="0" fontId="58" fillId="0" borderId="0" xfId="0" applyFont="1" applyBorder="1"/>
    <xf numFmtId="164" fontId="19" fillId="0" borderId="0" xfId="0" applyNumberFormat="1" applyFont="1"/>
    <xf numFmtId="164" fontId="18" fillId="3" borderId="0" xfId="0" applyNumberFormat="1" applyFont="1" applyFill="1"/>
    <xf numFmtId="0" fontId="18" fillId="0" borderId="0" xfId="0" applyFont="1" applyAlignment="1">
      <alignment horizontal="center"/>
    </xf>
    <xf numFmtId="164" fontId="0" fillId="0" borderId="0" xfId="0" applyNumberFormat="1" applyFont="1"/>
    <xf numFmtId="10" fontId="14" fillId="0" borderId="0" xfId="3" applyNumberFormat="1" applyFont="1" applyFill="1" applyAlignment="1" applyProtection="1">
      <alignment horizontal="center"/>
      <protection hidden="1"/>
    </xf>
    <xf numFmtId="164" fontId="0" fillId="3" borderId="0" xfId="0" applyNumberFormat="1" applyFill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2" applyFont="1" applyFill="1" applyBorder="1" applyAlignment="1">
      <alignment vertical="center"/>
    </xf>
    <xf numFmtId="0" fontId="18" fillId="0" borderId="12" xfId="0" applyFont="1" applyBorder="1" applyAlignment="1">
      <alignment vertical="center"/>
    </xf>
    <xf numFmtId="181" fontId="0" fillId="0" borderId="14" xfId="2" applyNumberFormat="1" applyFont="1" applyBorder="1" applyAlignment="1">
      <alignment vertical="center"/>
    </xf>
    <xf numFmtId="181" fontId="0" fillId="0" borderId="1" xfId="2" applyNumberFormat="1" applyFont="1" applyBorder="1" applyAlignment="1">
      <alignment vertical="center"/>
    </xf>
    <xf numFmtId="0" fontId="62" fillId="0" borderId="1" xfId="0" applyFont="1" applyBorder="1" applyAlignment="1">
      <alignment vertical="center" wrapText="1"/>
    </xf>
    <xf numFmtId="164" fontId="14" fillId="0" borderId="0" xfId="2" applyFont="1" applyAlignment="1" applyProtection="1">
      <alignment horizontal="left"/>
      <protection hidden="1"/>
    </xf>
    <xf numFmtId="0" fontId="19" fillId="0" borderId="0" xfId="0" applyFont="1"/>
    <xf numFmtId="164" fontId="0" fillId="3" borderId="5" xfId="2" applyFont="1" applyFill="1" applyBorder="1" applyAlignment="1">
      <alignment horizontal="center"/>
    </xf>
    <xf numFmtId="164" fontId="0" fillId="3" borderId="14" xfId="2" applyFont="1" applyFill="1" applyBorder="1" applyAlignment="1">
      <alignment horizontal="center"/>
    </xf>
    <xf numFmtId="164" fontId="0" fillId="3" borderId="15" xfId="2" applyFont="1" applyFill="1" applyBorder="1" applyAlignment="1">
      <alignment horizontal="center"/>
    </xf>
    <xf numFmtId="164" fontId="18" fillId="3" borderId="0" xfId="2" applyFont="1" applyFill="1" applyAlignment="1">
      <alignment horizontal="center"/>
    </xf>
    <xf numFmtId="164" fontId="0" fillId="0" borderId="5" xfId="2" applyFont="1" applyFill="1" applyBorder="1" applyAlignment="1">
      <alignment horizontal="center"/>
    </xf>
    <xf numFmtId="164" fontId="0" fillId="0" borderId="14" xfId="2" applyFont="1" applyFill="1" applyBorder="1" applyAlignment="1">
      <alignment horizontal="center"/>
    </xf>
    <xf numFmtId="164" fontId="0" fillId="0" borderId="15" xfId="2" applyFont="1" applyFill="1" applyBorder="1" applyAlignment="1">
      <alignment horizontal="center"/>
    </xf>
    <xf numFmtId="0" fontId="19" fillId="0" borderId="15" xfId="0" applyFont="1" applyBorder="1"/>
    <xf numFmtId="14" fontId="0" fillId="0" borderId="0" xfId="0" applyNumberFormat="1" applyAlignment="1">
      <alignment horizontal="center"/>
    </xf>
    <xf numFmtId="0" fontId="32" fillId="0" borderId="0" xfId="0" applyFont="1"/>
    <xf numFmtId="0" fontId="19" fillId="0" borderId="48" xfId="0" applyFont="1" applyBorder="1"/>
    <xf numFmtId="164" fontId="19" fillId="0" borderId="49" xfId="0" applyNumberFormat="1" applyFont="1" applyBorder="1"/>
    <xf numFmtId="0" fontId="18" fillId="0" borderId="0" xfId="0" applyFont="1" applyFill="1" applyBorder="1"/>
    <xf numFmtId="164" fontId="0" fillId="0" borderId="0" xfId="2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18" fillId="0" borderId="0" xfId="0" applyNumberFormat="1" applyFont="1"/>
    <xf numFmtId="164" fontId="20" fillId="10" borderId="5" xfId="0" applyNumberFormat="1" applyFont="1" applyFill="1" applyBorder="1" applyAlignment="1" applyProtection="1">
      <alignment horizontal="center"/>
      <protection hidden="1"/>
    </xf>
    <xf numFmtId="0" fontId="0" fillId="0" borderId="15" xfId="0" applyBorder="1"/>
    <xf numFmtId="164" fontId="14" fillId="0" borderId="14" xfId="2" applyFont="1" applyBorder="1" applyAlignment="1">
      <alignment horizontal="center"/>
    </xf>
    <xf numFmtId="0" fontId="48" fillId="0" borderId="9" xfId="0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42" fontId="63" fillId="0" borderId="5" xfId="2" applyNumberFormat="1" applyFont="1" applyBorder="1" applyAlignment="1">
      <alignment horizontal="center"/>
    </xf>
    <xf numFmtId="42" fontId="19" fillId="0" borderId="0" xfId="2" applyNumberFormat="1" applyFont="1"/>
    <xf numFmtId="42" fontId="64" fillId="0" borderId="5" xfId="0" applyNumberFormat="1" applyFont="1" applyBorder="1" applyAlignment="1">
      <alignment horizontal="center"/>
    </xf>
    <xf numFmtId="1" fontId="0" fillId="0" borderId="0" xfId="0" applyNumberFormat="1"/>
    <xf numFmtId="0" fontId="64" fillId="0" borderId="15" xfId="0" applyFont="1" applyBorder="1" applyAlignment="1">
      <alignment horizontal="center"/>
    </xf>
    <xf numFmtId="1" fontId="63" fillId="0" borderId="15" xfId="2" applyNumberFormat="1" applyFont="1" applyBorder="1" applyAlignment="1">
      <alignment horizontal="center"/>
    </xf>
    <xf numFmtId="1" fontId="64" fillId="0" borderId="15" xfId="0" applyNumberFormat="1" applyFont="1" applyBorder="1" applyAlignment="1">
      <alignment horizontal="center"/>
    </xf>
    <xf numFmtId="0" fontId="64" fillId="0" borderId="0" xfId="0" applyFont="1"/>
    <xf numFmtId="0" fontId="64" fillId="0" borderId="0" xfId="0" applyFont="1" applyAlignment="1">
      <alignment horizontal="center"/>
    </xf>
    <xf numFmtId="42" fontId="48" fillId="0" borderId="0" xfId="2" applyNumberFormat="1" applyFont="1" applyAlignment="1">
      <alignment horizontal="left"/>
    </xf>
    <xf numFmtId="1" fontId="48" fillId="0" borderId="0" xfId="2" applyNumberFormat="1" applyFont="1" applyAlignment="1">
      <alignment horizontal="center"/>
    </xf>
    <xf numFmtId="1" fontId="1" fillId="0" borderId="0" xfId="2" applyNumberFormat="1" applyFont="1"/>
    <xf numFmtId="0" fontId="63" fillId="0" borderId="0" xfId="0" applyFont="1" applyBorder="1" applyAlignment="1">
      <alignment horizontal="left"/>
    </xf>
    <xf numFmtId="0" fontId="32" fillId="0" borderId="2" xfId="0" applyFont="1" applyFill="1" applyBorder="1" applyAlignment="1" applyProtection="1">
      <alignment horizontal="center"/>
      <protection hidden="1"/>
    </xf>
    <xf numFmtId="0" fontId="32" fillId="0" borderId="4" xfId="0" applyFont="1" applyFill="1" applyBorder="1" applyAlignment="1" applyProtection="1">
      <alignment horizontal="center"/>
      <protection hidden="1"/>
    </xf>
    <xf numFmtId="0" fontId="32" fillId="24" borderId="2" xfId="0" applyFont="1" applyFill="1" applyBorder="1" applyAlignment="1" applyProtection="1">
      <alignment horizontal="center"/>
      <protection hidden="1"/>
    </xf>
    <xf numFmtId="0" fontId="32" fillId="24" borderId="2" xfId="0" applyFont="1" applyFill="1" applyBorder="1" applyAlignment="1" applyProtection="1">
      <alignment horizontal="left"/>
      <protection hidden="1"/>
    </xf>
    <xf numFmtId="0" fontId="32" fillId="24" borderId="4" xfId="0" applyFont="1" applyFill="1" applyBorder="1" applyAlignment="1" applyProtection="1">
      <alignment horizontal="center"/>
      <protection hidden="1"/>
    </xf>
    <xf numFmtId="0" fontId="32" fillId="24" borderId="2" xfId="0" applyFont="1" applyFill="1" applyBorder="1" applyProtection="1">
      <protection hidden="1"/>
    </xf>
    <xf numFmtId="0" fontId="34" fillId="24" borderId="1" xfId="0" applyFont="1" applyFill="1" applyBorder="1" applyAlignment="1" applyProtection="1">
      <alignment horizontal="center" vertical="center"/>
      <protection hidden="1"/>
    </xf>
    <xf numFmtId="14" fontId="8" fillId="24" borderId="1" xfId="0" applyNumberFormat="1" applyFont="1" applyFill="1" applyBorder="1" applyAlignment="1" applyProtection="1">
      <alignment horizontal="center" vertical="center"/>
      <protection hidden="1"/>
    </xf>
    <xf numFmtId="0" fontId="9" fillId="24" borderId="1" xfId="0" applyFont="1" applyFill="1" applyBorder="1" applyAlignment="1" applyProtection="1">
      <alignment horizontal="left" vertical="center"/>
      <protection hidden="1"/>
    </xf>
    <xf numFmtId="0" fontId="8" fillId="24" borderId="1" xfId="0" applyFont="1" applyFill="1" applyBorder="1" applyAlignment="1" applyProtection="1">
      <alignment horizontal="left" vertical="center"/>
      <protection hidden="1"/>
    </xf>
    <xf numFmtId="164" fontId="8" fillId="24" borderId="1" xfId="1" applyNumberFormat="1" applyFont="1" applyFill="1" applyBorder="1" applyAlignment="1" applyProtection="1">
      <alignment horizontal="center" vertical="center"/>
      <protection hidden="1"/>
    </xf>
    <xf numFmtId="172" fontId="7" fillId="24" borderId="1" xfId="4" applyNumberFormat="1" applyFont="1" applyFill="1" applyBorder="1" applyAlignment="1" applyProtection="1">
      <alignment horizontal="right" vertical="center"/>
      <protection hidden="1"/>
    </xf>
    <xf numFmtId="42" fontId="35" fillId="24" borderId="1" xfId="0" applyNumberFormat="1" applyFont="1" applyFill="1" applyBorder="1" applyAlignment="1" applyProtection="1">
      <alignment horizontal="center" vertical="center"/>
      <protection hidden="1"/>
    </xf>
    <xf numFmtId="173" fontId="8" fillId="24" borderId="1" xfId="4" applyNumberFormat="1" applyFont="1" applyFill="1" applyBorder="1" applyAlignment="1" applyProtection="1">
      <alignment horizontal="right" vertical="center"/>
      <protection hidden="1"/>
    </xf>
    <xf numFmtId="164" fontId="0" fillId="24" borderId="1" xfId="2" applyFont="1" applyFill="1" applyBorder="1"/>
    <xf numFmtId="0" fontId="8" fillId="24" borderId="1" xfId="0" applyFont="1" applyFill="1" applyBorder="1" applyAlignment="1" applyProtection="1">
      <alignment vertical="center" wrapText="1"/>
      <protection hidden="1"/>
    </xf>
    <xf numFmtId="0" fontId="32" fillId="24" borderId="3" xfId="0" applyFont="1" applyFill="1" applyBorder="1" applyProtection="1">
      <protection hidden="1"/>
    </xf>
    <xf numFmtId="0" fontId="32" fillId="24" borderId="2" xfId="0" applyFont="1" applyFill="1" applyBorder="1" applyAlignment="1" applyProtection="1">
      <alignment horizontal="right"/>
      <protection hidden="1"/>
    </xf>
    <xf numFmtId="0" fontId="55" fillId="24" borderId="1" xfId="0" applyFont="1" applyFill="1" applyBorder="1" applyAlignment="1" applyProtection="1">
      <alignment horizontal="center" vertical="center"/>
      <protection hidden="1"/>
    </xf>
    <xf numFmtId="14" fontId="8" fillId="24" borderId="1" xfId="0" applyNumberFormat="1" applyFont="1" applyFill="1" applyBorder="1" applyAlignment="1" applyProtection="1">
      <alignment horizontal="left" vertical="center"/>
      <protection hidden="1"/>
    </xf>
    <xf numFmtId="164" fontId="14" fillId="25" borderId="0" xfId="2" quotePrefix="1" applyFont="1" applyFill="1" applyBorder="1" applyAlignment="1" applyProtection="1">
      <alignment horizontal="center"/>
      <protection hidden="1"/>
    </xf>
    <xf numFmtId="1" fontId="64" fillId="0" borderId="0" xfId="0" applyNumberFormat="1" applyFont="1"/>
    <xf numFmtId="0" fontId="0" fillId="0" borderId="9" xfId="0" applyBorder="1"/>
    <xf numFmtId="1" fontId="0" fillId="0" borderId="10" xfId="2" applyNumberFormat="1" applyFont="1" applyBorder="1"/>
    <xf numFmtId="0" fontId="0" fillId="0" borderId="10" xfId="0" applyBorder="1"/>
    <xf numFmtId="164" fontId="18" fillId="0" borderId="11" xfId="0" applyNumberFormat="1" applyFont="1" applyBorder="1"/>
    <xf numFmtId="0" fontId="0" fillId="0" borderId="6" xfId="0" applyBorder="1"/>
    <xf numFmtId="1" fontId="0" fillId="0" borderId="7" xfId="2" applyNumberFormat="1" applyFont="1" applyBorder="1"/>
    <xf numFmtId="164" fontId="18" fillId="0" borderId="7" xfId="0" applyNumberFormat="1" applyFont="1" applyBorder="1"/>
    <xf numFmtId="164" fontId="18" fillId="0" borderId="8" xfId="0" applyNumberFormat="1" applyFont="1" applyBorder="1"/>
    <xf numFmtId="0" fontId="18" fillId="0" borderId="10" xfId="0" applyFont="1" applyBorder="1"/>
    <xf numFmtId="0" fontId="19" fillId="0" borderId="2" xfId="0" applyFont="1" applyBorder="1"/>
    <xf numFmtId="164" fontId="19" fillId="0" borderId="3" xfId="2" applyFont="1" applyBorder="1"/>
    <xf numFmtId="164" fontId="19" fillId="0" borderId="3" xfId="0" applyNumberFormat="1" applyFont="1" applyBorder="1"/>
    <xf numFmtId="164" fontId="19" fillId="0" borderId="4" xfId="0" applyNumberFormat="1" applyFont="1" applyBorder="1"/>
    <xf numFmtId="0" fontId="32" fillId="20" borderId="4" xfId="0" applyFont="1" applyFill="1" applyBorder="1" applyAlignment="1" applyProtection="1">
      <alignment horizontal="center"/>
      <protection hidden="1"/>
    </xf>
    <xf numFmtId="0" fontId="32" fillId="20" borderId="2" xfId="0" applyFont="1" applyFill="1" applyBorder="1" applyAlignment="1" applyProtection="1">
      <alignment horizontal="left"/>
      <protection hidden="1"/>
    </xf>
    <xf numFmtId="0" fontId="0" fillId="20" borderId="44" xfId="0" applyFont="1" applyFill="1" applyBorder="1" applyAlignment="1">
      <alignment horizontal="left"/>
    </xf>
    <xf numFmtId="17" fontId="8" fillId="20" borderId="1" xfId="0" applyNumberFormat="1" applyFont="1" applyFill="1" applyBorder="1" applyAlignment="1" applyProtection="1">
      <alignment horizontal="left" vertical="center"/>
      <protection hidden="1"/>
    </xf>
    <xf numFmtId="164" fontId="0" fillId="0" borderId="0" xfId="0" applyNumberFormat="1" applyFill="1" applyProtection="1">
      <protection hidden="1"/>
    </xf>
    <xf numFmtId="42" fontId="0" fillId="0" borderId="0" xfId="0" applyNumberFormat="1" applyProtection="1">
      <protection hidden="1"/>
    </xf>
    <xf numFmtId="164" fontId="0" fillId="0" borderId="0" xfId="2" applyFont="1" applyProtection="1">
      <protection hidden="1"/>
    </xf>
    <xf numFmtId="164" fontId="8" fillId="4" borderId="1" xfId="1" applyNumberFormat="1" applyFont="1" applyFill="1" applyBorder="1" applyAlignment="1" applyProtection="1">
      <alignment horizontal="center" vertical="center"/>
      <protection hidden="1"/>
    </xf>
    <xf numFmtId="0" fontId="20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19" fillId="0" borderId="4" xfId="0" applyFont="1" applyBorder="1"/>
    <xf numFmtId="0" fontId="18" fillId="0" borderId="15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4" xfId="0" applyFont="1" applyBorder="1"/>
    <xf numFmtId="164" fontId="64" fillId="0" borderId="0" xfId="2" applyFont="1" applyFill="1" applyBorder="1" applyAlignment="1">
      <alignment horizontal="center"/>
    </xf>
    <xf numFmtId="164" fontId="0" fillId="0" borderId="10" xfId="2" applyFont="1" applyFill="1" applyBorder="1" applyAlignment="1">
      <alignment horizontal="center"/>
    </xf>
    <xf numFmtId="164" fontId="0" fillId="0" borderId="0" xfId="2" applyFont="1" applyFill="1" applyBorder="1" applyAlignment="1">
      <alignment horizontal="center"/>
    </xf>
    <xf numFmtId="164" fontId="0" fillId="0" borderId="7" xfId="2" applyFont="1" applyFill="1" applyBorder="1" applyAlignment="1">
      <alignment horizontal="center"/>
    </xf>
    <xf numFmtId="164" fontId="18" fillId="24" borderId="0" xfId="2" applyFont="1" applyFill="1"/>
    <xf numFmtId="0" fontId="21" fillId="0" borderId="0" xfId="8"/>
    <xf numFmtId="164" fontId="2" fillId="4" borderId="0" xfId="2" applyFont="1" applyFill="1"/>
    <xf numFmtId="164" fontId="66" fillId="4" borderId="0" xfId="2" applyFont="1" applyFill="1"/>
    <xf numFmtId="164" fontId="2" fillId="5" borderId="0" xfId="0" applyNumberFormat="1" applyFont="1" applyFill="1"/>
    <xf numFmtId="14" fontId="18" fillId="0" borderId="0" xfId="0" applyNumberFormat="1" applyFont="1" applyAlignment="1">
      <alignment horizontal="left"/>
    </xf>
    <xf numFmtId="0" fontId="14" fillId="0" borderId="0" xfId="0" applyFont="1" applyFill="1" applyBorder="1" applyAlignment="1" applyProtection="1">
      <alignment horizontal="left"/>
      <protection hidden="1"/>
    </xf>
    <xf numFmtId="0" fontId="14" fillId="0" borderId="0" xfId="0" applyFont="1" applyFill="1" applyBorder="1" applyAlignment="1" applyProtection="1">
      <alignment horizontal="left"/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4" fillId="0" borderId="0" xfId="0" applyNumberFormat="1" applyFont="1" applyFill="1" applyBorder="1" applyAlignment="1" applyProtection="1">
      <alignment horizontal="left"/>
      <protection hidden="1"/>
    </xf>
    <xf numFmtId="164" fontId="14" fillId="0" borderId="0" xfId="0" applyNumberFormat="1" applyFont="1" applyProtection="1">
      <protection hidden="1"/>
    </xf>
    <xf numFmtId="0" fontId="14" fillId="15" borderId="0" xfId="0" applyFont="1" applyFill="1" applyProtection="1">
      <protection hidden="1"/>
    </xf>
    <xf numFmtId="0" fontId="14" fillId="15" borderId="0" xfId="0" applyFont="1" applyFill="1" applyAlignment="1" applyProtection="1">
      <alignment horizontal="left"/>
      <protection hidden="1"/>
    </xf>
    <xf numFmtId="0" fontId="20" fillId="0" borderId="0" xfId="0" applyFont="1" applyProtection="1"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164" fontId="14" fillId="0" borderId="7" xfId="4" quotePrefix="1" applyNumberFormat="1" applyFont="1" applyFill="1" applyBorder="1" applyAlignment="1" applyProtection="1">
      <alignment horizontal="center"/>
      <protection hidden="1"/>
    </xf>
    <xf numFmtId="42" fontId="6" fillId="0" borderId="7" xfId="0" applyNumberFormat="1" applyFont="1" applyFill="1" applyBorder="1" applyAlignment="1" applyProtection="1">
      <alignment horizontal="right" vertical="center"/>
      <protection hidden="1"/>
    </xf>
    <xf numFmtId="167" fontId="61" fillId="0" borderId="0" xfId="0" applyNumberFormat="1" applyFont="1" applyFill="1" applyBorder="1" applyAlignment="1" applyProtection="1">
      <alignment horizontal="left"/>
      <protection hidden="1"/>
    </xf>
    <xf numFmtId="164" fontId="0" fillId="0" borderId="0" xfId="0" applyNumberFormat="1" applyFont="1" applyFill="1" applyBorder="1" applyProtection="1">
      <protection hidden="1"/>
    </xf>
    <xf numFmtId="0" fontId="61" fillId="0" borderId="0" xfId="0" applyFont="1" applyFill="1" applyBorder="1" applyProtection="1">
      <protection hidden="1"/>
    </xf>
    <xf numFmtId="167" fontId="0" fillId="0" borderId="0" xfId="0" applyNumberFormat="1" applyFont="1" applyFill="1" applyBorder="1" applyAlignment="1" applyProtection="1">
      <alignment horizontal="center"/>
      <protection hidden="1"/>
    </xf>
    <xf numFmtId="42" fontId="64" fillId="3" borderId="5" xfId="0" applyNumberFormat="1" applyFont="1" applyFill="1" applyBorder="1" applyAlignment="1">
      <alignment horizontal="center"/>
    </xf>
    <xf numFmtId="1" fontId="64" fillId="3" borderId="15" xfId="0" applyNumberFormat="1" applyFont="1" applyFill="1" applyBorder="1" applyAlignment="1">
      <alignment horizontal="center"/>
    </xf>
    <xf numFmtId="42" fontId="8" fillId="7" borderId="13" xfId="0" applyNumberFormat="1" applyFont="1" applyFill="1" applyBorder="1" applyAlignment="1" applyProtection="1">
      <alignment horizontal="right" vertical="center"/>
      <protection hidden="1"/>
    </xf>
    <xf numFmtId="164" fontId="2" fillId="13" borderId="0" xfId="5" applyNumberFormat="1" applyFont="1" applyFill="1" applyBorder="1" applyAlignment="1" applyProtection="1">
      <alignment horizontal="center" vertical="center"/>
      <protection hidden="1"/>
    </xf>
    <xf numFmtId="0" fontId="47" fillId="5" borderId="0" xfId="0" applyFont="1" applyFill="1" applyAlignment="1" applyProtection="1">
      <alignment horizontal="center" vertical="center" wrapText="1"/>
      <protection hidden="1"/>
    </xf>
    <xf numFmtId="0" fontId="63" fillId="0" borderId="0" xfId="0" applyFont="1" applyAlignment="1">
      <alignment horizontal="left"/>
    </xf>
    <xf numFmtId="0" fontId="63" fillId="0" borderId="5" xfId="0" applyFont="1" applyBorder="1" applyAlignment="1">
      <alignment horizontal="left" vertical="center"/>
    </xf>
    <xf numFmtId="0" fontId="63" fillId="0" borderId="15" xfId="0" applyFont="1" applyBorder="1" applyAlignment="1">
      <alignment horizontal="left" vertical="center"/>
    </xf>
    <xf numFmtId="0" fontId="63" fillId="0" borderId="10" xfId="0" applyFont="1" applyBorder="1" applyAlignment="1">
      <alignment horizontal="left"/>
    </xf>
    <xf numFmtId="0" fontId="14" fillId="0" borderId="12" xfId="0" applyFont="1" applyFill="1" applyBorder="1" applyAlignment="1" applyProtection="1">
      <alignment horizontal="left" vertical="center"/>
      <protection hidden="1"/>
    </xf>
    <xf numFmtId="0" fontId="14" fillId="0" borderId="0" xfId="0" applyFont="1" applyFill="1" applyBorder="1" applyAlignment="1" applyProtection="1">
      <alignment horizontal="left" vertical="center"/>
      <protection hidden="1"/>
    </xf>
    <xf numFmtId="0" fontId="14" fillId="0" borderId="13" xfId="0" applyFont="1" applyFill="1" applyBorder="1" applyAlignment="1" applyProtection="1">
      <alignment horizontal="left" vertical="center"/>
      <protection hidden="1"/>
    </xf>
    <xf numFmtId="0" fontId="14" fillId="0" borderId="6" xfId="0" applyFont="1" applyFill="1" applyBorder="1" applyAlignment="1" applyProtection="1">
      <alignment horizontal="left" vertical="center"/>
      <protection hidden="1"/>
    </xf>
    <xf numFmtId="0" fontId="14" fillId="0" borderId="7" xfId="0" applyFont="1" applyFill="1" applyBorder="1" applyAlignment="1" applyProtection="1">
      <alignment horizontal="left" vertical="center"/>
      <protection hidden="1"/>
    </xf>
    <xf numFmtId="0" fontId="14" fillId="0" borderId="8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left" vertical="center"/>
      <protection hidden="1"/>
    </xf>
    <xf numFmtId="0" fontId="14" fillId="0" borderId="10" xfId="0" applyFont="1" applyFill="1" applyBorder="1" applyAlignment="1" applyProtection="1">
      <alignment horizontal="left" vertical="center"/>
      <protection hidden="1"/>
    </xf>
    <xf numFmtId="0" fontId="14" fillId="0" borderId="11" xfId="0" applyFont="1" applyFill="1" applyBorder="1" applyAlignment="1" applyProtection="1">
      <alignment horizontal="left" vertical="center"/>
      <protection hidden="1"/>
    </xf>
    <xf numFmtId="0" fontId="20" fillId="7" borderId="2" xfId="0" applyFont="1" applyFill="1" applyBorder="1" applyAlignment="1" applyProtection="1">
      <alignment horizontal="left"/>
      <protection hidden="1"/>
    </xf>
    <xf numFmtId="0" fontId="20" fillId="7" borderId="3" xfId="0" applyFont="1" applyFill="1" applyBorder="1" applyAlignment="1" applyProtection="1">
      <alignment horizontal="left"/>
      <protection hidden="1"/>
    </xf>
    <xf numFmtId="0" fontId="20" fillId="7" borderId="4" xfId="0" applyFont="1" applyFill="1" applyBorder="1" applyAlignment="1" applyProtection="1">
      <alignment horizontal="left"/>
      <protection hidden="1"/>
    </xf>
    <xf numFmtId="0" fontId="52" fillId="4" borderId="0" xfId="0" applyFont="1" applyFill="1" applyAlignment="1" applyProtection="1">
      <alignment horizontal="left"/>
      <protection hidden="1"/>
    </xf>
    <xf numFmtId="0" fontId="14" fillId="0" borderId="12" xfId="0" applyFont="1" applyFill="1" applyBorder="1" applyAlignment="1" applyProtection="1">
      <alignment horizontal="left"/>
      <protection hidden="1"/>
    </xf>
    <xf numFmtId="0" fontId="14" fillId="0" borderId="0" xfId="0" applyFont="1" applyFill="1" applyAlignment="1" applyProtection="1">
      <alignment horizontal="left"/>
      <protection hidden="1"/>
    </xf>
    <xf numFmtId="0" fontId="0" fillId="0" borderId="12" xfId="0" applyBorder="1" applyAlignment="1" applyProtection="1">
      <alignment horizontal="left" wrapText="1"/>
      <protection hidden="1"/>
    </xf>
    <xf numFmtId="0" fontId="0" fillId="0" borderId="0" xfId="0" applyBorder="1" applyAlignment="1" applyProtection="1">
      <alignment horizontal="left" wrapText="1"/>
      <protection hidden="1"/>
    </xf>
    <xf numFmtId="0" fontId="0" fillId="0" borderId="13" xfId="0" applyBorder="1" applyAlignment="1" applyProtection="1">
      <alignment horizontal="left" wrapText="1"/>
      <protection hidden="1"/>
    </xf>
    <xf numFmtId="0" fontId="0" fillId="0" borderId="6" xfId="0" applyBorder="1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0" borderId="8" xfId="0" applyBorder="1" applyAlignment="1" applyProtection="1">
      <alignment horizontal="left" wrapText="1"/>
      <protection hidden="1"/>
    </xf>
    <xf numFmtId="0" fontId="0" fillId="0" borderId="9" xfId="0" applyBorder="1" applyAlignment="1" applyProtection="1">
      <alignment horizontal="left" wrapText="1"/>
      <protection hidden="1"/>
    </xf>
    <xf numFmtId="0" fontId="0" fillId="0" borderId="10" xfId="0" applyBorder="1" applyAlignment="1" applyProtection="1">
      <alignment horizontal="left" wrapText="1"/>
      <protection hidden="1"/>
    </xf>
    <xf numFmtId="0" fontId="0" fillId="0" borderId="11" xfId="0" applyBorder="1" applyAlignment="1" applyProtection="1">
      <alignment horizontal="left" wrapText="1"/>
      <protection hidden="1"/>
    </xf>
    <xf numFmtId="0" fontId="2" fillId="4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16" fillId="8" borderId="0" xfId="0" applyFont="1" applyFill="1" applyBorder="1" applyAlignment="1" applyProtection="1">
      <alignment horizontal="center"/>
      <protection hidden="1"/>
    </xf>
    <xf numFmtId="0" fontId="15" fillId="8" borderId="0" xfId="0" applyFont="1" applyFill="1" applyBorder="1" applyAlignment="1" applyProtection="1">
      <alignment horizontal="center"/>
      <protection hidden="1"/>
    </xf>
    <xf numFmtId="0" fontId="20" fillId="8" borderId="0" xfId="0" applyFont="1" applyFill="1" applyBorder="1" applyAlignment="1" applyProtection="1">
      <alignment horizontal="center"/>
      <protection hidden="1"/>
    </xf>
    <xf numFmtId="0" fontId="19" fillId="0" borderId="7" xfId="0" applyFont="1" applyFill="1" applyBorder="1" applyAlignment="1" applyProtection="1">
      <alignment horizontal="left"/>
      <protection hidden="1"/>
    </xf>
    <xf numFmtId="0" fontId="0" fillId="0" borderId="9" xfId="0" applyFont="1" applyFill="1" applyBorder="1" applyAlignment="1" applyProtection="1">
      <alignment horizontal="left"/>
      <protection hidden="1"/>
    </xf>
    <xf numFmtId="0" fontId="0" fillId="0" borderId="10" xfId="0" applyFont="1" applyFill="1" applyBorder="1" applyAlignment="1" applyProtection="1">
      <alignment horizontal="left"/>
      <protection hidden="1"/>
    </xf>
    <xf numFmtId="0" fontId="0" fillId="0" borderId="11" xfId="0" applyFont="1" applyFill="1" applyBorder="1" applyAlignment="1" applyProtection="1">
      <alignment horizontal="left"/>
      <protection hidden="1"/>
    </xf>
    <xf numFmtId="0" fontId="0" fillId="0" borderId="12" xfId="0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0" fillId="0" borderId="13" xfId="0" applyFont="1" applyFill="1" applyBorder="1" applyAlignment="1" applyProtection="1">
      <alignment horizontal="left"/>
      <protection hidden="1"/>
    </xf>
    <xf numFmtId="0" fontId="18" fillId="0" borderId="9" xfId="0" applyFont="1" applyFill="1" applyBorder="1" applyAlignment="1" applyProtection="1">
      <alignment horizontal="left"/>
      <protection hidden="1"/>
    </xf>
    <xf numFmtId="0" fontId="18" fillId="0" borderId="10" xfId="0" applyFont="1" applyFill="1" applyBorder="1" applyAlignment="1" applyProtection="1">
      <alignment horizontal="left"/>
      <protection hidden="1"/>
    </xf>
    <xf numFmtId="0" fontId="18" fillId="0" borderId="11" xfId="0" applyFont="1" applyFill="1" applyBorder="1" applyAlignment="1" applyProtection="1">
      <alignment horizontal="left"/>
      <protection hidden="1"/>
    </xf>
    <xf numFmtId="0" fontId="18" fillId="0" borderId="6" xfId="0" applyFont="1" applyFill="1" applyBorder="1" applyAlignment="1" applyProtection="1">
      <alignment horizontal="left"/>
      <protection hidden="1"/>
    </xf>
    <xf numFmtId="0" fontId="18" fillId="0" borderId="7" xfId="0" applyFont="1" applyFill="1" applyBorder="1" applyAlignment="1" applyProtection="1">
      <alignment horizontal="left"/>
      <protection hidden="1"/>
    </xf>
    <xf numFmtId="0" fontId="18" fillId="0" borderId="8" xfId="0" applyFont="1" applyFill="1" applyBorder="1" applyAlignment="1" applyProtection="1">
      <alignment horizontal="left"/>
      <protection hidden="1"/>
    </xf>
    <xf numFmtId="0" fontId="20" fillId="0" borderId="2" xfId="0" applyFont="1" applyFill="1" applyBorder="1" applyAlignment="1" applyProtection="1">
      <alignment horizontal="center"/>
      <protection hidden="1"/>
    </xf>
    <xf numFmtId="0" fontId="20" fillId="0" borderId="3" xfId="0" applyFont="1" applyFill="1" applyBorder="1" applyAlignment="1" applyProtection="1">
      <alignment horizontal="center"/>
      <protection hidden="1"/>
    </xf>
    <xf numFmtId="0" fontId="20" fillId="0" borderId="4" xfId="0" applyFont="1" applyFill="1" applyBorder="1" applyAlignment="1" applyProtection="1">
      <alignment horizontal="center"/>
      <protection hidden="1"/>
    </xf>
    <xf numFmtId="0" fontId="14" fillId="0" borderId="2" xfId="0" applyFont="1" applyFill="1" applyBorder="1" applyAlignment="1" applyProtection="1">
      <alignment horizontal="left" vertical="center" wrapText="1"/>
      <protection hidden="1"/>
    </xf>
    <xf numFmtId="0" fontId="14" fillId="0" borderId="3" xfId="0" applyFont="1" applyFill="1" applyBorder="1" applyAlignment="1" applyProtection="1">
      <alignment horizontal="left" vertical="center" wrapText="1"/>
      <protection hidden="1"/>
    </xf>
    <xf numFmtId="0" fontId="14" fillId="0" borderId="4" xfId="0" applyFont="1" applyFill="1" applyBorder="1" applyAlignment="1" applyProtection="1">
      <alignment horizontal="left" vertical="center" wrapText="1"/>
      <protection hidden="1"/>
    </xf>
    <xf numFmtId="0" fontId="14" fillId="0" borderId="2" xfId="0" applyFont="1" applyFill="1" applyBorder="1" applyAlignment="1" applyProtection="1">
      <alignment horizontal="left"/>
      <protection hidden="1"/>
    </xf>
    <xf numFmtId="0" fontId="14" fillId="0" borderId="3" xfId="0" applyFont="1" applyFill="1" applyBorder="1" applyAlignment="1" applyProtection="1">
      <alignment horizontal="left"/>
      <protection hidden="1"/>
    </xf>
    <xf numFmtId="0" fontId="14" fillId="0" borderId="4" xfId="0" applyFont="1" applyFill="1" applyBorder="1" applyAlignment="1" applyProtection="1">
      <alignment horizontal="left"/>
      <protection hidden="1"/>
    </xf>
    <xf numFmtId="0" fontId="14" fillId="0" borderId="9" xfId="0" applyFont="1" applyFill="1" applyBorder="1" applyAlignment="1" applyProtection="1">
      <alignment horizontal="left"/>
      <protection hidden="1"/>
    </xf>
    <xf numFmtId="0" fontId="14" fillId="0" borderId="10" xfId="0" applyFont="1" applyFill="1" applyBorder="1" applyAlignment="1" applyProtection="1">
      <alignment horizontal="left"/>
      <protection hidden="1"/>
    </xf>
    <xf numFmtId="0" fontId="14" fillId="0" borderId="11" xfId="0" applyFont="1" applyFill="1" applyBorder="1" applyAlignment="1" applyProtection="1">
      <alignment horizontal="left"/>
      <protection hidden="1"/>
    </xf>
    <xf numFmtId="0" fontId="14" fillId="0" borderId="0" xfId="0" applyFont="1" applyFill="1" applyBorder="1" applyAlignment="1" applyProtection="1">
      <alignment horizontal="left"/>
      <protection hidden="1"/>
    </xf>
    <xf numFmtId="0" fontId="14" fillId="0" borderId="13" xfId="0" applyFont="1" applyFill="1" applyBorder="1" applyAlignment="1" applyProtection="1">
      <alignment horizontal="left"/>
      <protection hidden="1"/>
    </xf>
    <xf numFmtId="0" fontId="20" fillId="0" borderId="6" xfId="0" applyFont="1" applyFill="1" applyBorder="1" applyAlignment="1" applyProtection="1">
      <alignment horizontal="left"/>
      <protection hidden="1"/>
    </xf>
    <xf numFmtId="0" fontId="20" fillId="0" borderId="7" xfId="0" applyFont="1" applyFill="1" applyBorder="1" applyAlignment="1" applyProtection="1">
      <alignment horizontal="left"/>
      <protection hidden="1"/>
    </xf>
    <xf numFmtId="0" fontId="20" fillId="0" borderId="8" xfId="0" applyFont="1" applyFill="1" applyBorder="1" applyAlignment="1" applyProtection="1">
      <alignment horizontal="left"/>
      <protection hidden="1"/>
    </xf>
    <xf numFmtId="0" fontId="19" fillId="12" borderId="0" xfId="0" applyFont="1" applyFill="1" applyBorder="1" applyAlignment="1" applyProtection="1">
      <alignment horizontal="center"/>
      <protection hidden="1"/>
    </xf>
    <xf numFmtId="168" fontId="29" fillId="11" borderId="11" xfId="3" applyNumberFormat="1" applyFont="1" applyFill="1" applyBorder="1" applyAlignment="1" applyProtection="1">
      <alignment horizontal="center" vertical="center"/>
      <protection hidden="1"/>
    </xf>
    <xf numFmtId="168" fontId="29" fillId="11" borderId="8" xfId="3" applyNumberFormat="1" applyFont="1" applyFill="1" applyBorder="1" applyAlignment="1" applyProtection="1">
      <alignment horizontal="center" vertical="center"/>
      <protection hidden="1"/>
    </xf>
    <xf numFmtId="168" fontId="29" fillId="11" borderId="5" xfId="3" applyNumberFormat="1" applyFont="1" applyFill="1" applyBorder="1" applyAlignment="1" applyProtection="1">
      <alignment horizontal="center" vertical="center"/>
      <protection hidden="1"/>
    </xf>
    <xf numFmtId="168" fontId="29" fillId="11" borderId="15" xfId="3" applyNumberFormat="1" applyFont="1" applyFill="1" applyBorder="1" applyAlignment="1" applyProtection="1">
      <alignment horizontal="center" vertical="center"/>
      <protection hidden="1"/>
    </xf>
    <xf numFmtId="0" fontId="27" fillId="0" borderId="5" xfId="0" applyFont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0" fillId="12" borderId="0" xfId="0" applyFont="1" applyFill="1" applyBorder="1" applyAlignment="1" applyProtection="1">
      <alignment horizontal="center"/>
      <protection hidden="1"/>
    </xf>
    <xf numFmtId="0" fontId="20" fillId="12" borderId="0" xfId="0" applyFont="1" applyFill="1" applyBorder="1" applyAlignment="1" applyProtection="1">
      <alignment horizontal="center" vertical="center"/>
      <protection hidden="1"/>
    </xf>
    <xf numFmtId="0" fontId="28" fillId="11" borderId="5" xfId="0" applyFont="1" applyFill="1" applyBorder="1" applyAlignment="1" applyProtection="1">
      <alignment horizontal="center" vertical="center" wrapText="1"/>
      <protection hidden="1"/>
    </xf>
    <xf numFmtId="0" fontId="28" fillId="11" borderId="14" xfId="0" applyFont="1" applyFill="1" applyBorder="1" applyAlignment="1" applyProtection="1">
      <alignment horizontal="center" vertical="center" wrapText="1"/>
      <protection hidden="1"/>
    </xf>
    <xf numFmtId="0" fontId="28" fillId="11" borderId="0" xfId="0" applyFont="1" applyFill="1" applyBorder="1" applyAlignment="1" applyProtection="1">
      <alignment horizontal="center" vertical="center" wrapText="1"/>
      <protection hidden="1"/>
    </xf>
    <xf numFmtId="168" fontId="29" fillId="15" borderId="5" xfId="3" applyNumberFormat="1" applyFont="1" applyFill="1" applyBorder="1" applyAlignment="1" applyProtection="1">
      <alignment horizontal="center" vertical="center"/>
      <protection hidden="1"/>
    </xf>
    <xf numFmtId="168" fontId="29" fillId="15" borderId="15" xfId="3" applyNumberFormat="1" applyFont="1" applyFill="1" applyBorder="1" applyAlignment="1" applyProtection="1">
      <alignment horizontal="center" vertical="center"/>
      <protection hidden="1"/>
    </xf>
    <xf numFmtId="180" fontId="29" fillId="8" borderId="5" xfId="3" applyNumberFormat="1" applyFont="1" applyFill="1" applyBorder="1" applyAlignment="1" applyProtection="1">
      <alignment horizontal="center" vertical="center"/>
      <protection hidden="1"/>
    </xf>
    <xf numFmtId="180" fontId="29" fillId="8" borderId="15" xfId="3" applyNumberFormat="1" applyFont="1" applyFill="1" applyBorder="1" applyAlignment="1" applyProtection="1">
      <alignment horizontal="center" vertical="center"/>
      <protection hidden="1"/>
    </xf>
    <xf numFmtId="168" fontId="29" fillId="10" borderId="5" xfId="3" applyNumberFormat="1" applyFont="1" applyFill="1" applyBorder="1" applyAlignment="1" applyProtection="1">
      <alignment horizontal="center" vertical="center"/>
      <protection hidden="1"/>
    </xf>
    <xf numFmtId="168" fontId="29" fillId="10" borderId="15" xfId="3" applyNumberFormat="1" applyFont="1" applyFill="1" applyBorder="1" applyAlignment="1" applyProtection="1">
      <alignment horizontal="center" vertical="center"/>
      <protection hidden="1"/>
    </xf>
    <xf numFmtId="168" fontId="29" fillId="16" borderId="5" xfId="3" applyNumberFormat="1" applyFont="1" applyFill="1" applyBorder="1" applyAlignment="1" applyProtection="1">
      <alignment horizontal="center" vertical="center"/>
      <protection hidden="1"/>
    </xf>
    <xf numFmtId="168" fontId="29" fillId="16" borderId="15" xfId="3" applyNumberFormat="1" applyFont="1" applyFill="1" applyBorder="1" applyAlignment="1" applyProtection="1">
      <alignment horizontal="center" vertical="center"/>
      <protection hidden="1"/>
    </xf>
    <xf numFmtId="0" fontId="28" fillId="9" borderId="0" xfId="0" applyFont="1" applyFill="1" applyBorder="1" applyAlignment="1" applyProtection="1">
      <alignment horizontal="center" vertical="center" wrapText="1"/>
      <protection hidden="1"/>
    </xf>
    <xf numFmtId="0" fontId="28" fillId="9" borderId="5" xfId="0" applyFont="1" applyFill="1" applyBorder="1" applyAlignment="1" applyProtection="1">
      <alignment horizontal="center" vertical="center"/>
      <protection hidden="1"/>
    </xf>
    <xf numFmtId="0" fontId="28" fillId="9" borderId="15" xfId="0" applyFont="1" applyFill="1" applyBorder="1" applyAlignment="1" applyProtection="1">
      <alignment horizontal="center" vertical="center"/>
      <protection hidden="1"/>
    </xf>
    <xf numFmtId="0" fontId="27" fillId="0" borderId="15" xfId="0" applyFont="1" applyBorder="1" applyAlignment="1" applyProtection="1">
      <alignment horizontal="center" vertical="center" wrapText="1"/>
      <protection hidden="1"/>
    </xf>
    <xf numFmtId="0" fontId="29" fillId="8" borderId="5" xfId="0" applyFont="1" applyFill="1" applyBorder="1" applyAlignment="1" applyProtection="1">
      <alignment horizontal="center" vertical="center" wrapText="1"/>
      <protection hidden="1"/>
    </xf>
    <xf numFmtId="0" fontId="29" fillId="8" borderId="15" xfId="0" applyFont="1" applyFill="1" applyBorder="1" applyAlignment="1" applyProtection="1">
      <alignment horizontal="center" vertical="center" wrapText="1"/>
      <protection hidden="1"/>
    </xf>
    <xf numFmtId="0" fontId="29" fillId="8" borderId="0" xfId="0" applyFont="1" applyFill="1" applyBorder="1" applyAlignment="1" applyProtection="1">
      <alignment horizontal="center" vertical="center" wrapText="1"/>
      <protection hidden="1"/>
    </xf>
    <xf numFmtId="164" fontId="5" fillId="13" borderId="0" xfId="0" applyNumberFormat="1" applyFont="1" applyFill="1" applyBorder="1" applyAlignment="1" applyProtection="1">
      <alignment horizontal="right" vertical="center"/>
      <protection hidden="1"/>
    </xf>
    <xf numFmtId="164" fontId="2" fillId="13" borderId="0" xfId="0" applyNumberFormat="1" applyFont="1" applyFill="1" applyBorder="1" applyAlignment="1" applyProtection="1">
      <alignment horizontal="right" vertical="center"/>
      <protection hidden="1"/>
    </xf>
    <xf numFmtId="0" fontId="18" fillId="0" borderId="0" xfId="0" applyNumberFormat="1" applyFont="1" applyFill="1" applyAlignment="1" applyProtection="1">
      <alignment horizontal="center" vertical="center"/>
      <protection hidden="1"/>
    </xf>
    <xf numFmtId="164" fontId="65" fillId="0" borderId="0" xfId="2" applyFont="1" applyAlignment="1">
      <alignment horizontal="left"/>
    </xf>
    <xf numFmtId="0" fontId="20" fillId="0" borderId="5" xfId="0" applyFont="1" applyFill="1" applyBorder="1" applyAlignment="1" applyProtection="1">
      <alignment horizontal="left" vertical="center"/>
      <protection hidden="1"/>
    </xf>
    <xf numFmtId="0" fontId="0" fillId="0" borderId="15" xfId="0" applyBorder="1" applyProtection="1"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0" fontId="20" fillId="24" borderId="2" xfId="0" applyFont="1" applyFill="1" applyBorder="1" applyAlignment="1" applyProtection="1">
      <alignment horizontal="left" vertical="center"/>
      <protection hidden="1"/>
    </xf>
    <xf numFmtId="0" fontId="20" fillId="24" borderId="4" xfId="0" applyFont="1" applyFill="1" applyBorder="1" applyAlignment="1" applyProtection="1">
      <alignment horizontal="left" vertical="center"/>
      <protection hidden="1"/>
    </xf>
    <xf numFmtId="0" fontId="33" fillId="24" borderId="3" xfId="0" applyFont="1" applyFill="1" applyBorder="1" applyAlignment="1" applyProtection="1">
      <alignment horizontal="left"/>
      <protection hidden="1"/>
    </xf>
    <xf numFmtId="0" fontId="33" fillId="24" borderId="4" xfId="0" applyFont="1" applyFill="1" applyBorder="1" applyAlignment="1" applyProtection="1">
      <alignment horizontal="left"/>
      <protection hidden="1"/>
    </xf>
    <xf numFmtId="0" fontId="32" fillId="24" borderId="2" xfId="0" applyFont="1" applyFill="1" applyBorder="1" applyAlignment="1" applyProtection="1">
      <alignment horizontal="center"/>
      <protection hidden="1"/>
    </xf>
    <xf numFmtId="0" fontId="32" fillId="24" borderId="3" xfId="0" applyFont="1" applyFill="1" applyBorder="1" applyAlignment="1" applyProtection="1">
      <alignment horizontal="center"/>
      <protection hidden="1"/>
    </xf>
    <xf numFmtId="0" fontId="32" fillId="24" borderId="4" xfId="0" applyFont="1" applyFill="1" applyBorder="1" applyAlignment="1" applyProtection="1">
      <alignment horizontal="center"/>
      <protection hidden="1"/>
    </xf>
    <xf numFmtId="0" fontId="33" fillId="20" borderId="3" xfId="0" applyFont="1" applyFill="1" applyBorder="1" applyAlignment="1" applyProtection="1">
      <alignment horizontal="left"/>
      <protection hidden="1"/>
    </xf>
    <xf numFmtId="0" fontId="33" fillId="20" borderId="4" xfId="0" applyFont="1" applyFill="1" applyBorder="1" applyAlignment="1" applyProtection="1">
      <alignment horizontal="left"/>
      <protection hidden="1"/>
    </xf>
    <xf numFmtId="0" fontId="20" fillId="20" borderId="2" xfId="0" applyFont="1" applyFill="1" applyBorder="1" applyAlignment="1" applyProtection="1">
      <alignment horizontal="left" vertical="center"/>
      <protection hidden="1"/>
    </xf>
    <xf numFmtId="0" fontId="20" fillId="20" borderId="4" xfId="0" applyFont="1" applyFill="1" applyBorder="1" applyAlignment="1" applyProtection="1">
      <alignment horizontal="left" vertical="center"/>
      <protection hidden="1"/>
    </xf>
    <xf numFmtId="0" fontId="32" fillId="20" borderId="2" xfId="0" applyFont="1" applyFill="1" applyBorder="1" applyAlignment="1" applyProtection="1">
      <alignment horizontal="center"/>
      <protection hidden="1"/>
    </xf>
    <xf numFmtId="0" fontId="32" fillId="20" borderId="3" xfId="0" applyFont="1" applyFill="1" applyBorder="1" applyAlignment="1" applyProtection="1">
      <alignment horizontal="center"/>
      <protection hidden="1"/>
    </xf>
    <xf numFmtId="0" fontId="32" fillId="20" borderId="4" xfId="0" applyFont="1" applyFill="1" applyBorder="1" applyAlignment="1" applyProtection="1">
      <alignment horizontal="center"/>
      <protection hidden="1"/>
    </xf>
    <xf numFmtId="0" fontId="33" fillId="0" borderId="3" xfId="0" applyFont="1" applyFill="1" applyBorder="1" applyAlignment="1" applyProtection="1">
      <alignment horizontal="left"/>
      <protection hidden="1"/>
    </xf>
    <xf numFmtId="0" fontId="33" fillId="0" borderId="4" xfId="0" applyFont="1" applyFill="1" applyBorder="1" applyAlignment="1" applyProtection="1">
      <alignment horizontal="left"/>
      <protection hidden="1"/>
    </xf>
    <xf numFmtId="0" fontId="32" fillId="0" borderId="2" xfId="0" applyFont="1" applyFill="1" applyBorder="1" applyAlignment="1" applyProtection="1">
      <alignment horizontal="center"/>
      <protection hidden="1"/>
    </xf>
    <xf numFmtId="0" fontId="32" fillId="0" borderId="3" xfId="0" applyFont="1" applyFill="1" applyBorder="1" applyAlignment="1" applyProtection="1">
      <alignment horizontal="center"/>
      <protection hidden="1"/>
    </xf>
    <xf numFmtId="0" fontId="32" fillId="0" borderId="4" xfId="0" applyFont="1" applyFill="1" applyBorder="1" applyAlignment="1" applyProtection="1">
      <alignment horizontal="center"/>
      <protection hidden="1"/>
    </xf>
    <xf numFmtId="0" fontId="20" fillId="0" borderId="2" xfId="0" applyFont="1" applyFill="1" applyBorder="1" applyAlignment="1" applyProtection="1">
      <alignment horizontal="left" vertical="center"/>
      <protection hidden="1"/>
    </xf>
    <xf numFmtId="0" fontId="20" fillId="0" borderId="4" xfId="0" applyFont="1" applyFill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9" fontId="56" fillId="0" borderId="0" xfId="3" applyFont="1" applyFill="1" applyBorder="1" applyAlignment="1" applyProtection="1">
      <alignment horizontal="center" vertical="center"/>
      <protection hidden="1"/>
    </xf>
    <xf numFmtId="9" fontId="43" fillId="0" borderId="0" xfId="3" applyFont="1" applyFill="1" applyBorder="1" applyAlignment="1" applyProtection="1">
      <alignment horizontal="center" vertical="center"/>
      <protection hidden="1"/>
    </xf>
    <xf numFmtId="9" fontId="43" fillId="3" borderId="0" xfId="3" applyFont="1" applyFill="1" applyBorder="1" applyAlignment="1" applyProtection="1">
      <alignment horizontal="center" vertical="center"/>
      <protection hidden="1"/>
    </xf>
    <xf numFmtId="164" fontId="14" fillId="0" borderId="0" xfId="2" applyFont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164" fontId="14" fillId="0" borderId="18" xfId="2" applyFont="1" applyBorder="1" applyAlignment="1" applyProtection="1">
      <alignment horizontal="center"/>
      <protection hidden="1"/>
    </xf>
    <xf numFmtId="164" fontId="20" fillId="0" borderId="0" xfId="2" applyFont="1" applyFill="1" applyBorder="1" applyAlignment="1" applyProtection="1">
      <alignment horizontal="center"/>
      <protection hidden="1"/>
    </xf>
    <xf numFmtId="0" fontId="20" fillId="15" borderId="0" xfId="0" applyFont="1" applyFill="1" applyAlignment="1" applyProtection="1">
      <alignment horizontal="center"/>
      <protection hidden="1"/>
    </xf>
    <xf numFmtId="0" fontId="14" fillId="15" borderId="0" xfId="0" applyFont="1" applyFill="1" applyAlignment="1" applyProtection="1">
      <alignment horizontal="left"/>
      <protection hidden="1"/>
    </xf>
    <xf numFmtId="14" fontId="14" fillId="15" borderId="0" xfId="0" applyNumberFormat="1" applyFont="1" applyFill="1" applyAlignment="1" applyProtection="1">
      <alignment horizontal="left"/>
      <protection hidden="1"/>
    </xf>
    <xf numFmtId="0" fontId="33" fillId="0" borderId="2" xfId="0" applyFont="1" applyBorder="1" applyAlignment="1" applyProtection="1">
      <alignment horizontal="center"/>
      <protection hidden="1"/>
    </xf>
    <xf numFmtId="0" fontId="33" fillId="0" borderId="3" xfId="0" applyFont="1" applyBorder="1" applyAlignment="1" applyProtection="1">
      <alignment horizontal="center"/>
      <protection hidden="1"/>
    </xf>
    <xf numFmtId="0" fontId="33" fillId="0" borderId="4" xfId="0" applyFont="1" applyBorder="1" applyAlignment="1" applyProtection="1">
      <alignment horizontal="center"/>
      <protection hidden="1"/>
    </xf>
    <xf numFmtId="0" fontId="33" fillId="7" borderId="2" xfId="0" applyFont="1" applyFill="1" applyBorder="1" applyAlignment="1" applyProtection="1">
      <alignment horizontal="center"/>
      <protection hidden="1"/>
    </xf>
    <xf numFmtId="0" fontId="33" fillId="7" borderId="3" xfId="0" applyFont="1" applyFill="1" applyBorder="1" applyAlignment="1" applyProtection="1">
      <alignment horizontal="center"/>
      <protection hidden="1"/>
    </xf>
    <xf numFmtId="0" fontId="33" fillId="7" borderId="4" xfId="0" applyFont="1" applyFill="1" applyBorder="1" applyAlignment="1" applyProtection="1">
      <alignment horizontal="center"/>
      <protection hidden="1"/>
    </xf>
  </cellXfs>
  <cellStyles count="10">
    <cellStyle name="Hipervínculo" xfId="8" builtinId="8"/>
    <cellStyle name="Hipervínculo 2" xfId="7" xr:uid="{00000000-0005-0000-0000-000001000000}"/>
    <cellStyle name="Millares [0]" xfId="1" builtinId="6"/>
    <cellStyle name="Millares 2" xfId="4" xr:uid="{00000000-0005-0000-0000-000003000000}"/>
    <cellStyle name="Moneda [0]" xfId="2" builtinId="7"/>
    <cellStyle name="Moneda 2" xfId="5" xr:uid="{00000000-0005-0000-0000-000005000000}"/>
    <cellStyle name="Normal" xfId="0" builtinId="0"/>
    <cellStyle name="Normal 2" xfId="6" xr:uid="{00000000-0005-0000-0000-000007000000}"/>
    <cellStyle name="Notas" xfId="9" builtinId="10"/>
    <cellStyle name="Porcentaje" xfId="3" builtinId="5"/>
  </cellStyles>
  <dxfs count="2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ill>
        <patternFill>
          <bgColor rgb="FF30F0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"/>
      <alignment horizontal="left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dd/mm/yy"/>
      <fill>
        <patternFill patternType="none">
          <fgColor indexed="64"/>
          <bgColor auto="1"/>
        </patternFill>
      </fill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1" hidden="1"/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2" formatCode="_ &quot;$&quot;* #,##0_ ;_ &quot;$&quot;* \-#,##0_ ;_ &quot;$&quot;* &quot;-&quot;_ ;_ @_ "/>
      <fill>
        <patternFill>
          <bgColor theme="3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66FF33"/>
      <color rgb="FFFFFFCC"/>
      <color rgb="FF30F042"/>
      <color rgb="FFFFFF99"/>
      <color rgb="FFCCFFCC"/>
      <color rgb="FFCCECFF"/>
      <color rgb="FF9CE2AE"/>
      <color rgb="FF66FF66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90205509592418E-2"/>
          <c:y val="0"/>
          <c:w val="0.97219588980815164"/>
          <c:h val="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numFmt formatCode="&quot;$&quot;#,##0_);[Red]\(&quot;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RUTA!$AJ$2:$AR$2</c:f>
              <c:strCache>
                <c:ptCount val="9"/>
                <c:pt idx="0">
                  <c:v>PLAN INGRESOS </c:v>
                </c:pt>
                <c:pt idx="1">
                  <c:v>INGRESO ACTUAL </c:v>
                </c:pt>
                <c:pt idx="2">
                  <c:v>DEFICIT</c:v>
                </c:pt>
                <c:pt idx="3">
                  <c:v>PLAN GASTO</c:v>
                </c:pt>
                <c:pt idx="4">
                  <c:v>GASTOS ACTUAL</c:v>
                </c:pt>
                <c:pt idx="5">
                  <c:v>EXCESO</c:v>
                </c:pt>
                <c:pt idx="6">
                  <c:v>CAPITAL 2022-2023</c:v>
                </c:pt>
                <c:pt idx="7">
                  <c:v>SALDO CARTOLA</c:v>
                </c:pt>
                <c:pt idx="8">
                  <c:v>RENTABILIDAD</c:v>
                </c:pt>
              </c:strCache>
            </c:strRef>
          </c:cat>
          <c:val>
            <c:numRef>
              <c:f>RUTA!$AJ$3:$AR$3</c:f>
              <c:numCache>
                <c:formatCode>"$"\ #,##0;[Red]\-"$"\ #,##0</c:formatCode>
                <c:ptCount val="9"/>
                <c:pt idx="0">
                  <c:v>10743600</c:v>
                </c:pt>
                <c:pt idx="1">
                  <c:v>8934449</c:v>
                </c:pt>
                <c:pt idx="2">
                  <c:v>-1809151</c:v>
                </c:pt>
                <c:pt idx="3">
                  <c:v>10620000</c:v>
                </c:pt>
                <c:pt idx="4">
                  <c:v>10505843.6</c:v>
                </c:pt>
                <c:pt idx="5">
                  <c:v>114156.40000000037</c:v>
                </c:pt>
                <c:pt idx="6">
                  <c:v>12183148</c:v>
                </c:pt>
                <c:pt idx="7">
                  <c:v>10611753.4</c:v>
                </c:pt>
                <c:pt idx="8">
                  <c:v>-1571394.5999999996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EC0-AFF7-3AACD7B379E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92690736"/>
        <c:axId val="1092711952"/>
      </c:barChart>
      <c:catAx>
        <c:axId val="109269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92711952"/>
        <c:crosses val="autoZero"/>
        <c:auto val="1"/>
        <c:lblAlgn val="ctr"/>
        <c:lblOffset val="100"/>
        <c:noMultiLvlLbl val="0"/>
      </c:catAx>
      <c:valAx>
        <c:axId val="1092711952"/>
        <c:scaling>
          <c:orientation val="minMax"/>
        </c:scaling>
        <c:delete val="1"/>
        <c:axPos val="l"/>
        <c:numFmt formatCode="&quot;$&quot;\ #,##0;[Red]\-&quot;$&quot;\ #,##0" sourceLinked="1"/>
        <c:majorTickMark val="none"/>
        <c:minorTickMark val="none"/>
        <c:tickLblPos val="nextTo"/>
        <c:crossAx val="10926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CARTOLA!$B$109</c:f>
              <c:strCache>
                <c:ptCount val="1"/>
                <c:pt idx="0">
                  <c:v>TOTAL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CARTOLA!$C$108:$N$108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CARTOLA!$C$109:$N$109</c:f>
              <c:numCache>
                <c:formatCode>"$"#,##0_);[Red]\("$"#,##0\)</c:formatCode>
                <c:ptCount val="12"/>
                <c:pt idx="0">
                  <c:v>915500</c:v>
                </c:pt>
                <c:pt idx="1">
                  <c:v>2285965</c:v>
                </c:pt>
                <c:pt idx="2">
                  <c:v>429100</c:v>
                </c:pt>
                <c:pt idx="3">
                  <c:v>646340</c:v>
                </c:pt>
                <c:pt idx="4">
                  <c:v>582900</c:v>
                </c:pt>
                <c:pt idx="5">
                  <c:v>760853</c:v>
                </c:pt>
                <c:pt idx="6">
                  <c:v>1324582</c:v>
                </c:pt>
                <c:pt idx="7">
                  <c:v>684570</c:v>
                </c:pt>
                <c:pt idx="8">
                  <c:v>652270</c:v>
                </c:pt>
                <c:pt idx="9">
                  <c:v>654594</c:v>
                </c:pt>
                <c:pt idx="10">
                  <c:v>504470</c:v>
                </c:pt>
                <c:pt idx="11">
                  <c:v>1014370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92-468A-9A73-6A708E776079}"/>
            </c:ext>
          </c:extLst>
        </c:ser>
        <c:ser>
          <c:idx val="1"/>
          <c:order val="1"/>
          <c:tx>
            <c:strRef>
              <c:f>CARTOLA!$B$110</c:f>
              <c:strCache>
                <c:ptCount val="1"/>
                <c:pt idx="0">
                  <c:v>TOTAL GASTOS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CARTOLA!$C$108:$N$108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CARTOLA!$C$110:$N$110</c:f>
              <c:numCache>
                <c:formatCode>"$"#,##0_);[Red]\("$"#,##0\)</c:formatCode>
                <c:ptCount val="12"/>
                <c:pt idx="0">
                  <c:v>1778137</c:v>
                </c:pt>
                <c:pt idx="1">
                  <c:v>0</c:v>
                </c:pt>
                <c:pt idx="2">
                  <c:v>1971188</c:v>
                </c:pt>
                <c:pt idx="3">
                  <c:v>0</c:v>
                </c:pt>
                <c:pt idx="4">
                  <c:v>1496299.6</c:v>
                </c:pt>
                <c:pt idx="5">
                  <c:v>0</c:v>
                </c:pt>
                <c:pt idx="6">
                  <c:v>2815276</c:v>
                </c:pt>
                <c:pt idx="7">
                  <c:v>0</c:v>
                </c:pt>
                <c:pt idx="8">
                  <c:v>617442</c:v>
                </c:pt>
                <c:pt idx="9">
                  <c:v>0</c:v>
                </c:pt>
                <c:pt idx="10">
                  <c:v>162077</c:v>
                </c:pt>
                <c:pt idx="11">
                  <c:v>3186489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92-468A-9A73-6A708E77607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02710656"/>
        <c:axId val="2002710240"/>
      </c:barChart>
      <c:lineChart>
        <c:grouping val="standard"/>
        <c:varyColors val="0"/>
        <c:ser>
          <c:idx val="2"/>
          <c:order val="2"/>
          <c:tx>
            <c:strRef>
              <c:f>CARTOLA!$B$111</c:f>
              <c:strCache>
                <c:ptCount val="1"/>
                <c:pt idx="0">
                  <c:v>AHORRO O DÉFICIT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CARTOLA!$C$108:$N$108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CARTOLA!$C$111:$N$111</c:f>
              <c:numCache>
                <c:formatCode>"$"#,##0_);[Red]\("$"#,##0\)</c:formatCode>
                <c:ptCount val="12"/>
                <c:pt idx="0">
                  <c:v>-862637</c:v>
                </c:pt>
                <c:pt idx="1">
                  <c:v>2285965</c:v>
                </c:pt>
                <c:pt idx="2">
                  <c:v>-1542088</c:v>
                </c:pt>
                <c:pt idx="3">
                  <c:v>646340</c:v>
                </c:pt>
                <c:pt idx="4">
                  <c:v>-913399.60000000009</c:v>
                </c:pt>
                <c:pt idx="5">
                  <c:v>760853</c:v>
                </c:pt>
                <c:pt idx="6">
                  <c:v>-1490694</c:v>
                </c:pt>
                <c:pt idx="7">
                  <c:v>684570</c:v>
                </c:pt>
                <c:pt idx="8">
                  <c:v>34828</c:v>
                </c:pt>
                <c:pt idx="9">
                  <c:v>654594</c:v>
                </c:pt>
                <c:pt idx="10">
                  <c:v>342393</c:v>
                </c:pt>
                <c:pt idx="11">
                  <c:v>-2172119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92-468A-9A73-6A708E77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915280"/>
        <c:axId val="2009917776"/>
      </c:lineChart>
      <c:catAx>
        <c:axId val="200271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002710240"/>
        <c:crosses val="autoZero"/>
        <c:auto val="1"/>
        <c:lblAlgn val="ctr"/>
        <c:lblOffset val="100"/>
        <c:noMultiLvlLbl val="0"/>
      </c:catAx>
      <c:valAx>
        <c:axId val="20027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002710656"/>
        <c:crosses val="autoZero"/>
        <c:crossBetween val="between"/>
      </c:valAx>
      <c:valAx>
        <c:axId val="2009917776"/>
        <c:scaling>
          <c:orientation val="minMax"/>
        </c:scaling>
        <c:delete val="0"/>
        <c:axPos val="r"/>
        <c:numFmt formatCode="&quot;$&quot;#,##0_);[Red]\(&quot;$&quot;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009915280"/>
        <c:crosses val="max"/>
        <c:crossBetween val="between"/>
      </c:valAx>
      <c:catAx>
        <c:axId val="2009915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9917776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257174</xdr:colOff>
      <xdr:row>7</xdr:row>
      <xdr:rowOff>47625</xdr:rowOff>
    </xdr:from>
    <xdr:to>
      <xdr:col>2</xdr:col>
      <xdr:colOff>422774</xdr:colOff>
      <xdr:row>11</xdr:row>
      <xdr:rowOff>5625</xdr:rowOff>
    </xdr:to>
    <xdr:sp macro="[0]!PLAN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171574" y="119062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PLAN</a:t>
          </a:r>
        </a:p>
      </xdr:txBody>
    </xdr:sp>
    <xdr:clientData/>
  </xdr:twoCellAnchor>
  <xdr:twoCellAnchor>
    <xdr:from>
      <xdr:col>3</xdr:col>
      <xdr:colOff>257174</xdr:colOff>
      <xdr:row>7</xdr:row>
      <xdr:rowOff>57150</xdr:rowOff>
    </xdr:from>
    <xdr:to>
      <xdr:col>4</xdr:col>
      <xdr:colOff>422774</xdr:colOff>
      <xdr:row>11</xdr:row>
      <xdr:rowOff>15150</xdr:rowOff>
    </xdr:to>
    <xdr:sp macro="[0]!RUTA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3000374" y="100965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RUTA</a:t>
          </a:r>
        </a:p>
      </xdr:txBody>
    </xdr:sp>
    <xdr:clientData/>
  </xdr:twoCellAnchor>
  <xdr:twoCellAnchor>
    <xdr:from>
      <xdr:col>5</xdr:col>
      <xdr:colOff>276224</xdr:colOff>
      <xdr:row>7</xdr:row>
      <xdr:rowOff>28575</xdr:rowOff>
    </xdr:from>
    <xdr:to>
      <xdr:col>6</xdr:col>
      <xdr:colOff>441824</xdr:colOff>
      <xdr:row>10</xdr:row>
      <xdr:rowOff>177075</xdr:rowOff>
    </xdr:to>
    <xdr:sp macro="[0]!CARTOLA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848224" y="9810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CARTOLA</a:t>
          </a:r>
        </a:p>
      </xdr:txBody>
    </xdr:sp>
    <xdr:clientData/>
  </xdr:twoCellAnchor>
  <xdr:twoCellAnchor>
    <xdr:from>
      <xdr:col>7</xdr:col>
      <xdr:colOff>285749</xdr:colOff>
      <xdr:row>7</xdr:row>
      <xdr:rowOff>38100</xdr:rowOff>
    </xdr:from>
    <xdr:to>
      <xdr:col>8</xdr:col>
      <xdr:colOff>451349</xdr:colOff>
      <xdr:row>10</xdr:row>
      <xdr:rowOff>186600</xdr:rowOff>
    </xdr:to>
    <xdr:sp macro="[0]!DIRECTOR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86549" y="99060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 baseline="0"/>
            <a:t> </a:t>
          </a:r>
          <a:r>
            <a:rPr lang="es-CL" sz="1100"/>
            <a:t>DIRECTOR</a:t>
          </a:r>
        </a:p>
      </xdr:txBody>
    </xdr:sp>
    <xdr:clientData/>
  </xdr:twoCellAnchor>
  <xdr:twoCellAnchor>
    <xdr:from>
      <xdr:col>0</xdr:col>
      <xdr:colOff>380999</xdr:colOff>
      <xdr:row>14</xdr:row>
      <xdr:rowOff>123825</xdr:rowOff>
    </xdr:from>
    <xdr:to>
      <xdr:col>1</xdr:col>
      <xdr:colOff>546599</xdr:colOff>
      <xdr:row>18</xdr:row>
      <xdr:rowOff>81825</xdr:rowOff>
    </xdr:to>
    <xdr:sp macro="[0]!RENDICION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295399" y="145732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RENDICION</a:t>
          </a:r>
        </a:p>
      </xdr:txBody>
    </xdr:sp>
    <xdr:clientData/>
  </xdr:twoCellAnchor>
  <xdr:twoCellAnchor>
    <xdr:from>
      <xdr:col>2</xdr:col>
      <xdr:colOff>371474</xdr:colOff>
      <xdr:row>14</xdr:row>
      <xdr:rowOff>104775</xdr:rowOff>
    </xdr:from>
    <xdr:to>
      <xdr:col>3</xdr:col>
      <xdr:colOff>537074</xdr:colOff>
      <xdr:row>18</xdr:row>
      <xdr:rowOff>62775</xdr:rowOff>
    </xdr:to>
    <xdr:sp macro="[0]!GASTODIR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3114674" y="14382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GASTO DIR</a:t>
          </a:r>
        </a:p>
      </xdr:txBody>
    </xdr:sp>
    <xdr:clientData/>
  </xdr:twoCellAnchor>
  <xdr:twoCellAnchor>
    <xdr:from>
      <xdr:col>4</xdr:col>
      <xdr:colOff>352424</xdr:colOff>
      <xdr:row>14</xdr:row>
      <xdr:rowOff>123825</xdr:rowOff>
    </xdr:from>
    <xdr:to>
      <xdr:col>5</xdr:col>
      <xdr:colOff>518024</xdr:colOff>
      <xdr:row>18</xdr:row>
      <xdr:rowOff>81825</xdr:rowOff>
    </xdr:to>
    <xdr:sp macro="[0]!APORTE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4924424" y="1457325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APORTE</a:t>
          </a:r>
        </a:p>
      </xdr:txBody>
    </xdr:sp>
    <xdr:clientData/>
  </xdr:twoCellAnchor>
  <xdr:twoCellAnchor>
    <xdr:from>
      <xdr:col>6</xdr:col>
      <xdr:colOff>371474</xdr:colOff>
      <xdr:row>14</xdr:row>
      <xdr:rowOff>123825</xdr:rowOff>
    </xdr:from>
    <xdr:to>
      <xdr:col>7</xdr:col>
      <xdr:colOff>537074</xdr:colOff>
      <xdr:row>18</xdr:row>
      <xdr:rowOff>81825</xdr:rowOff>
    </xdr:to>
    <xdr:sp macro="[0]!PLENARIA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6772274" y="1457325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PLENARIA</a:t>
          </a:r>
        </a:p>
      </xdr:txBody>
    </xdr:sp>
    <xdr:clientData/>
  </xdr:twoCellAnchor>
  <xdr:twoCellAnchor>
    <xdr:from>
      <xdr:col>9</xdr:col>
      <xdr:colOff>276224</xdr:colOff>
      <xdr:row>7</xdr:row>
      <xdr:rowOff>19050</xdr:rowOff>
    </xdr:from>
    <xdr:to>
      <xdr:col>10</xdr:col>
      <xdr:colOff>441824</xdr:colOff>
      <xdr:row>10</xdr:row>
      <xdr:rowOff>167550</xdr:rowOff>
    </xdr:to>
    <xdr:sp macro="[0]!REUNION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8505824" y="97155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REUNION</a:t>
          </a:r>
        </a:p>
      </xdr:txBody>
    </xdr:sp>
    <xdr:clientData/>
  </xdr:twoCellAnchor>
  <xdr:twoCellAnchor>
    <xdr:from>
      <xdr:col>11</xdr:col>
      <xdr:colOff>285749</xdr:colOff>
      <xdr:row>7</xdr:row>
      <xdr:rowOff>28575</xdr:rowOff>
    </xdr:from>
    <xdr:to>
      <xdr:col>12</xdr:col>
      <xdr:colOff>451349</xdr:colOff>
      <xdr:row>10</xdr:row>
      <xdr:rowOff>177075</xdr:rowOff>
    </xdr:to>
    <xdr:sp macro="[0]!VIATICOS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0344149" y="9810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VIATICOS</a:t>
          </a:r>
        </a:p>
      </xdr:txBody>
    </xdr:sp>
    <xdr:clientData/>
  </xdr:twoCellAnchor>
  <xdr:twoCellAnchor>
    <xdr:from>
      <xdr:col>8</xdr:col>
      <xdr:colOff>352424</xdr:colOff>
      <xdr:row>14</xdr:row>
      <xdr:rowOff>114300</xdr:rowOff>
    </xdr:from>
    <xdr:to>
      <xdr:col>9</xdr:col>
      <xdr:colOff>518024</xdr:colOff>
      <xdr:row>18</xdr:row>
      <xdr:rowOff>72300</xdr:rowOff>
    </xdr:to>
    <xdr:sp macro="[0]!ACTAS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8582024" y="1447800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ACTAS</a:t>
          </a:r>
        </a:p>
      </xdr:txBody>
    </xdr:sp>
    <xdr:clientData/>
  </xdr:twoCellAnchor>
  <xdr:twoCellAnchor>
    <xdr:from>
      <xdr:col>10</xdr:col>
      <xdr:colOff>371474</xdr:colOff>
      <xdr:row>14</xdr:row>
      <xdr:rowOff>114300</xdr:rowOff>
    </xdr:from>
    <xdr:to>
      <xdr:col>11</xdr:col>
      <xdr:colOff>537074</xdr:colOff>
      <xdr:row>18</xdr:row>
      <xdr:rowOff>72300</xdr:rowOff>
    </xdr:to>
    <xdr:sp macro="[0]!BOLETAS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0429874" y="1447800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BOLETAS</a:t>
          </a:r>
        </a:p>
      </xdr:txBody>
    </xdr:sp>
    <xdr:clientData/>
  </xdr:twoCellAnchor>
  <xdr:twoCellAnchor>
    <xdr:from>
      <xdr:col>12</xdr:col>
      <xdr:colOff>200024</xdr:colOff>
      <xdr:row>14</xdr:row>
      <xdr:rowOff>95250</xdr:rowOff>
    </xdr:from>
    <xdr:to>
      <xdr:col>13</xdr:col>
      <xdr:colOff>432299</xdr:colOff>
      <xdr:row>18</xdr:row>
      <xdr:rowOff>53250</xdr:rowOff>
    </xdr:to>
    <xdr:sp macro="[0]!CHEQUES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1172824" y="2381250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CHEQUES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1</xdr:col>
          <xdr:colOff>200025</xdr:colOff>
          <xdr:row>0</xdr:row>
          <xdr:rowOff>247650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200025</xdr:colOff>
          <xdr:row>1</xdr:row>
          <xdr:rowOff>257175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</a:t>
              </a:r>
            </a:p>
          </xdr:txBody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809625</xdr:colOff>
      <xdr:row>11</xdr:row>
      <xdr:rowOff>133350</xdr:rowOff>
    </xdr:from>
    <xdr:to>
      <xdr:col>5</xdr:col>
      <xdr:colOff>0</xdr:colOff>
      <xdr:row>18</xdr:row>
      <xdr:rowOff>95250</xdr:rowOff>
    </xdr:to>
    <xdr:cxnSp macro="">
      <xdr:nvCxnSpPr>
        <xdr:cNvPr id="3" name="2 Conector recto de flecha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V="1">
          <a:off x="1504950" y="2228850"/>
          <a:ext cx="352425" cy="12954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20</xdr:row>
      <xdr:rowOff>76200</xdr:rowOff>
    </xdr:from>
    <xdr:to>
      <xdr:col>5</xdr:col>
      <xdr:colOff>9525</xdr:colOff>
      <xdr:row>20</xdr:row>
      <xdr:rowOff>87923</xdr:rowOff>
    </xdr:to>
    <xdr:cxnSp macro="">
      <xdr:nvCxnSpPr>
        <xdr:cNvPr id="4" name="3 Conector recto de flecha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V="1">
          <a:off x="1562100" y="3886200"/>
          <a:ext cx="304800" cy="11723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838200</xdr:colOff>
      <xdr:row>22</xdr:row>
      <xdr:rowOff>28575</xdr:rowOff>
    </xdr:from>
    <xdr:to>
      <xdr:col>5</xdr:col>
      <xdr:colOff>0</xdr:colOff>
      <xdr:row>25</xdr:row>
      <xdr:rowOff>133350</xdr:rowOff>
    </xdr:to>
    <xdr:cxnSp macro="">
      <xdr:nvCxnSpPr>
        <xdr:cNvPr id="5" name="4 Conector recto de flecha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1533525" y="4219575"/>
          <a:ext cx="323850" cy="67627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619125</xdr:colOff>
      <xdr:row>22</xdr:row>
      <xdr:rowOff>66675</xdr:rowOff>
    </xdr:from>
    <xdr:to>
      <xdr:col>5</xdr:col>
      <xdr:colOff>732</xdr:colOff>
      <xdr:row>35</xdr:row>
      <xdr:rowOff>76200</xdr:rowOff>
    </xdr:to>
    <xdr:cxnSp macro="">
      <xdr:nvCxnSpPr>
        <xdr:cNvPr id="6" name="5 Conector recto de flecha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1314450" y="4257675"/>
          <a:ext cx="543657" cy="248602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190499</xdr:rowOff>
    </xdr:from>
    <xdr:to>
      <xdr:col>7</xdr:col>
      <xdr:colOff>38100</xdr:colOff>
      <xdr:row>16</xdr:row>
      <xdr:rowOff>47624</xdr:rowOff>
    </xdr:to>
    <xdr:sp macro="" textlink="">
      <xdr:nvSpPr>
        <xdr:cNvPr id="171" name="170 Abrir llave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/>
      </xdr:nvSpPr>
      <xdr:spPr>
        <a:xfrm>
          <a:off x="2809875" y="1523999"/>
          <a:ext cx="114300" cy="15716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47625</xdr:colOff>
      <xdr:row>18</xdr:row>
      <xdr:rowOff>9524</xdr:rowOff>
    </xdr:from>
    <xdr:to>
      <xdr:col>7</xdr:col>
      <xdr:colOff>47625</xdr:colOff>
      <xdr:row>23</xdr:row>
      <xdr:rowOff>28575</xdr:rowOff>
    </xdr:to>
    <xdr:sp macro="" textlink="">
      <xdr:nvSpPr>
        <xdr:cNvPr id="174" name="173 Abrir llave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/>
      </xdr:nvSpPr>
      <xdr:spPr>
        <a:xfrm>
          <a:off x="2247900" y="3248024"/>
          <a:ext cx="180975" cy="97155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76200</xdr:colOff>
      <xdr:row>25</xdr:row>
      <xdr:rowOff>152401</xdr:rowOff>
    </xdr:from>
    <xdr:to>
      <xdr:col>7</xdr:col>
      <xdr:colOff>28574</xdr:colOff>
      <xdr:row>29</xdr:row>
      <xdr:rowOff>85725</xdr:rowOff>
    </xdr:to>
    <xdr:sp macro="" textlink="">
      <xdr:nvSpPr>
        <xdr:cNvPr id="175" name="174 Abrir llave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/>
      </xdr:nvSpPr>
      <xdr:spPr>
        <a:xfrm>
          <a:off x="2276475" y="4724401"/>
          <a:ext cx="133349" cy="6953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76201</xdr:colOff>
      <xdr:row>30</xdr:row>
      <xdr:rowOff>190499</xdr:rowOff>
    </xdr:from>
    <xdr:to>
      <xdr:col>7</xdr:col>
      <xdr:colOff>0</xdr:colOff>
      <xdr:row>44</xdr:row>
      <xdr:rowOff>180974</xdr:rowOff>
    </xdr:to>
    <xdr:sp macro="" textlink="">
      <xdr:nvSpPr>
        <xdr:cNvPr id="176" name="175 Abrir llave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/>
      </xdr:nvSpPr>
      <xdr:spPr>
        <a:xfrm>
          <a:off x="2781301" y="5905499"/>
          <a:ext cx="104774" cy="26574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400050</xdr:colOff>
      <xdr:row>22</xdr:row>
      <xdr:rowOff>66675</xdr:rowOff>
    </xdr:from>
    <xdr:to>
      <xdr:col>5</xdr:col>
      <xdr:colOff>732</xdr:colOff>
      <xdr:row>46</xdr:row>
      <xdr:rowOff>85725</xdr:rowOff>
    </xdr:to>
    <xdr:cxnSp macro="">
      <xdr:nvCxnSpPr>
        <xdr:cNvPr id="179" name="178 Conector recto de flecha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CxnSpPr/>
      </xdr:nvCxnSpPr>
      <xdr:spPr>
        <a:xfrm>
          <a:off x="1095375" y="4257675"/>
          <a:ext cx="762732" cy="459105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66676</xdr:colOff>
      <xdr:row>1</xdr:row>
      <xdr:rowOff>171451</xdr:rowOff>
    </xdr:from>
    <xdr:to>
      <xdr:col>7</xdr:col>
      <xdr:colOff>28575</xdr:colOff>
      <xdr:row>6</xdr:row>
      <xdr:rowOff>95251</xdr:rowOff>
    </xdr:to>
    <xdr:sp macro="" textlink="">
      <xdr:nvSpPr>
        <xdr:cNvPr id="181" name="180 Abrir llave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2390776" y="361951"/>
          <a:ext cx="142874" cy="8763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104775</xdr:colOff>
      <xdr:row>46</xdr:row>
      <xdr:rowOff>9525</xdr:rowOff>
    </xdr:from>
    <xdr:to>
      <xdr:col>7</xdr:col>
      <xdr:colOff>19049</xdr:colOff>
      <xdr:row>52</xdr:row>
      <xdr:rowOff>57150</xdr:rowOff>
    </xdr:to>
    <xdr:sp macro="" textlink="">
      <xdr:nvSpPr>
        <xdr:cNvPr id="263" name="262 Abrir llave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/>
      </xdr:nvSpPr>
      <xdr:spPr>
        <a:xfrm>
          <a:off x="2809875" y="8772525"/>
          <a:ext cx="95249" cy="11906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47626</xdr:colOff>
      <xdr:row>1</xdr:row>
      <xdr:rowOff>161924</xdr:rowOff>
    </xdr:from>
    <xdr:to>
      <xdr:col>17</xdr:col>
      <xdr:colOff>38100</xdr:colOff>
      <xdr:row>7</xdr:row>
      <xdr:rowOff>47625</xdr:rowOff>
    </xdr:to>
    <xdr:sp macro="" textlink="">
      <xdr:nvSpPr>
        <xdr:cNvPr id="72" name="71 Abrir llave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>
        <a:xfrm>
          <a:off x="8715376" y="352424"/>
          <a:ext cx="171449" cy="10287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47625</xdr:colOff>
      <xdr:row>8</xdr:row>
      <xdr:rowOff>28575</xdr:rowOff>
    </xdr:from>
    <xdr:to>
      <xdr:col>17</xdr:col>
      <xdr:colOff>9525</xdr:colOff>
      <xdr:row>16</xdr:row>
      <xdr:rowOff>9524</xdr:rowOff>
    </xdr:to>
    <xdr:sp macro="" textlink="">
      <xdr:nvSpPr>
        <xdr:cNvPr id="73" name="72 Abrir llave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8896350" y="1552575"/>
          <a:ext cx="142875" cy="1504949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66676</xdr:colOff>
      <xdr:row>18</xdr:row>
      <xdr:rowOff>19049</xdr:rowOff>
    </xdr:from>
    <xdr:to>
      <xdr:col>16</xdr:col>
      <xdr:colOff>171450</xdr:colOff>
      <xdr:row>23</xdr:row>
      <xdr:rowOff>57150</xdr:rowOff>
    </xdr:to>
    <xdr:sp macro="" textlink="">
      <xdr:nvSpPr>
        <xdr:cNvPr id="74" name="73 Abrir llave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6705601" y="3257549"/>
          <a:ext cx="104774" cy="9906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22</xdr:col>
      <xdr:colOff>28575</xdr:colOff>
      <xdr:row>17</xdr:row>
      <xdr:rowOff>0</xdr:rowOff>
    </xdr:from>
    <xdr:to>
      <xdr:col>23</xdr:col>
      <xdr:colOff>66675</xdr:colOff>
      <xdr:row>23</xdr:row>
      <xdr:rowOff>57150</xdr:rowOff>
    </xdr:to>
    <xdr:sp macro="" textlink="">
      <xdr:nvSpPr>
        <xdr:cNvPr id="76" name="75 Abrir llave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1029950" y="3048000"/>
          <a:ext cx="219075" cy="120015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47625</xdr:colOff>
      <xdr:row>25</xdr:row>
      <xdr:rowOff>171450</xdr:rowOff>
    </xdr:from>
    <xdr:to>
      <xdr:col>16</xdr:col>
      <xdr:colOff>152400</xdr:colOff>
      <xdr:row>30</xdr:row>
      <xdr:rowOff>19050</xdr:rowOff>
    </xdr:to>
    <xdr:sp macro="" textlink="">
      <xdr:nvSpPr>
        <xdr:cNvPr id="77" name="76 Abrir llave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8896350" y="4933950"/>
          <a:ext cx="104775" cy="8001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22</xdr:col>
      <xdr:colOff>28574</xdr:colOff>
      <xdr:row>7</xdr:row>
      <xdr:rowOff>38100</xdr:rowOff>
    </xdr:from>
    <xdr:to>
      <xdr:col>23</xdr:col>
      <xdr:colOff>38100</xdr:colOff>
      <xdr:row>16</xdr:row>
      <xdr:rowOff>0</xdr:rowOff>
    </xdr:to>
    <xdr:sp macro="" textlink="">
      <xdr:nvSpPr>
        <xdr:cNvPr id="78" name="77 Abrir llave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>
        <a:xfrm>
          <a:off x="13735049" y="1390650"/>
          <a:ext cx="190501" cy="16002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57149</xdr:colOff>
      <xdr:row>31</xdr:row>
      <xdr:rowOff>9524</xdr:rowOff>
    </xdr:from>
    <xdr:to>
      <xdr:col>16</xdr:col>
      <xdr:colOff>161924</xdr:colOff>
      <xdr:row>45</xdr:row>
      <xdr:rowOff>38099</xdr:rowOff>
    </xdr:to>
    <xdr:sp macro="" textlink="">
      <xdr:nvSpPr>
        <xdr:cNvPr id="80" name="79 Abrir llave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2800349" y="5915024"/>
          <a:ext cx="104775" cy="26955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9071</xdr:colOff>
      <xdr:row>13</xdr:row>
      <xdr:rowOff>76200</xdr:rowOff>
    </xdr:from>
    <xdr:to>
      <xdr:col>14</xdr:col>
      <xdr:colOff>249464</xdr:colOff>
      <xdr:row>18</xdr:row>
      <xdr:rowOff>163286</xdr:rowOff>
    </xdr:to>
    <xdr:cxnSp macro="">
      <xdr:nvCxnSpPr>
        <xdr:cNvPr id="83" name="82 Conector recto de flecha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7121071" y="2579914"/>
          <a:ext cx="240393" cy="1039586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20</xdr:row>
      <xdr:rowOff>34917</xdr:rowOff>
    </xdr:from>
    <xdr:to>
      <xdr:col>14</xdr:col>
      <xdr:colOff>247650</xdr:colOff>
      <xdr:row>20</xdr:row>
      <xdr:rowOff>34918</xdr:rowOff>
    </xdr:to>
    <xdr:cxnSp macro="">
      <xdr:nvCxnSpPr>
        <xdr:cNvPr id="84" name="83 Conector recto de flecha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 flipV="1">
          <a:off x="7169150" y="3872131"/>
          <a:ext cx="190500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21</xdr:row>
      <xdr:rowOff>47625</xdr:rowOff>
    </xdr:from>
    <xdr:to>
      <xdr:col>15</xdr:col>
      <xdr:colOff>371929</xdr:colOff>
      <xdr:row>25</xdr:row>
      <xdr:rowOff>163286</xdr:rowOff>
    </xdr:to>
    <xdr:cxnSp macro="">
      <xdr:nvCxnSpPr>
        <xdr:cNvPr id="85" name="84 Conector recto de flecha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CxnSpPr/>
      </xdr:nvCxnSpPr>
      <xdr:spPr>
        <a:xfrm>
          <a:off x="7715250" y="4048125"/>
          <a:ext cx="619579" cy="87766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22</xdr:row>
      <xdr:rowOff>66675</xdr:rowOff>
    </xdr:from>
    <xdr:to>
      <xdr:col>15</xdr:col>
      <xdr:colOff>9525</xdr:colOff>
      <xdr:row>36</xdr:row>
      <xdr:rowOff>19050</xdr:rowOff>
    </xdr:to>
    <xdr:cxnSp macro="">
      <xdr:nvCxnSpPr>
        <xdr:cNvPr id="86" name="85 Conector recto de flecha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CxnSpPr/>
      </xdr:nvCxnSpPr>
      <xdr:spPr>
        <a:xfrm>
          <a:off x="7667625" y="4257675"/>
          <a:ext cx="304800" cy="261937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647700</xdr:colOff>
      <xdr:row>23</xdr:row>
      <xdr:rowOff>9525</xdr:rowOff>
    </xdr:from>
    <xdr:to>
      <xdr:col>15</xdr:col>
      <xdr:colOff>47625</xdr:colOff>
      <xdr:row>46</xdr:row>
      <xdr:rowOff>161925</xdr:rowOff>
    </xdr:to>
    <xdr:cxnSp macro="">
      <xdr:nvCxnSpPr>
        <xdr:cNvPr id="87" name="86 Conector recto de flecha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>
          <a:off x="7448550" y="4257675"/>
          <a:ext cx="561975" cy="45339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4</xdr:row>
      <xdr:rowOff>108346</xdr:rowOff>
    </xdr:from>
    <xdr:to>
      <xdr:col>16</xdr:col>
      <xdr:colOff>66675</xdr:colOff>
      <xdr:row>4</xdr:row>
      <xdr:rowOff>108347</xdr:rowOff>
    </xdr:to>
    <xdr:cxnSp macro="">
      <xdr:nvCxnSpPr>
        <xdr:cNvPr id="99" name="98 Conector recto de flecha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CxnSpPr/>
      </xdr:nvCxnSpPr>
      <xdr:spPr>
        <a:xfrm>
          <a:off x="7620000" y="870346"/>
          <a:ext cx="1114425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4</xdr:row>
      <xdr:rowOff>47625</xdr:rowOff>
    </xdr:from>
    <xdr:to>
      <xdr:col>6</xdr:col>
      <xdr:colOff>76200</xdr:colOff>
      <xdr:row>4</xdr:row>
      <xdr:rowOff>47626</xdr:rowOff>
    </xdr:to>
    <xdr:cxnSp macro="">
      <xdr:nvCxnSpPr>
        <xdr:cNvPr id="101" name="100 Conector recto de flecha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>
          <a:off x="1219200" y="809625"/>
          <a:ext cx="1181100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80962</xdr:colOff>
      <xdr:row>6</xdr:row>
      <xdr:rowOff>47624</xdr:rowOff>
    </xdr:from>
    <xdr:to>
      <xdr:col>13</xdr:col>
      <xdr:colOff>719137</xdr:colOff>
      <xdr:row>9</xdr:row>
      <xdr:rowOff>0</xdr:rowOff>
    </xdr:to>
    <xdr:sp macro="" textlink="">
      <xdr:nvSpPr>
        <xdr:cNvPr id="45" name="44 Flecha izquierda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 rot="16200000">
          <a:off x="6081712" y="1057274"/>
          <a:ext cx="485776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13</xdr:col>
      <xdr:colOff>109536</xdr:colOff>
      <xdr:row>14</xdr:row>
      <xdr:rowOff>142875</xdr:rowOff>
    </xdr:from>
    <xdr:to>
      <xdr:col>13</xdr:col>
      <xdr:colOff>747711</xdr:colOff>
      <xdr:row>17</xdr:row>
      <xdr:rowOff>142879</xdr:rowOff>
    </xdr:to>
    <xdr:sp macro="" textlink="">
      <xdr:nvSpPr>
        <xdr:cNvPr id="46" name="45 Flecha izquierda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 rot="5400000">
          <a:off x="6119809" y="2476502"/>
          <a:ext cx="466729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80962</xdr:colOff>
      <xdr:row>6</xdr:row>
      <xdr:rowOff>57149</xdr:rowOff>
    </xdr:from>
    <xdr:to>
      <xdr:col>3</xdr:col>
      <xdr:colOff>719137</xdr:colOff>
      <xdr:row>9</xdr:row>
      <xdr:rowOff>9525</xdr:rowOff>
    </xdr:to>
    <xdr:sp macro="" textlink="">
      <xdr:nvSpPr>
        <xdr:cNvPr id="47" name="46 Flecha izquierda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 rot="16200000">
          <a:off x="338137" y="1066799"/>
          <a:ext cx="485776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109536</xdr:colOff>
      <xdr:row>15</xdr:row>
      <xdr:rowOff>0</xdr:rowOff>
    </xdr:from>
    <xdr:to>
      <xdr:col>3</xdr:col>
      <xdr:colOff>747711</xdr:colOff>
      <xdr:row>18</xdr:row>
      <xdr:rowOff>4</xdr:rowOff>
    </xdr:to>
    <xdr:sp macro="" textlink="">
      <xdr:nvSpPr>
        <xdr:cNvPr id="48" name="47 Flecha izquierda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 rot="5400000">
          <a:off x="376234" y="2486027"/>
          <a:ext cx="466729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76201</xdr:colOff>
      <xdr:row>46</xdr:row>
      <xdr:rowOff>57150</xdr:rowOff>
    </xdr:from>
    <xdr:to>
      <xdr:col>16</xdr:col>
      <xdr:colOff>154783</xdr:colOff>
      <xdr:row>51</xdr:row>
      <xdr:rowOff>142875</xdr:rowOff>
    </xdr:to>
    <xdr:sp macro="" textlink="">
      <xdr:nvSpPr>
        <xdr:cNvPr id="33" name="32 Abrir llave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904685" y="8820150"/>
          <a:ext cx="78582" cy="10382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34</xdr:col>
          <xdr:colOff>152400</xdr:colOff>
          <xdr:row>2</xdr:row>
          <xdr:rowOff>28575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34</xdr:col>
          <xdr:colOff>152400</xdr:colOff>
          <xdr:row>3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104775</xdr:rowOff>
        </xdr:from>
        <xdr:to>
          <xdr:col>34</xdr:col>
          <xdr:colOff>152400</xdr:colOff>
          <xdr:row>4</xdr:row>
          <xdr:rowOff>104775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95250</xdr:rowOff>
        </xdr:from>
        <xdr:to>
          <xdr:col>34</xdr:col>
          <xdr:colOff>47625</xdr:colOff>
          <xdr:row>5</xdr:row>
          <xdr:rowOff>142875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</a:p>
          </xdr:txBody>
        </xdr:sp>
        <xdr:clientData fLocksWithSheet="0"/>
      </xdr:twoCellAnchor>
    </mc:Choice>
    <mc:Fallback/>
  </mc:AlternateContent>
  <xdr:twoCellAnchor>
    <xdr:from>
      <xdr:col>13</xdr:col>
      <xdr:colOff>352425</xdr:colOff>
      <xdr:row>23</xdr:row>
      <xdr:rowOff>123825</xdr:rowOff>
    </xdr:from>
    <xdr:to>
      <xdr:col>13</xdr:col>
      <xdr:colOff>400050</xdr:colOff>
      <xdr:row>48</xdr:row>
      <xdr:rowOff>161925</xdr:rowOff>
    </xdr:to>
    <xdr:cxnSp macro="">
      <xdr:nvCxnSpPr>
        <xdr:cNvPr id="39" name="86 Conector recto de flecha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/>
      </xdr:nvCxnSpPr>
      <xdr:spPr>
        <a:xfrm>
          <a:off x="7153275" y="4505325"/>
          <a:ext cx="47625" cy="48006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3</xdr:row>
      <xdr:rowOff>66675</xdr:rowOff>
    </xdr:from>
    <xdr:to>
      <xdr:col>43</xdr:col>
      <xdr:colOff>914399</xdr:colOff>
      <xdr:row>26</xdr:row>
      <xdr:rowOff>66675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485775</xdr:colOff>
      <xdr:row>23</xdr:row>
      <xdr:rowOff>85725</xdr:rowOff>
    </xdr:from>
    <xdr:to>
      <xdr:col>14</xdr:col>
      <xdr:colOff>200025</xdr:colOff>
      <xdr:row>52</xdr:row>
      <xdr:rowOff>57150</xdr:rowOff>
    </xdr:to>
    <xdr:cxnSp macro="">
      <xdr:nvCxnSpPr>
        <xdr:cNvPr id="40" name="86 Conector recto de flecha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CxnSpPr/>
      </xdr:nvCxnSpPr>
      <xdr:spPr>
        <a:xfrm>
          <a:off x="7286625" y="4333875"/>
          <a:ext cx="561975" cy="5495925"/>
        </a:xfrm>
        <a:prstGeom prst="straightConnector1">
          <a:avLst/>
        </a:prstGeom>
        <a:noFill/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  <a:headEnd type="arrow"/>
          <a:tailEnd type="none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86</xdr:row>
      <xdr:rowOff>0</xdr:rowOff>
    </xdr:from>
    <xdr:to>
      <xdr:col>13</xdr:col>
      <xdr:colOff>781050</xdr:colOff>
      <xdr:row>105</xdr:row>
      <xdr:rowOff>57150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ALABELLA\DOCUME~1\rbnunez\CONFIG~1\Temp\ctorres\EDITORRES\ctorres\EDITORRES\ctorres\EDITORRES\ctorres\ctorres\Ventas%20Falabella%20CTF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AS"/>
      <sheetName val="ANUAL"/>
      <sheetName val="Garantias"/>
    </sheetNames>
    <sheetDataSet>
      <sheetData sheetId="0">
        <row r="37">
          <cell r="B37">
            <v>386122.25825399999</v>
          </cell>
          <cell r="G37">
            <v>390581.96799999999</v>
          </cell>
          <cell r="L37">
            <v>400632.35200000001</v>
          </cell>
          <cell r="Q37">
            <v>238834.128</v>
          </cell>
          <cell r="V37">
            <v>181123.18799999999</v>
          </cell>
          <cell r="AA37">
            <v>184000</v>
          </cell>
          <cell r="AF37">
            <v>139000</v>
          </cell>
          <cell r="AK37">
            <v>139000</v>
          </cell>
          <cell r="AP37">
            <v>139000</v>
          </cell>
          <cell r="AU37">
            <v>139000</v>
          </cell>
          <cell r="AZ37">
            <v>139000</v>
          </cell>
          <cell r="BE37">
            <v>139000</v>
          </cell>
          <cell r="BJ37">
            <v>139000</v>
          </cell>
        </row>
      </sheetData>
      <sheetData sheetId="1" refreshError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Q54" totalsRowCount="1" headerRowDxfId="169" dataDxfId="168" totalsRowDxfId="167">
  <autoFilter ref="A2:Q53" xr:uid="{00000000-000C-0000-FFFF-FFFF00000000}"/>
  <sortState xmlns:xlrd2="http://schemas.microsoft.com/office/spreadsheetml/2017/richdata2" ref="A3:Q53">
    <sortCondition ref="A2:A53"/>
  </sortState>
  <tableColumns count="17">
    <tableColumn id="1" xr3:uid="{00000000-0010-0000-0000-000001000000}" name="FECHA" dataDxfId="166" totalsRowDxfId="165"/>
    <tableColumn id="2" xr3:uid="{00000000-0010-0000-0000-000002000000}" name="INICIO" dataDxfId="164" totalsRowDxfId="163"/>
    <tableColumn id="3" xr3:uid="{00000000-0010-0000-0000-000003000000}" name="FINAL" dataDxfId="162" totalsRowDxfId="161"/>
    <tableColumn id="4" xr3:uid="{00000000-0010-0000-0000-000004000000}" name="CITACION" dataDxfId="160" totalsRowDxfId="159"/>
    <tableColumn id="5" xr3:uid="{00000000-0010-0000-0000-000005000000}" name="TIPO" dataDxfId="158" totalsRowDxfId="157">
      <calculatedColumnFormula>+IF(D3="","-",+LOOKUP(D3,$U$3:$U$10,$V$3:$V$10))</calculatedColumnFormula>
    </tableColumn>
    <tableColumn id="6" xr3:uid="{00000000-0010-0000-0000-000006000000}" name="Patricio B." dataDxfId="156" totalsRowDxfId="155" dataCellStyle="Millares [0]">
      <calculatedColumnFormula>+IF($D3="","-",+IF($E3=+$V$3,+ROUND((($C3-$B3)*+$V$13/$V$12),0),20000))</calculatedColumnFormula>
    </tableColumn>
    <tableColumn id="7" xr3:uid="{00000000-0010-0000-0000-000007000000}" name="Richard T." dataDxfId="154" totalsRowDxfId="153" dataCellStyle="Millares [0]">
      <calculatedColumnFormula>+IF($D3="","-",+IF($E3=+$V$3,+ROUND((($C3-$B3)*+$V$13/$V$12),0),20000))</calculatedColumnFormula>
    </tableColumn>
    <tableColumn id="8" xr3:uid="{00000000-0010-0000-0000-000008000000}" name="Christian T." dataDxfId="152" totalsRowDxfId="151" dataCellStyle="Millares [0]">
      <calculatedColumnFormula>+IF($D3="","-",+IF($E3=+$V$3,+ROUND((($C3-$B3)*+$V$13/$V$12),0),20000))</calculatedColumnFormula>
    </tableColumn>
    <tableColumn id="9" xr3:uid="{00000000-0010-0000-0000-000009000000}" name="Alejandra B." dataDxfId="150" totalsRowDxfId="149" dataCellStyle="Millares [0]">
      <calculatedColumnFormula>+IF($D3="","-",+IF($E3=+$V$3,+ROUND((($C3-$B3)*+$V$13/$V$12),0),20000))</calculatedColumnFormula>
    </tableColumn>
    <tableColumn id="10" xr3:uid="{00000000-0010-0000-0000-00000A000000}" name="Andrea D." dataDxfId="148" totalsRowDxfId="147" dataCellStyle="Millares [0]">
      <calculatedColumnFormula>+IF($D3="","-",+IF($E3=+$V$3,+ROUND((($C3-$B3)*+$V$13/$V$12),0),20000))</calculatedColumnFormula>
    </tableColumn>
    <tableColumn id="11" xr3:uid="{00000000-0010-0000-0000-00000B000000}" name="Felipe S." dataDxfId="146" totalsRowDxfId="145" dataCellStyle="Millares [0]"/>
    <tableColumn id="12" xr3:uid="{00000000-0010-0000-0000-00000C000000}" name="Claudia V." dataDxfId="144" totalsRowDxfId="143" dataCellStyle="Millares [0]">
      <calculatedColumnFormula>+IF($D3="","-",+IF($E3=+$V$3,+ROUND((($C3-$B3)*+$V$13/$V$12),0),20000))</calculatedColumnFormula>
    </tableColumn>
    <tableColumn id="13" xr3:uid="{00000000-0010-0000-0000-00000D000000}" name="Jorge Y." dataDxfId="142" totalsRowDxfId="141" dataCellStyle="Millares [0]"/>
    <tableColumn id="14" xr3:uid="{00000000-0010-0000-0000-00000E000000}" name="Eugenia O." dataDxfId="140" totalsRowDxfId="139" dataCellStyle="Millares [0]">
      <calculatedColumnFormula>+IF($D3="","-",+IF($E3=+$V$3,+ROUND((($C3-$B3)*+$V$13/$V$12),0),20000))</calculatedColumnFormula>
    </tableColumn>
    <tableColumn id="15" xr3:uid="{00000000-0010-0000-0000-00000F000000}" name="COSTO" dataDxfId="138" totalsRowDxfId="137" dataCellStyle="Millares [0]">
      <calculatedColumnFormula>SUM(F3:N3)</calculatedColumnFormula>
    </tableColumn>
    <tableColumn id="16" xr3:uid="{00000000-0010-0000-0000-000010000000}" name="MOTIVO" dataDxfId="136" totalsRowDxfId="135"/>
    <tableColumn id="17" xr3:uid="{00000000-0010-0000-0000-000011000000}" name="ACTA" dataDxfId="134" totalsRowDxfId="133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3209A-5CE7-4676-9AF1-DA05B2AF0019}" name="Tabla4" displayName="Tabla4" ref="U2:U10" totalsRowShown="0" headerRowDxfId="132" dataDxfId="131">
  <autoFilter ref="U2:U10" xr:uid="{9143209A-5CE7-4676-9AF1-DA05B2AF0019}"/>
  <tableColumns count="1">
    <tableColumn id="1" xr3:uid="{1F6A8A80-7028-4642-A7CC-47060C86C400}" name="CITACION" dataDxfId="13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B13:L43" totalsRowCount="1" headerRowDxfId="128" dataDxfId="127" totalsRowDxfId="126">
  <autoFilter ref="B13:L42" xr:uid="{00000000-0009-0000-0100-000005000000}"/>
  <sortState xmlns:xlrd2="http://schemas.microsoft.com/office/spreadsheetml/2017/richdata2" ref="B14:L42">
    <sortCondition ref="B13:B42"/>
  </sortState>
  <tableColumns count="11">
    <tableColumn id="1" xr3:uid="{00000000-0010-0000-0100-000001000000}" name="FECHA" totalsRowLabel="Total" dataDxfId="125" totalsRowDxfId="124"/>
    <tableColumn id="2" xr3:uid="{00000000-0010-0000-0100-000002000000}" name="NOMBRE" dataDxfId="123" totalsRowDxfId="122"/>
    <tableColumn id="3" xr3:uid="{00000000-0010-0000-0100-000003000000}" name="CITACION" totalsRowFunction="count" dataDxfId="121" totalsRowDxfId="120"/>
    <tableColumn id="4" xr3:uid="{00000000-0010-0000-0100-000004000000}" name="TIPO" dataDxfId="119" totalsRowDxfId="118">
      <calculatedColumnFormula>+IF(D14&lt;&gt;"",+LOOKUP(D14,$D$2:$D$9,$E$2:$E$9),"-")</calculatedColumnFormula>
    </tableColumn>
    <tableColumn id="5" xr3:uid="{00000000-0010-0000-0100-000005000000}" name="PASAJES" totalsRowFunction="sum" dataDxfId="117" totalsRowDxfId="116">
      <calculatedColumnFormula>7000+7000</calculatedColumnFormula>
    </tableColumn>
    <tableColumn id="6" xr3:uid="{00000000-0010-0000-0100-000006000000}" name="COLACION" totalsRowFunction="sum" dataDxfId="115" totalsRowDxfId="114"/>
    <tableColumn id="7" xr3:uid="{00000000-0010-0000-0100-000007000000}" name="METRO" totalsRowFunction="sum" dataDxfId="113" totalsRowDxfId="112"/>
    <tableColumn id="8" xr3:uid="{00000000-0010-0000-0100-000008000000}" name="TAXI / COLEC" totalsRowFunction="sum" dataDxfId="111" totalsRowDxfId="110"/>
    <tableColumn id="9" xr3:uid="{00000000-0010-0000-0100-000009000000}" name="HOTEL" totalsRowFunction="sum" dataDxfId="109" totalsRowDxfId="108"/>
    <tableColumn id="11" xr3:uid="{00000000-0010-0000-0100-00000B000000}" name="REEMBOLSO" totalsRowFunction="sum" dataDxfId="107" totalsRowDxfId="106" dataCellStyle="Moneda [0]"/>
    <tableColumn id="10" xr3:uid="{00000000-0010-0000-0100-00000A000000}" name="TOTAL" totalsRowFunction="sum" dataDxfId="105" totalsRowDxfId="104">
      <calculatedColumnFormula>SUM(F14:K14)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1:L9" totalsRowShown="0" headerRowDxfId="103" dataDxfId="102">
  <autoFilter ref="B1:L9" xr:uid="{00000000-0009-0000-0100-000003000000}"/>
  <tableColumns count="11">
    <tableColumn id="1" xr3:uid="{00000000-0010-0000-0200-000001000000}" name="%" dataDxfId="101">
      <calculatedColumnFormula>IF(C2=0,"",+L2/C2)</calculatedColumnFormula>
    </tableColumn>
    <tableColumn id="2" xr3:uid="{00000000-0010-0000-0200-000002000000}" name="PLAN" dataDxfId="100" dataCellStyle="Moneda [0]"/>
    <tableColumn id="3" xr3:uid="{00000000-0010-0000-0200-000003000000}" name="VIATICOS DE DIRECTORES " dataDxfId="99"/>
    <tableColumn id="4" xr3:uid="{00000000-0010-0000-0200-000004000000}" name="TIPO" dataDxfId="98"/>
    <tableColumn id="5" xr3:uid="{00000000-0010-0000-0200-000005000000}" name="PASAJES" dataDxfId="97">
      <calculatedColumnFormula>+IF(Tabla3[[#This Row],[PLAN]]=0,0,+SUMIF(Tabla5[CITACION],+$D2,Tabla5[PASAJES]))</calculatedColumnFormula>
    </tableColumn>
    <tableColumn id="6" xr3:uid="{00000000-0010-0000-0200-000006000000}" name="COLACION" dataDxfId="96">
      <calculatedColumnFormula>+IF(Tabla3[[#This Row],[PLAN]]=0,0,+SUMIF(Tabla5[CITACION],+$D2,Tabla5[COLACION]))</calculatedColumnFormula>
    </tableColumn>
    <tableColumn id="7" xr3:uid="{00000000-0010-0000-0200-000007000000}" name="METRO" dataDxfId="95">
      <calculatedColumnFormula>+IF(Tabla3[[#This Row],[PLAN]]=0,0,+SUMIF(Tabla5[CITACION],+$D2,Tabla5[METRO]))</calculatedColumnFormula>
    </tableColumn>
    <tableColumn id="8" xr3:uid="{00000000-0010-0000-0200-000008000000}" name="TAXI / COLEC" dataDxfId="94">
      <calculatedColumnFormula>+IF(Tabla3[[#This Row],[PLAN]]=0,0,+SUMIF(Tabla5[CITACION],+$D2,Tabla5[TAXI / COLEC]))</calculatedColumnFormula>
    </tableColumn>
    <tableColumn id="9" xr3:uid="{00000000-0010-0000-0200-000009000000}" name="HOTEL" dataDxfId="93">
      <calculatedColumnFormula>+IF(Tabla3[[#This Row],[PLAN]]=0,0,+SUMIF(Tabla5[CITACION],+$D2,Tabla5[HOTEL]))</calculatedColumnFormula>
    </tableColumn>
    <tableColumn id="10" xr3:uid="{00000000-0010-0000-0200-00000A000000}" name="REEMBOLSO" dataDxfId="92">
      <calculatedColumnFormula>+IF(Tabla3[[#This Row],[PLAN]]=0,0,+SUMIF(Tabla5[CITACION],+$D2,Tabla5[REEMBOLSO]))</calculatedColumnFormula>
    </tableColumn>
    <tableColumn id="11" xr3:uid="{00000000-0010-0000-0200-00000B000000}" name="TOTAL" dataDxfId="91" dataCellStyle="Moneda [0]">
      <calculatedColumnFormula>SUM(F2:K2)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F1A5F7-306F-464E-9455-E06891BF4D5B}" name="Tabla7" displayName="Tabla7" ref="N1:O11" totalsRowShown="0" headerRowDxfId="90" dataDxfId="89">
  <autoFilter ref="N1:O11" xr:uid="{06F1A5F7-306F-464E-9455-E06891BF4D5B}"/>
  <tableColumns count="2">
    <tableColumn id="1" xr3:uid="{508A3308-6A62-4151-8ECB-1B8CB82D42D4}" name="DIRECTORES" dataDxfId="88">
      <calculatedColumnFormula>+PLAN!B103</calculatedColumnFormula>
    </tableColumn>
    <tableColumn id="2" xr3:uid="{A9E961D3-5538-46C1-A282-F322657B5A20}" name="VIATICOS" dataDxfId="87" dataCellStyle="Moneda [0]">
      <calculatedColumnFormula>+SUMIF(Tabla5[NOMBRE],Tabla7[[#This Row],[DIRECTORES]],Tabla5[TOTAL])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5CE672E-92F6-4EA7-A4FB-23117BB9FBB1}" name="Tabla6910121315" displayName="Tabla6910121315" ref="B2:F36" totalsRowCount="1" headerRowDxfId="85" dataDxfId="84" totalsRowDxfId="83">
  <autoFilter ref="B2:F35" xr:uid="{35CE672E-92F6-4EA7-A4FB-23117BB9FBB1}"/>
  <sortState xmlns:xlrd2="http://schemas.microsoft.com/office/spreadsheetml/2017/richdata2" ref="B3:F35">
    <sortCondition descending="1" ref="C2:C35"/>
  </sortState>
  <tableColumns count="5">
    <tableColumn id="1" xr3:uid="{EB1B0355-C3AC-4A32-9451-61CB0B45182C}" name="DIRECTOR" totalsRowFunction="count" dataDxfId="82" totalsRowDxfId="81"/>
    <tableColumn id="2" xr3:uid="{9D546FEF-6F27-4CB5-BF84-4C1842E46B53}" name="SINDICATO" dataDxfId="80" totalsRowDxfId="79"/>
    <tableColumn id="3" xr3:uid="{DDFA785E-15EA-4CC9-AC6B-0C0C7ACAE8ED}" name="CUOTA" totalsRowFunction="sum" dataDxfId="78" totalsRowDxfId="77" dataCellStyle="Moneda [0]"/>
    <tableColumn id="4" xr3:uid="{67B08C5B-B7A3-4B49-B7F4-B5FBBD79B124}" name="PROPINA" totalsRowFunction="sum" dataDxfId="76" totalsRowDxfId="75" dataCellStyle="Moneda [0]"/>
    <tableColumn id="8" xr3:uid="{DC8C476C-2C90-4278-A9F2-98A7B1DD24F0}" name="TIPO" dataDxfId="74" totalsRowDxfId="73"/>
  </tableColumns>
  <tableStyleInfo name="TableStyleLight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5304DE-D099-44DC-80F6-BA1E70C07CBC}" name="Tabla69101213159" displayName="Tabla69101213159" ref="H2:L35" totalsRowCount="1" headerRowDxfId="72" dataDxfId="71" totalsRowDxfId="70">
  <autoFilter ref="H2:L34" xr:uid="{045304DE-D099-44DC-80F6-BA1E70C07CBC}"/>
  <sortState xmlns:xlrd2="http://schemas.microsoft.com/office/spreadsheetml/2017/richdata2" ref="H3:L34">
    <sortCondition ref="L2:L34"/>
  </sortState>
  <tableColumns count="5">
    <tableColumn id="1" xr3:uid="{1FCB5522-783E-4CDF-9577-87B376538EC7}" name="DIRECTOR" totalsRowFunction="count" dataDxfId="69" totalsRowDxfId="68"/>
    <tableColumn id="2" xr3:uid="{3FB23219-37BB-46C1-8AA5-FAFCE7046F3A}" name="SINDICATO" dataDxfId="67" totalsRowDxfId="66"/>
    <tableColumn id="3" xr3:uid="{8D2DB392-605B-4567-B562-FF161FF89F28}" name="CUOTA" dataDxfId="65" totalsRowDxfId="64" dataCellStyle="Moneda [0]"/>
    <tableColumn id="4" xr3:uid="{520E6CD1-B336-4049-B8AE-E10FD4F90138}" name="PROPINA" dataDxfId="63" totalsRowDxfId="62" dataCellStyle="Moneda [0]"/>
    <tableColumn id="8" xr3:uid="{81937713-8D07-47F1-83AC-047CED947A7F}" name="TIPO" dataDxfId="61" totalsRowDxfId="60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A616D44-86DD-40E9-B5BA-0152923B331C}" name="Tabla691012131597" displayName="Tabla691012131597" ref="N2:R35" totalsRowCount="1" headerRowDxfId="59" dataDxfId="58" totalsRowDxfId="57">
  <autoFilter ref="N2:R34" xr:uid="{3A616D44-86DD-40E9-B5BA-0152923B331C}"/>
  <sortState xmlns:xlrd2="http://schemas.microsoft.com/office/spreadsheetml/2017/richdata2" ref="N3:R34">
    <sortCondition descending="1" ref="O3:O34"/>
    <sortCondition descending="1" ref="R3:R34"/>
  </sortState>
  <tableColumns count="5">
    <tableColumn id="1" xr3:uid="{579F5902-13C5-4ED1-A4DC-4A596976B194}" name="DIRECTOR" totalsRowFunction="count" dataDxfId="56" totalsRowDxfId="55"/>
    <tableColumn id="2" xr3:uid="{1E84BDB1-6784-4802-B0B0-920BE58264F9}" name="SINDICATO" dataDxfId="54" totalsRowDxfId="53"/>
    <tableColumn id="3" xr3:uid="{3670B16B-D1B4-44C1-85B9-9AE854CC97CF}" name="CUOTA" dataDxfId="52" totalsRowDxfId="51" dataCellStyle="Moneda [0]"/>
    <tableColumn id="4" xr3:uid="{11C1E46C-162C-4705-8D50-E6FCF603FF22}" name="PROPINA" dataDxfId="50" totalsRowDxfId="49" dataCellStyle="Moneda [0]"/>
    <tableColumn id="8" xr3:uid="{6BD7A2B2-0FC2-45F1-87EB-6A852CC4B125}" name="TIPO" dataDxfId="48" totalsRowDxfId="47"/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545586-254E-4FE7-9155-0B31689738D6}" name="Tabla691012131510" displayName="Tabla691012131510" ref="V2:Z36" totalsRowCount="1" headerRowDxfId="46" dataDxfId="45" totalsRowDxfId="44">
  <autoFilter ref="V2:Z35" xr:uid="{37545586-254E-4FE7-9155-0B31689738D6}"/>
  <sortState xmlns:xlrd2="http://schemas.microsoft.com/office/spreadsheetml/2017/richdata2" ref="V3:Z35">
    <sortCondition descending="1" ref="W2:W35"/>
  </sortState>
  <tableColumns count="5">
    <tableColumn id="1" xr3:uid="{F74FED49-16A1-49DD-9931-1538447F6B69}" name="DIRECTOR" totalsRowFunction="count" dataDxfId="43" totalsRowDxfId="42"/>
    <tableColumn id="2" xr3:uid="{D9DC5044-F860-483E-9A74-03600084D459}" name="SINDICATO" dataDxfId="41" totalsRowDxfId="40"/>
    <tableColumn id="3" xr3:uid="{6E922FA8-BD7D-4553-9AC7-427A92DB0350}" name="CUOTA" totalsRowFunction="sum" dataDxfId="39" totalsRowDxfId="38" dataCellStyle="Moneda [0]"/>
    <tableColumn id="4" xr3:uid="{167E9761-85CC-47B2-B5A0-5EC8AD2CEE5F}" name="PROPINA" totalsRowFunction="sum" dataDxfId="37" totalsRowDxfId="36" dataCellStyle="Moneda [0]"/>
    <tableColumn id="8" xr3:uid="{2D31ACB7-2C84-47B3-80AD-39215C6F31D2}" name="TIPO" dataDxfId="35" totalsRowDxfId="34"/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7A2DAB-7278-4513-9C76-1B73954FD1E9}" name="Tabla69101213151011" displayName="Tabla69101213151011" ref="AC2:AH36" totalsRowCount="1" headerRowDxfId="33" dataDxfId="32" totalsRowDxfId="31">
  <autoFilter ref="AC2:AH35" xr:uid="{2E7A2DAB-7278-4513-9C76-1B73954FD1E9}"/>
  <sortState xmlns:xlrd2="http://schemas.microsoft.com/office/spreadsheetml/2017/richdata2" ref="AC3:AG35">
    <sortCondition ref="AC2:AC35"/>
  </sortState>
  <tableColumns count="6">
    <tableColumn id="1" xr3:uid="{CA422A53-726D-4CE9-83AF-C4BD7AE1647D}" name="DIRECTOR" totalsRowFunction="count" dataDxfId="30" totalsRowDxfId="29"/>
    <tableColumn id="2" xr3:uid="{2F2B77EC-2A08-44F2-B4A0-514426D7EC84}" name="SINDICATO" dataDxfId="28" totalsRowDxfId="27"/>
    <tableColumn id="3" xr3:uid="{318F400F-AA8D-4CD5-931D-67AB7507A724}" name="CUOTA" totalsRowFunction="sum" dataDxfId="26" totalsRowDxfId="25" dataCellStyle="Moneda [0]"/>
    <tableColumn id="4" xr3:uid="{699C5DAE-D37D-4BA9-BEA5-5A327402DE4B}" name="PROPINA" totalsRowFunction="sum" dataDxfId="24" totalsRowDxfId="23" dataCellStyle="Moneda [0]"/>
    <tableColumn id="8" xr3:uid="{ECEB36BA-311F-4988-83E6-B89F4DC1351B}" name="TIPO" dataDxfId="22" totalsRowDxfId="21"/>
    <tableColumn id="5" xr3:uid="{D7A4E4D7-6B28-48EF-B42E-EB6CF2B69C6C}" name="Voto" dataDxfId="20" totalsRowDxfId="19"/>
  </tableColumns>
  <tableStyleInfo name="TableStyleLight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ED78EE1-FB4C-4123-933C-AD8A6C03E28B}" name="Tabla69101213151013" displayName="Tabla69101213151013" ref="AJ2:AN36" totalsRowCount="1" headerRowDxfId="18" dataDxfId="17" totalsRowDxfId="16">
  <autoFilter ref="AJ2:AN35" xr:uid="{5ED78EE1-FB4C-4123-933C-AD8A6C03E28B}"/>
  <sortState xmlns:xlrd2="http://schemas.microsoft.com/office/spreadsheetml/2017/richdata2" ref="AJ3:AN35">
    <sortCondition descending="1" ref="AK2:AK35"/>
  </sortState>
  <tableColumns count="5">
    <tableColumn id="1" xr3:uid="{6A21E9CF-EDBF-42C3-B8E5-81976BA313C8}" name="DIRECTOR" totalsRowFunction="count" dataDxfId="15" totalsRowDxfId="14"/>
    <tableColumn id="2" xr3:uid="{7C223013-CDE9-4E85-9228-D9DD797AA866}" name="SINDICATO" dataDxfId="13" totalsRowDxfId="12">
      <calculatedColumnFormula>+IF(Tabla69101213151013[[#This Row],[TIPO]]="NO ASISTE","-",+IF(AJ3&lt;&gt;0,+LOOKUP(AJ3,SOCIOS!$B$2:$B$27,SOCIOS!$C$2:$C$27),"-"))</calculatedColumnFormula>
    </tableColumn>
    <tableColumn id="3" xr3:uid="{3563D964-B6D3-450C-950D-9869B1E2D2CC}" name="CUOTA" totalsRowFunction="sum" dataDxfId="11" totalsRowDxfId="10" dataCellStyle="Moneda [0]">
      <calculatedColumnFormula>+IF(Tabla69101213151013[[#This Row],[TIPO]]="NO ASISTE","-",+IF(AJ3&lt;&gt;0,+LOOKUP(AJ3,SOCIOS!$B$2:$B$27,SOCIOS!$D$2:$D$27),"-"))</calculatedColumnFormula>
    </tableColumn>
    <tableColumn id="4" xr3:uid="{86DD688A-1047-4B36-90DC-8C9FEA101C50}" name="PROPINA" totalsRowFunction="sum" dataDxfId="9" totalsRowDxfId="8" dataCellStyle="Moneda [0]">
      <calculatedColumnFormula>+IF(Tabla69101213151013[[#This Row],[TIPO]]="NO ASISTE","-",+IF(AJ3&lt;&gt;0,+LOOKUP(AJ3,SOCIOS!$B$2:$B$27,SOCIOS!$E$2:$E$27),"-"))</calculatedColumnFormula>
    </tableColumn>
    <tableColumn id="8" xr3:uid="{8E00365C-D26C-456D-9B6B-6518C90CB861}" name="TIPO" dataDxfId="7" totalsRowDxfId="6"/>
  </tableColumns>
  <tableStyleInfo name="TableStyleLight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BFF2C9-A91E-4888-91AF-3E8F9A07243B}" name="Tabla2" displayName="Tabla2" ref="B1:F27" totalsRowShown="0" headerRowDxfId="5" dataDxfId="4" headerRowCellStyle="Moneda [0]" dataCellStyle="Moneda [0]">
  <autoFilter ref="B1:F27" xr:uid="{69BFF2C9-A91E-4888-91AF-3E8F9A07243B}"/>
  <sortState xmlns:xlrd2="http://schemas.microsoft.com/office/spreadsheetml/2017/richdata2" ref="B2:F27">
    <sortCondition ref="B1:B27"/>
  </sortState>
  <tableColumns count="5">
    <tableColumn id="1" xr3:uid="{30CD66DA-69AF-431E-A91D-67CE70B2856D}" name="DIRECTOR" dataDxfId="3" dataCellStyle="Moneda [0]"/>
    <tableColumn id="2" xr3:uid="{D2F41351-6093-493F-9B50-EB90291540AA}" name="SINDICATO" dataDxfId="2"/>
    <tableColumn id="3" xr3:uid="{CEA95F07-958C-4041-B85D-07499F1AC8B6}" name="CUOTA" dataDxfId="1" dataCellStyle="Moneda [0]"/>
    <tableColumn id="4" xr3:uid="{56196A0C-1A04-453A-9F3E-A151EC4B011E}" name="PROPINA" dataDxfId="0" dataCellStyle="Moneda [0]"/>
    <tableColumn id="5" xr3:uid="{582C96EC-7BF3-4AF8-9C09-453FFC734EFC}" name="ESTAD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solylago@novoacia.c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5.xml"/><Relationship Id="rId4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AppData/Roaming/Microsoft/Excel/Reunion%2008.11.21%20federaci&#243;n.docx" TargetMode="External"/><Relationship Id="rId13" Type="http://schemas.openxmlformats.org/officeDocument/2006/relationships/hyperlink" Target="../../../../AppData/Roaming/Microsoft/Excel/Acta%20Plenaria%2010-05-22.docx" TargetMode="External"/><Relationship Id="rId18" Type="http://schemas.openxmlformats.org/officeDocument/2006/relationships/hyperlink" Target="../../../../AppData/Roaming/Microsoft/Excel/Reunion%2023.08.22%20Dir-%20RRHH.docx" TargetMode="External"/><Relationship Id="rId26" Type="http://schemas.openxmlformats.org/officeDocument/2006/relationships/hyperlink" Target="../../../../AppData/Roaming/Microsoft/Excel/Reunion%2028.03.22%20federaci&#243;n.docx" TargetMode="External"/><Relationship Id="rId3" Type="http://schemas.openxmlformats.org/officeDocument/2006/relationships/hyperlink" Target="../../../../AppData/Roaming/Microsoft/Excel/Acta%20Plenaria%2028-11-18.docx" TargetMode="External"/><Relationship Id="rId21" Type="http://schemas.openxmlformats.org/officeDocument/2006/relationships/hyperlink" Target="../../../../AppData/Roaming/Microsoft/Excel/Reuni&#243;n%20asamblea%20Zoom%2004-10-2022.docx" TargetMode="External"/><Relationship Id="rId7" Type="http://schemas.openxmlformats.org/officeDocument/2006/relationships/hyperlink" Target="../../../../AppData/Roaming/Microsoft/Excel/Acta%20Plenaria%2020-08-19.docx" TargetMode="External"/><Relationship Id="rId12" Type="http://schemas.openxmlformats.org/officeDocument/2006/relationships/hyperlink" Target="../../../../AppData/Roaming/Microsoft/Excel/Reunion%2018.03.22%20plenaria%20zoom.docx" TargetMode="External"/><Relationship Id="rId17" Type="http://schemas.openxmlformats.org/officeDocument/2006/relationships/hyperlink" Target="../../../../AppData/Roaming/Microsoft/Excel/Reuni&#243;n%2016.08.22%20Directorio-RRHH-Tomas%20Platovsky.docx" TargetMode="External"/><Relationship Id="rId25" Type="http://schemas.openxmlformats.org/officeDocument/2006/relationships/hyperlink" Target="../../../../AppData/Roaming/Microsoft/Excel/Reunion%2015.11.21%20RRHH.docx" TargetMode="External"/><Relationship Id="rId2" Type="http://schemas.openxmlformats.org/officeDocument/2006/relationships/hyperlink" Target="../../../../AppData/Roaming/Microsoft/Excel/Acta%20Plenaria%2028-08-18.docx" TargetMode="External"/><Relationship Id="rId16" Type="http://schemas.openxmlformats.org/officeDocument/2006/relationships/hyperlink" Target="../../../../AppData/Roaming/Microsoft/Excel/ayuda%20al%20acta%2013-08-2022%20FEDERACION.docx" TargetMode="External"/><Relationship Id="rId20" Type="http://schemas.openxmlformats.org/officeDocument/2006/relationships/hyperlink" Target="../../../../AppData/Roaming/Microsoft/Excel/Reunion%2015.09.22%20Dir.%20Reg.%20Int..docx" TargetMode="External"/><Relationship Id="rId1" Type="http://schemas.openxmlformats.org/officeDocument/2006/relationships/hyperlink" Target="../../../../AppData/Roaming/Microsoft/Excel/Acta%20Plenaria%2026-03-19.docx" TargetMode="External"/><Relationship Id="rId6" Type="http://schemas.openxmlformats.org/officeDocument/2006/relationships/hyperlink" Target="../../../../AppData/Roaming/Microsoft/Excel/Reunion%2022.04.20%20Dir-Fed%20ZOOM.docx" TargetMode="External"/><Relationship Id="rId11" Type="http://schemas.openxmlformats.org/officeDocument/2006/relationships/hyperlink" Target="../../../../AppData/Roaming/Microsoft/Excel/Reunion%2017.03.22%20federaci&#243;n.docx" TargetMode="External"/><Relationship Id="rId24" Type="http://schemas.openxmlformats.org/officeDocument/2006/relationships/hyperlink" Target="../../../../AppData/Roaming/Microsoft/Excel/reunion%2021-11-22%20DIR%20y%20DT%20(Cristian%20Uma&#241;a).docx" TargetMode="External"/><Relationship Id="rId5" Type="http://schemas.openxmlformats.org/officeDocument/2006/relationships/hyperlink" Target="../../../../AppData/Roaming/Microsoft/Excel/Reunion%2007.11.21%20joaquin.docx" TargetMode="External"/><Relationship Id="rId15" Type="http://schemas.openxmlformats.org/officeDocument/2006/relationships/hyperlink" Target="../../../../AppData/Roaming/Microsoft/Excel/ACTA%20PLENARIAS%2026.07.2022.docx" TargetMode="External"/><Relationship Id="rId23" Type="http://schemas.openxmlformats.org/officeDocument/2006/relationships/hyperlink" Target="../../../../AppData/Roaming/Microsoft/Excel/Reunion%2007.11.21%20joaquin.docx" TargetMode="External"/><Relationship Id="rId28" Type="http://schemas.openxmlformats.org/officeDocument/2006/relationships/printerSettings" Target="../printerSettings/printerSettings15.bin"/><Relationship Id="rId10" Type="http://schemas.openxmlformats.org/officeDocument/2006/relationships/hyperlink" Target="../../../../AppData/Roaming/Microsoft/Excel/Reunion%2014.03.22%20federaci&#243;n.docx" TargetMode="External"/><Relationship Id="rId19" Type="http://schemas.openxmlformats.org/officeDocument/2006/relationships/hyperlink" Target="../../../../AppData/Roaming/Microsoft/Excel/ayuda%20reunion%2031.08.22%20DT%20UMA&#209;A.docx" TargetMode="External"/><Relationship Id="rId4" Type="http://schemas.openxmlformats.org/officeDocument/2006/relationships/hyperlink" Target="../../../../AppData/Roaming/Microsoft/Excel/Reunion%2006.11.21%20RRHH.docx" TargetMode="External"/><Relationship Id="rId9" Type="http://schemas.openxmlformats.org/officeDocument/2006/relationships/hyperlink" Target="../../../../AppData/Roaming/Microsoft/Excel/Reunion%2013.11.21%20federacion.docx" TargetMode="External"/><Relationship Id="rId14" Type="http://schemas.openxmlformats.org/officeDocument/2006/relationships/hyperlink" Target="../../../../AppData/Roaming/Microsoft/Excel/Reunion%2001.06.22%20RRHH%20y%20Fed.docx" TargetMode="External"/><Relationship Id="rId22" Type="http://schemas.openxmlformats.org/officeDocument/2006/relationships/hyperlink" Target="../../../../AppData/Roaming/Microsoft/Excel/Reunion%2004.11.22%20%20RRHH%20directorio.docx" TargetMode="External"/><Relationship Id="rId27" Type="http://schemas.openxmlformats.org/officeDocument/2006/relationships/hyperlink" Target="../../../../AppData/Roaming/Microsoft/Excel/Acta%20Plenaria%2031-03-22.docx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A4000-8EFA-4E40-997A-3F24C57F8C22}">
  <sheetPr codeName="Hoja16"/>
  <dimension ref="A1:M144"/>
  <sheetViews>
    <sheetView topLeftCell="D16" workbookViewId="0">
      <selection activeCell="H24" sqref="H24"/>
    </sheetView>
  </sheetViews>
  <sheetFormatPr baseColWidth="10" defaultRowHeight="15" x14ac:dyDescent="0.25"/>
  <cols>
    <col min="6" max="6" width="13.140625" bestFit="1" customWidth="1"/>
    <col min="10" max="10" width="9" bestFit="1" customWidth="1"/>
    <col min="11" max="11" width="39.140625" bestFit="1" customWidth="1"/>
    <col min="12" max="13" width="18.7109375" bestFit="1" customWidth="1"/>
  </cols>
  <sheetData>
    <row r="1" spans="1:13" s="167" customFormat="1" x14ac:dyDescent="0.25">
      <c r="A1" s="167" t="s">
        <v>389</v>
      </c>
      <c r="D1" s="167" t="s">
        <v>390</v>
      </c>
      <c r="J1" s="396">
        <v>14030341</v>
      </c>
      <c r="K1" s="396" t="s">
        <v>232</v>
      </c>
      <c r="L1" s="514"/>
      <c r="M1"/>
    </row>
    <row r="2" spans="1:13" x14ac:dyDescent="0.25">
      <c r="B2" s="397"/>
      <c r="D2">
        <v>13995368</v>
      </c>
      <c r="E2" s="397">
        <v>45386</v>
      </c>
      <c r="F2" s="398">
        <v>0.43160879629629628</v>
      </c>
      <c r="J2" s="396">
        <v>13923399</v>
      </c>
      <c r="K2" s="396" t="s">
        <v>178</v>
      </c>
    </row>
    <row r="3" spans="1:13" x14ac:dyDescent="0.25">
      <c r="B3" s="397"/>
      <c r="D3">
        <v>10792320</v>
      </c>
      <c r="E3" s="397">
        <v>45390</v>
      </c>
      <c r="F3" s="398">
        <v>0.87327546296296299</v>
      </c>
      <c r="J3" s="396">
        <v>9061378</v>
      </c>
      <c r="K3" s="396" t="s">
        <v>154</v>
      </c>
    </row>
    <row r="4" spans="1:13" x14ac:dyDescent="0.25">
      <c r="B4" s="397"/>
      <c r="D4">
        <v>10792320</v>
      </c>
      <c r="E4" s="397">
        <v>45391</v>
      </c>
      <c r="F4" s="398">
        <v>0.47818287037037038</v>
      </c>
      <c r="J4" s="396">
        <v>10776166</v>
      </c>
      <c r="K4" s="396" t="s">
        <v>131</v>
      </c>
    </row>
    <row r="5" spans="1:13" x14ac:dyDescent="0.25">
      <c r="D5">
        <v>14285667</v>
      </c>
      <c r="E5" s="397">
        <v>45391</v>
      </c>
      <c r="F5" s="398">
        <v>0.5645486111111111</v>
      </c>
      <c r="J5" s="396">
        <v>17008227</v>
      </c>
      <c r="K5" s="396" t="s">
        <v>163</v>
      </c>
    </row>
    <row r="6" spans="1:13" x14ac:dyDescent="0.25">
      <c r="D6">
        <v>10792320</v>
      </c>
      <c r="E6" s="397">
        <v>45391</v>
      </c>
      <c r="F6" s="398">
        <v>0.63942129629629629</v>
      </c>
      <c r="J6" s="396">
        <v>11777166</v>
      </c>
      <c r="K6" s="396" t="s">
        <v>421</v>
      </c>
    </row>
    <row r="7" spans="1:13" x14ac:dyDescent="0.25">
      <c r="D7">
        <v>10792320</v>
      </c>
      <c r="E7" s="397">
        <v>45392</v>
      </c>
      <c r="F7" s="398">
        <v>0.51545138888888886</v>
      </c>
      <c r="J7" s="396">
        <v>10792320</v>
      </c>
      <c r="K7" s="396" t="s">
        <v>168</v>
      </c>
    </row>
    <row r="8" spans="1:13" x14ac:dyDescent="0.25">
      <c r="D8">
        <v>10792320</v>
      </c>
      <c r="E8" s="397">
        <v>45394</v>
      </c>
      <c r="F8" s="398">
        <v>0.68560185185185185</v>
      </c>
      <c r="J8" s="396">
        <v>12338954</v>
      </c>
      <c r="K8" s="396" t="s">
        <v>132</v>
      </c>
    </row>
    <row r="9" spans="1:13" x14ac:dyDescent="0.25">
      <c r="D9">
        <v>10792320</v>
      </c>
      <c r="E9" s="397">
        <v>45394</v>
      </c>
      <c r="F9" s="398">
        <v>0.92431712962962964</v>
      </c>
      <c r="J9" s="396">
        <v>14696674</v>
      </c>
      <c r="K9" s="396" t="s">
        <v>148</v>
      </c>
      <c r="L9" s="514"/>
    </row>
    <row r="10" spans="1:13" x14ac:dyDescent="0.25">
      <c r="D10">
        <v>10792320</v>
      </c>
      <c r="E10" s="397">
        <v>45399</v>
      </c>
      <c r="F10" s="398">
        <v>0.67770833333333336</v>
      </c>
      <c r="J10" s="396">
        <v>17207137</v>
      </c>
      <c r="K10" s="396" t="s">
        <v>228</v>
      </c>
      <c r="L10" s="514"/>
    </row>
    <row r="11" spans="1:13" x14ac:dyDescent="0.25">
      <c r="D11">
        <v>10792320</v>
      </c>
      <c r="E11" s="397">
        <v>45401</v>
      </c>
      <c r="F11" s="398">
        <v>0.42016203703703708</v>
      </c>
      <c r="J11" s="396">
        <v>15651053</v>
      </c>
      <c r="K11" s="396" t="s">
        <v>176</v>
      </c>
    </row>
    <row r="12" spans="1:13" x14ac:dyDescent="0.25">
      <c r="D12">
        <v>10792320</v>
      </c>
      <c r="E12" s="397">
        <v>45406</v>
      </c>
      <c r="F12" s="398">
        <v>0.48488425925925926</v>
      </c>
      <c r="J12" s="396">
        <v>13008915</v>
      </c>
      <c r="K12" s="396" t="s">
        <v>149</v>
      </c>
    </row>
    <row r="13" spans="1:13" x14ac:dyDescent="0.25">
      <c r="D13">
        <v>10792320</v>
      </c>
      <c r="E13" s="397">
        <v>45406</v>
      </c>
      <c r="F13" s="398">
        <v>0.64502314814814821</v>
      </c>
      <c r="J13" s="396">
        <v>12200837</v>
      </c>
      <c r="K13" s="396" t="s">
        <v>174</v>
      </c>
    </row>
    <row r="14" spans="1:13" x14ac:dyDescent="0.25">
      <c r="D14">
        <v>10792320</v>
      </c>
      <c r="E14" s="397">
        <v>45406</v>
      </c>
      <c r="F14" s="398">
        <v>0.7713078703703703</v>
      </c>
      <c r="J14" s="396">
        <v>11371360</v>
      </c>
      <c r="K14" s="396" t="s">
        <v>169</v>
      </c>
    </row>
    <row r="15" spans="1:13" x14ac:dyDescent="0.25">
      <c r="D15">
        <v>10792320</v>
      </c>
      <c r="E15" s="397">
        <v>45406</v>
      </c>
      <c r="F15" s="398">
        <v>0.79569444444444448</v>
      </c>
      <c r="J15" s="396">
        <v>9096765</v>
      </c>
      <c r="K15" s="396" t="s">
        <v>158</v>
      </c>
    </row>
    <row r="16" spans="1:13" x14ac:dyDescent="0.25">
      <c r="D16">
        <v>10792320</v>
      </c>
      <c r="E16" s="397">
        <v>45406</v>
      </c>
      <c r="F16" s="398">
        <v>0.84357638888888886</v>
      </c>
      <c r="J16" s="396">
        <v>14497595</v>
      </c>
      <c r="K16" s="396" t="s">
        <v>459</v>
      </c>
    </row>
    <row r="17" spans="4:11" x14ac:dyDescent="0.25">
      <c r="D17">
        <v>11371360</v>
      </c>
      <c r="E17" s="397">
        <v>45408</v>
      </c>
      <c r="F17" s="398">
        <v>0.53798611111111116</v>
      </c>
      <c r="J17" s="396">
        <v>9441382</v>
      </c>
      <c r="K17" s="396" t="s">
        <v>458</v>
      </c>
    </row>
    <row r="18" spans="4:11" x14ac:dyDescent="0.25">
      <c r="D18">
        <v>10792320</v>
      </c>
      <c r="E18" s="397">
        <v>45408</v>
      </c>
      <c r="F18" s="398">
        <v>0.55320601851851847</v>
      </c>
      <c r="J18" s="396">
        <v>13891292</v>
      </c>
      <c r="K18" s="396" t="s">
        <v>164</v>
      </c>
    </row>
    <row r="19" spans="4:11" x14ac:dyDescent="0.25">
      <c r="D19">
        <v>10792320</v>
      </c>
      <c r="E19" s="397">
        <v>45415</v>
      </c>
      <c r="F19" s="398">
        <v>0.42738425925925921</v>
      </c>
      <c r="J19" s="396">
        <v>9078291</v>
      </c>
      <c r="K19" s="396" t="s">
        <v>165</v>
      </c>
    </row>
    <row r="20" spans="4:11" x14ac:dyDescent="0.25">
      <c r="D20">
        <v>10792320</v>
      </c>
      <c r="E20" s="397">
        <v>45415</v>
      </c>
      <c r="F20" s="398">
        <v>0.85354166666666664</v>
      </c>
      <c r="J20" s="396">
        <v>13954772</v>
      </c>
      <c r="K20" s="396" t="s">
        <v>128</v>
      </c>
    </row>
    <row r="21" spans="4:11" x14ac:dyDescent="0.25">
      <c r="D21">
        <v>10792320</v>
      </c>
      <c r="E21" s="397">
        <v>45416</v>
      </c>
      <c r="F21" s="398">
        <v>0.7528125</v>
      </c>
      <c r="J21" s="396">
        <v>14285667</v>
      </c>
      <c r="K21" s="396" t="s">
        <v>234</v>
      </c>
    </row>
    <row r="22" spans="4:11" x14ac:dyDescent="0.25">
      <c r="D22">
        <v>10792320</v>
      </c>
      <c r="E22" s="397">
        <v>45420</v>
      </c>
      <c r="F22" s="398">
        <v>0.45878472222222227</v>
      </c>
      <c r="J22" s="396">
        <v>13081521</v>
      </c>
      <c r="K22" s="396" t="s">
        <v>160</v>
      </c>
    </row>
    <row r="23" spans="4:11" x14ac:dyDescent="0.25">
      <c r="D23">
        <v>10792320</v>
      </c>
      <c r="E23" s="397">
        <v>45421</v>
      </c>
      <c r="F23" s="398">
        <v>0.42934027777777778</v>
      </c>
      <c r="J23" s="396">
        <v>15045519</v>
      </c>
      <c r="K23" s="396" t="s">
        <v>153</v>
      </c>
    </row>
    <row r="24" spans="4:11" x14ac:dyDescent="0.25">
      <c r="D24">
        <v>10792320</v>
      </c>
      <c r="E24" s="397">
        <v>45421</v>
      </c>
      <c r="F24" s="398">
        <v>0.43956018518518519</v>
      </c>
      <c r="J24" s="396">
        <v>14319912</v>
      </c>
      <c r="K24" s="396" t="s">
        <v>391</v>
      </c>
    </row>
    <row r="25" spans="4:11" x14ac:dyDescent="0.25">
      <c r="D25">
        <v>10792320</v>
      </c>
      <c r="E25" s="397">
        <v>45421</v>
      </c>
      <c r="F25" s="398">
        <v>0.47591435185185182</v>
      </c>
      <c r="J25" s="396">
        <v>13995368</v>
      </c>
      <c r="K25" s="396" t="s">
        <v>130</v>
      </c>
    </row>
    <row r="26" spans="4:11" x14ac:dyDescent="0.25">
      <c r="D26">
        <v>10792320</v>
      </c>
      <c r="E26" s="397">
        <v>45425</v>
      </c>
      <c r="F26" s="398">
        <v>0.45401620370370371</v>
      </c>
      <c r="J26" s="512"/>
      <c r="K26" s="512"/>
    </row>
    <row r="27" spans="4:11" x14ac:dyDescent="0.25">
      <c r="D27">
        <v>10792320</v>
      </c>
      <c r="E27" s="397">
        <v>45425</v>
      </c>
      <c r="F27" s="398">
        <v>0.46510416666666665</v>
      </c>
      <c r="J27" s="512"/>
      <c r="K27" s="512"/>
    </row>
    <row r="28" spans="4:11" x14ac:dyDescent="0.25">
      <c r="D28">
        <v>10792320</v>
      </c>
      <c r="E28" s="397">
        <v>45442</v>
      </c>
      <c r="F28" s="398">
        <v>0.77611111111111108</v>
      </c>
      <c r="J28" s="512"/>
      <c r="K28" s="512"/>
    </row>
    <row r="29" spans="4:11" x14ac:dyDescent="0.25">
      <c r="D29">
        <v>10792320</v>
      </c>
      <c r="E29" s="397">
        <v>45443</v>
      </c>
      <c r="F29" s="398">
        <v>0.43039351851851854</v>
      </c>
      <c r="J29" s="512"/>
      <c r="K29" s="512"/>
    </row>
    <row r="30" spans="4:11" x14ac:dyDescent="0.25">
      <c r="D30">
        <v>10792320</v>
      </c>
      <c r="E30" s="397">
        <v>45446</v>
      </c>
      <c r="F30" s="398">
        <v>0.53425925925925932</v>
      </c>
      <c r="J30" s="512"/>
      <c r="K30" s="512"/>
    </row>
    <row r="31" spans="4:11" x14ac:dyDescent="0.25">
      <c r="D31">
        <v>10792320</v>
      </c>
      <c r="E31" s="397">
        <v>45447</v>
      </c>
      <c r="F31" s="398">
        <v>0.43223379629629632</v>
      </c>
      <c r="J31" s="512"/>
      <c r="K31" s="512"/>
    </row>
    <row r="32" spans="4:11" x14ac:dyDescent="0.25">
      <c r="D32">
        <v>10792320</v>
      </c>
      <c r="E32" s="397">
        <v>45447</v>
      </c>
      <c r="F32" s="398">
        <v>0.50270833333333331</v>
      </c>
    </row>
    <row r="33" spans="4:6" x14ac:dyDescent="0.25">
      <c r="D33">
        <v>10792320</v>
      </c>
      <c r="E33" s="397">
        <v>45447</v>
      </c>
      <c r="F33" s="398">
        <v>0.51180555555555551</v>
      </c>
    </row>
    <row r="34" spans="4:6" x14ac:dyDescent="0.25">
      <c r="D34">
        <v>10792320</v>
      </c>
      <c r="E34" s="397">
        <v>45449</v>
      </c>
      <c r="F34" s="398">
        <v>0.48703703703703699</v>
      </c>
    </row>
    <row r="35" spans="4:6" x14ac:dyDescent="0.25">
      <c r="D35">
        <v>11371360</v>
      </c>
      <c r="E35" s="397">
        <v>45449</v>
      </c>
      <c r="F35" s="398">
        <v>0.56047453703703709</v>
      </c>
    </row>
    <row r="36" spans="4:6" x14ac:dyDescent="0.25">
      <c r="D36">
        <v>10792320</v>
      </c>
      <c r="E36" s="397">
        <v>45452</v>
      </c>
      <c r="F36" s="398">
        <v>0.78324074074074079</v>
      </c>
    </row>
    <row r="37" spans="4:6" x14ac:dyDescent="0.25">
      <c r="D37">
        <v>10792320</v>
      </c>
      <c r="E37" s="397">
        <v>45453</v>
      </c>
      <c r="F37" s="398">
        <v>0.44137731481481479</v>
      </c>
    </row>
    <row r="38" spans="4:6" x14ac:dyDescent="0.25">
      <c r="D38">
        <v>10792320</v>
      </c>
      <c r="E38" s="397">
        <v>45453</v>
      </c>
      <c r="F38" s="398">
        <v>0.84445601851851848</v>
      </c>
    </row>
    <row r="39" spans="4:6" x14ac:dyDescent="0.25">
      <c r="D39">
        <v>10792320</v>
      </c>
      <c r="E39" s="397">
        <v>45454</v>
      </c>
      <c r="F39" s="398">
        <v>0.91950231481481481</v>
      </c>
    </row>
    <row r="40" spans="4:6" x14ac:dyDescent="0.25">
      <c r="D40">
        <v>10792320</v>
      </c>
      <c r="E40" s="397">
        <v>45462</v>
      </c>
      <c r="F40" s="398">
        <v>0.6542013888888889</v>
      </c>
    </row>
    <row r="41" spans="4:6" x14ac:dyDescent="0.25">
      <c r="D41">
        <v>10792320</v>
      </c>
      <c r="E41" s="397">
        <v>45483</v>
      </c>
      <c r="F41" s="398">
        <v>0.52287037037037032</v>
      </c>
    </row>
    <row r="42" spans="4:6" x14ac:dyDescent="0.25">
      <c r="D42">
        <v>10792320</v>
      </c>
      <c r="E42" s="397">
        <v>45485</v>
      </c>
      <c r="F42" s="398">
        <v>0.52087962962962964</v>
      </c>
    </row>
    <row r="43" spans="4:6" x14ac:dyDescent="0.25">
      <c r="D43">
        <v>10792320</v>
      </c>
      <c r="E43" s="397">
        <v>45492</v>
      </c>
      <c r="F43" s="398">
        <v>0.87553240740740745</v>
      </c>
    </row>
    <row r="44" spans="4:6" x14ac:dyDescent="0.25">
      <c r="D44">
        <v>10792320</v>
      </c>
      <c r="E44" s="397">
        <v>45496</v>
      </c>
      <c r="F44" s="398">
        <v>0.44319444444444445</v>
      </c>
    </row>
    <row r="45" spans="4:6" x14ac:dyDescent="0.25">
      <c r="D45">
        <v>10792320</v>
      </c>
      <c r="E45" s="397">
        <v>45497</v>
      </c>
      <c r="F45" s="398">
        <v>0.42273148148148149</v>
      </c>
    </row>
    <row r="46" spans="4:6" x14ac:dyDescent="0.25">
      <c r="D46">
        <v>10792320</v>
      </c>
      <c r="E46" s="397">
        <v>45511</v>
      </c>
      <c r="F46" s="398">
        <v>0.42969907407407409</v>
      </c>
    </row>
    <row r="47" spans="4:6" x14ac:dyDescent="0.25">
      <c r="D47">
        <v>10792320</v>
      </c>
      <c r="E47" s="397">
        <v>45516</v>
      </c>
      <c r="F47" s="398">
        <v>0.47001157407407407</v>
      </c>
    </row>
    <row r="48" spans="4:6" x14ac:dyDescent="0.25">
      <c r="D48">
        <v>10792320</v>
      </c>
      <c r="E48" s="397">
        <v>45516</v>
      </c>
      <c r="F48" s="398">
        <v>0.80082175925925925</v>
      </c>
    </row>
    <row r="49" spans="4:6" x14ac:dyDescent="0.25">
      <c r="D49">
        <v>10792320</v>
      </c>
      <c r="E49" s="397">
        <v>45516</v>
      </c>
      <c r="F49" s="398">
        <v>0.91701388888888891</v>
      </c>
    </row>
    <row r="50" spans="4:6" x14ac:dyDescent="0.25">
      <c r="D50">
        <v>10792320</v>
      </c>
      <c r="E50" s="397">
        <v>45517</v>
      </c>
      <c r="F50" s="398">
        <v>0.44261574074074073</v>
      </c>
    </row>
    <row r="51" spans="4:6" x14ac:dyDescent="0.25">
      <c r="D51">
        <v>10792320</v>
      </c>
      <c r="E51" s="397">
        <v>45522</v>
      </c>
      <c r="F51" s="398">
        <v>0.50233796296296296</v>
      </c>
    </row>
    <row r="52" spans="4:6" x14ac:dyDescent="0.25">
      <c r="D52">
        <v>10792320</v>
      </c>
      <c r="E52" s="397">
        <v>45533</v>
      </c>
      <c r="F52" s="398">
        <v>0.44197916666666665</v>
      </c>
    </row>
    <row r="53" spans="4:6" x14ac:dyDescent="0.25">
      <c r="D53">
        <v>10792320</v>
      </c>
      <c r="E53" s="397">
        <v>45538</v>
      </c>
      <c r="F53" s="398">
        <v>0.41895833333333332</v>
      </c>
    </row>
    <row r="54" spans="4:6" x14ac:dyDescent="0.25">
      <c r="D54">
        <v>10792320</v>
      </c>
      <c r="E54" s="397">
        <v>45538</v>
      </c>
      <c r="F54" s="398">
        <v>0.67599537037037039</v>
      </c>
    </row>
    <row r="55" spans="4:6" x14ac:dyDescent="0.25">
      <c r="D55">
        <v>10792320</v>
      </c>
      <c r="E55" s="397">
        <v>45539</v>
      </c>
      <c r="F55" s="398">
        <v>0.47949074074074072</v>
      </c>
    </row>
    <row r="56" spans="4:6" x14ac:dyDescent="0.25">
      <c r="D56">
        <v>10792320</v>
      </c>
      <c r="E56" s="397">
        <v>45540</v>
      </c>
      <c r="F56" s="398">
        <v>0.54664351851851856</v>
      </c>
    </row>
    <row r="57" spans="4:6" x14ac:dyDescent="0.25">
      <c r="D57">
        <v>10792320</v>
      </c>
      <c r="E57" s="397">
        <v>45540</v>
      </c>
      <c r="F57" s="398">
        <v>0.56776620370370368</v>
      </c>
    </row>
    <row r="58" spans="4:6" x14ac:dyDescent="0.25">
      <c r="D58">
        <v>10792320</v>
      </c>
      <c r="E58" s="397">
        <v>45558</v>
      </c>
      <c r="F58" s="398">
        <v>0.53666666666666663</v>
      </c>
    </row>
    <row r="59" spans="4:6" x14ac:dyDescent="0.25">
      <c r="D59">
        <v>10792320</v>
      </c>
      <c r="E59" s="397">
        <v>45558</v>
      </c>
      <c r="F59" s="398">
        <v>0.674224537037037</v>
      </c>
    </row>
    <row r="60" spans="4:6" x14ac:dyDescent="0.25">
      <c r="D60">
        <v>10792320</v>
      </c>
      <c r="E60" s="397">
        <v>45561</v>
      </c>
      <c r="F60" s="398">
        <v>0.44696759259259261</v>
      </c>
    </row>
    <row r="61" spans="4:6" x14ac:dyDescent="0.25">
      <c r="D61">
        <v>10792320</v>
      </c>
      <c r="E61" s="397">
        <v>45566</v>
      </c>
      <c r="F61" s="398">
        <v>0.49841435185185184</v>
      </c>
    </row>
    <row r="62" spans="4:6" x14ac:dyDescent="0.25">
      <c r="D62">
        <v>10792320</v>
      </c>
      <c r="E62" s="397">
        <v>45566</v>
      </c>
      <c r="F62" s="398">
        <v>0.69009259259259259</v>
      </c>
    </row>
    <row r="63" spans="4:6" x14ac:dyDescent="0.25">
      <c r="D63">
        <v>10792320</v>
      </c>
      <c r="E63" s="397">
        <v>45566</v>
      </c>
      <c r="F63" s="398">
        <v>0.73097222222222225</v>
      </c>
    </row>
    <row r="64" spans="4:6" x14ac:dyDescent="0.25">
      <c r="D64">
        <v>10792320</v>
      </c>
      <c r="E64" s="397">
        <v>45568</v>
      </c>
      <c r="F64" s="398">
        <v>0.66230324074074076</v>
      </c>
    </row>
    <row r="65" spans="4:6" x14ac:dyDescent="0.25">
      <c r="D65">
        <v>10792320</v>
      </c>
      <c r="E65" s="397">
        <v>45572</v>
      </c>
      <c r="F65" s="398">
        <v>0.71909722222222228</v>
      </c>
    </row>
    <row r="66" spans="4:6" x14ac:dyDescent="0.25">
      <c r="D66">
        <v>10792320</v>
      </c>
      <c r="E66" s="397">
        <v>45574</v>
      </c>
      <c r="F66" s="398">
        <v>0.61439814814814819</v>
      </c>
    </row>
    <row r="67" spans="4:6" x14ac:dyDescent="0.25">
      <c r="D67">
        <v>14497595</v>
      </c>
      <c r="E67" s="397">
        <v>45574</v>
      </c>
      <c r="F67" s="398">
        <v>0.70758101851851851</v>
      </c>
    </row>
    <row r="68" spans="4:6" x14ac:dyDescent="0.25">
      <c r="D68">
        <v>10792320</v>
      </c>
      <c r="E68" s="397">
        <v>45574</v>
      </c>
      <c r="F68" s="398">
        <v>0.75009259259259264</v>
      </c>
    </row>
    <row r="69" spans="4:6" x14ac:dyDescent="0.25">
      <c r="D69">
        <v>10792320</v>
      </c>
      <c r="E69" s="397">
        <v>45574</v>
      </c>
      <c r="F69" s="398">
        <v>0.78681712962962957</v>
      </c>
    </row>
    <row r="70" spans="4:6" x14ac:dyDescent="0.25">
      <c r="D70">
        <v>10792320</v>
      </c>
      <c r="E70" s="397">
        <v>45574</v>
      </c>
      <c r="F70" s="398">
        <v>0.90103009259259259</v>
      </c>
    </row>
    <row r="71" spans="4:6" x14ac:dyDescent="0.25">
      <c r="D71">
        <v>10792320</v>
      </c>
      <c r="E71" s="397">
        <v>45576</v>
      </c>
      <c r="F71" s="398">
        <v>0.87140046296296292</v>
      </c>
    </row>
    <row r="72" spans="4:6" x14ac:dyDescent="0.25">
      <c r="D72">
        <v>10792320</v>
      </c>
      <c r="E72" s="397">
        <v>45579</v>
      </c>
      <c r="F72" s="398">
        <v>0.50571759259259264</v>
      </c>
    </row>
    <row r="73" spans="4:6" x14ac:dyDescent="0.25">
      <c r="D73">
        <v>10792320</v>
      </c>
      <c r="E73" s="397">
        <v>45579</v>
      </c>
      <c r="F73" s="398">
        <v>0.56398148148148153</v>
      </c>
    </row>
    <row r="74" spans="4:6" x14ac:dyDescent="0.25">
      <c r="D74">
        <v>10792320</v>
      </c>
      <c r="E74" s="397">
        <v>45580</v>
      </c>
      <c r="F74" s="398">
        <v>0.43991898148148151</v>
      </c>
    </row>
    <row r="75" spans="4:6" x14ac:dyDescent="0.25">
      <c r="D75">
        <v>10792320</v>
      </c>
      <c r="E75" s="397">
        <v>45582</v>
      </c>
      <c r="F75" s="398">
        <v>0.52666666666666662</v>
      </c>
    </row>
    <row r="76" spans="4:6" x14ac:dyDescent="0.25">
      <c r="D76">
        <v>10792320</v>
      </c>
      <c r="E76" s="397">
        <v>45587</v>
      </c>
      <c r="F76" s="398">
        <v>0.7663078703703704</v>
      </c>
    </row>
    <row r="77" spans="4:6" x14ac:dyDescent="0.25">
      <c r="D77">
        <v>10792320</v>
      </c>
      <c r="E77" s="397">
        <v>45589</v>
      </c>
      <c r="F77" s="398">
        <v>0.43229166666666669</v>
      </c>
    </row>
    <row r="78" spans="4:6" x14ac:dyDescent="0.25">
      <c r="D78">
        <v>10792320</v>
      </c>
      <c r="E78" s="397">
        <v>45594</v>
      </c>
      <c r="F78" s="398">
        <v>0.71859953703703705</v>
      </c>
    </row>
    <row r="79" spans="4:6" x14ac:dyDescent="0.25">
      <c r="D79">
        <v>10792320</v>
      </c>
      <c r="E79" s="397">
        <v>45594</v>
      </c>
      <c r="F79" s="398">
        <v>0.794525462962963</v>
      </c>
    </row>
    <row r="80" spans="4:6" x14ac:dyDescent="0.25">
      <c r="D80">
        <v>10792320</v>
      </c>
      <c r="E80" s="397">
        <v>45600</v>
      </c>
      <c r="F80" s="398">
        <v>0.42988425925925927</v>
      </c>
    </row>
    <row r="81" spans="4:6" x14ac:dyDescent="0.25">
      <c r="D81">
        <v>10792320</v>
      </c>
      <c r="E81" s="397">
        <v>45603</v>
      </c>
      <c r="F81" s="398">
        <v>0.49934027777777779</v>
      </c>
    </row>
    <row r="82" spans="4:6" x14ac:dyDescent="0.25">
      <c r="D82">
        <v>10792320</v>
      </c>
      <c r="E82" s="397">
        <v>45618</v>
      </c>
      <c r="F82" s="398">
        <v>0.20749999999999999</v>
      </c>
    </row>
    <row r="83" spans="4:6" x14ac:dyDescent="0.25">
      <c r="D83">
        <v>10792320</v>
      </c>
      <c r="E83" s="397">
        <v>45621</v>
      </c>
      <c r="F83" s="398">
        <v>0.72228009259259263</v>
      </c>
    </row>
    <row r="84" spans="4:6" x14ac:dyDescent="0.25">
      <c r="D84">
        <v>10792320</v>
      </c>
      <c r="E84" s="397">
        <v>45629</v>
      </c>
      <c r="F84" s="398">
        <v>0.42174768518518518</v>
      </c>
    </row>
    <row r="85" spans="4:6" x14ac:dyDescent="0.25">
      <c r="D85">
        <v>10792320</v>
      </c>
      <c r="E85" s="397">
        <v>45629</v>
      </c>
      <c r="F85" s="398">
        <v>0.54539351851851847</v>
      </c>
    </row>
    <row r="86" spans="4:6" x14ac:dyDescent="0.25">
      <c r="D86">
        <v>10792320</v>
      </c>
      <c r="E86" s="397">
        <v>45631</v>
      </c>
      <c r="F86" s="398">
        <v>0.41715277777777776</v>
      </c>
    </row>
    <row r="87" spans="4:6" x14ac:dyDescent="0.25">
      <c r="D87">
        <v>10792320</v>
      </c>
      <c r="E87" s="397">
        <v>45631</v>
      </c>
      <c r="F87" s="398">
        <v>0.47491898148148148</v>
      </c>
    </row>
    <row r="88" spans="4:6" x14ac:dyDescent="0.25">
      <c r="D88">
        <v>10792320</v>
      </c>
      <c r="E88" s="397">
        <v>45632</v>
      </c>
      <c r="F88" s="398">
        <v>0.68998842592592591</v>
      </c>
    </row>
    <row r="89" spans="4:6" x14ac:dyDescent="0.25">
      <c r="D89">
        <v>10792320</v>
      </c>
      <c r="E89" s="397">
        <v>45637</v>
      </c>
      <c r="F89" s="398">
        <v>0.70594907407407403</v>
      </c>
    </row>
    <row r="90" spans="4:6" x14ac:dyDescent="0.25">
      <c r="D90">
        <v>10792320</v>
      </c>
      <c r="E90" s="397">
        <v>45637</v>
      </c>
      <c r="F90" s="398">
        <v>0.73258101851851853</v>
      </c>
    </row>
    <row r="91" spans="4:6" x14ac:dyDescent="0.25">
      <c r="D91">
        <v>10792320</v>
      </c>
      <c r="E91" s="397">
        <v>45637</v>
      </c>
      <c r="F91" s="398">
        <v>0.7452199074074074</v>
      </c>
    </row>
    <row r="92" spans="4:6" x14ac:dyDescent="0.25">
      <c r="D92">
        <v>10792320</v>
      </c>
      <c r="E92" s="397">
        <v>45637</v>
      </c>
      <c r="F92" s="398">
        <v>0.96878472222222223</v>
      </c>
    </row>
    <row r="93" spans="4:6" x14ac:dyDescent="0.25">
      <c r="D93">
        <v>10792320</v>
      </c>
      <c r="E93" s="397">
        <v>45638</v>
      </c>
      <c r="F93" s="398">
        <v>0.43931712962962965</v>
      </c>
    </row>
    <row r="94" spans="4:6" x14ac:dyDescent="0.25">
      <c r="D94">
        <v>10792320</v>
      </c>
      <c r="E94" s="397">
        <v>45638</v>
      </c>
      <c r="F94" s="398">
        <v>0.47710648148148149</v>
      </c>
    </row>
    <row r="95" spans="4:6" x14ac:dyDescent="0.25">
      <c r="D95">
        <v>10792320</v>
      </c>
      <c r="E95" s="397">
        <v>45643</v>
      </c>
      <c r="F95" s="398">
        <v>0.41011574074074075</v>
      </c>
    </row>
    <row r="96" spans="4:6" x14ac:dyDescent="0.25">
      <c r="D96">
        <v>10792320</v>
      </c>
      <c r="E96" s="397">
        <v>45653</v>
      </c>
      <c r="F96" s="398">
        <v>0.43631944444444443</v>
      </c>
    </row>
    <row r="97" spans="4:6" x14ac:dyDescent="0.25">
      <c r="D97">
        <v>10792320</v>
      </c>
      <c r="E97" s="397">
        <v>45660</v>
      </c>
      <c r="F97" s="398">
        <v>0.88282407407407404</v>
      </c>
    </row>
    <row r="98" spans="4:6" x14ac:dyDescent="0.25">
      <c r="D98">
        <v>10792320</v>
      </c>
      <c r="E98" s="397">
        <v>45701</v>
      </c>
      <c r="F98" s="398">
        <v>0.46270833333333333</v>
      </c>
    </row>
    <row r="99" spans="4:6" x14ac:dyDescent="0.25">
      <c r="D99">
        <v>10792320</v>
      </c>
      <c r="E99" s="397">
        <v>45708</v>
      </c>
      <c r="F99" s="398">
        <v>0.66156250000000005</v>
      </c>
    </row>
    <row r="100" spans="4:6" x14ac:dyDescent="0.25">
      <c r="D100">
        <v>10792320</v>
      </c>
      <c r="E100" s="397">
        <v>45708</v>
      </c>
      <c r="F100" s="398">
        <v>0.92743055555555554</v>
      </c>
    </row>
    <row r="101" spans="4:6" x14ac:dyDescent="0.25">
      <c r="D101">
        <v>10792320</v>
      </c>
      <c r="E101" s="397">
        <v>45712</v>
      </c>
      <c r="F101" s="398">
        <v>0.70151620370370371</v>
      </c>
    </row>
    <row r="102" spans="4:6" x14ac:dyDescent="0.25">
      <c r="D102">
        <v>10792320</v>
      </c>
      <c r="E102" s="397">
        <v>45712</v>
      </c>
      <c r="F102" s="398">
        <v>0.7146527777777778</v>
      </c>
    </row>
    <row r="103" spans="4:6" x14ac:dyDescent="0.25">
      <c r="D103">
        <v>10776166</v>
      </c>
      <c r="E103" s="397">
        <v>45713</v>
      </c>
      <c r="F103" s="398">
        <v>0.48787037037037034</v>
      </c>
    </row>
    <row r="104" spans="4:6" x14ac:dyDescent="0.25">
      <c r="D104">
        <v>10792320</v>
      </c>
      <c r="E104" s="397">
        <v>45713</v>
      </c>
      <c r="F104" s="398">
        <v>0.85450231481481487</v>
      </c>
    </row>
    <row r="105" spans="4:6" x14ac:dyDescent="0.25">
      <c r="D105">
        <v>10792320</v>
      </c>
      <c r="E105" s="397">
        <v>45714</v>
      </c>
      <c r="F105" s="398">
        <v>0.44391203703703702</v>
      </c>
    </row>
    <row r="106" spans="4:6" x14ac:dyDescent="0.25">
      <c r="D106">
        <v>10792320</v>
      </c>
      <c r="E106" s="397">
        <v>45719</v>
      </c>
      <c r="F106" s="398">
        <v>0.57280092592592591</v>
      </c>
    </row>
    <row r="107" spans="4:6" x14ac:dyDescent="0.25">
      <c r="D107">
        <v>10792320</v>
      </c>
      <c r="E107" s="397">
        <v>45719</v>
      </c>
      <c r="F107" s="398">
        <v>0.67116898148148152</v>
      </c>
    </row>
    <row r="108" spans="4:6" x14ac:dyDescent="0.25">
      <c r="D108">
        <v>10792320</v>
      </c>
      <c r="E108" s="397">
        <v>45719</v>
      </c>
      <c r="F108" s="398">
        <v>0.82495370370370369</v>
      </c>
    </row>
    <row r="109" spans="4:6" x14ac:dyDescent="0.25">
      <c r="D109">
        <v>10792320</v>
      </c>
      <c r="E109" s="397">
        <v>45721</v>
      </c>
      <c r="F109" s="398">
        <v>0.50481481481481483</v>
      </c>
    </row>
    <row r="110" spans="4:6" x14ac:dyDescent="0.25">
      <c r="D110">
        <v>10792320</v>
      </c>
      <c r="E110" s="397">
        <v>45721</v>
      </c>
      <c r="F110" s="398">
        <v>0.62878472222222226</v>
      </c>
    </row>
    <row r="111" spans="4:6" x14ac:dyDescent="0.25">
      <c r="D111">
        <v>10792320</v>
      </c>
      <c r="E111" s="397">
        <v>45723</v>
      </c>
      <c r="F111" s="398">
        <v>0.76642361111111112</v>
      </c>
    </row>
    <row r="112" spans="4:6" x14ac:dyDescent="0.25">
      <c r="D112">
        <v>10792320</v>
      </c>
      <c r="E112" s="397">
        <v>45723</v>
      </c>
      <c r="F112" s="398">
        <v>0.83678240740740739</v>
      </c>
    </row>
    <row r="113" spans="4:6" x14ac:dyDescent="0.25">
      <c r="D113">
        <v>10792320</v>
      </c>
      <c r="E113" s="397">
        <v>45723</v>
      </c>
      <c r="F113" s="398">
        <v>0.838287037037037</v>
      </c>
    </row>
    <row r="114" spans="4:6" x14ac:dyDescent="0.25">
      <c r="D114">
        <v>10792320</v>
      </c>
      <c r="E114" s="397">
        <v>45723</v>
      </c>
      <c r="F114" s="398">
        <v>0.83855324074074078</v>
      </c>
    </row>
    <row r="115" spans="4:6" x14ac:dyDescent="0.25">
      <c r="D115">
        <v>10792320</v>
      </c>
      <c r="E115" s="397">
        <v>45723</v>
      </c>
      <c r="F115" s="398">
        <v>0.83902777777777782</v>
      </c>
    </row>
    <row r="116" spans="4:6" x14ac:dyDescent="0.25">
      <c r="D116">
        <v>10792320</v>
      </c>
      <c r="E116" s="397">
        <v>45725</v>
      </c>
      <c r="F116" s="398">
        <v>0.83672453703703709</v>
      </c>
    </row>
    <row r="117" spans="4:6" x14ac:dyDescent="0.25">
      <c r="D117">
        <v>10792320</v>
      </c>
      <c r="E117" s="397">
        <v>45725</v>
      </c>
      <c r="F117" s="398">
        <v>0.91280092592592588</v>
      </c>
    </row>
    <row r="118" spans="4:6" x14ac:dyDescent="0.25">
      <c r="D118">
        <v>10792320</v>
      </c>
      <c r="E118" s="397">
        <v>45726</v>
      </c>
      <c r="F118" s="398">
        <v>4.9062500000000002E-2</v>
      </c>
    </row>
    <row r="119" spans="4:6" x14ac:dyDescent="0.25">
      <c r="D119">
        <v>10792320</v>
      </c>
      <c r="E119" s="397">
        <v>45727</v>
      </c>
      <c r="F119" s="398">
        <v>0.81010416666666663</v>
      </c>
    </row>
    <row r="120" spans="4:6" x14ac:dyDescent="0.25">
      <c r="D120">
        <v>10792320</v>
      </c>
      <c r="E120" s="397">
        <v>45727</v>
      </c>
      <c r="F120" s="398">
        <v>0.89045138888888886</v>
      </c>
    </row>
    <row r="121" spans="4:6" x14ac:dyDescent="0.25">
      <c r="D121">
        <v>10792320</v>
      </c>
      <c r="E121" s="397">
        <v>45730</v>
      </c>
      <c r="F121" s="398">
        <v>0.41645833333333332</v>
      </c>
    </row>
    <row r="122" spans="4:6" x14ac:dyDescent="0.25">
      <c r="D122">
        <v>10792320</v>
      </c>
      <c r="E122" s="397">
        <v>45733</v>
      </c>
      <c r="F122" s="398">
        <v>0.51850694444444445</v>
      </c>
    </row>
    <row r="123" spans="4:6" x14ac:dyDescent="0.25">
      <c r="D123">
        <v>10792320</v>
      </c>
      <c r="E123" s="397">
        <v>45734</v>
      </c>
      <c r="F123" s="398">
        <v>0.54730324074074077</v>
      </c>
    </row>
    <row r="124" spans="4:6" x14ac:dyDescent="0.25">
      <c r="D124">
        <v>10792320</v>
      </c>
      <c r="E124" s="397">
        <v>45734</v>
      </c>
      <c r="F124" s="398">
        <v>0.5478587962962963</v>
      </c>
    </row>
    <row r="125" spans="4:6" x14ac:dyDescent="0.25">
      <c r="D125">
        <v>10792320</v>
      </c>
      <c r="E125" s="397">
        <v>45734</v>
      </c>
      <c r="F125" s="398">
        <v>0.97723379629629625</v>
      </c>
    </row>
    <row r="126" spans="4:6" x14ac:dyDescent="0.25">
      <c r="D126">
        <v>10792320</v>
      </c>
      <c r="E126" s="397">
        <v>45735</v>
      </c>
      <c r="F126" s="398">
        <v>8.6307870370370368E-2</v>
      </c>
    </row>
    <row r="127" spans="4:6" x14ac:dyDescent="0.25">
      <c r="D127">
        <v>10792320</v>
      </c>
      <c r="E127" s="397">
        <v>45735</v>
      </c>
      <c r="F127" s="398">
        <v>0.46961805555555558</v>
      </c>
    </row>
    <row r="128" spans="4:6" x14ac:dyDescent="0.25">
      <c r="D128">
        <v>10792320</v>
      </c>
      <c r="E128" s="397">
        <v>45735</v>
      </c>
      <c r="F128" s="398">
        <v>0.68429398148148146</v>
      </c>
    </row>
    <row r="129" spans="4:6" x14ac:dyDescent="0.25">
      <c r="D129">
        <v>10792320</v>
      </c>
      <c r="E129" s="397">
        <v>45736</v>
      </c>
      <c r="F129" s="398">
        <v>0.55687500000000001</v>
      </c>
    </row>
    <row r="130" spans="4:6" x14ac:dyDescent="0.25">
      <c r="D130">
        <v>10792320</v>
      </c>
      <c r="E130" s="397">
        <v>45737</v>
      </c>
      <c r="F130" s="398">
        <v>2.8182870370370372E-2</v>
      </c>
    </row>
    <row r="131" spans="4:6" x14ac:dyDescent="0.25">
      <c r="D131">
        <v>10792320</v>
      </c>
      <c r="E131" s="397">
        <v>45737</v>
      </c>
      <c r="F131" s="398">
        <v>0.67841435185185184</v>
      </c>
    </row>
    <row r="132" spans="4:6" x14ac:dyDescent="0.25">
      <c r="D132">
        <v>10792320</v>
      </c>
      <c r="E132" s="397">
        <v>45737</v>
      </c>
      <c r="F132" s="398">
        <v>0.9810416666666667</v>
      </c>
    </row>
    <row r="133" spans="4:6" x14ac:dyDescent="0.25">
      <c r="D133">
        <v>10792320</v>
      </c>
      <c r="E133" s="397">
        <v>45738</v>
      </c>
      <c r="F133" s="398">
        <v>0.92652777777777773</v>
      </c>
    </row>
    <row r="134" spans="4:6" x14ac:dyDescent="0.25">
      <c r="D134">
        <v>17207137</v>
      </c>
      <c r="E134" s="397">
        <v>45742</v>
      </c>
      <c r="F134" s="398">
        <v>0.51184027777777774</v>
      </c>
    </row>
    <row r="135" spans="4:6" x14ac:dyDescent="0.25">
      <c r="D135">
        <v>10792320</v>
      </c>
      <c r="E135" s="397">
        <v>45742</v>
      </c>
      <c r="F135" s="398">
        <v>0.60450231481481487</v>
      </c>
    </row>
    <row r="136" spans="4:6" x14ac:dyDescent="0.25">
      <c r="D136">
        <v>10792320</v>
      </c>
      <c r="E136" s="397">
        <v>45742</v>
      </c>
      <c r="F136" s="398">
        <v>0.62229166666666669</v>
      </c>
    </row>
    <row r="137" spans="4:6" x14ac:dyDescent="0.25">
      <c r="D137">
        <v>10792320</v>
      </c>
      <c r="E137" s="397">
        <v>45742</v>
      </c>
      <c r="F137" s="398">
        <v>0.80302083333333329</v>
      </c>
    </row>
    <row r="138" spans="4:6" x14ac:dyDescent="0.25">
      <c r="D138">
        <v>10792320</v>
      </c>
      <c r="E138" s="397">
        <v>45743</v>
      </c>
      <c r="F138" s="398">
        <v>0.42478009259259258</v>
      </c>
    </row>
    <row r="139" spans="4:6" x14ac:dyDescent="0.25">
      <c r="D139">
        <v>10792320</v>
      </c>
      <c r="E139" s="397">
        <v>45744</v>
      </c>
      <c r="F139" s="398">
        <v>0.81832175925925921</v>
      </c>
    </row>
    <row r="140" spans="4:6" x14ac:dyDescent="0.25">
      <c r="D140">
        <v>10792320</v>
      </c>
      <c r="E140" s="397">
        <v>45745</v>
      </c>
      <c r="F140" s="398">
        <v>0.54682870370370373</v>
      </c>
    </row>
    <row r="141" spans="4:6" x14ac:dyDescent="0.25">
      <c r="D141">
        <v>10792320</v>
      </c>
      <c r="E141" s="397">
        <v>45748</v>
      </c>
      <c r="F141" s="398">
        <v>0.78390046296296301</v>
      </c>
    </row>
    <row r="142" spans="4:6" x14ac:dyDescent="0.25">
      <c r="D142">
        <v>10792320</v>
      </c>
      <c r="E142" s="397">
        <v>45750</v>
      </c>
      <c r="F142" s="398">
        <v>0.49386574074074074</v>
      </c>
    </row>
    <row r="143" spans="4:6" x14ac:dyDescent="0.25">
      <c r="D143">
        <v>10792320</v>
      </c>
      <c r="E143" s="397">
        <v>45750</v>
      </c>
      <c r="F143" s="398">
        <v>0.66668981481481482</v>
      </c>
    </row>
    <row r="144" spans="4:6" x14ac:dyDescent="0.25">
      <c r="D144">
        <v>10792320</v>
      </c>
      <c r="E144" s="397">
        <v>45750</v>
      </c>
      <c r="F144" s="398">
        <v>0.82534722222222223</v>
      </c>
    </row>
  </sheetData>
  <sortState xmlns:xlrd2="http://schemas.microsoft.com/office/spreadsheetml/2017/richdata2" ref="M1:M33">
    <sortCondition ref="M1:M3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2BFEB-9FFB-4872-9A8C-ED4D1EB5C71F}">
  <sheetPr codeName="Hoja2">
    <tabColor theme="1"/>
  </sheetPr>
  <dimension ref="A3:L20"/>
  <sheetViews>
    <sheetView showGridLines="0" tabSelected="1" zoomScaleNormal="100" workbookViewId="0">
      <pane xSplit="16" ySplit="28" topLeftCell="W32" activePane="bottomRight" state="frozen"/>
      <selection activeCell="L160" sqref="L160:M162"/>
      <selection pane="topRight" activeCell="L160" sqref="L160:M162"/>
      <selection pane="bottomLeft" activeCell="L160" sqref="L160:M162"/>
      <selection pane="bottomRight" activeCell="L160" sqref="L160:M162"/>
    </sheetView>
  </sheetViews>
  <sheetFormatPr baseColWidth="10" defaultColWidth="12.7109375" defaultRowHeight="15" x14ac:dyDescent="0.25"/>
  <cols>
    <col min="1" max="8" width="12.7109375" style="168" customWidth="1"/>
    <col min="9" max="12" width="12.7109375" style="169" customWidth="1"/>
    <col min="13" max="13" width="12.7109375" style="170" customWidth="1"/>
    <col min="14" max="16384" width="12.7109375" style="170"/>
  </cols>
  <sheetData>
    <row r="3" spans="1:12" x14ac:dyDescent="0.25">
      <c r="B3" s="932" t="s">
        <v>467</v>
      </c>
      <c r="C3" s="932"/>
      <c r="D3" s="932"/>
      <c r="E3" s="932"/>
      <c r="F3" s="932"/>
      <c r="G3" s="932"/>
      <c r="H3" s="932"/>
      <c r="I3" s="932"/>
      <c r="J3" s="932"/>
      <c r="K3" s="932"/>
      <c r="L3" s="932"/>
    </row>
    <row r="4" spans="1:12" x14ac:dyDescent="0.25">
      <c r="B4" s="932"/>
      <c r="C4" s="932"/>
      <c r="D4" s="932"/>
      <c r="E4" s="932"/>
      <c r="F4" s="932"/>
      <c r="G4" s="932"/>
      <c r="H4" s="932"/>
      <c r="I4" s="932"/>
      <c r="J4" s="932"/>
      <c r="K4" s="932"/>
      <c r="L4" s="932"/>
    </row>
    <row r="9" spans="1:12" s="171" customFormat="1" x14ac:dyDescent="0.25">
      <c r="A9" s="168"/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</row>
    <row r="10" spans="1:12" s="171" customFormat="1" x14ac:dyDescent="0.25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</row>
    <row r="11" spans="1:12" s="171" customFormat="1" x14ac:dyDescent="0.25">
      <c r="A11" s="168"/>
      <c r="B11" s="168"/>
      <c r="C11" s="168"/>
      <c r="D11" s="168"/>
      <c r="E11" s="168"/>
      <c r="F11" s="168"/>
      <c r="G11" s="168"/>
      <c r="H11" s="168"/>
      <c r="I11" s="168"/>
      <c r="J11" s="168"/>
      <c r="K11" s="168"/>
      <c r="L11" s="168"/>
    </row>
    <row r="20" spans="1:12" s="173" customFormat="1" x14ac:dyDescent="0.25">
      <c r="A20" s="172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</row>
  </sheetData>
  <sheetProtection sheet="1" objects="1" scenarios="1" selectLockedCells="1"/>
  <mergeCells count="1">
    <mergeCell ref="B3:L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75983-F66C-40E1-A2ED-DDBA1C0EE9CB}">
  <sheetPr codeName="Hoja19"/>
  <dimension ref="A1:P22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13" sqref="L13"/>
    </sheetView>
  </sheetViews>
  <sheetFormatPr baseColWidth="10" defaultRowHeight="15" x14ac:dyDescent="0.25"/>
  <cols>
    <col min="1" max="1" width="18.85546875" bestFit="1" customWidth="1"/>
    <col min="2" max="13" width="10.7109375" bestFit="1" customWidth="1"/>
    <col min="14" max="14" width="12.42578125" bestFit="1" customWidth="1"/>
    <col min="15" max="15" width="13.28515625" bestFit="1" customWidth="1"/>
    <col min="16" max="16" width="10.140625" bestFit="1" customWidth="1"/>
    <col min="17" max="17" width="7" bestFit="1" customWidth="1"/>
  </cols>
  <sheetData>
    <row r="1" spans="1:16" x14ac:dyDescent="0.25">
      <c r="A1" s="828" t="s">
        <v>745</v>
      </c>
      <c r="B1" s="829" t="s">
        <v>47</v>
      </c>
      <c r="C1" s="829" t="s">
        <v>48</v>
      </c>
      <c r="D1" s="829" t="s">
        <v>49</v>
      </c>
      <c r="E1" s="829" t="s">
        <v>50</v>
      </c>
      <c r="F1" s="829" t="s">
        <v>51</v>
      </c>
      <c r="G1" s="829" t="s">
        <v>52</v>
      </c>
      <c r="H1" s="829" t="s">
        <v>53</v>
      </c>
      <c r="I1" s="829" t="s">
        <v>54</v>
      </c>
      <c r="J1" s="829" t="s">
        <v>55</v>
      </c>
      <c r="K1" s="829" t="s">
        <v>44</v>
      </c>
      <c r="L1" s="829" t="s">
        <v>45</v>
      </c>
      <c r="M1" s="829" t="s">
        <v>46</v>
      </c>
      <c r="N1" s="830" t="s">
        <v>720</v>
      </c>
      <c r="O1" s="831"/>
    </row>
    <row r="2" spans="1:16" x14ac:dyDescent="0.25">
      <c r="A2" s="934" t="s">
        <v>216</v>
      </c>
      <c r="B2" s="832">
        <f>+CARTOLA!C3</f>
        <v>17000</v>
      </c>
      <c r="C2" s="832">
        <f>+CARTOLA!D3</f>
        <v>17000</v>
      </c>
      <c r="D2" s="832">
        <f>+CARTOLA!E3</f>
        <v>17000</v>
      </c>
      <c r="E2" s="832">
        <f>+CARTOLA!F3</f>
        <v>17000</v>
      </c>
      <c r="F2" s="832">
        <f>+CARTOLA!G3</f>
        <v>18000</v>
      </c>
      <c r="G2" s="832">
        <f>+CARTOLA!H3</f>
        <v>17000</v>
      </c>
      <c r="H2" s="832">
        <f>+CARTOLA!I3</f>
        <v>18000</v>
      </c>
      <c r="I2" s="832">
        <f>+CARTOLA!J3</f>
        <v>18000</v>
      </c>
      <c r="J2" s="832">
        <f>+CARTOLA!K3</f>
        <v>17500</v>
      </c>
      <c r="K2" s="832">
        <f>+CARTOLA!L3</f>
        <v>16500</v>
      </c>
      <c r="L2" s="832">
        <f>+CARTOLA!M3</f>
        <v>17500</v>
      </c>
      <c r="M2" s="832">
        <f>+CARTOLA!N3</f>
        <v>17000</v>
      </c>
      <c r="N2" s="830">
        <f>SUM(B2:M2)</f>
        <v>207500</v>
      </c>
      <c r="O2" s="833"/>
      <c r="P2" s="833"/>
    </row>
    <row r="3" spans="1:16" x14ac:dyDescent="0.25">
      <c r="A3" s="935"/>
      <c r="B3" s="834">
        <f t="shared" ref="B3" si="0">+B2/500</f>
        <v>34</v>
      </c>
      <c r="C3" s="834">
        <f t="shared" ref="C3:M3" si="1">+C2/500</f>
        <v>34</v>
      </c>
      <c r="D3" s="834">
        <f t="shared" si="1"/>
        <v>34</v>
      </c>
      <c r="E3" s="834">
        <f t="shared" si="1"/>
        <v>34</v>
      </c>
      <c r="F3" s="834">
        <f t="shared" si="1"/>
        <v>36</v>
      </c>
      <c r="G3" s="834">
        <f t="shared" si="1"/>
        <v>34</v>
      </c>
      <c r="H3" s="834">
        <f t="shared" si="1"/>
        <v>36</v>
      </c>
      <c r="I3" s="834">
        <f t="shared" si="1"/>
        <v>36</v>
      </c>
      <c r="J3" s="834">
        <f t="shared" si="1"/>
        <v>35</v>
      </c>
      <c r="K3" s="834">
        <f t="shared" si="1"/>
        <v>33</v>
      </c>
      <c r="L3" s="834">
        <f t="shared" si="1"/>
        <v>35</v>
      </c>
      <c r="M3" s="834">
        <f t="shared" si="1"/>
        <v>34</v>
      </c>
      <c r="N3" s="835">
        <f>SUM(B3:M3)/+COUNTIF(B3:M3,"&gt;0")</f>
        <v>34.583333333333336</v>
      </c>
      <c r="O3" s="902"/>
      <c r="P3" s="709"/>
    </row>
    <row r="4" spans="1:16" x14ac:dyDescent="0.25">
      <c r="A4" s="934" t="s">
        <v>220</v>
      </c>
      <c r="B4" s="832">
        <f>+CARTOLA!C6</f>
        <v>43500</v>
      </c>
      <c r="C4" s="832">
        <f>+CARTOLA!D6</f>
        <v>48000</v>
      </c>
      <c r="D4" s="832">
        <f>+CARTOLA!E6</f>
        <v>44000</v>
      </c>
      <c r="E4" s="832">
        <f>+CARTOLA!F6</f>
        <v>42500</v>
      </c>
      <c r="F4" s="832">
        <f>+CARTOLA!G6</f>
        <v>41500</v>
      </c>
      <c r="G4" s="832">
        <f>+CARTOLA!H6</f>
        <v>43500</v>
      </c>
      <c r="H4" s="832">
        <f>+CARTOLA!I6</f>
        <v>77682</v>
      </c>
      <c r="I4" s="832">
        <f>+CARTOLA!J6</f>
        <v>60200</v>
      </c>
      <c r="J4" s="832">
        <f>+CARTOLA!K6</f>
        <v>59500</v>
      </c>
      <c r="K4" s="832">
        <f>+CARTOLA!L6</f>
        <v>60900</v>
      </c>
      <c r="L4" s="832">
        <f>+CARTOLA!M6</f>
        <v>57400</v>
      </c>
      <c r="M4" s="832">
        <f>+CARTOLA!N6</f>
        <v>57400</v>
      </c>
      <c r="N4" s="830">
        <f>SUM(B4:M4)</f>
        <v>636082</v>
      </c>
      <c r="O4" s="902"/>
      <c r="P4" s="833"/>
    </row>
    <row r="5" spans="1:16" x14ac:dyDescent="0.25">
      <c r="A5" s="935"/>
      <c r="B5" s="836">
        <f t="shared" ref="B5" si="2">+B4/500</f>
        <v>87</v>
      </c>
      <c r="C5" s="836">
        <f t="shared" ref="C5:G5" si="3">+C4/500</f>
        <v>96</v>
      </c>
      <c r="D5" s="836">
        <f t="shared" si="3"/>
        <v>88</v>
      </c>
      <c r="E5" s="836">
        <f t="shared" si="3"/>
        <v>85</v>
      </c>
      <c r="F5" s="836">
        <f t="shared" si="3"/>
        <v>83</v>
      </c>
      <c r="G5" s="836">
        <f t="shared" si="3"/>
        <v>87</v>
      </c>
      <c r="H5" s="836">
        <f>+H4/700</f>
        <v>110.97428571428571</v>
      </c>
      <c r="I5" s="836">
        <f t="shared" ref="I5:M5" si="4">+I4/700</f>
        <v>86</v>
      </c>
      <c r="J5" s="836">
        <f t="shared" si="4"/>
        <v>85</v>
      </c>
      <c r="K5" s="836">
        <f t="shared" si="4"/>
        <v>87</v>
      </c>
      <c r="L5" s="836">
        <f t="shared" si="4"/>
        <v>82</v>
      </c>
      <c r="M5" s="836">
        <f t="shared" si="4"/>
        <v>82</v>
      </c>
      <c r="N5" s="835">
        <f>SUM(B5:M5)/+COUNTIF(B5:M5,"&gt;0")</f>
        <v>88.247857142857143</v>
      </c>
      <c r="O5" s="902"/>
      <c r="P5" s="709"/>
    </row>
    <row r="6" spans="1:16" x14ac:dyDescent="0.25">
      <c r="A6" s="934" t="s">
        <v>221</v>
      </c>
      <c r="B6" s="832">
        <f>+CARTOLA!C7</f>
        <v>87500</v>
      </c>
      <c r="C6" s="832">
        <f>+CARTOLA!D7</f>
        <v>87000</v>
      </c>
      <c r="D6" s="832">
        <f>+CARTOLA!E7</f>
        <v>84000</v>
      </c>
      <c r="E6" s="832">
        <f>+CARTOLA!F7</f>
        <v>80500</v>
      </c>
      <c r="F6" s="832">
        <f>+CARTOLA!G7</f>
        <v>82500</v>
      </c>
      <c r="G6" s="832">
        <f>+CARTOLA!H7</f>
        <v>82500</v>
      </c>
      <c r="H6" s="832">
        <f>+CARTOLA!I7</f>
        <v>126000</v>
      </c>
      <c r="I6" s="832">
        <f>+CARTOLA!J7</f>
        <v>125300</v>
      </c>
      <c r="J6" s="832">
        <f>+CARTOLA!K7</f>
        <v>121800</v>
      </c>
      <c r="K6" s="832">
        <f>+CARTOLA!L7</f>
        <v>119000</v>
      </c>
      <c r="L6" s="832">
        <f>+CARTOLA!M7</f>
        <v>119000</v>
      </c>
      <c r="M6" s="832">
        <f>+CARTOLA!N7</f>
        <v>123900</v>
      </c>
      <c r="N6" s="830">
        <f>SUM(B6:M6)</f>
        <v>1239000</v>
      </c>
      <c r="O6" s="902"/>
      <c r="P6" s="833"/>
    </row>
    <row r="7" spans="1:16" x14ac:dyDescent="0.25">
      <c r="A7" s="935"/>
      <c r="B7" s="834">
        <f t="shared" ref="B7" si="5">+B6/500</f>
        <v>175</v>
      </c>
      <c r="C7" s="834">
        <f t="shared" ref="C7:G7" si="6">+C6/500</f>
        <v>174</v>
      </c>
      <c r="D7" s="834">
        <f t="shared" si="6"/>
        <v>168</v>
      </c>
      <c r="E7" s="834">
        <f t="shared" si="6"/>
        <v>161</v>
      </c>
      <c r="F7" s="834">
        <f t="shared" si="6"/>
        <v>165</v>
      </c>
      <c r="G7" s="834">
        <f t="shared" si="6"/>
        <v>165</v>
      </c>
      <c r="H7" s="836">
        <f>+H6/700</f>
        <v>180</v>
      </c>
      <c r="I7" s="836">
        <f t="shared" ref="I7" si="7">+I6/700</f>
        <v>179</v>
      </c>
      <c r="J7" s="836">
        <f t="shared" ref="J7" si="8">+J6/700</f>
        <v>174</v>
      </c>
      <c r="K7" s="836">
        <f t="shared" ref="K7" si="9">+K6/700</f>
        <v>170</v>
      </c>
      <c r="L7" s="836">
        <f t="shared" ref="L7" si="10">+L6/700</f>
        <v>170</v>
      </c>
      <c r="M7" s="836">
        <f t="shared" ref="M7" si="11">+M6/700</f>
        <v>177</v>
      </c>
      <c r="N7" s="835">
        <f>SUM(B7:M7)/+COUNTIF(B7:M7,"&gt;0")</f>
        <v>171.5</v>
      </c>
      <c r="O7" s="902"/>
      <c r="P7" s="709"/>
    </row>
    <row r="8" spans="1:16" x14ac:dyDescent="0.25">
      <c r="A8" s="934" t="s">
        <v>223</v>
      </c>
      <c r="B8" s="832">
        <f>+CARTOLA!C8</f>
        <v>78000</v>
      </c>
      <c r="C8" s="832">
        <f>+CARTOLA!D8</f>
        <v>78500</v>
      </c>
      <c r="D8" s="832">
        <f>+CARTOLA!E8</f>
        <v>77500</v>
      </c>
      <c r="E8" s="832">
        <f>+CARTOLA!F8</f>
        <v>76000</v>
      </c>
      <c r="F8" s="832">
        <f>+CARTOLA!G8</f>
        <v>73500</v>
      </c>
      <c r="G8" s="832">
        <f>+CARTOLA!H8</f>
        <v>226253</v>
      </c>
      <c r="H8" s="832">
        <f>+CARTOLA!I8</f>
        <v>206400</v>
      </c>
      <c r="I8" s="832">
        <f>+CARTOLA!J8</f>
        <v>75070</v>
      </c>
      <c r="J8" s="832">
        <f>+CARTOLA!K8</f>
        <v>74570</v>
      </c>
      <c r="K8" s="832">
        <f>+CARTOLA!L8</f>
        <v>80694</v>
      </c>
      <c r="L8" s="832">
        <f>+CARTOLA!M8</f>
        <v>73070</v>
      </c>
      <c r="M8" s="832">
        <f>+CARTOLA!N8</f>
        <v>72070</v>
      </c>
      <c r="N8" s="830">
        <f>SUM(B8:M8)</f>
        <v>1191627</v>
      </c>
      <c r="O8" s="902"/>
      <c r="P8" s="833"/>
    </row>
    <row r="9" spans="1:16" x14ac:dyDescent="0.25">
      <c r="A9" s="935"/>
      <c r="B9" s="836">
        <f t="shared" ref="B9" si="12">+B8/500</f>
        <v>156</v>
      </c>
      <c r="C9" s="836">
        <f t="shared" ref="C9:F9" si="13">+C8/500</f>
        <v>157</v>
      </c>
      <c r="D9" s="836">
        <f t="shared" si="13"/>
        <v>155</v>
      </c>
      <c r="E9" s="836">
        <f t="shared" si="13"/>
        <v>152</v>
      </c>
      <c r="F9" s="836">
        <f t="shared" si="13"/>
        <v>147</v>
      </c>
      <c r="G9" s="836">
        <f>+G8/700</f>
        <v>323.21857142857141</v>
      </c>
      <c r="H9" s="836">
        <f t="shared" ref="H9:M9" si="14">+H8/700</f>
        <v>294.85714285714283</v>
      </c>
      <c r="I9" s="836">
        <f t="shared" si="14"/>
        <v>107.24285714285715</v>
      </c>
      <c r="J9" s="836">
        <f t="shared" si="14"/>
        <v>106.52857142857142</v>
      </c>
      <c r="K9" s="836">
        <f t="shared" si="14"/>
        <v>115.27714285714286</v>
      </c>
      <c r="L9" s="836">
        <f t="shared" si="14"/>
        <v>104.38571428571429</v>
      </c>
      <c r="M9" s="836">
        <f t="shared" si="14"/>
        <v>102.95714285714286</v>
      </c>
      <c r="N9" s="835">
        <f>SUM(B9:M9)/+COUNTIF(B9:M9,"&gt;0")</f>
        <v>160.12226190476193</v>
      </c>
      <c r="O9" s="902"/>
      <c r="P9" s="709"/>
    </row>
    <row r="10" spans="1:16" x14ac:dyDescent="0.25">
      <c r="A10" s="934" t="s">
        <v>224</v>
      </c>
      <c r="B10" s="832">
        <f>+CARTOLA!C9</f>
        <v>33500</v>
      </c>
      <c r="C10" s="832">
        <f>+CARTOLA!D9</f>
        <v>33000</v>
      </c>
      <c r="D10" s="832">
        <f>+CARTOLA!E9</f>
        <v>33000</v>
      </c>
      <c r="E10" s="832">
        <f>+CARTOLA!F9</f>
        <v>34000</v>
      </c>
      <c r="F10" s="832">
        <f>+CARTOLA!G9</f>
        <v>33500</v>
      </c>
      <c r="G10" s="832">
        <f>+CARTOLA!H9</f>
        <v>33000</v>
      </c>
      <c r="H10" s="832">
        <f>+CARTOLA!I9</f>
        <v>47600</v>
      </c>
      <c r="I10" s="832">
        <f>+CARTOLA!J9</f>
        <v>46900</v>
      </c>
      <c r="J10" s="832">
        <f>+CARTOLA!K9</f>
        <v>46200</v>
      </c>
      <c r="K10" s="832">
        <f>+CARTOLA!L9</f>
        <v>46900</v>
      </c>
      <c r="L10" s="832">
        <f>+CARTOLA!M9</f>
        <v>47600</v>
      </c>
      <c r="M10" s="832">
        <f>+CARTOLA!N9</f>
        <v>44800</v>
      </c>
      <c r="N10" s="830">
        <f>SUM(B10:M10)</f>
        <v>480000</v>
      </c>
      <c r="O10" s="902"/>
      <c r="P10" s="709"/>
    </row>
    <row r="11" spans="1:16" x14ac:dyDescent="0.25">
      <c r="A11" s="935"/>
      <c r="B11" s="836">
        <f t="shared" ref="B11" si="15">+B10/500</f>
        <v>67</v>
      </c>
      <c r="C11" s="836">
        <f t="shared" ref="C11:G11" si="16">+C10/500</f>
        <v>66</v>
      </c>
      <c r="D11" s="836">
        <f t="shared" si="16"/>
        <v>66</v>
      </c>
      <c r="E11" s="836">
        <f t="shared" si="16"/>
        <v>68</v>
      </c>
      <c r="F11" s="836">
        <f t="shared" si="16"/>
        <v>67</v>
      </c>
      <c r="G11" s="836">
        <f t="shared" si="16"/>
        <v>66</v>
      </c>
      <c r="H11" s="836">
        <f>+H10/700</f>
        <v>68</v>
      </c>
      <c r="I11" s="836">
        <f t="shared" ref="I11:M11" si="17">+I10/700</f>
        <v>67</v>
      </c>
      <c r="J11" s="836">
        <f t="shared" si="17"/>
        <v>66</v>
      </c>
      <c r="K11" s="836">
        <f t="shared" si="17"/>
        <v>67</v>
      </c>
      <c r="L11" s="836">
        <f t="shared" si="17"/>
        <v>68</v>
      </c>
      <c r="M11" s="836">
        <f t="shared" si="17"/>
        <v>64</v>
      </c>
      <c r="N11" s="835">
        <f>SUM(B11:M11)/+COUNTIF(B11:M11,"&gt;0")</f>
        <v>66.666666666666671</v>
      </c>
      <c r="O11" s="902"/>
      <c r="P11" s="709"/>
    </row>
    <row r="12" spans="1:16" x14ac:dyDescent="0.25">
      <c r="A12" s="934" t="s">
        <v>225</v>
      </c>
      <c r="B12" s="832">
        <f>+CARTOLA!C10</f>
        <v>0</v>
      </c>
      <c r="C12" s="832">
        <f>+CARTOLA!D10</f>
        <v>328500</v>
      </c>
      <c r="D12" s="832">
        <f>+CARTOLA!E10</f>
        <v>0</v>
      </c>
      <c r="E12" s="832">
        <f>+CARTOLA!F10</f>
        <v>218000</v>
      </c>
      <c r="F12" s="832">
        <f>+CARTOLA!G10</f>
        <v>152600</v>
      </c>
      <c r="G12" s="832">
        <f>+CARTOLA!H10</f>
        <v>151200</v>
      </c>
      <c r="H12" s="832">
        <f>+CARTOLA!I10</f>
        <v>252500</v>
      </c>
      <c r="I12" s="832">
        <f>+CARTOLA!J10</f>
        <v>151900</v>
      </c>
      <c r="J12" s="832">
        <f>+CARTOLA!K10</f>
        <v>152600</v>
      </c>
      <c r="K12" s="832">
        <f>+CARTOLA!L10</f>
        <v>149100</v>
      </c>
      <c r="L12" s="928">
        <f>+CARTOLA!M10</f>
        <v>0</v>
      </c>
      <c r="M12" s="832">
        <f>+CARTOLA!N10</f>
        <v>147700</v>
      </c>
      <c r="N12" s="830">
        <f>SUM(B12:M12)</f>
        <v>1704100</v>
      </c>
      <c r="O12" s="902"/>
      <c r="P12" s="833"/>
    </row>
    <row r="13" spans="1:16" x14ac:dyDescent="0.25">
      <c r="A13" s="935"/>
      <c r="B13" s="836">
        <v>1</v>
      </c>
      <c r="C13" s="836">
        <f t="shared" ref="C13:G13" si="18">+C12/500</f>
        <v>657</v>
      </c>
      <c r="D13" s="836">
        <v>1</v>
      </c>
      <c r="E13" s="836">
        <f t="shared" si="18"/>
        <v>436</v>
      </c>
      <c r="F13" s="836">
        <f t="shared" si="18"/>
        <v>305.2</v>
      </c>
      <c r="G13" s="836">
        <f t="shared" si="18"/>
        <v>302.39999999999998</v>
      </c>
      <c r="H13" s="836">
        <f>+H12/700</f>
        <v>360.71428571428572</v>
      </c>
      <c r="I13" s="836">
        <f t="shared" ref="I13:M13" si="19">+I12/700</f>
        <v>217</v>
      </c>
      <c r="J13" s="836">
        <f t="shared" si="19"/>
        <v>218</v>
      </c>
      <c r="K13" s="836">
        <f t="shared" si="19"/>
        <v>213</v>
      </c>
      <c r="L13" s="929">
        <f t="shared" si="19"/>
        <v>0</v>
      </c>
      <c r="M13" s="836">
        <f t="shared" si="19"/>
        <v>211</v>
      </c>
      <c r="N13" s="835">
        <f>SUM(B13:M13)/+COUNTIF(B13:M13,"&gt;0")</f>
        <v>265.66493506493504</v>
      </c>
      <c r="O13" s="902"/>
      <c r="P13" s="709"/>
    </row>
    <row r="14" spans="1:16" x14ac:dyDescent="0.25">
      <c r="A14" s="934" t="s">
        <v>143</v>
      </c>
      <c r="B14" s="832">
        <f>+CARTOLA!C11</f>
        <v>73500</v>
      </c>
      <c r="C14" s="832">
        <f>+CARTOLA!D11</f>
        <v>101500</v>
      </c>
      <c r="D14" s="832">
        <f>+CARTOLA!E11</f>
        <v>102200</v>
      </c>
      <c r="E14" s="832">
        <f>+CARTOLA!F11</f>
        <v>105000</v>
      </c>
      <c r="F14" s="832">
        <f>+CARTOLA!G11</f>
        <v>106400</v>
      </c>
      <c r="G14" s="832">
        <f>+CARTOLA!H11</f>
        <v>105700</v>
      </c>
      <c r="H14" s="832">
        <f>+CARTOLA!I11</f>
        <v>137200</v>
      </c>
      <c r="I14" s="832">
        <f>+CARTOLA!J11</f>
        <v>105700</v>
      </c>
      <c r="J14" s="832">
        <f>+CARTOLA!K11</f>
        <v>105700</v>
      </c>
      <c r="K14" s="832">
        <f>+CARTOLA!L11</f>
        <v>104300</v>
      </c>
      <c r="L14" s="832">
        <f>+CARTOLA!M11</f>
        <v>105700</v>
      </c>
      <c r="M14" s="832">
        <f>+CARTOLA!N11</f>
        <v>104300</v>
      </c>
      <c r="N14" s="830">
        <f>SUM(B14:M14)</f>
        <v>1257200</v>
      </c>
      <c r="O14" s="902"/>
      <c r="P14" s="833"/>
    </row>
    <row r="15" spans="1:16" x14ac:dyDescent="0.25">
      <c r="A15" s="935"/>
      <c r="B15" s="836">
        <f t="shared" ref="B15" si="20">+B14/500</f>
        <v>147</v>
      </c>
      <c r="C15" s="836">
        <f>+C14/700</f>
        <v>145</v>
      </c>
      <c r="D15" s="836">
        <f t="shared" ref="D15:M15" si="21">+D14/700</f>
        <v>146</v>
      </c>
      <c r="E15" s="836">
        <f t="shared" si="21"/>
        <v>150</v>
      </c>
      <c r="F15" s="836">
        <f t="shared" si="21"/>
        <v>152</v>
      </c>
      <c r="G15" s="836">
        <f t="shared" si="21"/>
        <v>151</v>
      </c>
      <c r="H15" s="836">
        <f t="shared" si="21"/>
        <v>196</v>
      </c>
      <c r="I15" s="836">
        <f t="shared" si="21"/>
        <v>151</v>
      </c>
      <c r="J15" s="836">
        <f t="shared" si="21"/>
        <v>151</v>
      </c>
      <c r="K15" s="836">
        <f t="shared" si="21"/>
        <v>149</v>
      </c>
      <c r="L15" s="836">
        <f t="shared" si="21"/>
        <v>151</v>
      </c>
      <c r="M15" s="836">
        <f t="shared" si="21"/>
        <v>149</v>
      </c>
      <c r="N15" s="835">
        <f>SUM(B15:M15)/+COUNTIF(B15:M15,"&gt;0")</f>
        <v>153.16666666666666</v>
      </c>
      <c r="O15" s="902"/>
      <c r="P15" s="709"/>
    </row>
    <row r="16" spans="1:16" x14ac:dyDescent="0.25">
      <c r="A16" s="934" t="s">
        <v>226</v>
      </c>
      <c r="B16" s="832">
        <f>+CARTOLA!C12</f>
        <v>47500</v>
      </c>
      <c r="C16" s="832">
        <f>+CARTOLA!D12</f>
        <v>67900</v>
      </c>
      <c r="D16" s="832">
        <f>+CARTOLA!E12</f>
        <v>67900</v>
      </c>
      <c r="E16" s="832">
        <f>+CARTOLA!F12</f>
        <v>70340</v>
      </c>
      <c r="F16" s="832">
        <f>+CARTOLA!G12</f>
        <v>71400</v>
      </c>
      <c r="G16" s="832">
        <f>+CARTOLA!H12</f>
        <v>74200</v>
      </c>
      <c r="H16" s="832">
        <f>+CARTOLA!I12</f>
        <v>74200</v>
      </c>
      <c r="I16" s="832">
        <f>+CARTOLA!J12</f>
        <v>72100</v>
      </c>
      <c r="J16" s="832">
        <f>+CARTOLA!K12</f>
        <v>71400</v>
      </c>
      <c r="K16" s="832">
        <f>+CARTOLA!L12</f>
        <v>74200</v>
      </c>
      <c r="L16" s="832">
        <f>+CARTOLA!M12</f>
        <v>70700</v>
      </c>
      <c r="M16" s="832">
        <f>+CARTOLA!N12</f>
        <v>67200</v>
      </c>
      <c r="N16" s="830">
        <f>SUM(B16:M16)</f>
        <v>829040</v>
      </c>
      <c r="O16" s="902"/>
      <c r="P16" s="833"/>
    </row>
    <row r="17" spans="1:16" x14ac:dyDescent="0.25">
      <c r="A17" s="935"/>
      <c r="B17" s="836">
        <f t="shared" ref="B17" si="22">+B16/500</f>
        <v>95</v>
      </c>
      <c r="C17" s="836">
        <f>+C16/700</f>
        <v>97</v>
      </c>
      <c r="D17" s="836">
        <f t="shared" ref="D17:M17" si="23">+D16/700</f>
        <v>97</v>
      </c>
      <c r="E17" s="836">
        <f t="shared" si="23"/>
        <v>100.48571428571428</v>
      </c>
      <c r="F17" s="836">
        <f t="shared" si="23"/>
        <v>102</v>
      </c>
      <c r="G17" s="836">
        <f t="shared" si="23"/>
        <v>106</v>
      </c>
      <c r="H17" s="836">
        <f t="shared" si="23"/>
        <v>106</v>
      </c>
      <c r="I17" s="836">
        <f t="shared" si="23"/>
        <v>103</v>
      </c>
      <c r="J17" s="836">
        <f t="shared" si="23"/>
        <v>102</v>
      </c>
      <c r="K17" s="836">
        <f t="shared" si="23"/>
        <v>106</v>
      </c>
      <c r="L17" s="836">
        <f t="shared" si="23"/>
        <v>101</v>
      </c>
      <c r="M17" s="836">
        <f t="shared" si="23"/>
        <v>96</v>
      </c>
      <c r="N17" s="835">
        <f>SUM(B17:M17)/+COUNTIF(B17:M17,"&gt;0")</f>
        <v>100.95714285714286</v>
      </c>
      <c r="O17" s="902"/>
      <c r="P17" s="709"/>
    </row>
    <row r="18" spans="1:16" x14ac:dyDescent="0.25">
      <c r="A18" s="837"/>
      <c r="B18" s="838"/>
      <c r="C18" s="838"/>
      <c r="D18" s="838"/>
      <c r="E18" s="838"/>
      <c r="F18" s="838"/>
      <c r="G18" s="838"/>
      <c r="H18" s="838"/>
      <c r="I18" s="838"/>
      <c r="J18" s="838"/>
      <c r="K18" s="838"/>
      <c r="L18" s="936" t="s">
        <v>12</v>
      </c>
      <c r="M18" s="936"/>
      <c r="N18" s="839">
        <f>+N2+N4+N6+N8+N10+N12+N14+N16</f>
        <v>7544549</v>
      </c>
      <c r="O18" s="666"/>
      <c r="P18" s="666"/>
    </row>
    <row r="19" spans="1:16" x14ac:dyDescent="0.25">
      <c r="A19" s="837"/>
      <c r="B19" s="864"/>
      <c r="C19" s="864"/>
      <c r="D19" s="864"/>
      <c r="E19" s="864"/>
      <c r="F19" s="864"/>
      <c r="G19" s="864"/>
      <c r="H19" s="864"/>
      <c r="I19" s="864"/>
      <c r="J19" s="864"/>
      <c r="K19" s="864"/>
      <c r="L19" s="933" t="s">
        <v>746</v>
      </c>
      <c r="M19" s="933"/>
      <c r="N19" s="840">
        <f>+N3+N5+N7+N9+N11+N13+N15+N17</f>
        <v>1040.9088636363635</v>
      </c>
    </row>
    <row r="20" spans="1:16" x14ac:dyDescent="0.25">
      <c r="N20" s="841"/>
    </row>
    <row r="21" spans="1:16" x14ac:dyDescent="0.25">
      <c r="L21" s="842" t="s">
        <v>747</v>
      </c>
      <c r="N21" s="839">
        <v>7301179</v>
      </c>
    </row>
    <row r="22" spans="1:16" x14ac:dyDescent="0.25">
      <c r="L22" s="842" t="s">
        <v>748</v>
      </c>
      <c r="N22" s="840">
        <f>+N19*N21/N18</f>
        <v>1007.3315099544958</v>
      </c>
    </row>
  </sheetData>
  <mergeCells count="10">
    <mergeCell ref="L19:M19"/>
    <mergeCell ref="A2:A3"/>
    <mergeCell ref="A4:A5"/>
    <mergeCell ref="A6:A7"/>
    <mergeCell ref="A8:A9"/>
    <mergeCell ref="A10:A11"/>
    <mergeCell ref="A12:A13"/>
    <mergeCell ref="A14:A15"/>
    <mergeCell ref="A16:A17"/>
    <mergeCell ref="L18:M18"/>
  </mergeCells>
  <conditionalFormatting sqref="O3:O4 O6 O8 O10 O12 O14 O16">
    <cfRule type="iconSet" priority="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16">
      <iconSet iconSet="3Arrows">
        <cfvo type="percent" val="0"/>
        <cfvo type="percent" val="33"/>
        <cfvo type="percent" val="67"/>
      </iconSet>
    </cfRule>
  </conditionalFormatting>
  <conditionalFormatting sqref="O5">
    <cfRule type="iconSet" priority="1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O7">
    <cfRule type="iconSet" priority="1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O9">
    <cfRule type="iconSet" priority="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O11">
    <cfRule type="iconSet" priority="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O13">
    <cfRule type="iconSet" priority="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O15">
    <cfRule type="iconSet" priority="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O1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ignoredErrors>
    <ignoredError sqref="B4:M4 B6:M6 B5:H5 B8:M8 B7:G7 B10:M10 B9:F9 B12:M12 B11:G11 B14:M14 C13 B16:M16 B15 N3:N12 B17 E13:G13 N14:N17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BK123"/>
  <sheetViews>
    <sheetView showGridLines="0" zoomScaleNormal="100" zoomScaleSheetLayoutView="50" workbookViewId="0">
      <pane ySplit="2" topLeftCell="A3" activePane="bottomLeft" state="frozen"/>
      <selection pane="bottomLeft" activeCell="B1" sqref="B1:H1"/>
    </sheetView>
  </sheetViews>
  <sheetFormatPr baseColWidth="10" defaultRowHeight="15" x14ac:dyDescent="0.25"/>
  <cols>
    <col min="1" max="1" width="3.140625" style="8" bestFit="1" customWidth="1"/>
    <col min="2" max="2" width="41.85546875" style="8" bestFit="1" customWidth="1"/>
    <col min="3" max="3" width="21.140625" style="8" bestFit="1" customWidth="1"/>
    <col min="4" max="4" width="14.28515625" style="8" bestFit="1" customWidth="1"/>
    <col min="5" max="5" width="17.42578125" style="8" bestFit="1" customWidth="1"/>
    <col min="6" max="6" width="15.42578125" style="8" customWidth="1"/>
    <col min="7" max="7" width="15.42578125" style="8" bestFit="1" customWidth="1"/>
    <col min="8" max="8" width="18.140625" style="8" bestFit="1" customWidth="1"/>
    <col min="9" max="9" width="2.7109375" style="8" customWidth="1"/>
    <col min="10" max="10" width="19.140625" style="8" bestFit="1" customWidth="1"/>
    <col min="11" max="11" width="15.28515625" style="52" customWidth="1"/>
    <col min="12" max="12" width="10.28515625" style="6" bestFit="1" customWidth="1"/>
    <col min="13" max="13" width="28.140625" style="8" bestFit="1" customWidth="1"/>
    <col min="14" max="14" width="13.28515625" style="8" bestFit="1" customWidth="1"/>
    <col min="15" max="62" width="11.42578125" style="8"/>
    <col min="63" max="63" width="20.140625" style="8" bestFit="1" customWidth="1"/>
    <col min="64" max="16384" width="11.42578125" style="8"/>
  </cols>
  <sheetData>
    <row r="1" spans="1:63" ht="21" x14ac:dyDescent="0.35">
      <c r="A1" s="738"/>
      <c r="B1" s="963" t="s">
        <v>23</v>
      </c>
      <c r="C1" s="963"/>
      <c r="D1" s="963"/>
      <c r="E1" s="963"/>
      <c r="F1" s="963"/>
      <c r="G1" s="963"/>
      <c r="H1" s="963"/>
      <c r="J1" s="18">
        <f>+C71</f>
        <v>10620000</v>
      </c>
      <c r="K1" s="58">
        <f>+J71</f>
        <v>10597886.6</v>
      </c>
      <c r="L1" s="504">
        <f>+K1/J1</f>
        <v>0.99791775894538604</v>
      </c>
    </row>
    <row r="2" spans="1:63" ht="21" x14ac:dyDescent="0.35">
      <c r="A2" s="738"/>
      <c r="B2" s="964" t="s">
        <v>468</v>
      </c>
      <c r="C2" s="964"/>
      <c r="D2" s="964"/>
      <c r="E2" s="964"/>
      <c r="F2" s="964"/>
      <c r="G2" s="964"/>
      <c r="H2" s="964"/>
      <c r="J2" s="18">
        <f>+C72</f>
        <v>10743600</v>
      </c>
      <c r="K2" s="58">
        <f>+J72</f>
        <v>8916049</v>
      </c>
      <c r="L2" s="504">
        <f>+K2/J2</f>
        <v>0.82989398339476528</v>
      </c>
    </row>
    <row r="3" spans="1:63" x14ac:dyDescent="0.25">
      <c r="C3" s="53"/>
      <c r="J3" s="54"/>
    </row>
    <row r="4" spans="1:63" x14ac:dyDescent="0.25">
      <c r="A4" s="21" t="s">
        <v>640</v>
      </c>
      <c r="B4" s="55" t="s">
        <v>455</v>
      </c>
      <c r="C4" s="6" t="s">
        <v>210</v>
      </c>
      <c r="D4" s="45" t="s">
        <v>24</v>
      </c>
      <c r="E4" s="45" t="s">
        <v>25</v>
      </c>
      <c r="H4" s="118"/>
      <c r="J4" s="965" t="s">
        <v>471</v>
      </c>
      <c r="K4" s="965"/>
    </row>
    <row r="5" spans="1:63" x14ac:dyDescent="0.25">
      <c r="B5" s="1" t="str">
        <f>+"CUOTA"&amp;" ("&amp;+C5&amp;" SOCIOS)"</f>
        <v>CUOTA (1119 SOCIOS)</v>
      </c>
      <c r="C5" s="72">
        <v>1119</v>
      </c>
      <c r="D5" s="56">
        <f>+H5*C5</f>
        <v>783300</v>
      </c>
      <c r="E5" s="57">
        <f>+D5*12</f>
        <v>9399600</v>
      </c>
      <c r="G5" s="63" t="s">
        <v>104</v>
      </c>
      <c r="H5" s="553">
        <v>700</v>
      </c>
      <c r="J5" s="113">
        <f>+CARTOLA!Q13</f>
        <v>7764049</v>
      </c>
      <c r="K5" s="132">
        <f>+IF(E5=0,0,J5/E5)</f>
        <v>0.82599780841737946</v>
      </c>
      <c r="L5" s="3"/>
      <c r="N5" s="58"/>
    </row>
    <row r="6" spans="1:63" x14ac:dyDescent="0.25">
      <c r="A6" s="131"/>
      <c r="B6" s="1" t="str">
        <f>+D33&amp;" PLENARIAS"&amp;" "&amp;+C6&amp;" DIRECTORES"</f>
        <v>2 PLENARIAS 32 DIRECTORES</v>
      </c>
      <c r="C6" s="72">
        <v>32</v>
      </c>
      <c r="D6" s="56">
        <f>+C6*15000</f>
        <v>480000</v>
      </c>
      <c r="E6" s="57">
        <f>+D6*D33</f>
        <v>960000</v>
      </c>
      <c r="G6" s="63" t="str">
        <f>+IF(H6=0,"COMPARAR",+IF(H6&gt;0,"UTILIDAD","DEFICIT"))</f>
        <v>UTILIDAD</v>
      </c>
      <c r="H6" s="553">
        <f>+C73</f>
        <v>123600</v>
      </c>
      <c r="I6" s="58"/>
      <c r="J6" s="113">
        <f>+CARTOLA!Q26</f>
        <v>842000</v>
      </c>
      <c r="K6" s="132">
        <f>+IF(E6=0,0,J6/E6)</f>
        <v>0.87708333333333333</v>
      </c>
      <c r="L6" s="3"/>
    </row>
    <row r="7" spans="1:63" ht="15" customHeight="1" x14ac:dyDescent="0.25">
      <c r="A7" s="58"/>
      <c r="B7" s="59" t="s">
        <v>215</v>
      </c>
      <c r="C7" s="72">
        <v>32</v>
      </c>
      <c r="D7" s="56">
        <f>+C7*1000</f>
        <v>32000</v>
      </c>
      <c r="E7" s="57">
        <f>+D7*12</f>
        <v>384000</v>
      </c>
      <c r="G7" s="128"/>
      <c r="H7" s="443"/>
      <c r="I7" s="58"/>
      <c r="J7" s="113">
        <f>+CARTOLA!Q40</f>
        <v>310000</v>
      </c>
      <c r="K7" s="132">
        <f>+IF(E7=0,0,J7/E7)</f>
        <v>0.80729166666666663</v>
      </c>
      <c r="L7" s="3"/>
    </row>
    <row r="8" spans="1:63" ht="15" customHeight="1" x14ac:dyDescent="0.25">
      <c r="A8" s="58"/>
      <c r="B8" s="38" t="s">
        <v>199</v>
      </c>
      <c r="C8" s="61">
        <v>0</v>
      </c>
      <c r="D8" s="61">
        <v>0</v>
      </c>
      <c r="E8" s="57">
        <f>+D8*1</f>
        <v>0</v>
      </c>
      <c r="G8" s="128"/>
      <c r="H8" s="442"/>
      <c r="J8" s="113">
        <f>+CARTOLA!P28</f>
        <v>0</v>
      </c>
      <c r="K8" s="132">
        <f>+IF(E8=0,0,J8/E8)</f>
        <v>0</v>
      </c>
      <c r="L8" s="3"/>
    </row>
    <row r="9" spans="1:63" ht="15" customHeight="1" x14ac:dyDescent="0.25">
      <c r="A9" s="58"/>
      <c r="B9" s="107" t="s">
        <v>29</v>
      </c>
      <c r="C9" s="108"/>
      <c r="D9" s="108"/>
      <c r="E9" s="109">
        <f>+SUM(E5:E8)</f>
        <v>10743600</v>
      </c>
      <c r="F9" s="62"/>
      <c r="G9" s="128"/>
      <c r="H9" s="442"/>
      <c r="J9" s="114">
        <f>SUM(J5:J8)</f>
        <v>8916049</v>
      </c>
      <c r="K9" s="711">
        <f>+IF(E9=0,0,J9/E9)</f>
        <v>0.82989398339476528</v>
      </c>
      <c r="L9" s="3"/>
    </row>
    <row r="10" spans="1:63" ht="15" customHeight="1" x14ac:dyDescent="0.25">
      <c r="G10" s="128"/>
      <c r="H10" s="441" t="s">
        <v>638</v>
      </c>
      <c r="J10" s="113">
        <f>+CARTOLA!P27</f>
        <v>1539465</v>
      </c>
      <c r="K10" s="132">
        <f>+IF(E9=0,0,J10/E5)</f>
        <v>0.16377984169539128</v>
      </c>
    </row>
    <row r="11" spans="1:63" x14ac:dyDescent="0.25">
      <c r="A11" s="21" t="s">
        <v>641</v>
      </c>
      <c r="B11" s="55" t="s">
        <v>86</v>
      </c>
      <c r="C11" s="42"/>
      <c r="D11" s="42"/>
      <c r="E11" s="42"/>
      <c r="F11" s="42"/>
      <c r="G11" s="42"/>
      <c r="J11" s="58">
        <f>SUM(J9:J10)-CARTOLA!Q41</f>
        <v>0</v>
      </c>
    </row>
    <row r="12" spans="1:63" x14ac:dyDescent="0.25">
      <c r="B12" s="63" t="s">
        <v>27</v>
      </c>
      <c r="C12" s="64" t="s">
        <v>445</v>
      </c>
      <c r="D12" s="64" t="s">
        <v>9</v>
      </c>
      <c r="E12" s="64" t="s">
        <v>447</v>
      </c>
      <c r="F12" s="64" t="s">
        <v>10</v>
      </c>
      <c r="G12" s="64" t="s">
        <v>11</v>
      </c>
      <c r="H12" s="64" t="s">
        <v>12</v>
      </c>
      <c r="I12" s="45"/>
      <c r="J12" s="115"/>
      <c r="K12" s="133"/>
    </row>
    <row r="13" spans="1:63" x14ac:dyDescent="0.25">
      <c r="B13" s="1" t="s">
        <v>14</v>
      </c>
      <c r="C13" s="65">
        <v>4</v>
      </c>
      <c r="D13" s="65">
        <v>1</v>
      </c>
      <c r="E13" s="65">
        <v>32</v>
      </c>
      <c r="F13" s="60">
        <v>0</v>
      </c>
      <c r="G13" s="60">
        <f>+D13*E13*F13</f>
        <v>0</v>
      </c>
      <c r="H13" s="66">
        <f t="shared" ref="H13:H20" si="0">+G13*C13</f>
        <v>0</v>
      </c>
      <c r="I13" s="46"/>
      <c r="J13" s="113">
        <f>+LOOKUP(B13,REUNION!$X$3:$X$10,REUNION!$Y$3:$Y$10)</f>
        <v>0</v>
      </c>
      <c r="K13" s="132">
        <f>+IF(H13=0,0,J13/H13)</f>
        <v>0</v>
      </c>
      <c r="L13" s="6">
        <f>+REUNION!Z3</f>
        <v>3</v>
      </c>
    </row>
    <row r="14" spans="1:63" x14ac:dyDescent="0.25">
      <c r="B14" s="1" t="s">
        <v>15</v>
      </c>
      <c r="C14" s="65">
        <v>12</v>
      </c>
      <c r="D14" s="65">
        <v>1</v>
      </c>
      <c r="E14" s="65">
        <v>9</v>
      </c>
      <c r="F14" s="60">
        <v>5000</v>
      </c>
      <c r="G14" s="60">
        <f t="shared" ref="G14:G20" si="1">+D14*E14*F14</f>
        <v>45000</v>
      </c>
      <c r="H14" s="66">
        <f t="shared" si="0"/>
        <v>540000</v>
      </c>
      <c r="I14" s="46"/>
      <c r="J14" s="113">
        <f>+LOOKUP(B14,REUNION!$X$3:$X$10,REUNION!$Y$3:$Y$10)</f>
        <v>603122</v>
      </c>
      <c r="K14" s="132">
        <f>+IF(H14=0,0,J14/H14)</f>
        <v>1.1168925925925925</v>
      </c>
      <c r="L14" s="6">
        <f>+REUNION!Z6</f>
        <v>15</v>
      </c>
      <c r="BK14" s="8" t="s">
        <v>443</v>
      </c>
    </row>
    <row r="15" spans="1:63" x14ac:dyDescent="0.25">
      <c r="B15" s="1" t="s">
        <v>17</v>
      </c>
      <c r="C15" s="65">
        <v>6</v>
      </c>
      <c r="D15" s="65">
        <v>1</v>
      </c>
      <c r="E15" s="65">
        <v>3</v>
      </c>
      <c r="F15" s="60">
        <v>20000</v>
      </c>
      <c r="G15" s="60">
        <f t="shared" si="1"/>
        <v>60000</v>
      </c>
      <c r="H15" s="66">
        <f t="shared" si="0"/>
        <v>360000</v>
      </c>
      <c r="I15" s="46"/>
      <c r="J15" s="113">
        <f>+LOOKUP(B15,REUNION!$X$3:$X$10,REUNION!$Y$3:$Y$10)</f>
        <v>260000</v>
      </c>
      <c r="K15" s="132">
        <f t="shared" ref="K15:K21" si="2">+IF(H15=0,0,J15/H15)</f>
        <v>0.72222222222222221</v>
      </c>
      <c r="L15" s="6">
        <f>+REUNION!Z5</f>
        <v>6</v>
      </c>
    </row>
    <row r="16" spans="1:63" x14ac:dyDescent="0.25">
      <c r="B16" s="1" t="s">
        <v>18</v>
      </c>
      <c r="C16" s="65">
        <v>6</v>
      </c>
      <c r="D16" s="65">
        <v>1</v>
      </c>
      <c r="E16" s="65">
        <v>6</v>
      </c>
      <c r="F16" s="60">
        <v>5000</v>
      </c>
      <c r="G16" s="60">
        <f t="shared" si="1"/>
        <v>30000</v>
      </c>
      <c r="H16" s="66">
        <f t="shared" si="0"/>
        <v>180000</v>
      </c>
      <c r="I16" s="46"/>
      <c r="J16" s="113">
        <f>+LOOKUP(B16,REUNION!$X$3:$X$10,REUNION!$Y$3:$Y$10)</f>
        <v>483914</v>
      </c>
      <c r="K16" s="132">
        <f t="shared" si="2"/>
        <v>2.6884111111111113</v>
      </c>
      <c r="L16" s="6">
        <f>+REUNION!Z8</f>
        <v>22</v>
      </c>
    </row>
    <row r="17" spans="1:12" x14ac:dyDescent="0.25">
      <c r="B17" s="1" t="s">
        <v>19</v>
      </c>
      <c r="C17" s="65">
        <v>6</v>
      </c>
      <c r="D17" s="65">
        <v>1</v>
      </c>
      <c r="E17" s="65">
        <v>2</v>
      </c>
      <c r="F17" s="60">
        <v>20000</v>
      </c>
      <c r="G17" s="60">
        <f t="shared" si="1"/>
        <v>40000</v>
      </c>
      <c r="H17" s="66">
        <f t="shared" si="0"/>
        <v>240000</v>
      </c>
      <c r="I17" s="46"/>
      <c r="J17" s="113">
        <f>+LOOKUP(B17,REUNION!$X$3:$X$10,REUNION!$Y$3:$Y$10)</f>
        <v>40000</v>
      </c>
      <c r="K17" s="132">
        <f t="shared" si="2"/>
        <v>0.16666666666666666</v>
      </c>
      <c r="L17" s="6">
        <f>+REUNION!Z7</f>
        <v>2</v>
      </c>
    </row>
    <row r="18" spans="1:12" x14ac:dyDescent="0.25">
      <c r="B18" s="1" t="s">
        <v>20</v>
      </c>
      <c r="C18" s="65">
        <v>2</v>
      </c>
      <c r="D18" s="65">
        <v>3</v>
      </c>
      <c r="E18" s="65">
        <v>3</v>
      </c>
      <c r="F18" s="60">
        <v>20000</v>
      </c>
      <c r="G18" s="60">
        <f t="shared" si="1"/>
        <v>180000</v>
      </c>
      <c r="H18" s="66">
        <f t="shared" si="0"/>
        <v>360000</v>
      </c>
      <c r="I18" s="46"/>
      <c r="J18" s="113">
        <f>+LOOKUP(B18,REUNION!$X$3:$X$10,REUNION!$Y$3:$Y$10)</f>
        <v>120000</v>
      </c>
      <c r="K18" s="132">
        <f t="shared" si="2"/>
        <v>0.33333333333333331</v>
      </c>
      <c r="L18" s="6">
        <f>+REUNION!Z4</f>
        <v>2</v>
      </c>
    </row>
    <row r="19" spans="1:12" x14ac:dyDescent="0.25">
      <c r="B19" s="1" t="s">
        <v>243</v>
      </c>
      <c r="C19" s="65">
        <v>2</v>
      </c>
      <c r="D19" s="65">
        <v>1</v>
      </c>
      <c r="E19" s="65">
        <v>1</v>
      </c>
      <c r="F19" s="60">
        <v>5000</v>
      </c>
      <c r="G19" s="60">
        <f t="shared" si="1"/>
        <v>5000</v>
      </c>
      <c r="H19" s="66">
        <f t="shared" si="0"/>
        <v>10000</v>
      </c>
      <c r="I19" s="46"/>
      <c r="J19" s="113">
        <f>+LOOKUP(B19,REUNION!$X$3:$X$10,REUNION!$Y$3:$Y$10)</f>
        <v>0</v>
      </c>
      <c r="K19" s="132">
        <f t="shared" si="2"/>
        <v>0</v>
      </c>
      <c r="L19" s="6">
        <f>+REUNION!Z9</f>
        <v>0</v>
      </c>
    </row>
    <row r="20" spans="1:12" x14ac:dyDescent="0.25">
      <c r="B20" s="38" t="s">
        <v>244</v>
      </c>
      <c r="C20" s="67">
        <v>2</v>
      </c>
      <c r="D20" s="67">
        <v>1</v>
      </c>
      <c r="E20" s="67">
        <v>1</v>
      </c>
      <c r="F20" s="61">
        <v>5000</v>
      </c>
      <c r="G20" s="61">
        <f t="shared" si="1"/>
        <v>5000</v>
      </c>
      <c r="H20" s="68">
        <f t="shared" si="0"/>
        <v>10000</v>
      </c>
      <c r="I20" s="46"/>
      <c r="J20" s="113">
        <f>+LOOKUP(B20,REUNION!$X$3:$X$10,REUNION!$Y$3:$Y$10)</f>
        <v>0</v>
      </c>
      <c r="K20" s="132">
        <f t="shared" si="2"/>
        <v>0</v>
      </c>
      <c r="L20" s="6">
        <f>+REUNION!Z10</f>
        <v>0</v>
      </c>
    </row>
    <row r="21" spans="1:12" x14ac:dyDescent="0.25">
      <c r="B21" s="110" t="s">
        <v>26</v>
      </c>
      <c r="C21" s="111"/>
      <c r="D21" s="111"/>
      <c r="E21" s="111"/>
      <c r="F21" s="112"/>
      <c r="G21" s="112"/>
      <c r="H21" s="109">
        <f>SUM(H13:H20)</f>
        <v>1700000</v>
      </c>
      <c r="I21" s="50"/>
      <c r="J21" s="114">
        <f>SUM(J13:J20)</f>
        <v>1507036</v>
      </c>
      <c r="K21" s="711">
        <f t="shared" si="2"/>
        <v>0.88649176470588231</v>
      </c>
    </row>
    <row r="22" spans="1:12" x14ac:dyDescent="0.25">
      <c r="B22" s="69"/>
      <c r="C22" s="42"/>
      <c r="D22" s="42"/>
      <c r="E22" s="42"/>
      <c r="F22" s="717" t="s">
        <v>639</v>
      </c>
      <c r="G22" s="719">
        <f>+H22/H21</f>
        <v>0.11350823529411765</v>
      </c>
      <c r="H22" s="718">
        <f>+H21-J21</f>
        <v>192964</v>
      </c>
      <c r="I22" s="69"/>
      <c r="J22" s="77"/>
      <c r="K22" s="133"/>
    </row>
    <row r="23" spans="1:12" x14ac:dyDescent="0.25">
      <c r="A23" s="21" t="s">
        <v>642</v>
      </c>
      <c r="B23" s="55" t="s">
        <v>87</v>
      </c>
      <c r="C23" s="42"/>
      <c r="D23" s="42"/>
      <c r="E23" s="42"/>
      <c r="F23" s="42"/>
      <c r="G23" s="42"/>
      <c r="H23" s="42"/>
      <c r="I23" s="42"/>
      <c r="J23" s="115"/>
      <c r="K23" s="133"/>
    </row>
    <row r="24" spans="1:12" x14ac:dyDescent="0.25">
      <c r="B24" s="63" t="s">
        <v>27</v>
      </c>
      <c r="C24" s="64" t="s">
        <v>445</v>
      </c>
      <c r="D24" s="64" t="s">
        <v>9</v>
      </c>
      <c r="E24" s="64" t="s">
        <v>447</v>
      </c>
      <c r="F24" s="64" t="s">
        <v>10</v>
      </c>
      <c r="G24" s="64" t="s">
        <v>11</v>
      </c>
      <c r="H24" s="64" t="s">
        <v>12</v>
      </c>
      <c r="I24" s="45"/>
      <c r="J24" s="115"/>
      <c r="K24" s="133"/>
    </row>
    <row r="25" spans="1:12" x14ac:dyDescent="0.25">
      <c r="B25" s="1" t="s">
        <v>17</v>
      </c>
      <c r="C25" s="65">
        <v>6</v>
      </c>
      <c r="D25" s="65">
        <v>1</v>
      </c>
      <c r="E25" s="65">
        <v>3</v>
      </c>
      <c r="F25" s="60">
        <v>50000</v>
      </c>
      <c r="G25" s="60">
        <f>+D25*E25*F25</f>
        <v>150000</v>
      </c>
      <c r="H25" s="66">
        <f>+G25*C25</f>
        <v>900000</v>
      </c>
      <c r="I25" s="46"/>
      <c r="J25" s="113">
        <f>+VIATICOS!L4</f>
        <v>1324595</v>
      </c>
      <c r="K25" s="132">
        <f t="shared" ref="K25:K30" si="3">+IF(H25=0,0,J25/H25)</f>
        <v>1.4717722222222223</v>
      </c>
    </row>
    <row r="26" spans="1:12" x14ac:dyDescent="0.25">
      <c r="B26" s="1" t="s">
        <v>19</v>
      </c>
      <c r="C26" s="65">
        <v>6</v>
      </c>
      <c r="D26" s="65">
        <v>1</v>
      </c>
      <c r="E26" s="65">
        <v>2</v>
      </c>
      <c r="F26" s="60">
        <v>50000</v>
      </c>
      <c r="G26" s="60">
        <f>+D26*E26*F26</f>
        <v>100000</v>
      </c>
      <c r="H26" s="66">
        <f>+G26*C26</f>
        <v>600000</v>
      </c>
      <c r="I26" s="46"/>
      <c r="J26" s="113">
        <f>+VIATICOS!L6</f>
        <v>0</v>
      </c>
      <c r="K26" s="132">
        <f t="shared" si="3"/>
        <v>0</v>
      </c>
    </row>
    <row r="27" spans="1:12" x14ac:dyDescent="0.25">
      <c r="B27" s="1" t="s">
        <v>20</v>
      </c>
      <c r="C27" s="65">
        <v>2</v>
      </c>
      <c r="D27" s="65">
        <v>3</v>
      </c>
      <c r="E27" s="65">
        <v>3</v>
      </c>
      <c r="F27" s="60">
        <v>40000</v>
      </c>
      <c r="G27" s="60">
        <f>+D27*E27*F27</f>
        <v>360000</v>
      </c>
      <c r="H27" s="66">
        <f>+G27*C27</f>
        <v>720000</v>
      </c>
      <c r="I27" s="46"/>
      <c r="J27" s="113">
        <f>+VIATICOS!L3</f>
        <v>0</v>
      </c>
      <c r="K27" s="132">
        <f t="shared" si="3"/>
        <v>0</v>
      </c>
    </row>
    <row r="28" spans="1:12" x14ac:dyDescent="0.25">
      <c r="B28" s="1" t="s">
        <v>243</v>
      </c>
      <c r="C28" s="65">
        <v>0</v>
      </c>
      <c r="D28" s="65">
        <v>0</v>
      </c>
      <c r="E28" s="65">
        <v>0</v>
      </c>
      <c r="F28" s="60">
        <v>0</v>
      </c>
      <c r="G28" s="60">
        <f>+D28*E28*F28</f>
        <v>0</v>
      </c>
      <c r="H28" s="66">
        <f>+G28*C28</f>
        <v>0</v>
      </c>
      <c r="I28" s="46"/>
      <c r="J28" s="113">
        <f>+VIATICOS!L8</f>
        <v>0</v>
      </c>
      <c r="K28" s="132">
        <f t="shared" si="3"/>
        <v>0</v>
      </c>
    </row>
    <row r="29" spans="1:12" x14ac:dyDescent="0.25">
      <c r="B29" s="38" t="s">
        <v>244</v>
      </c>
      <c r="C29" s="65">
        <v>0</v>
      </c>
      <c r="D29" s="65">
        <v>0</v>
      </c>
      <c r="E29" s="65">
        <v>0</v>
      </c>
      <c r="F29" s="60">
        <v>0</v>
      </c>
      <c r="G29" s="60">
        <f>+D29*E29*F29</f>
        <v>0</v>
      </c>
      <c r="H29" s="66">
        <f>+G29*C29</f>
        <v>0</v>
      </c>
      <c r="I29" s="46"/>
      <c r="J29" s="113">
        <f>+VIATICOS!L9</f>
        <v>0</v>
      </c>
      <c r="K29" s="132">
        <f t="shared" si="3"/>
        <v>0</v>
      </c>
    </row>
    <row r="30" spans="1:12" x14ac:dyDescent="0.25">
      <c r="B30" s="110" t="s">
        <v>28</v>
      </c>
      <c r="C30" s="111"/>
      <c r="D30" s="111"/>
      <c r="E30" s="111"/>
      <c r="F30" s="112"/>
      <c r="G30" s="112"/>
      <c r="H30" s="109">
        <f>SUM(H25:H29)</f>
        <v>2220000</v>
      </c>
      <c r="I30" s="50"/>
      <c r="J30" s="114">
        <f>SUM(J25:J29)</f>
        <v>1324595</v>
      </c>
      <c r="K30" s="711">
        <f t="shared" si="3"/>
        <v>0.59666441441441442</v>
      </c>
    </row>
    <row r="31" spans="1:12" x14ac:dyDescent="0.25">
      <c r="F31" s="717" t="s">
        <v>639</v>
      </c>
      <c r="G31" s="719">
        <f>+H31/H30</f>
        <v>0.40333558558558558</v>
      </c>
      <c r="H31" s="718">
        <f>+H30-J30</f>
        <v>895405</v>
      </c>
      <c r="I31" s="70"/>
      <c r="J31" s="115"/>
      <c r="K31" s="133"/>
    </row>
    <row r="32" spans="1:12" x14ac:dyDescent="0.25">
      <c r="A32" s="21" t="s">
        <v>643</v>
      </c>
      <c r="B32" s="55" t="s">
        <v>83</v>
      </c>
      <c r="C32" s="71"/>
      <c r="J32" s="115"/>
      <c r="K32" s="133"/>
    </row>
    <row r="33" spans="1:13" x14ac:dyDescent="0.25">
      <c r="B33" s="1" t="s">
        <v>93</v>
      </c>
      <c r="C33" s="60">
        <v>1500000</v>
      </c>
      <c r="D33" s="72">
        <v>2</v>
      </c>
      <c r="E33" s="57">
        <f>+C33*D33</f>
        <v>3000000</v>
      </c>
      <c r="J33" s="113">
        <f>+CARTOLA!P52*-1</f>
        <v>4940041</v>
      </c>
      <c r="K33" s="132">
        <f>+IF(E33=0,0,J33/E33)</f>
        <v>1.6466803333333333</v>
      </c>
    </row>
    <row r="34" spans="1:13" x14ac:dyDescent="0.25">
      <c r="B34" s="1" t="s">
        <v>70</v>
      </c>
      <c r="C34" s="60">
        <v>100000</v>
      </c>
      <c r="D34" s="72">
        <f>+D33</f>
        <v>2</v>
      </c>
      <c r="E34" s="57">
        <f>+C34*D34</f>
        <v>200000</v>
      </c>
      <c r="J34" s="113">
        <f>+CARTOLA!P53*-1</f>
        <v>128830</v>
      </c>
      <c r="K34" s="132">
        <f>+IF(E34=0,0,J34/E34)</f>
        <v>0.64415</v>
      </c>
    </row>
    <row r="35" spans="1:13" s="7" customFormat="1" x14ac:dyDescent="0.25">
      <c r="A35" s="8"/>
      <c r="B35" s="38" t="s">
        <v>89</v>
      </c>
      <c r="C35" s="61">
        <v>15000</v>
      </c>
      <c r="D35" s="72">
        <f>+D34</f>
        <v>2</v>
      </c>
      <c r="E35" s="57">
        <f>+C35*D35</f>
        <v>30000</v>
      </c>
      <c r="F35" s="8"/>
      <c r="G35" s="58"/>
      <c r="H35" s="8"/>
      <c r="I35" s="8"/>
      <c r="J35" s="113">
        <f>+CARTOLA!P54*-1</f>
        <v>45000</v>
      </c>
      <c r="K35" s="132">
        <f>+IF(E35=0,0,J35/E35)</f>
        <v>1.5</v>
      </c>
      <c r="L35" s="504"/>
    </row>
    <row r="36" spans="1:13" x14ac:dyDescent="0.25">
      <c r="B36" s="107" t="s">
        <v>85</v>
      </c>
      <c r="C36" s="111"/>
      <c r="D36" s="111"/>
      <c r="E36" s="109">
        <f>SUM(E33:E35)</f>
        <v>3230000</v>
      </c>
      <c r="F36" s="58"/>
      <c r="J36" s="114">
        <f>SUM(J33:J35)</f>
        <v>5113871</v>
      </c>
      <c r="K36" s="711">
        <f>+IF(E36=0,0,J36/E36)</f>
        <v>1.5832417956656346</v>
      </c>
    </row>
    <row r="37" spans="1:13" x14ac:dyDescent="0.25">
      <c r="C37" s="716"/>
      <c r="F37" s="717" t="s">
        <v>639</v>
      </c>
      <c r="G37" s="719">
        <f>+H37/E36</f>
        <v>-0.58324179566563472</v>
      </c>
      <c r="H37" s="718">
        <f>+E36-J36</f>
        <v>-1883871</v>
      </c>
      <c r="J37" s="115"/>
      <c r="K37" s="133"/>
    </row>
    <row r="38" spans="1:13" x14ac:dyDescent="0.25">
      <c r="A38" s="21" t="s">
        <v>644</v>
      </c>
      <c r="B38" s="55" t="s">
        <v>88</v>
      </c>
      <c r="C38" s="73"/>
      <c r="D38" s="73"/>
      <c r="J38" s="115"/>
      <c r="K38" s="133"/>
    </row>
    <row r="39" spans="1:13" x14ac:dyDescent="0.25">
      <c r="B39" s="74" t="s">
        <v>67</v>
      </c>
      <c r="C39" s="56">
        <v>20000</v>
      </c>
      <c r="D39" s="72">
        <v>12</v>
      </c>
      <c r="E39" s="57">
        <f>+C39*D39</f>
        <v>240000</v>
      </c>
      <c r="J39" s="113">
        <f>+CARTOLA!P50*-1</f>
        <v>240000</v>
      </c>
      <c r="K39" s="132">
        <f>+IF(E39=0,0,J39/E39)</f>
        <v>1</v>
      </c>
    </row>
    <row r="40" spans="1:13" x14ac:dyDescent="0.25">
      <c r="B40" s="36" t="s">
        <v>71</v>
      </c>
      <c r="C40" s="56">
        <v>10000</v>
      </c>
      <c r="D40" s="72">
        <v>12</v>
      </c>
      <c r="E40" s="57">
        <f>+C40*D40</f>
        <v>120000</v>
      </c>
      <c r="J40" s="113">
        <f>+CARTOLA!P56*-1</f>
        <v>43000</v>
      </c>
      <c r="K40" s="132">
        <f>+IF(E40=0,0,J40/E40)</f>
        <v>0.35833333333333334</v>
      </c>
    </row>
    <row r="41" spans="1:13" hidden="1" x14ac:dyDescent="0.25">
      <c r="B41" s="1" t="s">
        <v>198</v>
      </c>
      <c r="C41" s="56">
        <v>0</v>
      </c>
      <c r="D41" s="72">
        <v>0</v>
      </c>
      <c r="E41" s="57">
        <f>+C41*D41</f>
        <v>0</v>
      </c>
      <c r="J41" s="113">
        <f>+CARTOLA!P57*-1</f>
        <v>0</v>
      </c>
      <c r="K41" s="132">
        <f>+IF(E41=0,0,J41/E41)</f>
        <v>0</v>
      </c>
    </row>
    <row r="42" spans="1:13" x14ac:dyDescent="0.25">
      <c r="B42" s="1" t="s">
        <v>671</v>
      </c>
      <c r="C42" s="56">
        <v>100000</v>
      </c>
      <c r="D42" s="72">
        <v>12</v>
      </c>
      <c r="E42" s="57">
        <f>+(C42*D42)+F42</f>
        <v>1450000</v>
      </c>
      <c r="F42" s="734">
        <f>100000+150000</f>
        <v>250000</v>
      </c>
      <c r="J42" s="113">
        <f>+CARTOLA!P58*-1</f>
        <v>1600000</v>
      </c>
      <c r="K42" s="132">
        <f>+IF(E42=0,0,J42/E42)</f>
        <v>1.103448275862069</v>
      </c>
    </row>
    <row r="43" spans="1:13" x14ac:dyDescent="0.25">
      <c r="B43" s="1" t="s">
        <v>32</v>
      </c>
      <c r="C43" s="56">
        <v>150000</v>
      </c>
      <c r="D43" s="72">
        <v>1</v>
      </c>
      <c r="E43" s="57">
        <f t="shared" ref="E43:E52" si="4">+C43*D43</f>
        <v>150000</v>
      </c>
      <c r="J43" s="113">
        <f>+CARTOLA!P59*-1</f>
        <v>147950</v>
      </c>
      <c r="K43" s="132">
        <f>+IF(E43=0,0,J43/E43)</f>
        <v>0.98633333333333328</v>
      </c>
    </row>
    <row r="44" spans="1:13" hidden="1" x14ac:dyDescent="0.25">
      <c r="B44" s="1" t="s">
        <v>33</v>
      </c>
      <c r="C44" s="56">
        <v>0</v>
      </c>
      <c r="D44" s="72">
        <v>0</v>
      </c>
      <c r="E44" s="57">
        <f t="shared" si="4"/>
        <v>0</v>
      </c>
      <c r="J44" s="113">
        <f>+CARTOLA!P60*-1</f>
        <v>0</v>
      </c>
      <c r="K44" s="132">
        <f t="shared" ref="K44:K53" si="5">+IF(E44=0,0,J44/E44)</f>
        <v>0</v>
      </c>
    </row>
    <row r="45" spans="1:13" x14ac:dyDescent="0.25">
      <c r="B45" s="1" t="s">
        <v>568</v>
      </c>
      <c r="C45" s="56">
        <v>5000</v>
      </c>
      <c r="D45" s="72">
        <v>12</v>
      </c>
      <c r="E45" s="57">
        <f t="shared" si="4"/>
        <v>60000</v>
      </c>
      <c r="J45" s="113">
        <f>+CARTOLA!P61*-1</f>
        <v>114473.60000000001</v>
      </c>
      <c r="K45" s="132">
        <f t="shared" si="5"/>
        <v>1.9078933333333334</v>
      </c>
      <c r="M45" s="8" t="s">
        <v>601</v>
      </c>
    </row>
    <row r="46" spans="1:13" hidden="1" x14ac:dyDescent="0.25">
      <c r="B46" s="1" t="s">
        <v>34</v>
      </c>
      <c r="C46" s="56">
        <v>0</v>
      </c>
      <c r="D46" s="72">
        <v>0</v>
      </c>
      <c r="E46" s="57">
        <f t="shared" si="4"/>
        <v>0</v>
      </c>
      <c r="J46" s="113">
        <f>+CARTOLA!P62*-1</f>
        <v>0</v>
      </c>
      <c r="K46" s="132">
        <f t="shared" si="5"/>
        <v>0</v>
      </c>
    </row>
    <row r="47" spans="1:13" hidden="1" x14ac:dyDescent="0.25">
      <c r="B47" s="1" t="s">
        <v>35</v>
      </c>
      <c r="C47" s="56">
        <v>0</v>
      </c>
      <c r="D47" s="72">
        <v>0</v>
      </c>
      <c r="E47" s="57">
        <f t="shared" si="4"/>
        <v>0</v>
      </c>
      <c r="J47" s="113">
        <f>+CARTOLA!P63*-1</f>
        <v>0</v>
      </c>
      <c r="K47" s="132">
        <f t="shared" si="5"/>
        <v>0</v>
      </c>
    </row>
    <row r="48" spans="1:13" s="7" customFormat="1" hidden="1" x14ac:dyDescent="0.25">
      <c r="B48" s="1" t="s">
        <v>92</v>
      </c>
      <c r="C48" s="56">
        <v>0</v>
      </c>
      <c r="D48" s="72">
        <v>0</v>
      </c>
      <c r="E48" s="57">
        <f>+C48*D48*6</f>
        <v>0</v>
      </c>
      <c r="F48" s="8"/>
      <c r="G48" s="8"/>
      <c r="H48" s="8"/>
      <c r="I48" s="8"/>
      <c r="J48" s="113">
        <f>+CARTOLA!P64*-1</f>
        <v>0</v>
      </c>
      <c r="K48" s="132">
        <f t="shared" si="5"/>
        <v>0</v>
      </c>
      <c r="L48" s="504"/>
    </row>
    <row r="49" spans="1:12" s="7" customFormat="1" x14ac:dyDescent="0.25">
      <c r="B49" s="1" t="s">
        <v>36</v>
      </c>
      <c r="C49" s="56">
        <v>50000</v>
      </c>
      <c r="D49" s="72">
        <v>2</v>
      </c>
      <c r="E49" s="57">
        <f t="shared" si="4"/>
        <v>100000</v>
      </c>
      <c r="F49" s="8"/>
      <c r="G49" s="58"/>
      <c r="H49" s="8"/>
      <c r="I49" s="8"/>
      <c r="J49" s="113">
        <f>+CARTOLA!P65*-1</f>
        <v>0</v>
      </c>
      <c r="K49" s="132">
        <f t="shared" si="5"/>
        <v>0</v>
      </c>
      <c r="L49" s="504"/>
    </row>
    <row r="50" spans="1:12" s="7" customFormat="1" hidden="1" x14ac:dyDescent="0.25">
      <c r="A50" s="8"/>
      <c r="B50" s="1" t="s">
        <v>37</v>
      </c>
      <c r="C50" s="56">
        <v>0</v>
      </c>
      <c r="D50" s="72">
        <v>0</v>
      </c>
      <c r="E50" s="57">
        <f t="shared" si="4"/>
        <v>0</v>
      </c>
      <c r="F50" s="8"/>
      <c r="G50" s="58"/>
      <c r="H50" s="8"/>
      <c r="I50" s="8"/>
      <c r="J50" s="113">
        <f>+CARTOLA!P66*-1</f>
        <v>0</v>
      </c>
      <c r="K50" s="132">
        <f t="shared" si="5"/>
        <v>0</v>
      </c>
      <c r="L50" s="504"/>
    </row>
    <row r="51" spans="1:12" s="7" customFormat="1" x14ac:dyDescent="0.25">
      <c r="B51" s="38" t="s">
        <v>38</v>
      </c>
      <c r="C51" s="56">
        <v>100000</v>
      </c>
      <c r="D51" s="72">
        <v>1</v>
      </c>
      <c r="E51" s="57">
        <f t="shared" si="4"/>
        <v>100000</v>
      </c>
      <c r="F51" s="8"/>
      <c r="G51" s="58"/>
      <c r="H51" s="75"/>
      <c r="I51" s="8"/>
      <c r="J51" s="113">
        <f>+CARTOLA!P67*-1</f>
        <v>54180</v>
      </c>
      <c r="K51" s="132">
        <f t="shared" si="5"/>
        <v>0.54179999999999995</v>
      </c>
      <c r="L51" s="504"/>
    </row>
    <row r="52" spans="1:12" s="7" customFormat="1" x14ac:dyDescent="0.25">
      <c r="B52" s="38" t="s">
        <v>242</v>
      </c>
      <c r="C52" s="56">
        <v>800000</v>
      </c>
      <c r="D52" s="72">
        <v>1</v>
      </c>
      <c r="E52" s="57">
        <f t="shared" si="4"/>
        <v>800000</v>
      </c>
      <c r="F52" s="8"/>
      <c r="G52" s="58"/>
      <c r="H52" s="75"/>
      <c r="I52" s="8"/>
      <c r="J52" s="113">
        <f>+CARTOLA!P68*-1</f>
        <v>135984</v>
      </c>
      <c r="K52" s="132">
        <f t="shared" si="5"/>
        <v>0.16997999999999999</v>
      </c>
      <c r="L52" s="504"/>
    </row>
    <row r="53" spans="1:12" s="7" customFormat="1" x14ac:dyDescent="0.25">
      <c r="B53" s="107" t="s">
        <v>84</v>
      </c>
      <c r="C53" s="111"/>
      <c r="D53" s="111"/>
      <c r="E53" s="109">
        <f>SUM(E39:E52)</f>
        <v>3020000</v>
      </c>
      <c r="F53" s="8"/>
      <c r="G53" s="58"/>
      <c r="H53" s="75"/>
      <c r="I53" s="8"/>
      <c r="J53" s="114">
        <f>SUM(J39:J52)</f>
        <v>2335587.6</v>
      </c>
      <c r="K53" s="711">
        <f t="shared" si="5"/>
        <v>0.7733733774834437</v>
      </c>
      <c r="L53" s="504"/>
    </row>
    <row r="54" spans="1:12" s="7" customFormat="1" x14ac:dyDescent="0.25">
      <c r="B54" s="42"/>
      <c r="C54" s="76"/>
      <c r="D54" s="77"/>
      <c r="E54" s="8"/>
      <c r="F54" s="717" t="s">
        <v>639</v>
      </c>
      <c r="G54" s="719">
        <f>+H54/E53</f>
        <v>0.22662662251655627</v>
      </c>
      <c r="H54" s="718">
        <f>+E53-J53</f>
        <v>684412.39999999991</v>
      </c>
      <c r="I54" s="75"/>
      <c r="J54" s="115"/>
      <c r="K54" s="133"/>
      <c r="L54" s="504"/>
    </row>
    <row r="55" spans="1:12" s="7" customFormat="1" x14ac:dyDescent="0.25">
      <c r="A55" s="52" t="s">
        <v>645</v>
      </c>
      <c r="B55" s="55" t="s">
        <v>80</v>
      </c>
      <c r="C55" s="76"/>
      <c r="D55" s="77"/>
      <c r="E55" s="8"/>
      <c r="F55" s="8"/>
      <c r="G55" s="58"/>
      <c r="H55" s="75"/>
      <c r="I55" s="75"/>
      <c r="J55" s="115"/>
      <c r="K55" s="133"/>
      <c r="L55" s="504"/>
    </row>
    <row r="56" spans="1:12" s="7" customFormat="1" x14ac:dyDescent="0.25">
      <c r="B56" s="78" t="s">
        <v>214</v>
      </c>
      <c r="C56" s="155">
        <v>10</v>
      </c>
      <c r="D56" s="57">
        <f t="shared" ref="D56:D61" si="6">+C56*2500*3</f>
        <v>75000</v>
      </c>
      <c r="E56" s="8"/>
      <c r="F56" s="8"/>
      <c r="G56" s="8"/>
      <c r="H56" s="8"/>
      <c r="I56" s="8"/>
      <c r="J56" s="113">
        <f>+CARTOLA!P69*-1</f>
        <v>0</v>
      </c>
      <c r="K56" s="132">
        <f t="shared" ref="K56:K62" si="7">+IF(D56=0,0,J56/D56)</f>
        <v>0</v>
      </c>
      <c r="L56" s="504"/>
    </row>
    <row r="57" spans="1:12" s="7" customFormat="1" x14ac:dyDescent="0.25">
      <c r="B57" s="1" t="s">
        <v>95</v>
      </c>
      <c r="C57" s="155">
        <v>10</v>
      </c>
      <c r="D57" s="57">
        <f t="shared" si="6"/>
        <v>75000</v>
      </c>
      <c r="E57" s="8"/>
      <c r="F57" s="8"/>
      <c r="G57" s="8"/>
      <c r="H57" s="8"/>
      <c r="I57" s="8"/>
      <c r="J57" s="113">
        <f>+CARTOLA!P70*-1</f>
        <v>0</v>
      </c>
      <c r="K57" s="132">
        <f t="shared" si="7"/>
        <v>0</v>
      </c>
      <c r="L57" s="504"/>
    </row>
    <row r="58" spans="1:12" s="7" customFormat="1" x14ac:dyDescent="0.25">
      <c r="B58" s="1" t="s">
        <v>188</v>
      </c>
      <c r="C58" s="155">
        <v>10</v>
      </c>
      <c r="D58" s="57">
        <f t="shared" si="6"/>
        <v>75000</v>
      </c>
      <c r="E58" s="8"/>
      <c r="F58" s="8"/>
      <c r="G58" s="8"/>
      <c r="H58" s="8"/>
      <c r="I58" s="8"/>
      <c r="J58" s="113">
        <f>+CARTOLA!P71*-1</f>
        <v>0</v>
      </c>
      <c r="K58" s="132">
        <f t="shared" si="7"/>
        <v>0</v>
      </c>
      <c r="L58" s="504"/>
    </row>
    <row r="59" spans="1:12" s="7" customFormat="1" x14ac:dyDescent="0.25">
      <c r="B59" s="1" t="s">
        <v>96</v>
      </c>
      <c r="C59" s="155">
        <v>10</v>
      </c>
      <c r="D59" s="57">
        <f t="shared" si="6"/>
        <v>75000</v>
      </c>
      <c r="E59" s="8"/>
      <c r="F59" s="8"/>
      <c r="G59" s="8"/>
      <c r="H59" s="8"/>
      <c r="I59" s="8"/>
      <c r="J59" s="113">
        <f>+CARTOLA!P72*-1</f>
        <v>0</v>
      </c>
      <c r="K59" s="132">
        <f t="shared" si="7"/>
        <v>0</v>
      </c>
      <c r="L59" s="504"/>
    </row>
    <row r="60" spans="1:12" s="7" customFormat="1" x14ac:dyDescent="0.25">
      <c r="B60" s="78" t="s">
        <v>97</v>
      </c>
      <c r="C60" s="155">
        <v>10</v>
      </c>
      <c r="D60" s="57">
        <f t="shared" si="6"/>
        <v>75000</v>
      </c>
      <c r="E60" s="8"/>
      <c r="F60" s="8"/>
      <c r="G60" s="8"/>
      <c r="H60" s="8"/>
      <c r="I60" s="8"/>
      <c r="J60" s="113">
        <f>+CARTOLA!P73*-1</f>
        <v>0</v>
      </c>
      <c r="K60" s="132">
        <f t="shared" si="7"/>
        <v>0</v>
      </c>
      <c r="L60" s="504"/>
    </row>
    <row r="61" spans="1:12" s="7" customFormat="1" x14ac:dyDescent="0.25">
      <c r="B61" s="78" t="s">
        <v>98</v>
      </c>
      <c r="C61" s="155">
        <v>10</v>
      </c>
      <c r="D61" s="57">
        <f t="shared" si="6"/>
        <v>75000</v>
      </c>
      <c r="E61" s="8"/>
      <c r="F61" s="8"/>
      <c r="G61" s="8"/>
      <c r="H61" s="8"/>
      <c r="I61" s="8"/>
      <c r="J61" s="113">
        <f>+CARTOLA!P74*-1</f>
        <v>0</v>
      </c>
      <c r="K61" s="132">
        <f t="shared" si="7"/>
        <v>0</v>
      </c>
      <c r="L61" s="504"/>
    </row>
    <row r="62" spans="1:12" s="7" customFormat="1" x14ac:dyDescent="0.25">
      <c r="B62" s="107" t="s">
        <v>82</v>
      </c>
      <c r="C62" s="509" t="s">
        <v>446</v>
      </c>
      <c r="D62" s="109">
        <f>SUM(D56:D61)</f>
        <v>450000</v>
      </c>
      <c r="F62" s="8"/>
      <c r="G62" s="8"/>
      <c r="H62" s="8"/>
      <c r="I62" s="8"/>
      <c r="J62" s="114">
        <f>SUM(J56:J61)</f>
        <v>0</v>
      </c>
      <c r="K62" s="711">
        <f t="shared" si="7"/>
        <v>0</v>
      </c>
      <c r="L62" s="504"/>
    </row>
    <row r="63" spans="1:12" s="7" customFormat="1" x14ac:dyDescent="0.25">
      <c r="B63" s="8"/>
      <c r="C63" s="8"/>
      <c r="D63" s="8"/>
      <c r="E63" s="8"/>
      <c r="F63" s="717" t="s">
        <v>639</v>
      </c>
      <c r="G63" s="719">
        <f>+H63/D62</f>
        <v>1</v>
      </c>
      <c r="H63" s="718">
        <f>+D62-J62</f>
        <v>450000</v>
      </c>
      <c r="I63" s="8"/>
      <c r="J63" s="79"/>
      <c r="K63" s="19"/>
      <c r="L63" s="504"/>
    </row>
    <row r="64" spans="1:12" s="7" customFormat="1" x14ac:dyDescent="0.25">
      <c r="B64" s="8"/>
      <c r="C64" s="8"/>
      <c r="D64" s="8"/>
      <c r="E64" s="8"/>
      <c r="F64" s="8"/>
      <c r="G64" s="8"/>
      <c r="H64" s="8"/>
      <c r="I64" s="8"/>
      <c r="J64" s="79"/>
      <c r="K64" s="19"/>
      <c r="L64" s="504"/>
    </row>
    <row r="65" spans="1:14" s="7" customFormat="1" x14ac:dyDescent="0.25">
      <c r="A65" s="52" t="s">
        <v>646</v>
      </c>
      <c r="B65" s="55" t="s">
        <v>456</v>
      </c>
      <c r="C65" s="23"/>
      <c r="D65" s="116" t="s">
        <v>90</v>
      </c>
      <c r="E65" s="23"/>
      <c r="F65" s="23"/>
      <c r="G65" s="966" t="s">
        <v>470</v>
      </c>
      <c r="H65" s="966"/>
      <c r="I65" s="966"/>
      <c r="J65" s="81"/>
      <c r="K65" s="134" t="s">
        <v>91</v>
      </c>
      <c r="L65" s="504"/>
    </row>
    <row r="66" spans="1:14" x14ac:dyDescent="0.25">
      <c r="B66" s="31" t="str">
        <f>+B11</f>
        <v xml:space="preserve">REMUNERACION DIRECTORES </v>
      </c>
      <c r="C66" s="37">
        <f>+H21</f>
        <v>1700000</v>
      </c>
      <c r="D66" s="19">
        <f>+IF($C$71=0,0,+C66/$C$71)</f>
        <v>0.160075329566855</v>
      </c>
      <c r="E66" s="103"/>
      <c r="F66" s="23"/>
      <c r="G66" s="967" t="str">
        <f t="shared" ref="G66:G71" si="8">+B66</f>
        <v xml:space="preserve">REMUNERACION DIRECTORES </v>
      </c>
      <c r="H66" s="968"/>
      <c r="I66" s="969"/>
      <c r="J66" s="524">
        <f>+J21+DIRECTOR!M4</f>
        <v>1769833</v>
      </c>
      <c r="K66" s="19">
        <f t="shared" ref="K66:K72" si="9">+IF(C66=0,0,+J66/C66)</f>
        <v>1.0410782352941177</v>
      </c>
      <c r="M66" s="18"/>
      <c r="N66" s="58"/>
    </row>
    <row r="67" spans="1:14" x14ac:dyDescent="0.25">
      <c r="B67" s="83" t="str">
        <f>+B23</f>
        <v xml:space="preserve">VIATICOS DE DIRECTORES </v>
      </c>
      <c r="C67" s="84">
        <f>+H30</f>
        <v>2220000</v>
      </c>
      <c r="D67" s="19">
        <f>+IF($C$71=0,0,+C67/$C$71)</f>
        <v>0.20903954802259886</v>
      </c>
      <c r="E67" s="103"/>
      <c r="F67" s="23"/>
      <c r="G67" s="970" t="str">
        <f t="shared" si="8"/>
        <v xml:space="preserve">VIATICOS DE DIRECTORES </v>
      </c>
      <c r="H67" s="971"/>
      <c r="I67" s="972"/>
      <c r="J67" s="525">
        <f>+J30+DIRECTOR!M5+DIRECTOR!M7+DIRECTOR!M10+RENDICION!K77+RENDICION!K69</f>
        <v>1378595</v>
      </c>
      <c r="K67" s="19">
        <f t="shared" si="9"/>
        <v>0.62098873873873872</v>
      </c>
      <c r="M67" s="18"/>
      <c r="N67" s="58"/>
    </row>
    <row r="68" spans="1:14" x14ac:dyDescent="0.25">
      <c r="B68" s="83" t="str">
        <f>+B32</f>
        <v>COSTO PLENARIAS</v>
      </c>
      <c r="C68" s="84">
        <f>+E36</f>
        <v>3230000</v>
      </c>
      <c r="D68" s="19">
        <f>+IF($C$71=0,0,+C68/$C$71)</f>
        <v>0.30414312617702449</v>
      </c>
      <c r="E68" s="103"/>
      <c r="F68" s="23"/>
      <c r="G68" s="970" t="str">
        <f t="shared" si="8"/>
        <v>COSTO PLENARIAS</v>
      </c>
      <c r="H68" s="971"/>
      <c r="I68" s="972"/>
      <c r="J68" s="525">
        <f>+J36</f>
        <v>5113871</v>
      </c>
      <c r="K68" s="19">
        <f t="shared" si="9"/>
        <v>1.5832417956656346</v>
      </c>
      <c r="M68" s="18"/>
      <c r="N68" s="58"/>
    </row>
    <row r="69" spans="1:14" x14ac:dyDescent="0.25">
      <c r="B69" s="83" t="str">
        <f>+B38</f>
        <v xml:space="preserve">GASTOS GESTION </v>
      </c>
      <c r="C69" s="84">
        <f>+E53</f>
        <v>3020000</v>
      </c>
      <c r="D69" s="19">
        <f>+IF($C$71=0,0,+C69/$C$71)</f>
        <v>0.28436911487758948</v>
      </c>
      <c r="E69" s="103"/>
      <c r="F69" s="23"/>
      <c r="G69" s="970" t="str">
        <f t="shared" si="8"/>
        <v xml:space="preserve">GASTOS GESTION </v>
      </c>
      <c r="H69" s="971"/>
      <c r="I69" s="972"/>
      <c r="J69" s="525">
        <f>+J53</f>
        <v>2335587.6</v>
      </c>
      <c r="K69" s="19">
        <f t="shared" si="9"/>
        <v>0.7733733774834437</v>
      </c>
      <c r="M69" s="18"/>
      <c r="N69" s="58"/>
    </row>
    <row r="70" spans="1:14" x14ac:dyDescent="0.25">
      <c r="B70" s="86" t="str">
        <f>+B55</f>
        <v xml:space="preserve">COMISIONES </v>
      </c>
      <c r="C70" s="35">
        <f>+D62</f>
        <v>450000</v>
      </c>
      <c r="D70" s="19">
        <f>+IF($C$71=0,0,+C70/$C$71)</f>
        <v>4.2372881355932202E-2</v>
      </c>
      <c r="E70" s="103"/>
      <c r="F70" s="23"/>
      <c r="G70" s="970" t="str">
        <f t="shared" si="8"/>
        <v xml:space="preserve">COMISIONES </v>
      </c>
      <c r="H70" s="971"/>
      <c r="I70" s="972"/>
      <c r="J70" s="525">
        <f>+J62</f>
        <v>0</v>
      </c>
      <c r="K70" s="19">
        <f t="shared" si="9"/>
        <v>0</v>
      </c>
      <c r="M70" s="18"/>
      <c r="N70" s="58"/>
    </row>
    <row r="71" spans="1:14" x14ac:dyDescent="0.25">
      <c r="B71" s="88" t="s">
        <v>205</v>
      </c>
      <c r="C71" s="89">
        <f>SUM(C66:C70)</f>
        <v>10620000</v>
      </c>
      <c r="D71" s="19">
        <f>SUM(D66:D70)</f>
        <v>1</v>
      </c>
      <c r="E71" s="103"/>
      <c r="F71" s="23"/>
      <c r="G71" s="973" t="str">
        <f t="shared" si="8"/>
        <v>TOTAL DE GASTOS</v>
      </c>
      <c r="H71" s="974"/>
      <c r="I71" s="975"/>
      <c r="J71" s="527">
        <f>SUM(J66:J70)</f>
        <v>10597886.6</v>
      </c>
      <c r="K71" s="19">
        <f t="shared" si="9"/>
        <v>0.99791775894538604</v>
      </c>
      <c r="M71" s="18"/>
      <c r="N71" s="58"/>
    </row>
    <row r="72" spans="1:14" x14ac:dyDescent="0.25">
      <c r="B72" s="90" t="s">
        <v>39</v>
      </c>
      <c r="C72" s="91">
        <f>+E9</f>
        <v>10743600</v>
      </c>
      <c r="D72" s="19">
        <f>+C72/C71</f>
        <v>1.011638418079096</v>
      </c>
      <c r="E72" s="103"/>
      <c r="F72" s="23"/>
      <c r="G72" s="976" t="str">
        <f>+B72</f>
        <v>TOTAL INGRESOS</v>
      </c>
      <c r="H72" s="977"/>
      <c r="I72" s="978"/>
      <c r="J72" s="528">
        <f>+J9</f>
        <v>8916049</v>
      </c>
      <c r="K72" s="19">
        <f t="shared" si="9"/>
        <v>0.82989398339476528</v>
      </c>
      <c r="L72" s="523"/>
      <c r="M72" s="18"/>
      <c r="N72" s="58"/>
    </row>
    <row r="73" spans="1:14" x14ac:dyDescent="0.25">
      <c r="B73" s="96" t="str">
        <f>+IF(C73&gt;0,"SOBRAN INGRESOS",+IF(C73&lt;0,"EXCESO DE GASTO","EQUILIBRIO"))</f>
        <v>SOBRAN INGRESOS</v>
      </c>
      <c r="C73" s="97">
        <f>+C72-C71</f>
        <v>123600</v>
      </c>
      <c r="D73" s="19">
        <f>+C73/C71</f>
        <v>1.1638418079096045E-2</v>
      </c>
      <c r="E73" s="103"/>
      <c r="F73" s="26"/>
      <c r="G73" s="961" t="str">
        <f>+IF(J73&gt;0,"SOBRAN INGRESOS",+IF(J73&lt;0,"EXCESO DE GASTO","EQUILIBRIO"))</f>
        <v>EXCESO DE GASTO</v>
      </c>
      <c r="H73" s="961"/>
      <c r="I73" s="961"/>
      <c r="J73" s="97">
        <f>+J72-J71</f>
        <v>-1681837.5999999996</v>
      </c>
      <c r="K73" s="712">
        <f>+J73/J71</f>
        <v>-0.15869556483082201</v>
      </c>
    </row>
    <row r="74" spans="1:14" x14ac:dyDescent="0.25">
      <c r="B74" s="23"/>
      <c r="C74" s="26"/>
      <c r="D74" s="531"/>
      <c r="E74" s="23"/>
      <c r="F74" s="23"/>
      <c r="J74" s="58"/>
      <c r="K74" s="8"/>
      <c r="L74" s="8"/>
    </row>
    <row r="75" spans="1:14" x14ac:dyDescent="0.25">
      <c r="B75" s="548" t="s">
        <v>549</v>
      </c>
      <c r="C75" s="549"/>
      <c r="D75" s="23"/>
      <c r="E75" s="23"/>
      <c r="F75" s="23"/>
      <c r="G75" s="962" t="s">
        <v>209</v>
      </c>
      <c r="H75" s="962"/>
      <c r="I75" s="962"/>
      <c r="J75" s="526">
        <f>+CARTOLA!E1</f>
        <v>12183148</v>
      </c>
      <c r="K75" s="19"/>
    </row>
    <row r="76" spans="1:14" ht="15" customHeight="1" x14ac:dyDescent="0.25">
      <c r="B76" s="550">
        <f>+J75</f>
        <v>12183148</v>
      </c>
      <c r="C76" s="161"/>
      <c r="D76" s="23"/>
      <c r="E76" s="23"/>
      <c r="F76" s="23"/>
      <c r="G76" s="962" t="s">
        <v>470</v>
      </c>
      <c r="H76" s="962"/>
      <c r="I76" s="962"/>
      <c r="J76" s="526">
        <f>+CARTOLA!I1</f>
        <v>10611753.4</v>
      </c>
      <c r="K76" s="19"/>
    </row>
    <row r="77" spans="1:14" ht="15" customHeight="1" x14ac:dyDescent="0.25">
      <c r="B77" s="551">
        <f>+B76+C73</f>
        <v>12306748</v>
      </c>
      <c r="C77" s="554">
        <f>+C73/B76</f>
        <v>1.0145161168525573E-2</v>
      </c>
      <c r="D77" s="23"/>
      <c r="G77" s="961" t="str">
        <f>+IF(J77=0," BUENO ",IF(J77&lt;0,"CON PERDIDAS DE ","CON UTILIDADES DE "))</f>
        <v xml:space="preserve">CON PERDIDAS DE </v>
      </c>
      <c r="H77" s="961"/>
      <c r="I77" s="961"/>
      <c r="J77" s="97">
        <f>+J76-J75</f>
        <v>-1571394.5999999996</v>
      </c>
      <c r="K77" s="19">
        <f>+IF(J77&gt;0,+J77/J75,+J77/J75)</f>
        <v>-0.12898099899960172</v>
      </c>
    </row>
    <row r="78" spans="1:14" x14ac:dyDescent="0.25">
      <c r="J78" s="58"/>
    </row>
    <row r="79" spans="1:14" x14ac:dyDescent="0.25">
      <c r="B79" s="949" t="s">
        <v>472</v>
      </c>
      <c r="C79" s="949"/>
      <c r="D79" s="949"/>
      <c r="J79" s="797"/>
    </row>
    <row r="80" spans="1:14" x14ac:dyDescent="0.25">
      <c r="B80" s="949" t="s">
        <v>466</v>
      </c>
      <c r="C80" s="949"/>
      <c r="D80" s="949"/>
      <c r="J80" s="58"/>
    </row>
    <row r="81" spans="2:10" x14ac:dyDescent="0.25">
      <c r="B81" s="949" t="s">
        <v>469</v>
      </c>
      <c r="C81" s="949"/>
      <c r="D81" s="949"/>
      <c r="J81" s="58"/>
    </row>
    <row r="83" spans="2:10" x14ac:dyDescent="0.25">
      <c r="B83" s="122" t="s">
        <v>191</v>
      </c>
      <c r="C83" s="946" t="s">
        <v>192</v>
      </c>
      <c r="D83" s="947"/>
      <c r="E83" s="947"/>
      <c r="F83" s="948"/>
    </row>
    <row r="84" spans="2:10" x14ac:dyDescent="0.25">
      <c r="B84" s="105" t="s">
        <v>14</v>
      </c>
      <c r="C84" s="943" t="s">
        <v>449</v>
      </c>
      <c r="D84" s="944"/>
      <c r="E84" s="944"/>
      <c r="F84" s="945"/>
    </row>
    <row r="85" spans="2:10" x14ac:dyDescent="0.25">
      <c r="B85" s="104" t="s">
        <v>15</v>
      </c>
      <c r="C85" s="937" t="s">
        <v>193</v>
      </c>
      <c r="D85" s="938"/>
      <c r="E85" s="938"/>
      <c r="F85" s="939"/>
    </row>
    <row r="86" spans="2:10" x14ac:dyDescent="0.25">
      <c r="B86" s="104" t="s">
        <v>17</v>
      </c>
      <c r="C86" s="937" t="s">
        <v>497</v>
      </c>
      <c r="D86" s="938"/>
      <c r="E86" s="938"/>
      <c r="F86" s="939"/>
    </row>
    <row r="87" spans="2:10" x14ac:dyDescent="0.25">
      <c r="B87" s="104" t="s">
        <v>18</v>
      </c>
      <c r="C87" s="937" t="s">
        <v>448</v>
      </c>
      <c r="D87" s="938"/>
      <c r="E87" s="938"/>
      <c r="F87" s="939"/>
    </row>
    <row r="88" spans="2:10" x14ac:dyDescent="0.25">
      <c r="B88" s="104" t="s">
        <v>19</v>
      </c>
      <c r="C88" s="937" t="s">
        <v>194</v>
      </c>
      <c r="D88" s="938"/>
      <c r="E88" s="938"/>
      <c r="F88" s="939"/>
    </row>
    <row r="89" spans="2:10" x14ac:dyDescent="0.25">
      <c r="B89" s="104" t="s">
        <v>20</v>
      </c>
      <c r="C89" s="937" t="s">
        <v>550</v>
      </c>
      <c r="D89" s="938"/>
      <c r="E89" s="938"/>
      <c r="F89" s="939"/>
    </row>
    <row r="90" spans="2:10" x14ac:dyDescent="0.25">
      <c r="B90" s="104" t="s">
        <v>21</v>
      </c>
      <c r="C90" s="937" t="s">
        <v>195</v>
      </c>
      <c r="D90" s="938"/>
      <c r="E90" s="938"/>
      <c r="F90" s="939"/>
    </row>
    <row r="91" spans="2:10" x14ac:dyDescent="0.25">
      <c r="B91" s="106" t="s">
        <v>22</v>
      </c>
      <c r="C91" s="940" t="s">
        <v>196</v>
      </c>
      <c r="D91" s="941"/>
      <c r="E91" s="941"/>
      <c r="F91" s="942"/>
      <c r="J91" s="58"/>
    </row>
    <row r="92" spans="2:10" x14ac:dyDescent="0.25">
      <c r="H92" s="521"/>
      <c r="I92" s="521"/>
      <c r="J92" s="521"/>
    </row>
    <row r="93" spans="2:10" x14ac:dyDescent="0.25">
      <c r="B93" s="122" t="s">
        <v>115</v>
      </c>
      <c r="C93" s="123" t="s">
        <v>190</v>
      </c>
      <c r="D93" s="125"/>
      <c r="E93" s="125"/>
      <c r="F93" s="126"/>
      <c r="H93" s="521"/>
      <c r="I93" s="521"/>
      <c r="J93" s="521"/>
    </row>
    <row r="94" spans="2:10" ht="15" customHeight="1" x14ac:dyDescent="0.25">
      <c r="B94" s="175" t="s">
        <v>214</v>
      </c>
      <c r="C94" s="958" t="s">
        <v>494</v>
      </c>
      <c r="D94" s="959"/>
      <c r="E94" s="959"/>
      <c r="F94" s="960"/>
      <c r="G94" s="950"/>
      <c r="H94" s="951"/>
      <c r="I94" s="951"/>
      <c r="J94" s="951"/>
    </row>
    <row r="95" spans="2:10" ht="15" customHeight="1" x14ac:dyDescent="0.25">
      <c r="B95" s="102" t="s">
        <v>95</v>
      </c>
      <c r="C95" s="952" t="s">
        <v>495</v>
      </c>
      <c r="D95" s="953"/>
      <c r="E95" s="953"/>
      <c r="F95" s="954"/>
      <c r="G95" s="950"/>
      <c r="H95" s="951"/>
      <c r="I95" s="951"/>
      <c r="J95" s="951"/>
    </row>
    <row r="96" spans="2:10" ht="15" customHeight="1" x14ac:dyDescent="0.25">
      <c r="B96" s="102" t="s">
        <v>188</v>
      </c>
      <c r="C96" s="952" t="s">
        <v>493</v>
      </c>
      <c r="D96" s="953"/>
      <c r="E96" s="953"/>
      <c r="F96" s="954"/>
      <c r="G96" s="950"/>
      <c r="H96" s="951"/>
      <c r="I96" s="951"/>
      <c r="J96" s="951"/>
    </row>
    <row r="97" spans="2:10" ht="15" customHeight="1" x14ac:dyDescent="0.25">
      <c r="B97" s="102" t="s">
        <v>96</v>
      </c>
      <c r="C97" s="952" t="s">
        <v>496</v>
      </c>
      <c r="D97" s="953"/>
      <c r="E97" s="953"/>
      <c r="F97" s="954"/>
      <c r="G97" s="950"/>
      <c r="H97" s="951"/>
      <c r="I97" s="951"/>
      <c r="J97" s="951"/>
    </row>
    <row r="98" spans="2:10" ht="15" customHeight="1" x14ac:dyDescent="0.25">
      <c r="B98" s="101" t="s">
        <v>97</v>
      </c>
      <c r="C98" s="952" t="s">
        <v>189</v>
      </c>
      <c r="D98" s="953"/>
      <c r="E98" s="953"/>
      <c r="F98" s="954"/>
      <c r="G98" s="950"/>
      <c r="H98" s="951"/>
      <c r="I98" s="951"/>
      <c r="J98" s="951"/>
    </row>
    <row r="99" spans="2:10" ht="15" customHeight="1" x14ac:dyDescent="0.25">
      <c r="B99" s="101" t="s">
        <v>98</v>
      </c>
      <c r="C99" s="952" t="s">
        <v>493</v>
      </c>
      <c r="D99" s="953"/>
      <c r="E99" s="953"/>
      <c r="F99" s="954"/>
    </row>
    <row r="100" spans="2:10" ht="15" customHeight="1" x14ac:dyDescent="0.25">
      <c r="B100" s="120" t="s">
        <v>94</v>
      </c>
      <c r="C100" s="955" t="s">
        <v>492</v>
      </c>
      <c r="D100" s="956"/>
      <c r="E100" s="956"/>
      <c r="F100" s="957"/>
    </row>
    <row r="101" spans="2:10" x14ac:dyDescent="0.25">
      <c r="B101" s="95"/>
      <c r="C101" s="95"/>
    </row>
    <row r="102" spans="2:10" x14ac:dyDescent="0.25">
      <c r="B102" s="122" t="s">
        <v>106</v>
      </c>
      <c r="C102" s="123" t="s">
        <v>144</v>
      </c>
      <c r="D102" s="654" t="s">
        <v>582</v>
      </c>
      <c r="E102" s="662"/>
      <c r="F102" s="124"/>
    </row>
    <row r="103" spans="2:10" x14ac:dyDescent="0.25">
      <c r="B103" s="38" t="s">
        <v>140</v>
      </c>
      <c r="C103" s="121" t="s">
        <v>107</v>
      </c>
      <c r="D103" s="663">
        <v>45449</v>
      </c>
      <c r="E103" s="675">
        <v>1</v>
      </c>
      <c r="F103" s="82" t="s">
        <v>530</v>
      </c>
    </row>
    <row r="104" spans="2:10" x14ac:dyDescent="0.25">
      <c r="B104" s="119" t="s">
        <v>461</v>
      </c>
      <c r="C104" s="102" t="s">
        <v>108</v>
      </c>
      <c r="D104" s="664">
        <v>45449</v>
      </c>
      <c r="E104" s="676">
        <v>2</v>
      </c>
      <c r="F104" s="85" t="s">
        <v>570</v>
      </c>
    </row>
    <row r="105" spans="2:10" x14ac:dyDescent="0.25">
      <c r="B105" s="119" t="s">
        <v>139</v>
      </c>
      <c r="C105" s="102" t="s">
        <v>109</v>
      </c>
      <c r="D105" s="664">
        <v>45449</v>
      </c>
      <c r="E105" s="676">
        <v>3</v>
      </c>
      <c r="F105" s="85" t="s">
        <v>689</v>
      </c>
    </row>
    <row r="106" spans="2:10" x14ac:dyDescent="0.25">
      <c r="B106" s="119" t="s">
        <v>595</v>
      </c>
      <c r="C106" s="102" t="s">
        <v>596</v>
      </c>
      <c r="D106" s="664">
        <v>45449</v>
      </c>
      <c r="E106" s="676">
        <v>4</v>
      </c>
      <c r="F106" s="85" t="s">
        <v>528</v>
      </c>
    </row>
    <row r="107" spans="2:10" x14ac:dyDescent="0.25">
      <c r="B107" s="119" t="s">
        <v>213</v>
      </c>
      <c r="C107" s="102" t="s">
        <v>212</v>
      </c>
      <c r="D107" s="664">
        <v>45449</v>
      </c>
      <c r="E107" s="676">
        <v>5</v>
      </c>
      <c r="F107" s="85" t="s">
        <v>524</v>
      </c>
    </row>
    <row r="108" spans="2:10" x14ac:dyDescent="0.25">
      <c r="B108" s="119" t="s">
        <v>186</v>
      </c>
      <c r="C108" s="102" t="s">
        <v>211</v>
      </c>
      <c r="D108" s="664">
        <v>45449</v>
      </c>
      <c r="E108" s="676">
        <v>6</v>
      </c>
      <c r="F108" s="85" t="s">
        <v>530</v>
      </c>
    </row>
    <row r="109" spans="2:10" x14ac:dyDescent="0.25">
      <c r="B109" s="119" t="s">
        <v>187</v>
      </c>
      <c r="C109" s="102" t="s">
        <v>112</v>
      </c>
      <c r="D109" s="664">
        <v>45449</v>
      </c>
      <c r="E109" s="676">
        <v>7</v>
      </c>
      <c r="F109" s="85" t="s">
        <v>526</v>
      </c>
    </row>
    <row r="110" spans="2:10" x14ac:dyDescent="0.25">
      <c r="B110" s="679" t="s">
        <v>180</v>
      </c>
      <c r="C110" s="674" t="s">
        <v>392</v>
      </c>
      <c r="D110" s="664">
        <v>45449</v>
      </c>
      <c r="E110" s="676">
        <v>8</v>
      </c>
      <c r="F110" s="85"/>
    </row>
    <row r="111" spans="2:10" x14ac:dyDescent="0.25">
      <c r="B111" s="36" t="s">
        <v>581</v>
      </c>
      <c r="C111" s="673" t="s">
        <v>114</v>
      </c>
      <c r="D111" s="665">
        <v>45449</v>
      </c>
      <c r="E111" s="677">
        <v>9</v>
      </c>
      <c r="F111" s="87" t="s">
        <v>571</v>
      </c>
    </row>
    <row r="112" spans="2:10" x14ac:dyDescent="0.25">
      <c r="B112" s="463" t="s">
        <v>185</v>
      </c>
      <c r="C112" s="8" t="s">
        <v>393</v>
      </c>
      <c r="E112" s="508"/>
    </row>
    <row r="113" spans="2:6" x14ac:dyDescent="0.25">
      <c r="B113" s="463" t="s">
        <v>701</v>
      </c>
      <c r="C113" s="8" t="s">
        <v>393</v>
      </c>
    </row>
    <row r="114" spans="2:6" x14ac:dyDescent="0.25">
      <c r="B114" s="463" t="s">
        <v>702</v>
      </c>
      <c r="C114" s="8" t="s">
        <v>393</v>
      </c>
    </row>
    <row r="115" spans="2:6" x14ac:dyDescent="0.25">
      <c r="B115" s="463"/>
    </row>
    <row r="116" spans="2:6" x14ac:dyDescent="0.25">
      <c r="B116" s="979" t="s">
        <v>506</v>
      </c>
      <c r="C116" s="980"/>
      <c r="D116" s="980"/>
      <c r="E116" s="980"/>
      <c r="F116" s="981"/>
    </row>
    <row r="117" spans="2:6" x14ac:dyDescent="0.25">
      <c r="B117" s="988" t="s">
        <v>507</v>
      </c>
      <c r="C117" s="989"/>
      <c r="D117" s="989"/>
      <c r="E117" s="989"/>
      <c r="F117" s="990"/>
    </row>
    <row r="118" spans="2:6" x14ac:dyDescent="0.25">
      <c r="B118" s="950" t="s">
        <v>508</v>
      </c>
      <c r="C118" s="991"/>
      <c r="D118" s="991"/>
      <c r="E118" s="991"/>
      <c r="F118" s="992"/>
    </row>
    <row r="119" spans="2:6" x14ac:dyDescent="0.25">
      <c r="B119" s="950" t="s">
        <v>509</v>
      </c>
      <c r="C119" s="991"/>
      <c r="D119" s="991"/>
      <c r="E119" s="991"/>
      <c r="F119" s="992"/>
    </row>
    <row r="120" spans="2:6" x14ac:dyDescent="0.25">
      <c r="B120" s="993" t="s">
        <v>510</v>
      </c>
      <c r="C120" s="994"/>
      <c r="D120" s="994"/>
      <c r="E120" s="994"/>
      <c r="F120" s="995"/>
    </row>
    <row r="121" spans="2:6" x14ac:dyDescent="0.25">
      <c r="B121" s="951"/>
      <c r="C121" s="951"/>
      <c r="D121" s="951"/>
      <c r="E121" s="951"/>
      <c r="F121" s="951"/>
    </row>
    <row r="122" spans="2:6" ht="34.5" customHeight="1" x14ac:dyDescent="0.25">
      <c r="B122" s="982" t="s">
        <v>606</v>
      </c>
      <c r="C122" s="983"/>
      <c r="D122" s="983"/>
      <c r="E122" s="983"/>
      <c r="F122" s="984"/>
    </row>
    <row r="123" spans="2:6" x14ac:dyDescent="0.25">
      <c r="B123" s="985" t="s">
        <v>551</v>
      </c>
      <c r="C123" s="986"/>
      <c r="D123" s="986"/>
      <c r="E123" s="986"/>
      <c r="F123" s="987"/>
    </row>
  </sheetData>
  <sheetProtection sheet="1" objects="1" scenarios="1"/>
  <sortState xmlns:xlrd2="http://schemas.microsoft.com/office/spreadsheetml/2017/richdata2" ref="B103:F111">
    <sortCondition ref="E103:E111"/>
  </sortState>
  <mergeCells count="47">
    <mergeCell ref="B116:F116"/>
    <mergeCell ref="B122:F122"/>
    <mergeCell ref="B123:F123"/>
    <mergeCell ref="B117:F117"/>
    <mergeCell ref="B118:F118"/>
    <mergeCell ref="B119:F119"/>
    <mergeCell ref="B120:F120"/>
    <mergeCell ref="B121:F121"/>
    <mergeCell ref="G77:I77"/>
    <mergeCell ref="G76:I76"/>
    <mergeCell ref="B1:H1"/>
    <mergeCell ref="B2:H2"/>
    <mergeCell ref="J4:K4"/>
    <mergeCell ref="G65:I65"/>
    <mergeCell ref="G66:I66"/>
    <mergeCell ref="G67:I67"/>
    <mergeCell ref="G68:I68"/>
    <mergeCell ref="G69:I69"/>
    <mergeCell ref="G70:I70"/>
    <mergeCell ref="G71:I71"/>
    <mergeCell ref="G72:I72"/>
    <mergeCell ref="G73:I73"/>
    <mergeCell ref="G75:I75"/>
    <mergeCell ref="G94:J94"/>
    <mergeCell ref="C99:F99"/>
    <mergeCell ref="G95:J95"/>
    <mergeCell ref="G96:J96"/>
    <mergeCell ref="C100:F100"/>
    <mergeCell ref="G97:J97"/>
    <mergeCell ref="G98:J98"/>
    <mergeCell ref="C94:F94"/>
    <mergeCell ref="C98:F98"/>
    <mergeCell ref="C97:F97"/>
    <mergeCell ref="C96:F96"/>
    <mergeCell ref="C95:F95"/>
    <mergeCell ref="C86:F86"/>
    <mergeCell ref="C85:F85"/>
    <mergeCell ref="C84:F84"/>
    <mergeCell ref="C83:F83"/>
    <mergeCell ref="B79:D79"/>
    <mergeCell ref="B80:D80"/>
    <mergeCell ref="B81:D81"/>
    <mergeCell ref="C87:F87"/>
    <mergeCell ref="C88:F88"/>
    <mergeCell ref="C89:F89"/>
    <mergeCell ref="C90:F90"/>
    <mergeCell ref="C91:F91"/>
  </mergeCells>
  <conditionalFormatting sqref="K5:K62 K66:K73 K76:K77">
    <cfRule type="dataBar" priority="11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{3E54F340-4A32-443D-B3A7-48ECE2903A65}</x14:id>
        </ext>
      </extLst>
    </cfRule>
  </conditionalFormatting>
  <conditionalFormatting sqref="D66:D73">
    <cfRule type="dataBar" priority="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{AB810131-B05E-40DF-806A-034363D03BC9}</x14:id>
        </ext>
      </extLst>
    </cfRule>
  </conditionalFormatting>
  <conditionalFormatting sqref="H6">
    <cfRule type="cellIs" dxfId="221" priority="7" operator="lessThan">
      <formula>0</formula>
    </cfRule>
  </conditionalFormatting>
  <conditionalFormatting sqref="H31">
    <cfRule type="cellIs" dxfId="220" priority="5" operator="lessThanOrEqual">
      <formula>0</formula>
    </cfRule>
  </conditionalFormatting>
  <conditionalFormatting sqref="H22">
    <cfRule type="cellIs" dxfId="219" priority="4" operator="lessThanOrEqual">
      <formula>0</formula>
    </cfRule>
  </conditionalFormatting>
  <conditionalFormatting sqref="H54">
    <cfRule type="cellIs" dxfId="218" priority="3" operator="lessThanOrEqual">
      <formula>0</formula>
    </cfRule>
  </conditionalFormatting>
  <conditionalFormatting sqref="H63">
    <cfRule type="cellIs" dxfId="217" priority="2" operator="lessThanOrEqual">
      <formula>0</formula>
    </cfRule>
  </conditionalFormatting>
  <conditionalFormatting sqref="H37">
    <cfRule type="cellIs" dxfId="216" priority="1" operator="lessThanOrEqual">
      <formula>0</formula>
    </cfRule>
  </conditionalFormatting>
  <pageMargins left="0.7" right="0.7" top="0.75" bottom="0.75" header="0.3" footer="0.3"/>
  <pageSetup orientation="portrait" r:id="rId1"/>
  <ignoredErrors>
    <ignoredError sqref="E48 E6 L15 E4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Option Button 14">
              <controlPr locked="0" defaultSize="0" autoFill="0" autoLine="0" autoPict="0" macro="[0]!ocultar">
                <anchor mov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200025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" name="Option Button 22">
              <controlPr locked="0" defaultSize="0" autoFill="0" autoLine="0" autoPict="0" macro="[0]!mostra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200025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54F340-4A32-443D-B3A7-48ECE2903A6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K5:K62 K66:K73 K76:K77</xm:sqref>
        </x14:conditionalFormatting>
        <x14:conditionalFormatting xmlns:xm="http://schemas.microsoft.com/office/excel/2006/main">
          <x14:cfRule type="dataBar" id="{AB810131-B05E-40DF-806A-034363D03B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D66:D73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>
    <tabColor rgb="FF92D050"/>
  </sheetPr>
  <dimension ref="B1:AZ54"/>
  <sheetViews>
    <sheetView showGridLines="0" zoomScaleNormal="100" zoomScaleSheetLayoutView="40" workbookViewId="0"/>
  </sheetViews>
  <sheetFormatPr baseColWidth="10" defaultRowHeight="12" x14ac:dyDescent="0.2"/>
  <cols>
    <col min="1" max="1" width="5" style="182" customWidth="1"/>
    <col min="2" max="3" width="2.7109375" style="190" hidden="1" customWidth="1"/>
    <col min="4" max="4" width="13.7109375" style="182" hidden="1" customWidth="1"/>
    <col min="5" max="5" width="4.7109375" style="182" hidden="1" customWidth="1"/>
    <col min="6" max="6" width="13.5703125" style="198" hidden="1" customWidth="1"/>
    <col min="7" max="7" width="2.7109375" style="191" hidden="1" customWidth="1"/>
    <col min="8" max="8" width="30.5703125" style="182" hidden="1" customWidth="1"/>
    <col min="9" max="9" width="11.42578125" style="182" hidden="1" customWidth="1"/>
    <col min="10" max="10" width="7.7109375" style="198" hidden="1" customWidth="1"/>
    <col min="11" max="13" width="2.7109375" style="190" hidden="1" customWidth="1"/>
    <col min="14" max="14" width="15.28515625" style="218" hidden="1" customWidth="1"/>
    <col min="15" max="15" width="4.7109375" style="190" hidden="1" customWidth="1"/>
    <col min="16" max="16" width="13.28515625" style="182" hidden="1" customWidth="1"/>
    <col min="17" max="17" width="2.7109375" style="182" hidden="1" customWidth="1"/>
    <col min="18" max="18" width="35" style="182" hidden="1" customWidth="1"/>
    <col min="19" max="19" width="11.140625" style="182" hidden="1" customWidth="1"/>
    <col min="20" max="20" width="8.42578125" style="198" hidden="1" customWidth="1"/>
    <col min="21" max="21" width="2.7109375" style="182" hidden="1" customWidth="1"/>
    <col min="22" max="22" width="13.28515625" style="182" hidden="1" customWidth="1"/>
    <col min="23" max="23" width="2.7109375" style="182" hidden="1" customWidth="1"/>
    <col min="24" max="24" width="14.5703125" style="182" hidden="1" customWidth="1"/>
    <col min="25" max="25" width="9.85546875" style="182" hidden="1" customWidth="1"/>
    <col min="26" max="26" width="7.7109375" style="193" hidden="1" customWidth="1"/>
    <col min="27" max="29" width="2.7109375" style="190" hidden="1" customWidth="1"/>
    <col min="30" max="30" width="18.5703125" style="182" hidden="1" customWidth="1"/>
    <col min="31" max="31" width="6.7109375" style="190" hidden="1" customWidth="1"/>
    <col min="32" max="33" width="2.7109375" style="190" hidden="1" customWidth="1"/>
    <col min="34" max="34" width="5.7109375" style="182" hidden="1" customWidth="1"/>
    <col min="35" max="35" width="5.7109375" style="182" customWidth="1"/>
    <col min="36" max="38" width="14.7109375" style="188" customWidth="1"/>
    <col min="39" max="44" width="14.7109375" style="182" customWidth="1"/>
    <col min="45" max="45" width="10.7109375" style="182" customWidth="1"/>
    <col min="46" max="46" width="17" style="182" bestFit="1" customWidth="1"/>
    <col min="47" max="52" width="13.7109375" style="182" customWidth="1"/>
    <col min="53" max="16384" width="11.42578125" style="182"/>
  </cols>
  <sheetData>
    <row r="1" spans="2:46" s="27" customFormat="1" ht="16.5" thickBot="1" x14ac:dyDescent="0.3">
      <c r="B1" s="176"/>
      <c r="C1" s="1004" t="s">
        <v>488</v>
      </c>
      <c r="D1" s="1004"/>
      <c r="E1" s="1004"/>
      <c r="F1" s="1004"/>
      <c r="G1" s="1004"/>
      <c r="H1" s="1004"/>
      <c r="I1" s="1004"/>
      <c r="J1" s="1004"/>
      <c r="K1" s="1004"/>
      <c r="L1" s="177"/>
      <c r="M1" s="1003" t="s">
        <v>489</v>
      </c>
      <c r="N1" s="1003"/>
      <c r="O1" s="1003"/>
      <c r="P1" s="1003"/>
      <c r="Q1" s="1003"/>
      <c r="R1" s="1003"/>
      <c r="S1" s="1003"/>
      <c r="T1" s="1003"/>
      <c r="U1" s="1003"/>
      <c r="V1" s="1003"/>
      <c r="W1" s="1003"/>
      <c r="X1" s="1003"/>
      <c r="Y1" s="1003"/>
      <c r="Z1" s="1003"/>
      <c r="AA1" s="1003"/>
      <c r="AB1" s="178"/>
      <c r="AC1" s="996" t="s">
        <v>490</v>
      </c>
      <c r="AD1" s="996"/>
      <c r="AE1" s="996"/>
      <c r="AF1" s="996"/>
      <c r="AG1" s="179"/>
      <c r="AJ1" s="510">
        <f>+AE3</f>
        <v>1</v>
      </c>
      <c r="AK1" s="510">
        <f>+AE5</f>
        <v>0.97318533824788711</v>
      </c>
      <c r="AL1" s="510">
        <f>+AE7</f>
        <v>-2.6814661752112886E-2</v>
      </c>
      <c r="AM1" s="510">
        <f>+AE11</f>
        <v>1</v>
      </c>
      <c r="AN1" s="510">
        <f>+AE13</f>
        <v>1.1324772693032015</v>
      </c>
      <c r="AO1" s="510">
        <f>+AE15</f>
        <v>-0.13247726930320147</v>
      </c>
      <c r="AP1" s="506">
        <f>+AE19</f>
        <v>1</v>
      </c>
      <c r="AQ1" s="511">
        <f>+AE21</f>
        <v>0.87101900100039831</v>
      </c>
      <c r="AR1" s="506">
        <f>+AE23</f>
        <v>-0.12898099899960172</v>
      </c>
      <c r="AT1" s="34"/>
    </row>
    <row r="2" spans="2:46" ht="15" customHeight="1" x14ac:dyDescent="0.2">
      <c r="B2" s="180"/>
      <c r="C2" s="181"/>
      <c r="E2" s="183"/>
      <c r="F2" s="183"/>
      <c r="G2" s="183"/>
      <c r="H2" s="183"/>
      <c r="I2" s="183"/>
      <c r="J2" s="184"/>
      <c r="K2" s="181"/>
      <c r="L2" s="180"/>
      <c r="M2" s="181"/>
      <c r="N2" s="185"/>
      <c r="O2" s="181"/>
      <c r="P2" s="183"/>
      <c r="Q2" s="183"/>
      <c r="R2" s="183"/>
      <c r="S2" s="186"/>
      <c r="T2" s="183"/>
      <c r="U2" s="183"/>
      <c r="V2" s="187"/>
      <c r="W2" s="183"/>
      <c r="X2" s="183"/>
      <c r="Y2" s="183"/>
      <c r="Z2" s="183"/>
      <c r="AA2" s="181"/>
      <c r="AB2" s="180"/>
      <c r="AC2" s="181"/>
      <c r="AF2" s="181"/>
      <c r="AG2" s="180"/>
      <c r="AJ2" s="538" t="s">
        <v>439</v>
      </c>
      <c r="AK2" s="539" t="s">
        <v>454</v>
      </c>
      <c r="AL2" s="540" t="str">
        <f>+AD7</f>
        <v>DEFICIT</v>
      </c>
      <c r="AM2" s="538" t="s">
        <v>435</v>
      </c>
      <c r="AN2" s="539" t="s">
        <v>441</v>
      </c>
      <c r="AO2" s="540" t="str">
        <f>+AD15</f>
        <v>EXCESO</v>
      </c>
      <c r="AP2" s="538" t="s">
        <v>436</v>
      </c>
      <c r="AQ2" s="539" t="s">
        <v>438</v>
      </c>
      <c r="AR2" s="540" t="s">
        <v>437</v>
      </c>
      <c r="AT2" s="516"/>
    </row>
    <row r="3" spans="2:46" ht="15" customHeight="1" thickBot="1" x14ac:dyDescent="0.25">
      <c r="B3" s="189"/>
      <c r="D3" s="1007" t="s">
        <v>207</v>
      </c>
      <c r="F3" s="182"/>
      <c r="H3" s="182" t="str">
        <f>+"INGRESO "&amp;+PLAN!B5</f>
        <v>INGRESO CUOTA (1119 SOCIOS)</v>
      </c>
      <c r="I3" s="186">
        <f>+PLAN!E5</f>
        <v>9399600</v>
      </c>
      <c r="J3" s="184">
        <f>+IF($D$5=0,0,+I3/$D$5)</f>
        <v>0.87490226739640342</v>
      </c>
      <c r="L3" s="189"/>
      <c r="M3" s="192"/>
      <c r="N3" s="1005" t="s">
        <v>487</v>
      </c>
      <c r="P3" s="465"/>
      <c r="R3" s="182" t="s">
        <v>203</v>
      </c>
      <c r="S3" s="186">
        <f>+CARTOLA!Q13</f>
        <v>7764049</v>
      </c>
      <c r="T3" s="184">
        <f>++IF($N$5=0,0,+S3/$N$5)</f>
        <v>0.86900143478349923</v>
      </c>
      <c r="Y3" s="186"/>
      <c r="AB3" s="189"/>
      <c r="AD3" s="493" t="s">
        <v>439</v>
      </c>
      <c r="AE3" s="999">
        <v>1</v>
      </c>
      <c r="AG3" s="189"/>
      <c r="AJ3" s="541">
        <f>+AD4</f>
        <v>10743600</v>
      </c>
      <c r="AK3" s="542">
        <f>+AD6-CARTOLA!R27</f>
        <v>8934449</v>
      </c>
      <c r="AL3" s="543">
        <f>+AK3-AJ3</f>
        <v>-1809151</v>
      </c>
      <c r="AM3" s="541">
        <f>+AD12</f>
        <v>10620000</v>
      </c>
      <c r="AN3" s="542">
        <f>+AD14-CARTOLA!R27</f>
        <v>10505843.6</v>
      </c>
      <c r="AO3" s="543">
        <f>+AM3-AN3</f>
        <v>114156.40000000037</v>
      </c>
      <c r="AP3" s="541">
        <f>+AD20</f>
        <v>12183148</v>
      </c>
      <c r="AQ3" s="542">
        <f>+AD22</f>
        <v>10611753.4</v>
      </c>
      <c r="AR3" s="543">
        <f>+AD24</f>
        <v>-1571394.5999999996</v>
      </c>
      <c r="AS3" s="490">
        <f>+AL3+AO3</f>
        <v>-1694994.5999999996</v>
      </c>
      <c r="AT3" s="516">
        <f>+AS3-AR3</f>
        <v>-123600</v>
      </c>
    </row>
    <row r="4" spans="2:46" ht="15" customHeight="1" x14ac:dyDescent="0.2">
      <c r="B4" s="189"/>
      <c r="D4" s="1007"/>
      <c r="F4" s="182"/>
      <c r="H4" s="182" t="str">
        <f>+"INGRESO "&amp;+PLAN!B6</f>
        <v>INGRESO 2 PLENARIAS 32 DIRECTORES</v>
      </c>
      <c r="I4" s="186">
        <f>+PLAN!E6</f>
        <v>960000</v>
      </c>
      <c r="J4" s="184">
        <f>+IF($D$5=0,0,+I4/$D$5)</f>
        <v>8.9355523288283251E-2</v>
      </c>
      <c r="L4" s="189"/>
      <c r="M4" s="192"/>
      <c r="N4" s="1006"/>
      <c r="P4" s="465"/>
      <c r="R4" s="182" t="str">
        <f>+H4</f>
        <v>INGRESO 2 PLENARIAS 32 DIRECTORES</v>
      </c>
      <c r="S4" s="186">
        <f>+CARTOLA!Q26</f>
        <v>842000</v>
      </c>
      <c r="T4" s="184">
        <f>++IF($N$5=0,0,+S4/$N$5)</f>
        <v>9.4241961647550956E-2</v>
      </c>
      <c r="Y4" s="186"/>
      <c r="AB4" s="189"/>
      <c r="AD4" s="494">
        <f>+PLAN!E9</f>
        <v>10743600</v>
      </c>
      <c r="AE4" s="1000"/>
      <c r="AG4" s="189"/>
      <c r="AT4" s="517"/>
    </row>
    <row r="5" spans="2:46" ht="15" x14ac:dyDescent="0.2">
      <c r="B5" s="189"/>
      <c r="D5" s="194">
        <f>+PLAN!E9</f>
        <v>10743600</v>
      </c>
      <c r="F5" s="182"/>
      <c r="H5" s="182" t="s">
        <v>200</v>
      </c>
      <c r="I5" s="186">
        <f>+PLAN!E7</f>
        <v>384000</v>
      </c>
      <c r="J5" s="184">
        <f>+IF($D$5=0,0,+I5/$D$5)</f>
        <v>3.57422093153133E-2</v>
      </c>
      <c r="L5" s="189"/>
      <c r="M5" s="192"/>
      <c r="N5" s="195">
        <f>+CARTOLA!R41</f>
        <v>8934449</v>
      </c>
      <c r="P5" s="678"/>
      <c r="R5" s="182" t="str">
        <f>+H5</f>
        <v>INGRESO APORTE $ 1000 DIRECTORES</v>
      </c>
      <c r="S5" s="186">
        <f>+CARTOLA!Q40</f>
        <v>310000</v>
      </c>
      <c r="T5" s="184">
        <f>++IF($N$5=0,0,+S5/$N$5)</f>
        <v>3.4697159276414251E-2</v>
      </c>
      <c r="Y5" s="186"/>
      <c r="AB5" s="189"/>
      <c r="AD5" s="493" t="s">
        <v>440</v>
      </c>
      <c r="AE5" s="997">
        <f>+AD6/AD4</f>
        <v>0.97318533824788711</v>
      </c>
      <c r="AG5" s="189"/>
    </row>
    <row r="6" spans="2:46" ht="15" customHeight="1" x14ac:dyDescent="0.2">
      <c r="B6" s="189"/>
      <c r="D6" s="196">
        <f>+IF(D22=0,"-",+D5/$D$22-1)</f>
        <v>1.1638418079096047E-2</v>
      </c>
      <c r="F6" s="182"/>
      <c r="H6" s="182" t="str">
        <f>+PLAN!B8</f>
        <v>INGRESO x DEMANDAS ABOGADO</v>
      </c>
      <c r="I6" s="186">
        <f>+PLAN!E8</f>
        <v>0</v>
      </c>
      <c r="J6" s="184">
        <f>+IF($D$5=0,0,+I6/$D$5)</f>
        <v>0</v>
      </c>
      <c r="L6" s="189"/>
      <c r="N6" s="209">
        <f>+IF($D$5=0,0,+N5/D5)</f>
        <v>0.8316066309244573</v>
      </c>
      <c r="P6" s="465"/>
      <c r="R6" s="182" t="str">
        <f>+H6</f>
        <v>INGRESO x DEMANDAS ABOGADO</v>
      </c>
      <c r="S6" s="186">
        <f>+CARTOLA!P28</f>
        <v>0</v>
      </c>
      <c r="T6" s="184">
        <f>++IF($N$5=0,0,+S6/$N$5)</f>
        <v>0</v>
      </c>
      <c r="V6" s="188"/>
      <c r="Y6" s="186"/>
      <c r="AB6" s="189"/>
      <c r="AD6" s="494">
        <f>+CARTOLA!Q41</f>
        <v>10455514</v>
      </c>
      <c r="AE6" s="998"/>
      <c r="AG6" s="189"/>
      <c r="AT6" s="516"/>
    </row>
    <row r="7" spans="2:46" ht="15" x14ac:dyDescent="0.2">
      <c r="B7" s="189"/>
      <c r="L7" s="189"/>
      <c r="N7" s="182"/>
      <c r="P7" s="464"/>
      <c r="R7" s="182" t="str">
        <f>+CARTOLA!B27</f>
        <v>Otros Ingresos</v>
      </c>
      <c r="S7" s="186">
        <f>+CARTOLA!P27</f>
        <v>1539465</v>
      </c>
      <c r="T7" s="184">
        <f>++IF($N$5=0,0,+S7/$N$5)</f>
        <v>0.17230665259827438</v>
      </c>
      <c r="V7" s="188"/>
      <c r="X7" s="130"/>
      <c r="AB7" s="189"/>
      <c r="AD7" s="493" t="str">
        <f>+IF(AD6&lt;AD4,"DEFICIT","EXCEDENTE")</f>
        <v>DEFICIT</v>
      </c>
      <c r="AE7" s="997">
        <f>+AD8/AD4</f>
        <v>-2.6814661752112886E-2</v>
      </c>
      <c r="AG7" s="189"/>
      <c r="AT7" s="518"/>
    </row>
    <row r="8" spans="2:46" ht="15" x14ac:dyDescent="0.2">
      <c r="B8" s="189"/>
      <c r="J8" s="184"/>
      <c r="L8" s="189"/>
      <c r="N8" s="182"/>
      <c r="R8" s="199"/>
      <c r="S8" s="186"/>
      <c r="T8" s="184"/>
      <c r="V8" s="188"/>
      <c r="X8" s="191" t="s">
        <v>127</v>
      </c>
      <c r="Y8" s="186">
        <f>+REUNION!F1</f>
        <v>329750</v>
      </c>
      <c r="Z8" s="184">
        <f>+IF($V$13=0,0,+Y8/$V$13)</f>
        <v>0.21880698271308716</v>
      </c>
      <c r="AB8" s="189"/>
      <c r="AD8" s="494">
        <f>+AD6-AD4</f>
        <v>-288086</v>
      </c>
      <c r="AE8" s="998"/>
      <c r="AG8" s="189"/>
    </row>
    <row r="9" spans="2:46" x14ac:dyDescent="0.2">
      <c r="B9" s="189"/>
      <c r="F9" s="200"/>
      <c r="H9" s="182" t="str">
        <f>+PLAN!B13</f>
        <v>ASAMBLEAS PLENARIAS ZOOM</v>
      </c>
      <c r="I9" s="186">
        <f>+PLAN!H13</f>
        <v>0</v>
      </c>
      <c r="J9" s="184">
        <f>+IF($F$13=0,0,+I9/$F$13)</f>
        <v>0</v>
      </c>
      <c r="L9" s="189"/>
      <c r="N9" s="182"/>
      <c r="R9" s="201" t="str">
        <f>+H9</f>
        <v>ASAMBLEAS PLENARIAS ZOOM</v>
      </c>
      <c r="S9" s="186">
        <f>+REUNION!Y3</f>
        <v>0</v>
      </c>
      <c r="T9" s="184">
        <f>+IF($P$13=0,0,+S9/$P$13)</f>
        <v>0</v>
      </c>
      <c r="X9" s="191" t="s">
        <v>128</v>
      </c>
      <c r="Y9" s="186">
        <f>+REUNION!G1</f>
        <v>239833</v>
      </c>
      <c r="Z9" s="184">
        <f>+IF($V$13=0,0,+Y9/$V$13)</f>
        <v>0.15914218373018296</v>
      </c>
      <c r="AB9" s="189"/>
      <c r="AD9" s="520"/>
      <c r="AE9" s="489"/>
      <c r="AG9" s="189"/>
    </row>
    <row r="10" spans="2:46" x14ac:dyDescent="0.2">
      <c r="B10" s="189"/>
      <c r="H10" s="182" t="str">
        <f>+PLAN!B14</f>
        <v>REUNIONES DIRECTORIO ZOOM (2H)</v>
      </c>
      <c r="I10" s="186">
        <f>+PLAN!H14</f>
        <v>540000</v>
      </c>
      <c r="J10" s="184">
        <f t="shared" ref="J10:J16" si="0">+IF($F$13=0,0,+I10/$F$13)</f>
        <v>0.31764705882352939</v>
      </c>
      <c r="L10" s="189"/>
      <c r="N10" s="182"/>
      <c r="P10" s="202" t="s">
        <v>182</v>
      </c>
      <c r="R10" s="201" t="str">
        <f t="shared" ref="R10:R16" si="1">+H10</f>
        <v>REUNIONES DIRECTORIO ZOOM (2H)</v>
      </c>
      <c r="S10" s="186">
        <f>+REUNION!Y6</f>
        <v>603122</v>
      </c>
      <c r="T10" s="184">
        <f t="shared" ref="T10:T16" si="2">+IF($P$13=0,0,+S10/$P$13)</f>
        <v>0.40020410925817301</v>
      </c>
      <c r="V10" s="1001" t="s">
        <v>202</v>
      </c>
      <c r="X10" s="191" t="s">
        <v>129</v>
      </c>
      <c r="Y10" s="186">
        <f>+REUNION!H1</f>
        <v>207291</v>
      </c>
      <c r="Z10" s="184">
        <f>+IF($V$13=0,0,+Y10/$V$13)</f>
        <v>0.13754880440812298</v>
      </c>
      <c r="AB10" s="189"/>
      <c r="AG10" s="189"/>
    </row>
    <row r="11" spans="2:46" ht="15" x14ac:dyDescent="0.2">
      <c r="B11" s="189"/>
      <c r="D11" s="1022" t="s">
        <v>206</v>
      </c>
      <c r="F11" s="1001" t="str">
        <f>+P11</f>
        <v xml:space="preserve">REMUNERACION DIRECTORES </v>
      </c>
      <c r="H11" s="182" t="str">
        <f>+PLAN!B15</f>
        <v>REUNION EJECUTIVO PRESENCIAL</v>
      </c>
      <c r="I11" s="186">
        <f>+PLAN!H15</f>
        <v>360000</v>
      </c>
      <c r="J11" s="184">
        <f t="shared" si="0"/>
        <v>0.21176470588235294</v>
      </c>
      <c r="L11" s="189"/>
      <c r="M11" s="192"/>
      <c r="N11" s="1020" t="s">
        <v>486</v>
      </c>
      <c r="P11" s="1001" t="str">
        <f>+PLAN!B11</f>
        <v xml:space="preserve">REMUNERACION DIRECTORES </v>
      </c>
      <c r="R11" s="201" t="str">
        <f t="shared" si="1"/>
        <v>REUNION EJECUTIVO PRESENCIAL</v>
      </c>
      <c r="S11" s="186">
        <f>+REUNION!Y5</f>
        <v>260000</v>
      </c>
      <c r="T11" s="184">
        <f t="shared" si="2"/>
        <v>0.17252408038029615</v>
      </c>
      <c r="V11" s="1002"/>
      <c r="X11" s="191" t="s">
        <v>232</v>
      </c>
      <c r="Y11" s="186">
        <f>+REUNION!I1</f>
        <v>142082</v>
      </c>
      <c r="Z11" s="184">
        <f t="shared" ref="Z11:Z16" si="3">+IF($V$13=0,0,+Y11/$V$13)</f>
        <v>9.4279101494589373E-2</v>
      </c>
      <c r="AB11" s="189"/>
      <c r="AD11" s="497" t="s">
        <v>435</v>
      </c>
      <c r="AE11" s="1008">
        <v>1</v>
      </c>
      <c r="AG11" s="189"/>
    </row>
    <row r="12" spans="2:46" ht="15" x14ac:dyDescent="0.2">
      <c r="B12" s="189"/>
      <c r="D12" s="1022"/>
      <c r="F12" s="1002"/>
      <c r="H12" s="182" t="str">
        <f>+PLAN!B16</f>
        <v>REUNIONES ZOOM (2 HR)</v>
      </c>
      <c r="I12" s="186">
        <f>+PLAN!H16</f>
        <v>180000</v>
      </c>
      <c r="J12" s="184">
        <f t="shared" si="0"/>
        <v>0.10588235294117647</v>
      </c>
      <c r="L12" s="189"/>
      <c r="M12" s="192"/>
      <c r="N12" s="1021"/>
      <c r="P12" s="1002"/>
      <c r="R12" s="201" t="str">
        <f t="shared" si="1"/>
        <v>REUNIONES ZOOM (2 HR)</v>
      </c>
      <c r="S12" s="186">
        <f>+REUNION!Y8</f>
        <v>483914</v>
      </c>
      <c r="T12" s="184">
        <f t="shared" si="2"/>
        <v>0.32110314551211783</v>
      </c>
      <c r="V12" s="1019"/>
      <c r="X12" s="191" t="s">
        <v>131</v>
      </c>
      <c r="Y12" s="186">
        <f>+REUNION!J1</f>
        <v>148041</v>
      </c>
      <c r="Z12" s="184">
        <f t="shared" si="3"/>
        <v>9.8233220706074709E-2</v>
      </c>
      <c r="AB12" s="189"/>
      <c r="AD12" s="498">
        <f>+D22</f>
        <v>10620000</v>
      </c>
      <c r="AE12" s="1009"/>
      <c r="AG12" s="189"/>
    </row>
    <row r="13" spans="2:46" ht="15" x14ac:dyDescent="0.2">
      <c r="B13" s="189"/>
      <c r="D13" s="204">
        <f>+D5-D22</f>
        <v>123600</v>
      </c>
      <c r="F13" s="205">
        <f>+PLAN!H21</f>
        <v>1700000</v>
      </c>
      <c r="H13" s="182" t="str">
        <f>+PLAN!B17</f>
        <v>REUNIONES ESPECIALES</v>
      </c>
      <c r="I13" s="186">
        <f>+PLAN!H17</f>
        <v>240000</v>
      </c>
      <c r="J13" s="184">
        <f t="shared" si="0"/>
        <v>0.14117647058823529</v>
      </c>
      <c r="L13" s="189"/>
      <c r="M13" s="192"/>
      <c r="N13" s="206">
        <f>+N5-N22</f>
        <v>-1572167.5999999996</v>
      </c>
      <c r="P13" s="205">
        <f>SUM(S9:S16)</f>
        <v>1507036</v>
      </c>
      <c r="R13" s="201" t="str">
        <f t="shared" si="1"/>
        <v>REUNIONES ESPECIALES</v>
      </c>
      <c r="S13" s="186">
        <f>+REUNION!Y7</f>
        <v>40000</v>
      </c>
      <c r="T13" s="184">
        <f t="shared" si="2"/>
        <v>2.6542166212353255E-2</v>
      </c>
      <c r="V13" s="205">
        <f>SUM(Y8:Y16)</f>
        <v>1507036</v>
      </c>
      <c r="X13" s="191" t="s">
        <v>176</v>
      </c>
      <c r="Y13" s="186">
        <f>+REUNION!K1</f>
        <v>206166</v>
      </c>
      <c r="Z13" s="184">
        <f t="shared" si="3"/>
        <v>0.13680230598340054</v>
      </c>
      <c r="AB13" s="189"/>
      <c r="AD13" s="497" t="s">
        <v>441</v>
      </c>
      <c r="AE13" s="1008">
        <f>+AD14/AD12</f>
        <v>1.1324772693032015</v>
      </c>
      <c r="AG13" s="189"/>
    </row>
    <row r="14" spans="2:46" ht="15" x14ac:dyDescent="0.2">
      <c r="B14" s="189"/>
      <c r="D14" s="207" t="str">
        <f>+IF(D13=0,"-",+IF(D13&gt;0,"UTILIDAD","DEFICIT"))</f>
        <v>UTILIDAD</v>
      </c>
      <c r="F14" s="197">
        <f>+IF($D$22=0,"-",+F13/$D$22)</f>
        <v>0.160075329566855</v>
      </c>
      <c r="H14" s="182" t="str">
        <f>+PLAN!B18</f>
        <v>PLENARIAS DIRECTOR S/SB</v>
      </c>
      <c r="I14" s="186">
        <f>+PLAN!H18</f>
        <v>360000</v>
      </c>
      <c r="J14" s="184">
        <f t="shared" si="0"/>
        <v>0.21176470588235294</v>
      </c>
      <c r="L14" s="189"/>
      <c r="M14" s="192"/>
      <c r="N14" s="208" t="str">
        <f>+IF(N13=0,"-",+IF(N13&gt;0,"UTILIDAD","DEFICIT"))</f>
        <v>DEFICIT</v>
      </c>
      <c r="P14" s="209">
        <f>+IF(F13=0,0,+P13/F13)</f>
        <v>0.88649176470588231</v>
      </c>
      <c r="R14" s="201" t="str">
        <f t="shared" si="1"/>
        <v>PLENARIAS DIRECTOR S/SB</v>
      </c>
      <c r="S14" s="186">
        <f>+REUNION!Y4</f>
        <v>120000</v>
      </c>
      <c r="T14" s="184">
        <f t="shared" si="2"/>
        <v>7.962649863705977E-2</v>
      </c>
      <c r="V14" s="197">
        <f>+IF(P13=0,0,+V13/P13)</f>
        <v>1</v>
      </c>
      <c r="X14" s="191" t="s">
        <v>132</v>
      </c>
      <c r="Y14" s="186">
        <f>+REUNION!L1</f>
        <v>127624</v>
      </c>
      <c r="Z14" s="184">
        <f t="shared" si="3"/>
        <v>8.4685435517134297E-2</v>
      </c>
      <c r="AB14" s="189"/>
      <c r="AD14" s="498">
        <f>-CARTOLA!Q77</f>
        <v>12026908.6</v>
      </c>
      <c r="AE14" s="1009"/>
      <c r="AG14" s="189"/>
    </row>
    <row r="15" spans="2:46" ht="15" x14ac:dyDescent="0.2">
      <c r="B15" s="189"/>
      <c r="H15" s="210" t="str">
        <f>+PLAN!B19</f>
        <v>VISITAS ZONA NORTE ZOOM</v>
      </c>
      <c r="I15" s="211">
        <f>+PLAN!H19</f>
        <v>10000</v>
      </c>
      <c r="J15" s="212">
        <f t="shared" si="0"/>
        <v>5.8823529411764705E-3</v>
      </c>
      <c r="L15" s="189"/>
      <c r="N15" s="182"/>
      <c r="P15" s="487"/>
      <c r="R15" s="213" t="str">
        <f t="shared" si="1"/>
        <v>VISITAS ZONA NORTE ZOOM</v>
      </c>
      <c r="S15" s="211">
        <f>+REUNION!Y9</f>
        <v>0</v>
      </c>
      <c r="T15" s="212">
        <f t="shared" si="2"/>
        <v>0</v>
      </c>
      <c r="X15" s="191" t="s">
        <v>133</v>
      </c>
      <c r="Y15" s="186">
        <f>+REUNION!M1</f>
        <v>0</v>
      </c>
      <c r="Z15" s="184">
        <f t="shared" si="3"/>
        <v>0</v>
      </c>
      <c r="AB15" s="189"/>
      <c r="AD15" s="497" t="str">
        <f>+IF(AD14&lt;AD12,"AHORRO","EXCESO")</f>
        <v>EXCESO</v>
      </c>
      <c r="AE15" s="1008">
        <f>+AD16/AD12</f>
        <v>-0.13247726930320147</v>
      </c>
      <c r="AG15" s="189"/>
    </row>
    <row r="16" spans="2:46" ht="15" x14ac:dyDescent="0.2">
      <c r="B16" s="189"/>
      <c r="H16" s="210" t="str">
        <f>+PLAN!B20</f>
        <v xml:space="preserve">VISITAS ZONA SUR ZOOM </v>
      </c>
      <c r="I16" s="211">
        <f>+PLAN!H20</f>
        <v>10000</v>
      </c>
      <c r="J16" s="212">
        <f t="shared" si="0"/>
        <v>5.8823529411764705E-3</v>
      </c>
      <c r="L16" s="189"/>
      <c r="N16" s="182"/>
      <c r="P16" s="488"/>
      <c r="R16" s="213" t="str">
        <f t="shared" si="1"/>
        <v xml:space="preserve">VISITAS ZONA SUR ZOOM </v>
      </c>
      <c r="S16" s="211">
        <f>+REUNION!Y10</f>
        <v>0</v>
      </c>
      <c r="T16" s="212">
        <f t="shared" si="2"/>
        <v>0</v>
      </c>
      <c r="X16" s="191" t="s">
        <v>599</v>
      </c>
      <c r="Y16" s="186">
        <f>+REUNION!N1</f>
        <v>106249</v>
      </c>
      <c r="Z16" s="184">
        <f t="shared" si="3"/>
        <v>7.0501965447408027E-2</v>
      </c>
      <c r="AB16" s="189"/>
      <c r="AD16" s="498">
        <f>+AD12-AD14</f>
        <v>-1406908.5999999996</v>
      </c>
      <c r="AE16" s="1009"/>
      <c r="AG16" s="189"/>
    </row>
    <row r="17" spans="2:52" x14ac:dyDescent="0.2">
      <c r="B17" s="189"/>
      <c r="L17" s="189"/>
      <c r="N17" s="182"/>
      <c r="S17" s="186"/>
      <c r="Y17" s="186"/>
      <c r="AB17" s="189"/>
      <c r="AD17" s="203"/>
      <c r="AG17" s="189"/>
      <c r="AJ17" s="503"/>
    </row>
    <row r="18" spans="2:52" x14ac:dyDescent="0.2">
      <c r="B18" s="189"/>
      <c r="J18" s="184"/>
      <c r="L18" s="189"/>
      <c r="N18" s="182"/>
      <c r="P18" s="201"/>
      <c r="T18" s="184"/>
      <c r="X18" s="191" t="s">
        <v>62</v>
      </c>
      <c r="Y18" s="186">
        <f>+VIATICOS!F$10</f>
        <v>274040</v>
      </c>
      <c r="Z18" s="184">
        <f t="shared" ref="Z18:Z23" si="4">+IF($V$22=0,0,+Y18/$V$22)</f>
        <v>0.20688587832507294</v>
      </c>
      <c r="AB18" s="189"/>
      <c r="AG18" s="189"/>
      <c r="AZ18" s="490"/>
    </row>
    <row r="19" spans="2:52" ht="15" x14ac:dyDescent="0.2">
      <c r="B19" s="189"/>
      <c r="H19" s="182" t="str">
        <f>+PLAN!B25</f>
        <v>REUNION EJECUTIVO PRESENCIAL</v>
      </c>
      <c r="I19" s="186">
        <f>+PLAN!H25</f>
        <v>900000</v>
      </c>
      <c r="J19" s="184">
        <f>+IF($F$23=0,0,+I19/$F$23)</f>
        <v>0.40540540540540543</v>
      </c>
      <c r="L19" s="189"/>
      <c r="N19" s="182"/>
      <c r="P19" s="202" t="s">
        <v>182</v>
      </c>
      <c r="R19" s="201" t="str">
        <f>+H19</f>
        <v>REUNION EJECUTIVO PRESENCIAL</v>
      </c>
      <c r="S19" s="186">
        <f>+VIATICOS!L4</f>
        <v>1324595</v>
      </c>
      <c r="T19" s="184">
        <f>+IF($P$22=0,0,+S19/$P$22)</f>
        <v>1</v>
      </c>
      <c r="V19" s="1001" t="s">
        <v>201</v>
      </c>
      <c r="X19" s="191" t="s">
        <v>63</v>
      </c>
      <c r="Y19" s="186">
        <f>+VIATICOS!G$10</f>
        <v>143519</v>
      </c>
      <c r="Z19" s="184">
        <f t="shared" si="4"/>
        <v>0.10834934451662584</v>
      </c>
      <c r="AB19" s="189"/>
      <c r="AD19" s="495" t="s">
        <v>491</v>
      </c>
      <c r="AE19" s="1014">
        <v>1</v>
      </c>
      <c r="AG19" s="189"/>
    </row>
    <row r="20" spans="2:52" ht="15" x14ac:dyDescent="0.2">
      <c r="B20" s="189"/>
      <c r="D20" s="1016" t="s">
        <v>204</v>
      </c>
      <c r="F20" s="1001" t="str">
        <f>+P20</f>
        <v xml:space="preserve">VIATICOS DE DIRECTORES </v>
      </c>
      <c r="H20" s="182" t="str">
        <f>+PLAN!B26</f>
        <v>REUNIONES ESPECIALES</v>
      </c>
      <c r="I20" s="186">
        <f>+PLAN!H26</f>
        <v>600000</v>
      </c>
      <c r="J20" s="184">
        <f>+IF($F$23=0,0,+I20/$F$23)</f>
        <v>0.27027027027027029</v>
      </c>
      <c r="L20" s="189"/>
      <c r="M20" s="192"/>
      <c r="N20" s="1017" t="s">
        <v>485</v>
      </c>
      <c r="P20" s="1001" t="str">
        <f>+PLAN!B23</f>
        <v xml:space="preserve">VIATICOS DE DIRECTORES </v>
      </c>
      <c r="R20" s="201" t="str">
        <f>+H20</f>
        <v>REUNIONES ESPECIALES</v>
      </c>
      <c r="S20" s="186">
        <f>+VIATICOS!L6</f>
        <v>0</v>
      </c>
      <c r="T20" s="184">
        <f>+IF($P$22=0,0,+S20/$P$22)</f>
        <v>0</v>
      </c>
      <c r="V20" s="1002"/>
      <c r="X20" s="191" t="s">
        <v>64</v>
      </c>
      <c r="Y20" s="186">
        <f>+VIATICOS!H$10</f>
        <v>24000</v>
      </c>
      <c r="Z20" s="184">
        <f t="shared" si="4"/>
        <v>1.8118745729826854E-2</v>
      </c>
      <c r="AB20" s="189"/>
      <c r="AD20" s="496">
        <f>+CARTOLA!E1</f>
        <v>12183148</v>
      </c>
      <c r="AE20" s="1015"/>
      <c r="AG20" s="189"/>
    </row>
    <row r="21" spans="2:52" ht="15" x14ac:dyDescent="0.2">
      <c r="B21" s="189"/>
      <c r="D21" s="1016"/>
      <c r="F21" s="1002"/>
      <c r="H21" s="182" t="str">
        <f>+PLAN!B27</f>
        <v>PLENARIAS DIRECTOR S/SB</v>
      </c>
      <c r="I21" s="186">
        <f>+PLAN!H27</f>
        <v>720000</v>
      </c>
      <c r="J21" s="184">
        <f>+IF($F$23=0,0,+I21/$F$23)</f>
        <v>0.32432432432432434</v>
      </c>
      <c r="L21" s="189"/>
      <c r="M21" s="192"/>
      <c r="N21" s="1018"/>
      <c r="P21" s="1002"/>
      <c r="R21" s="201" t="str">
        <f>+H21</f>
        <v>PLENARIAS DIRECTOR S/SB</v>
      </c>
      <c r="S21" s="186">
        <f>+VIATICOS!L3</f>
        <v>0</v>
      </c>
      <c r="T21" s="184">
        <f>+IF($P$22=0,0,+S21/$P$22)</f>
        <v>0</v>
      </c>
      <c r="V21" s="1019"/>
      <c r="X21" s="191" t="s">
        <v>136</v>
      </c>
      <c r="Y21" s="186">
        <f>+VIATICOS!I$10</f>
        <v>35380</v>
      </c>
      <c r="Z21" s="184">
        <f t="shared" si="4"/>
        <v>2.6710050996719751E-2</v>
      </c>
      <c r="AB21" s="189"/>
      <c r="AD21" s="499" t="s">
        <v>438</v>
      </c>
      <c r="AE21" s="1012">
        <f>+AD22/AD20</f>
        <v>0.87101900100039831</v>
      </c>
      <c r="AG21" s="189"/>
    </row>
    <row r="22" spans="2:52" ht="15" x14ac:dyDescent="0.2">
      <c r="B22" s="189"/>
      <c r="D22" s="214">
        <f>+PLAN!C71</f>
        <v>10620000</v>
      </c>
      <c r="F22" s="1002"/>
      <c r="H22" s="182" t="str">
        <f>+PLAN!B28</f>
        <v>VISITAS ZONA NORTE ZOOM</v>
      </c>
      <c r="I22" s="186">
        <f>+PLAN!H28</f>
        <v>0</v>
      </c>
      <c r="J22" s="184">
        <f>+IF($F$23=0,0,+I22/$F$23)</f>
        <v>0</v>
      </c>
      <c r="L22" s="189"/>
      <c r="N22" s="215">
        <f>+(P13+P22+P29+P39+P50+N51+P53)-1521065</f>
        <v>10506616.6</v>
      </c>
      <c r="P22" s="205">
        <f>SUM(S19:S23)</f>
        <v>1324595</v>
      </c>
      <c r="R22" s="213" t="str">
        <f>+H22</f>
        <v>VISITAS ZONA NORTE ZOOM</v>
      </c>
      <c r="S22" s="211">
        <f>+VIATICOS!L8</f>
        <v>0</v>
      </c>
      <c r="T22" s="212">
        <f>+IF($P$22=0,0,+S22/$P$22)</f>
        <v>0</v>
      </c>
      <c r="V22" s="205">
        <f>SUM(Y18:Y23)</f>
        <v>1324595</v>
      </c>
      <c r="X22" s="191" t="s">
        <v>66</v>
      </c>
      <c r="Y22" s="186">
        <f>+VIATICOS!J$10</f>
        <v>1100</v>
      </c>
      <c r="Z22" s="184">
        <f t="shared" si="4"/>
        <v>8.3044251261706406E-4</v>
      </c>
      <c r="AB22" s="189"/>
      <c r="AD22" s="500">
        <f>+AD20+AD24</f>
        <v>10611753.4</v>
      </c>
      <c r="AE22" s="1013"/>
      <c r="AG22" s="189"/>
    </row>
    <row r="23" spans="2:52" ht="15" x14ac:dyDescent="0.2">
      <c r="B23" s="189"/>
      <c r="F23" s="205">
        <f>+PLAN!H30</f>
        <v>2220000</v>
      </c>
      <c r="H23" s="182" t="str">
        <f>+PLAN!B29</f>
        <v xml:space="preserve">VISITAS ZONA SUR ZOOM </v>
      </c>
      <c r="I23" s="186">
        <f>+PLAN!H29</f>
        <v>0</v>
      </c>
      <c r="J23" s="184">
        <f>+IF($F$23=0,0,+I23/$F$23)</f>
        <v>0</v>
      </c>
      <c r="L23" s="189"/>
      <c r="N23" s="209">
        <f>+IF($D$5=0,0,+N22/D22)</f>
        <v>0.98932359698681727</v>
      </c>
      <c r="P23" s="209">
        <f>+IF(F23=0,0,+P22/F23)</f>
        <v>0.59666441441441442</v>
      </c>
      <c r="R23" s="213" t="str">
        <f>+H23</f>
        <v xml:space="preserve">VISITAS ZONA SUR ZOOM </v>
      </c>
      <c r="S23" s="211">
        <f>+VIATICOS!L9</f>
        <v>0</v>
      </c>
      <c r="T23" s="212">
        <f>+IF($P$22=0,0,+S23/$P$22)</f>
        <v>0</v>
      </c>
      <c r="V23" s="197">
        <f>IF(P22=0,0,+V22/$P$22)</f>
        <v>1</v>
      </c>
      <c r="X23" s="191" t="s">
        <v>68</v>
      </c>
      <c r="Y23" s="186">
        <f>+VIATICOS!K$10</f>
        <v>846556</v>
      </c>
      <c r="Z23" s="184">
        <f t="shared" si="4"/>
        <v>0.6391055379191376</v>
      </c>
      <c r="AB23" s="189"/>
      <c r="AD23" s="501" t="s">
        <v>437</v>
      </c>
      <c r="AE23" s="1010">
        <f>+AD24/AD20</f>
        <v>-0.12898099899960172</v>
      </c>
      <c r="AG23" s="189"/>
    </row>
    <row r="24" spans="2:52" ht="15" x14ac:dyDescent="0.2">
      <c r="B24" s="189"/>
      <c r="F24" s="197">
        <f>+IF($D$22=0,"-",+F23/$D$22)</f>
        <v>0.20903954802259886</v>
      </c>
      <c r="L24" s="189"/>
      <c r="N24" s="203"/>
      <c r="P24" s="487"/>
      <c r="AB24" s="189"/>
      <c r="AD24" s="502">
        <f>+AD6-AD14</f>
        <v>-1571394.5999999996</v>
      </c>
      <c r="AE24" s="1011"/>
      <c r="AG24" s="189"/>
    </row>
    <row r="25" spans="2:52" ht="15" customHeight="1" x14ac:dyDescent="0.2">
      <c r="B25" s="189"/>
      <c r="F25" s="197"/>
      <c r="L25" s="189"/>
      <c r="N25" s="203"/>
      <c r="AB25" s="189"/>
      <c r="AG25" s="189"/>
    </row>
    <row r="26" spans="2:52" ht="15" customHeight="1" x14ac:dyDescent="0.2">
      <c r="B26" s="189"/>
      <c r="J26" s="184"/>
      <c r="L26" s="189"/>
      <c r="N26" s="203"/>
      <c r="T26" s="184"/>
      <c r="AB26" s="189"/>
      <c r="AG26" s="189"/>
    </row>
    <row r="27" spans="2:52" ht="15" customHeight="1" x14ac:dyDescent="0.2">
      <c r="B27" s="189"/>
      <c r="F27" s="1001" t="str">
        <f>+P27</f>
        <v>COSTO PLENARIAS</v>
      </c>
      <c r="H27" s="182" t="str">
        <f>+PLAN!D33&amp;" PLENARIAS"</f>
        <v>2 PLENARIAS</v>
      </c>
      <c r="I27" s="186">
        <f>+PLAN!E33</f>
        <v>3000000</v>
      </c>
      <c r="J27" s="184">
        <f>+IF($F$29=0,0,+I27/$F$29)</f>
        <v>0.92879256965944268</v>
      </c>
      <c r="L27" s="189"/>
      <c r="N27" s="203"/>
      <c r="P27" s="1001" t="str">
        <f>+PLAN!B32</f>
        <v>COSTO PLENARIAS</v>
      </c>
      <c r="R27" s="182" t="str">
        <f>+H27</f>
        <v>2 PLENARIAS</v>
      </c>
      <c r="S27" s="186">
        <f>+CARTOLA!P52*-1</f>
        <v>4940041</v>
      </c>
      <c r="T27" s="184">
        <f>+IF($P$29=0,0,+S27/$P$29)</f>
        <v>0.98053631715600775</v>
      </c>
      <c r="AB27" s="189"/>
      <c r="AD27" s="203"/>
      <c r="AG27" s="189"/>
    </row>
    <row r="28" spans="2:52" ht="15" customHeight="1" x14ac:dyDescent="0.2">
      <c r="B28" s="189"/>
      <c r="F28" s="1002"/>
      <c r="H28" s="182" t="s">
        <v>70</v>
      </c>
      <c r="I28" s="186">
        <f>+PLAN!E34</f>
        <v>200000</v>
      </c>
      <c r="J28" s="184">
        <f>+IF($F$29=0,0,+I28/$F$29)</f>
        <v>6.1919504643962849E-2</v>
      </c>
      <c r="L28" s="189"/>
      <c r="N28" s="182"/>
      <c r="P28" s="1002"/>
      <c r="R28" s="182" t="str">
        <f>+H28</f>
        <v>COLACION / BREAK</v>
      </c>
      <c r="S28" s="186">
        <f>+CARTOLA!C53</f>
        <v>36060</v>
      </c>
      <c r="T28" s="184">
        <f>+IF($P$29=0,0,+S28/$P$29)</f>
        <v>7.157458732963075E-3</v>
      </c>
      <c r="AB28" s="189"/>
      <c r="AG28" s="189"/>
    </row>
    <row r="29" spans="2:52" ht="15" customHeight="1" x14ac:dyDescent="0.2">
      <c r="B29" s="189"/>
      <c r="F29" s="205">
        <f>+PLAN!E36</f>
        <v>3230000</v>
      </c>
      <c r="H29" s="182" t="s">
        <v>89</v>
      </c>
      <c r="I29" s="186">
        <f>+PLAN!E35</f>
        <v>30000</v>
      </c>
      <c r="J29" s="184">
        <f>+IF($F$29=0,0,+I29/$F$29)</f>
        <v>9.2879256965944269E-3</v>
      </c>
      <c r="L29" s="189"/>
      <c r="N29" s="186"/>
      <c r="P29" s="205">
        <f>SUM(S27:S30)</f>
        <v>5038101</v>
      </c>
      <c r="R29" s="182" t="str">
        <f>+H29</f>
        <v>PROPINA</v>
      </c>
      <c r="S29" s="216">
        <f>+CARTOLA!P54*-1</f>
        <v>45000</v>
      </c>
      <c r="T29" s="184">
        <f>+IF($P$29=0,0,+S29/$P$29)</f>
        <v>8.9319368547792106E-3</v>
      </c>
      <c r="AB29" s="189"/>
      <c r="AG29" s="189"/>
    </row>
    <row r="30" spans="2:52" ht="15" customHeight="1" x14ac:dyDescent="0.2">
      <c r="B30" s="189"/>
      <c r="F30" s="197">
        <f>+IF($D$22=0,"-",+F29/$D$22)</f>
        <v>0.30414312617702449</v>
      </c>
      <c r="L30" s="189"/>
      <c r="N30" s="203"/>
      <c r="P30" s="197">
        <f>+IF(F29=0,0,+P29/F29)</f>
        <v>1.5597835913312694</v>
      </c>
      <c r="R30" s="182" t="s">
        <v>366</v>
      </c>
      <c r="S30" s="186">
        <f>+CARTOLA!Q55*-1</f>
        <v>17000</v>
      </c>
      <c r="T30" s="184">
        <f>+IF($P$29=0,0,+S30/$P$29)</f>
        <v>3.3742872562499242E-3</v>
      </c>
      <c r="AB30" s="189"/>
      <c r="AG30" s="189"/>
    </row>
    <row r="31" spans="2:52" ht="15" customHeight="1" x14ac:dyDescent="0.2">
      <c r="B31" s="189"/>
      <c r="J31" s="193"/>
      <c r="L31" s="189"/>
      <c r="N31" s="182"/>
      <c r="P31" s="487"/>
      <c r="T31" s="193"/>
      <c r="AB31" s="189"/>
      <c r="AG31" s="189"/>
    </row>
    <row r="32" spans="2:52" ht="15" customHeight="1" x14ac:dyDescent="0.2">
      <c r="B32" s="189"/>
      <c r="H32" s="182" t="str">
        <f>+PLAN!B39</f>
        <v>CELULAR PRESIDENTE</v>
      </c>
      <c r="I32" s="186">
        <f>+PLAN!E39</f>
        <v>240000</v>
      </c>
      <c r="J32" s="184">
        <f>+IF($F$39=0,0,+I32/$F$39)</f>
        <v>7.9470198675496692E-2</v>
      </c>
      <c r="L32" s="189"/>
      <c r="N32" s="182"/>
      <c r="P32" s="203"/>
      <c r="R32" s="182" t="str">
        <f t="shared" ref="R32:R45" si="5">+H32</f>
        <v>CELULAR PRESIDENTE</v>
      </c>
      <c r="S32" s="186">
        <f>+CARTOLA!P50*-1</f>
        <v>240000</v>
      </c>
      <c r="T32" s="184">
        <f>+IF($P$39=0,0,+S32/$P$39)</f>
        <v>0.10275786701385124</v>
      </c>
      <c r="AB32" s="189"/>
      <c r="AG32" s="189"/>
    </row>
    <row r="33" spans="2:33" ht="15" customHeight="1" x14ac:dyDescent="0.2">
      <c r="B33" s="189"/>
      <c r="H33" s="182" t="str">
        <f>+PLAN!B40</f>
        <v>MATERIAL OFICINA</v>
      </c>
      <c r="I33" s="186">
        <f>+PLAN!E40</f>
        <v>120000</v>
      </c>
      <c r="J33" s="184">
        <f t="shared" ref="J33:J45" si="6">+IF($F$39=0,0,+I33/$F$39)</f>
        <v>3.9735099337748346E-2</v>
      </c>
      <c r="L33" s="189"/>
      <c r="N33" s="217"/>
      <c r="R33" s="182" t="str">
        <f t="shared" si="5"/>
        <v>MATERIAL OFICINA</v>
      </c>
      <c r="S33" s="186">
        <f>+CARTOLA!P56*-1</f>
        <v>43000</v>
      </c>
      <c r="T33" s="184">
        <f t="shared" ref="T33:T45" si="7">+IF($P$39=0,0,+S33/$P$39)</f>
        <v>1.8410784506648348E-2</v>
      </c>
      <c r="AB33" s="189"/>
      <c r="AG33" s="189"/>
    </row>
    <row r="34" spans="2:33" ht="15" customHeight="1" x14ac:dyDescent="0.2">
      <c r="B34" s="189"/>
      <c r="H34" s="182" t="str">
        <f>+PLAN!B41</f>
        <v>COMISION ASESORIA NEGOCIACION</v>
      </c>
      <c r="I34" s="186">
        <f>+PLAN!E41</f>
        <v>0</v>
      </c>
      <c r="J34" s="184">
        <f t="shared" si="6"/>
        <v>0</v>
      </c>
      <c r="L34" s="189"/>
      <c r="N34" s="217"/>
      <c r="R34" s="182" t="str">
        <f t="shared" si="5"/>
        <v>COMISION ASESORIA NEGOCIACION</v>
      </c>
      <c r="S34" s="186">
        <f>+CARTOLA!P57*-1</f>
        <v>0</v>
      </c>
      <c r="T34" s="184">
        <f t="shared" si="7"/>
        <v>0</v>
      </c>
      <c r="AB34" s="189"/>
      <c r="AD34" s="490"/>
      <c r="AG34" s="189"/>
    </row>
    <row r="35" spans="2:33" ht="15" customHeight="1" x14ac:dyDescent="0.2">
      <c r="B35" s="189"/>
      <c r="H35" s="182" t="str">
        <f>+PLAN!B42</f>
        <v>ASESORIA ABOGADOS</v>
      </c>
      <c r="I35" s="186">
        <f>+PLAN!E42</f>
        <v>1450000</v>
      </c>
      <c r="J35" s="184">
        <f t="shared" si="6"/>
        <v>0.48013245033112584</v>
      </c>
      <c r="L35" s="189"/>
      <c r="N35" s="217"/>
      <c r="R35" s="182" t="str">
        <f t="shared" si="5"/>
        <v>ASESORIA ABOGADOS</v>
      </c>
      <c r="S35" s="186">
        <f>+CARTOLA!P58*-1</f>
        <v>1600000</v>
      </c>
      <c r="T35" s="184">
        <f t="shared" si="7"/>
        <v>0.68505244675900834</v>
      </c>
      <c r="AB35" s="189"/>
      <c r="AG35" s="189"/>
    </row>
    <row r="36" spans="2:33" ht="15" customHeight="1" x14ac:dyDescent="0.2">
      <c r="B36" s="189"/>
      <c r="H36" s="182" t="str">
        <f>+PLAN!B43</f>
        <v>ANIVERSARIO</v>
      </c>
      <c r="I36" s="186">
        <f>+PLAN!E43</f>
        <v>150000</v>
      </c>
      <c r="J36" s="184">
        <f t="shared" si="6"/>
        <v>4.9668874172185427E-2</v>
      </c>
      <c r="L36" s="189"/>
      <c r="N36" s="217"/>
      <c r="R36" s="182" t="str">
        <f t="shared" si="5"/>
        <v>ANIVERSARIO</v>
      </c>
      <c r="S36" s="186">
        <f>+CARTOLA!P59*-1</f>
        <v>147950</v>
      </c>
      <c r="T36" s="184">
        <f t="shared" si="7"/>
        <v>6.3345943436247054E-2</v>
      </c>
      <c r="AB36" s="189"/>
      <c r="AG36" s="189"/>
    </row>
    <row r="37" spans="2:33" ht="15" customHeight="1" x14ac:dyDescent="0.2">
      <c r="B37" s="189"/>
      <c r="F37" s="1001" t="s">
        <v>423</v>
      </c>
      <c r="H37" s="182" t="str">
        <f>+PLAN!B44</f>
        <v>CAJA CHICA</v>
      </c>
      <c r="I37" s="186">
        <f>+PLAN!E44</f>
        <v>0</v>
      </c>
      <c r="J37" s="184">
        <f t="shared" si="6"/>
        <v>0</v>
      </c>
      <c r="L37" s="189"/>
      <c r="N37" s="217"/>
      <c r="P37" s="1001" t="str">
        <f>+PLAN!B38</f>
        <v xml:space="preserve">GASTOS GESTION </v>
      </c>
      <c r="R37" s="182" t="str">
        <f t="shared" si="5"/>
        <v>CAJA CHICA</v>
      </c>
      <c r="S37" s="186">
        <f>+CARTOLA!P60*-1</f>
        <v>0</v>
      </c>
      <c r="T37" s="184">
        <f t="shared" si="7"/>
        <v>0</v>
      </c>
      <c r="AB37" s="189"/>
      <c r="AG37" s="189"/>
    </row>
    <row r="38" spans="2:33" ht="15" customHeight="1" x14ac:dyDescent="0.2">
      <c r="B38" s="189"/>
      <c r="F38" s="1002"/>
      <c r="H38" s="182" t="str">
        <f>+PLAN!B45</f>
        <v>PAGINA WEB (TEAMS)</v>
      </c>
      <c r="I38" s="186">
        <f>+PLAN!E45</f>
        <v>60000</v>
      </c>
      <c r="J38" s="184">
        <f t="shared" si="6"/>
        <v>1.9867549668874173E-2</v>
      </c>
      <c r="L38" s="189"/>
      <c r="N38" s="217"/>
      <c r="P38" s="1002"/>
      <c r="R38" s="182" t="str">
        <f t="shared" si="5"/>
        <v>PAGINA WEB (TEAMS)</v>
      </c>
      <c r="S38" s="186">
        <f>+CARTOLA!P61*-1</f>
        <v>114473.60000000001</v>
      </c>
      <c r="T38" s="184">
        <f t="shared" si="7"/>
        <v>4.9012762355820007E-2</v>
      </c>
      <c r="AB38" s="189"/>
      <c r="AG38" s="189"/>
    </row>
    <row r="39" spans="2:33" ht="15" customHeight="1" x14ac:dyDescent="0.2">
      <c r="B39" s="189"/>
      <c r="F39" s="205">
        <f>+PLAN!E53</f>
        <v>3020000</v>
      </c>
      <c r="H39" s="182" t="str">
        <f>+PLAN!B46</f>
        <v>REPRESENTACION</v>
      </c>
      <c r="I39" s="186">
        <f>+PLAN!E46</f>
        <v>0</v>
      </c>
      <c r="J39" s="184">
        <f t="shared" si="6"/>
        <v>0</v>
      </c>
      <c r="L39" s="189"/>
      <c r="N39" s="217"/>
      <c r="P39" s="205">
        <f>+CARTOLA!Q68*-1+S32</f>
        <v>2335587.6</v>
      </c>
      <c r="R39" s="182" t="str">
        <f t="shared" si="5"/>
        <v>REPRESENTACION</v>
      </c>
      <c r="S39" s="186">
        <f>+CARTOLA!P62*-1</f>
        <v>0</v>
      </c>
      <c r="T39" s="184">
        <f t="shared" si="7"/>
        <v>0</v>
      </c>
      <c r="AB39" s="189"/>
      <c r="AG39" s="189"/>
    </row>
    <row r="40" spans="2:33" ht="15" customHeight="1" x14ac:dyDescent="0.2">
      <c r="B40" s="189"/>
      <c r="F40" s="197">
        <f>+IF($D$22=0,"-",+F39/$D$22)</f>
        <v>0.28436911487758948</v>
      </c>
      <c r="H40" s="182" t="str">
        <f>+PLAN!B47</f>
        <v>UNIFORMES</v>
      </c>
      <c r="I40" s="186">
        <f>+PLAN!E47</f>
        <v>0</v>
      </c>
      <c r="J40" s="184">
        <f t="shared" si="6"/>
        <v>0</v>
      </c>
      <c r="L40" s="189"/>
      <c r="P40" s="197">
        <f>+IF(F39=0,0,+P39/F39)</f>
        <v>0.7733733774834437</v>
      </c>
      <c r="R40" s="182" t="str">
        <f t="shared" si="5"/>
        <v>UNIFORMES</v>
      </c>
      <c r="S40" s="186">
        <f>+CARTOLA!P63*-1</f>
        <v>0</v>
      </c>
      <c r="T40" s="184">
        <f t="shared" si="7"/>
        <v>0</v>
      </c>
      <c r="AB40" s="189"/>
      <c r="AG40" s="189"/>
    </row>
    <row r="41" spans="2:33" ht="15" customHeight="1" x14ac:dyDescent="0.2">
      <c r="B41" s="189"/>
      <c r="H41" s="182" t="str">
        <f>+PLAN!B48</f>
        <v>ALMUERZO EJECUTIVO (6)</v>
      </c>
      <c r="I41" s="186">
        <f>+PLAN!E48</f>
        <v>0</v>
      </c>
      <c r="J41" s="184">
        <f t="shared" si="6"/>
        <v>0</v>
      </c>
      <c r="L41" s="189"/>
      <c r="P41" s="487"/>
      <c r="R41" s="182" t="str">
        <f t="shared" si="5"/>
        <v>ALMUERZO EJECUTIVO (6)</v>
      </c>
      <c r="S41" s="186">
        <f>+CARTOLA!P64*-1</f>
        <v>0</v>
      </c>
      <c r="T41" s="184">
        <f t="shared" si="7"/>
        <v>0</v>
      </c>
      <c r="AB41" s="189"/>
      <c r="AG41" s="189"/>
    </row>
    <row r="42" spans="2:33" ht="15" customHeight="1" x14ac:dyDescent="0.2">
      <c r="B42" s="189"/>
      <c r="H42" s="182" t="str">
        <f>+PLAN!B49</f>
        <v>ATENCION INVITADOS</v>
      </c>
      <c r="I42" s="186">
        <f>+PLAN!E49</f>
        <v>100000</v>
      </c>
      <c r="J42" s="184">
        <f t="shared" si="6"/>
        <v>3.3112582781456956E-2</v>
      </c>
      <c r="L42" s="189"/>
      <c r="N42" s="217"/>
      <c r="R42" s="182" t="str">
        <f t="shared" si="5"/>
        <v>ATENCION INVITADOS</v>
      </c>
      <c r="S42" s="186">
        <f>+CARTOLA!P65*-1</f>
        <v>0</v>
      </c>
      <c r="T42" s="184">
        <f t="shared" si="7"/>
        <v>0</v>
      </c>
      <c r="AB42" s="189"/>
      <c r="AG42" s="189"/>
    </row>
    <row r="43" spans="2:33" ht="15" customHeight="1" x14ac:dyDescent="0.2">
      <c r="B43" s="189"/>
      <c r="H43" s="182" t="str">
        <f>+PLAN!B50</f>
        <v>CAPACITACION</v>
      </c>
      <c r="I43" s="186">
        <f>+PLAN!E50</f>
        <v>0</v>
      </c>
      <c r="J43" s="184">
        <f t="shared" si="6"/>
        <v>0</v>
      </c>
      <c r="L43" s="189"/>
      <c r="N43" s="217"/>
      <c r="R43" s="182" t="str">
        <f t="shared" si="5"/>
        <v>CAPACITACION</v>
      </c>
      <c r="S43" s="186">
        <f>+CARTOLA!P66*-1</f>
        <v>0</v>
      </c>
      <c r="T43" s="184">
        <f t="shared" si="7"/>
        <v>0</v>
      </c>
      <c r="AB43" s="189"/>
      <c r="AG43" s="189"/>
    </row>
    <row r="44" spans="2:33" ht="15" customHeight="1" x14ac:dyDescent="0.2">
      <c r="B44" s="189"/>
      <c r="H44" s="182" t="str">
        <f>+PLAN!B51</f>
        <v>GASTOS VARIOS</v>
      </c>
      <c r="I44" s="186">
        <f>+PLAN!E51</f>
        <v>100000</v>
      </c>
      <c r="J44" s="184">
        <f t="shared" si="6"/>
        <v>3.3112582781456956E-2</v>
      </c>
      <c r="L44" s="189"/>
      <c r="N44" s="217"/>
      <c r="R44" s="182" t="str">
        <f t="shared" si="5"/>
        <v>GASTOS VARIOS</v>
      </c>
      <c r="S44" s="186">
        <f>+CARTOLA!P67*-1</f>
        <v>54180</v>
      </c>
      <c r="T44" s="184">
        <f t="shared" si="7"/>
        <v>2.319758847837692E-2</v>
      </c>
      <c r="AB44" s="189"/>
      <c r="AG44" s="189"/>
    </row>
    <row r="45" spans="2:33" ht="15" customHeight="1" x14ac:dyDescent="0.2">
      <c r="B45" s="189"/>
      <c r="H45" s="182" t="str">
        <f>+PLAN!B52</f>
        <v>IMPREVISTOS</v>
      </c>
      <c r="I45" s="186">
        <f>+PLAN!E52</f>
        <v>800000</v>
      </c>
      <c r="J45" s="184">
        <f t="shared" si="6"/>
        <v>0.26490066225165565</v>
      </c>
      <c r="L45" s="189"/>
      <c r="N45" s="217"/>
      <c r="R45" s="182" t="str">
        <f t="shared" si="5"/>
        <v>IMPREVISTOS</v>
      </c>
      <c r="S45" s="186">
        <f>+CARTOLA!P68*-1</f>
        <v>135984</v>
      </c>
      <c r="T45" s="184">
        <f t="shared" si="7"/>
        <v>5.8222607450048112E-2</v>
      </c>
      <c r="AB45" s="189"/>
      <c r="AG45" s="189"/>
    </row>
    <row r="46" spans="2:33" ht="15" customHeight="1" x14ac:dyDescent="0.2">
      <c r="B46" s="189"/>
      <c r="J46" s="219"/>
      <c r="L46" s="189"/>
      <c r="N46" s="217"/>
      <c r="T46" s="219"/>
      <c r="AB46" s="189"/>
      <c r="AG46" s="189"/>
    </row>
    <row r="47" spans="2:33" ht="15" customHeight="1" x14ac:dyDescent="0.2">
      <c r="B47" s="189"/>
      <c r="H47" s="182" t="str">
        <f>+PLAN!B56</f>
        <v>NEGOCIACION COLECTIVA (3p)</v>
      </c>
      <c r="I47" s="186">
        <f>+PLAN!D56</f>
        <v>75000</v>
      </c>
      <c r="J47" s="184">
        <f t="shared" ref="J47:J52" si="8">+IF($F$50=0,0,+I47/$F$50)</f>
        <v>0.16666666666666666</v>
      </c>
      <c r="L47" s="189"/>
      <c r="N47" s="217"/>
      <c r="R47" s="182" t="str">
        <f t="shared" ref="R47:R52" si="9">+H47</f>
        <v>NEGOCIACION COLECTIVA (3p)</v>
      </c>
      <c r="S47" s="186">
        <f>+CARTOLA!P69*-1</f>
        <v>0</v>
      </c>
      <c r="T47" s="184">
        <f t="shared" ref="T47:T52" si="10">+IF($P$50=0,0,+S47/$P$50)</f>
        <v>0</v>
      </c>
      <c r="AB47" s="189"/>
      <c r="AG47" s="189"/>
    </row>
    <row r="48" spans="2:33" ht="15" customHeight="1" x14ac:dyDescent="0.2">
      <c r="B48" s="189"/>
      <c r="F48" s="1001" t="str">
        <f>+P48</f>
        <v xml:space="preserve">COMISIONES </v>
      </c>
      <c r="H48" s="182" t="str">
        <f>+PLAN!B57</f>
        <v>DISCIPLINA (3p)</v>
      </c>
      <c r="I48" s="186">
        <f>+PLAN!D57</f>
        <v>75000</v>
      </c>
      <c r="J48" s="184">
        <f t="shared" si="8"/>
        <v>0.16666666666666666</v>
      </c>
      <c r="L48" s="189"/>
      <c r="P48" s="1001" t="str">
        <f>+PLAN!B55</f>
        <v xml:space="preserve">COMISIONES </v>
      </c>
      <c r="R48" s="182" t="str">
        <f t="shared" si="9"/>
        <v>DISCIPLINA (3p)</v>
      </c>
      <c r="S48" s="186">
        <f>+CARTOLA!P70*-1</f>
        <v>0</v>
      </c>
      <c r="T48" s="184">
        <f t="shared" si="10"/>
        <v>0</v>
      </c>
      <c r="AB48" s="189"/>
      <c r="AG48" s="189"/>
    </row>
    <row r="49" spans="2:33" ht="15" customHeight="1" x14ac:dyDescent="0.2">
      <c r="B49" s="189"/>
      <c r="F49" s="1002"/>
      <c r="H49" s="182" t="str">
        <f>+PLAN!B58</f>
        <v>CAPACITACION Y EXTENSION (3p)</v>
      </c>
      <c r="I49" s="186">
        <f>+PLAN!D58</f>
        <v>75000</v>
      </c>
      <c r="J49" s="184">
        <f t="shared" si="8"/>
        <v>0.16666666666666666</v>
      </c>
      <c r="L49" s="189"/>
      <c r="P49" s="1002"/>
      <c r="R49" s="182" t="str">
        <f t="shared" si="9"/>
        <v>CAPACITACION Y EXTENSION (3p)</v>
      </c>
      <c r="S49" s="186">
        <f>+CARTOLA!P71*-1</f>
        <v>0</v>
      </c>
      <c r="T49" s="184">
        <f t="shared" si="10"/>
        <v>0</v>
      </c>
      <c r="AB49" s="189"/>
      <c r="AG49" s="189"/>
    </row>
    <row r="50" spans="2:33" ht="15" customHeight="1" x14ac:dyDescent="0.2">
      <c r="B50" s="189"/>
      <c r="F50" s="205">
        <f>+PLAN!D62</f>
        <v>450000</v>
      </c>
      <c r="H50" s="182" t="str">
        <f>+PLAN!B59</f>
        <v>BIENESTAR SOCIAL (3p)</v>
      </c>
      <c r="I50" s="186">
        <f>+PLAN!D59</f>
        <v>75000</v>
      </c>
      <c r="J50" s="184">
        <f t="shared" si="8"/>
        <v>0.16666666666666666</v>
      </c>
      <c r="L50" s="189"/>
      <c r="N50" s="491" t="str">
        <f>+CARTOLA!B76</f>
        <v>Otros Salidas</v>
      </c>
      <c r="P50" s="205">
        <f>+CARTOLA!Q74*-1</f>
        <v>0</v>
      </c>
      <c r="R50" s="182" t="str">
        <f t="shared" si="9"/>
        <v>BIENESTAR SOCIAL (3p)</v>
      </c>
      <c r="S50" s="186">
        <f>+CARTOLA!P72*-1</f>
        <v>0</v>
      </c>
      <c r="T50" s="184">
        <f t="shared" si="10"/>
        <v>0</v>
      </c>
      <c r="AB50" s="189"/>
      <c r="AG50" s="189"/>
    </row>
    <row r="51" spans="2:33" ht="15" customHeight="1" x14ac:dyDescent="0.2">
      <c r="B51" s="189"/>
      <c r="F51" s="197">
        <f>+IF($D$22=0,"-",+F50/$D$22)</f>
        <v>4.2372881355932202E-2</v>
      </c>
      <c r="H51" s="182" t="str">
        <f>+PLAN!B60</f>
        <v>CONFLICTO, COMUNICACIÓN Y DIFUSION (3p)</v>
      </c>
      <c r="I51" s="186">
        <f>+PLAN!D60</f>
        <v>75000</v>
      </c>
      <c r="J51" s="184">
        <f t="shared" si="8"/>
        <v>0.16666666666666666</v>
      </c>
      <c r="L51" s="189"/>
      <c r="N51" s="492">
        <f>-CARTOLA!P76</f>
        <v>1521065</v>
      </c>
      <c r="P51" s="197">
        <f>+IF(F50=0,0,+P50/F50)</f>
        <v>0</v>
      </c>
      <c r="R51" s="182" t="str">
        <f t="shared" si="9"/>
        <v>CONFLICTO, COMUNICACIÓN Y DIFUSION (3p)</v>
      </c>
      <c r="S51" s="186">
        <f>+CARTOLA!P73*-1</f>
        <v>0</v>
      </c>
      <c r="T51" s="184">
        <f t="shared" si="10"/>
        <v>0</v>
      </c>
      <c r="AB51" s="189"/>
      <c r="AG51" s="189"/>
    </row>
    <row r="52" spans="2:33" ht="15" customHeight="1" x14ac:dyDescent="0.2">
      <c r="B52" s="189"/>
      <c r="H52" s="182" t="str">
        <f>+PLAN!B61</f>
        <v>DEPORTE, CULTURA Y RECREACION (3p)</v>
      </c>
      <c r="I52" s="186">
        <f>+PLAN!D61</f>
        <v>75000</v>
      </c>
      <c r="J52" s="184">
        <f t="shared" si="8"/>
        <v>0.16666666666666666</v>
      </c>
      <c r="L52" s="189"/>
      <c r="N52" s="197">
        <f>+IF(N22=0,0,+N51/N22)</f>
        <v>0.14477210484676867</v>
      </c>
      <c r="P52" s="491" t="s">
        <v>600</v>
      </c>
      <c r="R52" s="182" t="str">
        <f t="shared" si="9"/>
        <v>DEPORTE, CULTURA Y RECREACION (3p)</v>
      </c>
      <c r="S52" s="186">
        <f>+CARTOLA!P74*-1</f>
        <v>0</v>
      </c>
      <c r="T52" s="184">
        <f t="shared" si="10"/>
        <v>0</v>
      </c>
      <c r="AB52" s="189"/>
      <c r="AG52" s="189"/>
    </row>
    <row r="53" spans="2:33" ht="15" customHeight="1" x14ac:dyDescent="0.2">
      <c r="B53" s="189"/>
      <c r="L53" s="189"/>
      <c r="P53" s="492">
        <f>+DIRECTOR!M3</f>
        <v>301297</v>
      </c>
      <c r="AB53" s="189"/>
      <c r="AG53" s="189"/>
    </row>
    <row r="54" spans="2:33" x14ac:dyDescent="0.2">
      <c r="B54" s="189"/>
      <c r="C54" s="189"/>
      <c r="D54" s="220"/>
      <c r="E54" s="220"/>
      <c r="F54" s="221"/>
      <c r="G54" s="222"/>
      <c r="H54" s="220"/>
      <c r="I54" s="220"/>
      <c r="J54" s="221"/>
      <c r="K54" s="189"/>
      <c r="L54" s="189"/>
      <c r="M54" s="189"/>
      <c r="N54" s="223"/>
      <c r="O54" s="189"/>
      <c r="P54" s="220"/>
      <c r="Q54" s="220"/>
      <c r="R54" s="220"/>
      <c r="S54" s="220"/>
      <c r="T54" s="221"/>
      <c r="U54" s="220"/>
      <c r="V54" s="220"/>
      <c r="W54" s="220"/>
      <c r="X54" s="220"/>
      <c r="Y54" s="220"/>
      <c r="Z54" s="224"/>
      <c r="AA54" s="189"/>
      <c r="AB54" s="189"/>
      <c r="AC54" s="189"/>
      <c r="AD54" s="220"/>
      <c r="AE54" s="189"/>
      <c r="AF54" s="189"/>
      <c r="AG54" s="189"/>
    </row>
  </sheetData>
  <sheetProtection sheet="1"/>
  <mergeCells count="30">
    <mergeCell ref="V19:V21"/>
    <mergeCell ref="N11:N12"/>
    <mergeCell ref="D11:D12"/>
    <mergeCell ref="V10:V12"/>
    <mergeCell ref="F37:F38"/>
    <mergeCell ref="F48:F49"/>
    <mergeCell ref="F20:F22"/>
    <mergeCell ref="P11:P12"/>
    <mergeCell ref="P20:P21"/>
    <mergeCell ref="P27:P28"/>
    <mergeCell ref="P37:P38"/>
    <mergeCell ref="P48:P49"/>
    <mergeCell ref="F11:F12"/>
    <mergeCell ref="N20:N21"/>
    <mergeCell ref="AC1:AF1"/>
    <mergeCell ref="AE5:AE6"/>
    <mergeCell ref="AE7:AE8"/>
    <mergeCell ref="AE3:AE4"/>
    <mergeCell ref="F27:F28"/>
    <mergeCell ref="M1:AA1"/>
    <mergeCell ref="C1:K1"/>
    <mergeCell ref="N3:N4"/>
    <mergeCell ref="D3:D4"/>
    <mergeCell ref="AE11:AE12"/>
    <mergeCell ref="AE13:AE14"/>
    <mergeCell ref="AE15:AE16"/>
    <mergeCell ref="AE23:AE24"/>
    <mergeCell ref="AE21:AE22"/>
    <mergeCell ref="AE19:AE20"/>
    <mergeCell ref="D20:D21"/>
  </mergeCells>
  <phoneticPr fontId="31" type="noConversion"/>
  <conditionalFormatting sqref="T9:T16">
    <cfRule type="dataBar" priority="109">
      <dataBar>
        <cfvo type="min"/>
        <cfvo type="max"/>
        <color rgb="FF638EC6"/>
      </dataBar>
    </cfRule>
  </conditionalFormatting>
  <conditionalFormatting sqref="T3:T7">
    <cfRule type="dataBar" priority="108">
      <dataBar>
        <cfvo type="min"/>
        <cfvo type="max"/>
        <color rgb="FF638EC6"/>
      </dataBar>
    </cfRule>
  </conditionalFormatting>
  <conditionalFormatting sqref="T19:T23">
    <cfRule type="dataBar" priority="107">
      <dataBar>
        <cfvo type="min"/>
        <cfvo type="max"/>
        <color rgb="FF638EC6"/>
      </dataBar>
    </cfRule>
  </conditionalFormatting>
  <conditionalFormatting sqref="N33:N47">
    <cfRule type="dataBar" priority="118">
      <dataBar>
        <cfvo type="min"/>
        <cfvo type="max"/>
        <color rgb="FFFF0000"/>
      </dataBar>
    </cfRule>
  </conditionalFormatting>
  <conditionalFormatting sqref="Z3:Z6">
    <cfRule type="dataBar" priority="105">
      <dataBar>
        <cfvo type="min"/>
        <cfvo type="max"/>
        <color rgb="FF638EC6"/>
      </dataBar>
    </cfRule>
  </conditionalFormatting>
  <conditionalFormatting sqref="Z18:Z23">
    <cfRule type="dataBar" priority="104">
      <dataBar>
        <cfvo type="min"/>
        <cfvo type="max"/>
        <color rgb="FF638EC6"/>
      </dataBar>
    </cfRule>
  </conditionalFormatting>
  <conditionalFormatting sqref="T27:T30">
    <cfRule type="dataBar" priority="103">
      <dataBar>
        <cfvo type="min"/>
        <cfvo type="max"/>
        <color rgb="FF638EC6"/>
      </dataBar>
    </cfRule>
  </conditionalFormatting>
  <conditionalFormatting sqref="Z8:Z16">
    <cfRule type="dataBar" priority="101">
      <dataBar>
        <cfvo type="percent" val="0"/>
        <cfvo type="percent" val="100"/>
        <color rgb="FF638EC6"/>
      </dataBar>
    </cfRule>
  </conditionalFormatting>
  <conditionalFormatting sqref="Z9:Z16">
    <cfRule type="dataBar" priority="100">
      <dataBar>
        <cfvo type="percent" val="0"/>
        <cfvo type="percent" val="100"/>
        <color rgb="FF638EC6"/>
      </dataBar>
    </cfRule>
  </conditionalFormatting>
  <conditionalFormatting sqref="Z7">
    <cfRule type="dataBar" priority="99">
      <dataBar>
        <cfvo type="percent" val="0"/>
        <cfvo type="percent" val="100"/>
        <color rgb="FF638EC6"/>
      </dataBar>
    </cfRule>
  </conditionalFormatting>
  <conditionalFormatting sqref="Z8:Z16">
    <cfRule type="dataBar" priority="97">
      <dataBar>
        <cfvo type="min"/>
        <cfvo type="max"/>
        <color rgb="FF638EC6"/>
      </dataBar>
    </cfRule>
  </conditionalFormatting>
  <conditionalFormatting sqref="Z9:Z16">
    <cfRule type="dataBar" priority="96">
      <dataBar>
        <cfvo type="min"/>
        <cfvo type="max"/>
        <color rgb="FF638EC6"/>
      </dataBar>
    </cfRule>
  </conditionalFormatting>
  <conditionalFormatting sqref="Z19:Z23">
    <cfRule type="dataBar" priority="94">
      <dataBar>
        <cfvo type="min"/>
        <cfvo type="max"/>
        <color rgb="FF638EC6"/>
      </dataBar>
    </cfRule>
  </conditionalFormatting>
  <conditionalFormatting sqref="Z27:Z29">
    <cfRule type="dataBar" priority="93">
      <dataBar>
        <cfvo type="min"/>
        <cfvo type="max"/>
        <color rgb="FF638EC6"/>
      </dataBar>
    </cfRule>
  </conditionalFormatting>
  <conditionalFormatting sqref="T32:T45">
    <cfRule type="dataBar" priority="92">
      <dataBar>
        <cfvo type="min"/>
        <cfvo type="max"/>
        <color rgb="FF638EC6"/>
      </dataBar>
    </cfRule>
  </conditionalFormatting>
  <conditionalFormatting sqref="T47:T52">
    <cfRule type="dataBar" priority="90">
      <dataBar>
        <cfvo type="min"/>
        <cfvo type="max"/>
        <color rgb="FF638EC6"/>
      </dataBar>
    </cfRule>
  </conditionalFormatting>
  <conditionalFormatting sqref="J3">
    <cfRule type="dataBar" priority="80">
      <dataBar>
        <cfvo type="num" val="0"/>
        <cfvo type="num" val="1"/>
        <color rgb="FF638EC6"/>
      </dataBar>
    </cfRule>
  </conditionalFormatting>
  <conditionalFormatting sqref="J4:J6">
    <cfRule type="dataBar" priority="79">
      <dataBar>
        <cfvo type="min"/>
        <cfvo type="max"/>
        <color rgb="FF638EC6"/>
      </dataBar>
    </cfRule>
  </conditionalFormatting>
  <conditionalFormatting sqref="J9:J16">
    <cfRule type="dataBar" priority="78">
      <dataBar>
        <cfvo type="min"/>
        <cfvo type="max"/>
        <color rgb="FF638EC6"/>
      </dataBar>
    </cfRule>
  </conditionalFormatting>
  <conditionalFormatting sqref="J19:J23">
    <cfRule type="dataBar" priority="77">
      <dataBar>
        <cfvo type="min"/>
        <cfvo type="max"/>
        <color rgb="FF638EC6"/>
      </dataBar>
    </cfRule>
  </conditionalFormatting>
  <conditionalFormatting sqref="J27:J29">
    <cfRule type="dataBar" priority="76">
      <dataBar>
        <cfvo type="min"/>
        <cfvo type="max"/>
        <color rgb="FF638EC6"/>
      </dataBar>
    </cfRule>
  </conditionalFormatting>
  <conditionalFormatting sqref="J32:J45">
    <cfRule type="dataBar" priority="75">
      <dataBar>
        <cfvo type="min"/>
        <cfvo type="max"/>
        <color rgb="FF638EC6"/>
      </dataBar>
    </cfRule>
  </conditionalFormatting>
  <conditionalFormatting sqref="J47:J52">
    <cfRule type="dataBar" priority="74">
      <dataBar>
        <cfvo type="min"/>
        <cfvo type="max"/>
        <color rgb="FF638EC6"/>
      </dataBar>
    </cfRule>
  </conditionalFormatting>
  <conditionalFormatting sqref="J4:J6">
    <cfRule type="dataBar" priority="73">
      <dataBar>
        <cfvo type="num" val="0"/>
        <cfvo type="num" val="1"/>
        <color rgb="FF638EC6"/>
      </dataBar>
    </cfRule>
  </conditionalFormatting>
  <conditionalFormatting sqref="J9:J16">
    <cfRule type="dataBar" priority="72">
      <dataBar>
        <cfvo type="num" val="0"/>
        <cfvo type="num" val="1"/>
        <color rgb="FF638EC6"/>
      </dataBar>
    </cfRule>
  </conditionalFormatting>
  <conditionalFormatting sqref="J19:J23">
    <cfRule type="dataBar" priority="71">
      <dataBar>
        <cfvo type="min"/>
        <cfvo type="max"/>
        <color rgb="FF638EC6"/>
      </dataBar>
    </cfRule>
  </conditionalFormatting>
  <conditionalFormatting sqref="J19:J23">
    <cfRule type="dataBar" priority="70">
      <dataBar>
        <cfvo type="num" val="0"/>
        <cfvo type="num" val="1"/>
        <color rgb="FF638EC6"/>
      </dataBar>
    </cfRule>
  </conditionalFormatting>
  <conditionalFormatting sqref="J27:J29">
    <cfRule type="dataBar" priority="69">
      <dataBar>
        <cfvo type="min"/>
        <cfvo type="max"/>
        <color rgb="FF638EC6"/>
      </dataBar>
    </cfRule>
  </conditionalFormatting>
  <conditionalFormatting sqref="J27:J29">
    <cfRule type="dataBar" priority="68">
      <dataBar>
        <cfvo type="min"/>
        <cfvo type="max"/>
        <color rgb="FF638EC6"/>
      </dataBar>
    </cfRule>
  </conditionalFormatting>
  <conditionalFormatting sqref="J27:J29">
    <cfRule type="dataBar" priority="67">
      <dataBar>
        <cfvo type="num" val="0"/>
        <cfvo type="num" val="1"/>
        <color rgb="FF638EC6"/>
      </dataBar>
    </cfRule>
  </conditionalFormatting>
  <conditionalFormatting sqref="J32:J45">
    <cfRule type="dataBar" priority="66">
      <dataBar>
        <cfvo type="min"/>
        <cfvo type="max"/>
        <color rgb="FF638EC6"/>
      </dataBar>
    </cfRule>
  </conditionalFormatting>
  <conditionalFormatting sqref="J32:J45">
    <cfRule type="dataBar" priority="65">
      <dataBar>
        <cfvo type="min"/>
        <cfvo type="max"/>
        <color rgb="FF638EC6"/>
      </dataBar>
    </cfRule>
  </conditionalFormatting>
  <conditionalFormatting sqref="J32:J45">
    <cfRule type="dataBar" priority="64">
      <dataBar>
        <cfvo type="min"/>
        <cfvo type="max"/>
        <color rgb="FF638EC6"/>
      </dataBar>
    </cfRule>
  </conditionalFormatting>
  <conditionalFormatting sqref="J32:J45">
    <cfRule type="dataBar" priority="63">
      <dataBar>
        <cfvo type="num" val="0"/>
        <cfvo type="num" val="1"/>
        <color rgb="FF638EC6"/>
      </dataBar>
    </cfRule>
  </conditionalFormatting>
  <conditionalFormatting sqref="J47:J52">
    <cfRule type="dataBar" priority="62">
      <dataBar>
        <cfvo type="min"/>
        <cfvo type="max"/>
        <color rgb="FF638EC6"/>
      </dataBar>
    </cfRule>
  </conditionalFormatting>
  <conditionalFormatting sqref="J47:J52">
    <cfRule type="dataBar" priority="61">
      <dataBar>
        <cfvo type="min"/>
        <cfvo type="max"/>
        <color rgb="FF638EC6"/>
      </dataBar>
    </cfRule>
  </conditionalFormatting>
  <conditionalFormatting sqref="J47:J52">
    <cfRule type="dataBar" priority="60">
      <dataBar>
        <cfvo type="min"/>
        <cfvo type="max"/>
        <color rgb="FF638EC6"/>
      </dataBar>
    </cfRule>
  </conditionalFormatting>
  <conditionalFormatting sqref="J47:J52">
    <cfRule type="dataBar" priority="59">
      <dataBar>
        <cfvo type="min"/>
        <cfvo type="max"/>
        <color rgb="FF638EC6"/>
      </dataBar>
    </cfRule>
  </conditionalFormatting>
  <conditionalFormatting sqref="J47:J52">
    <cfRule type="dataBar" priority="58">
      <dataBar>
        <cfvo type="num" val="0"/>
        <cfvo type="num" val="1"/>
        <color rgb="FF638EC6"/>
      </dataBar>
    </cfRule>
  </conditionalFormatting>
  <conditionalFormatting sqref="T3">
    <cfRule type="dataBar" priority="57">
      <dataBar>
        <cfvo type="num" val="0"/>
        <cfvo type="num" val="1"/>
        <color rgb="FF638EC6"/>
      </dataBar>
    </cfRule>
  </conditionalFormatting>
  <conditionalFormatting sqref="T4:T6">
    <cfRule type="dataBar" priority="56">
      <dataBar>
        <cfvo type="min"/>
        <cfvo type="max"/>
        <color rgb="FF638EC6"/>
      </dataBar>
    </cfRule>
  </conditionalFormatting>
  <conditionalFormatting sqref="T9:T16">
    <cfRule type="dataBar" priority="55">
      <dataBar>
        <cfvo type="min"/>
        <cfvo type="max"/>
        <color rgb="FF638EC6"/>
      </dataBar>
    </cfRule>
  </conditionalFormatting>
  <conditionalFormatting sqref="T19:T23">
    <cfRule type="dataBar" priority="54">
      <dataBar>
        <cfvo type="min"/>
        <cfvo type="max"/>
        <color rgb="FF638EC6"/>
      </dataBar>
    </cfRule>
  </conditionalFormatting>
  <conditionalFormatting sqref="T27:T30">
    <cfRule type="dataBar" priority="53">
      <dataBar>
        <cfvo type="min"/>
        <cfvo type="max"/>
        <color rgb="FF638EC6"/>
      </dataBar>
    </cfRule>
  </conditionalFormatting>
  <conditionalFormatting sqref="T32:T45">
    <cfRule type="dataBar" priority="52">
      <dataBar>
        <cfvo type="min"/>
        <cfvo type="max"/>
        <color rgb="FF638EC6"/>
      </dataBar>
    </cfRule>
  </conditionalFormatting>
  <conditionalFormatting sqref="T47:T52">
    <cfRule type="dataBar" priority="51">
      <dataBar>
        <cfvo type="min"/>
        <cfvo type="max"/>
        <color rgb="FF638EC6"/>
      </dataBar>
    </cfRule>
  </conditionalFormatting>
  <conditionalFormatting sqref="T4:T6">
    <cfRule type="dataBar" priority="50">
      <dataBar>
        <cfvo type="num" val="0"/>
        <cfvo type="num" val="1"/>
        <color rgb="FF638EC6"/>
      </dataBar>
    </cfRule>
  </conditionalFormatting>
  <conditionalFormatting sqref="T9:T16">
    <cfRule type="dataBar" priority="49">
      <dataBar>
        <cfvo type="num" val="0"/>
        <cfvo type="num" val="1"/>
        <color rgb="FF638EC6"/>
      </dataBar>
    </cfRule>
  </conditionalFormatting>
  <conditionalFormatting sqref="T19:T23">
    <cfRule type="dataBar" priority="48">
      <dataBar>
        <cfvo type="min"/>
        <cfvo type="max"/>
        <color rgb="FF638EC6"/>
      </dataBar>
    </cfRule>
  </conditionalFormatting>
  <conditionalFormatting sqref="T19:T23">
    <cfRule type="dataBar" priority="47">
      <dataBar>
        <cfvo type="num" val="0"/>
        <cfvo type="num" val="1"/>
        <color rgb="FF638EC6"/>
      </dataBar>
    </cfRule>
  </conditionalFormatting>
  <conditionalFormatting sqref="T27:T30">
    <cfRule type="dataBar" priority="46">
      <dataBar>
        <cfvo type="min"/>
        <cfvo type="max"/>
        <color rgb="FF638EC6"/>
      </dataBar>
    </cfRule>
  </conditionalFormatting>
  <conditionalFormatting sqref="T27:T30">
    <cfRule type="dataBar" priority="45">
      <dataBar>
        <cfvo type="min"/>
        <cfvo type="max"/>
        <color rgb="FF638EC6"/>
      </dataBar>
    </cfRule>
  </conditionalFormatting>
  <conditionalFormatting sqref="T27:T30">
    <cfRule type="dataBar" priority="44">
      <dataBar>
        <cfvo type="num" val="0"/>
        <cfvo type="num" val="1"/>
        <color rgb="FF638EC6"/>
      </dataBar>
    </cfRule>
  </conditionalFormatting>
  <conditionalFormatting sqref="T32:T45">
    <cfRule type="dataBar" priority="43">
      <dataBar>
        <cfvo type="min"/>
        <cfvo type="max"/>
        <color rgb="FF638EC6"/>
      </dataBar>
    </cfRule>
  </conditionalFormatting>
  <conditionalFormatting sqref="T32:T45">
    <cfRule type="dataBar" priority="42">
      <dataBar>
        <cfvo type="min"/>
        <cfvo type="max"/>
        <color rgb="FF638EC6"/>
      </dataBar>
    </cfRule>
  </conditionalFormatting>
  <conditionalFormatting sqref="T32:T45">
    <cfRule type="dataBar" priority="41">
      <dataBar>
        <cfvo type="min"/>
        <cfvo type="max"/>
        <color rgb="FF638EC6"/>
      </dataBar>
    </cfRule>
  </conditionalFormatting>
  <conditionalFormatting sqref="T32:T45">
    <cfRule type="dataBar" priority="40">
      <dataBar>
        <cfvo type="num" val="0"/>
        <cfvo type="num" val="1"/>
        <color rgb="FF638EC6"/>
      </dataBar>
    </cfRule>
  </conditionalFormatting>
  <conditionalFormatting sqref="T47:T52">
    <cfRule type="dataBar" priority="39">
      <dataBar>
        <cfvo type="min"/>
        <cfvo type="max"/>
        <color rgb="FF638EC6"/>
      </dataBar>
    </cfRule>
  </conditionalFormatting>
  <conditionalFormatting sqref="T47:T52">
    <cfRule type="dataBar" priority="38">
      <dataBar>
        <cfvo type="min"/>
        <cfvo type="max"/>
        <color rgb="FF638EC6"/>
      </dataBar>
    </cfRule>
  </conditionalFormatting>
  <conditionalFormatting sqref="T47:T52">
    <cfRule type="dataBar" priority="37">
      <dataBar>
        <cfvo type="min"/>
        <cfvo type="max"/>
        <color rgb="FF638EC6"/>
      </dataBar>
    </cfRule>
  </conditionalFormatting>
  <conditionalFormatting sqref="T47:T52">
    <cfRule type="dataBar" priority="36">
      <dataBar>
        <cfvo type="min"/>
        <cfvo type="max"/>
        <color rgb="FF638EC6"/>
      </dataBar>
    </cfRule>
  </conditionalFormatting>
  <conditionalFormatting sqref="T47:T52">
    <cfRule type="dataBar" priority="35">
      <dataBar>
        <cfvo type="num" val="0"/>
        <cfvo type="num" val="1"/>
        <color rgb="FF638EC6"/>
      </dataBar>
    </cfRule>
  </conditionalFormatting>
  <conditionalFormatting sqref="T7">
    <cfRule type="dataBar" priority="34">
      <dataBar>
        <cfvo type="min"/>
        <cfvo type="max"/>
        <color rgb="FF638EC6"/>
      </dataBar>
    </cfRule>
  </conditionalFormatting>
  <conditionalFormatting sqref="T7">
    <cfRule type="dataBar" priority="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{00000000-000E-0000-0200-000009000000}</x14:id>
        </ext>
      </extLst>
    </cfRule>
  </conditionalFormatting>
  <conditionalFormatting sqref="Z8:Z16">
    <cfRule type="dataBar" priority="32">
      <dataBar>
        <cfvo type="min"/>
        <cfvo type="max"/>
        <color rgb="FF638EC6"/>
      </dataBar>
    </cfRule>
  </conditionalFormatting>
  <conditionalFormatting sqref="Z8:Z16">
    <cfRule type="dataBar" priority="31">
      <dataBar>
        <cfvo type="num" val="0"/>
        <cfvo type="num" val="1"/>
        <color rgb="FF638EC6"/>
      </dataBar>
    </cfRule>
  </conditionalFormatting>
  <conditionalFormatting sqref="Z18:Z23">
    <cfRule type="dataBar" priority="30">
      <dataBar>
        <cfvo type="percent" val="0"/>
        <cfvo type="percent" val="100"/>
        <color rgb="FF638EC6"/>
      </dataBar>
    </cfRule>
  </conditionalFormatting>
  <conditionalFormatting sqref="Z19:Z23">
    <cfRule type="dataBar" priority="29">
      <dataBar>
        <cfvo type="percent" val="0"/>
        <cfvo type="percent" val="100"/>
        <color rgb="FF638EC6"/>
      </dataBar>
    </cfRule>
  </conditionalFormatting>
  <conditionalFormatting sqref="Z18:Z23">
    <cfRule type="dataBar" priority="28">
      <dataBar>
        <cfvo type="min"/>
        <cfvo type="max"/>
        <color rgb="FF638EC6"/>
      </dataBar>
    </cfRule>
  </conditionalFormatting>
  <conditionalFormatting sqref="Z19:Z23">
    <cfRule type="dataBar" priority="27">
      <dataBar>
        <cfvo type="min"/>
        <cfvo type="max"/>
        <color rgb="FF638EC6"/>
      </dataBar>
    </cfRule>
  </conditionalFormatting>
  <conditionalFormatting sqref="Z18:Z23">
    <cfRule type="dataBar" priority="26">
      <dataBar>
        <cfvo type="min"/>
        <cfvo type="max"/>
        <color rgb="FF638EC6"/>
      </dataBar>
    </cfRule>
  </conditionalFormatting>
  <conditionalFormatting sqref="Z18:Z23">
    <cfRule type="dataBar" priority="25">
      <dataBar>
        <cfvo type="num" val="0"/>
        <cfvo type="num" val="1"/>
        <color rgb="FF638EC6"/>
      </dataBar>
    </cfRule>
  </conditionalFormatting>
  <conditionalFormatting sqref="F14 F24 F30 F40 F51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{D85504E9-CB2B-4827-9358-C913C699B0C7}</x14:id>
        </ext>
      </extLst>
    </cfRule>
  </conditionalFormatting>
  <conditionalFormatting sqref="P14 P23 P30 P40 P51">
    <cfRule type="dataBar" priority="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{20D5968B-CDB0-45DB-B356-80EA5E079059}</x14:id>
        </ext>
      </extLst>
    </cfRule>
  </conditionalFormatting>
  <conditionalFormatting sqref="N6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{EDC50648-76DA-4737-80AB-53CBB72BA367}</x14:id>
        </ext>
      </extLst>
    </cfRule>
  </conditionalFormatting>
  <conditionalFormatting sqref="N23">
    <cfRule type="dataBar" priority="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{C9B92AC7-09F9-4184-8453-60D1E7186228}</x14:id>
        </ext>
      </extLst>
    </cfRule>
  </conditionalFormatting>
  <conditionalFormatting sqref="N52">
    <cfRule type="dataBar" priority="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{B40CE647-98A1-4002-9698-34EE1D1174A1}</x14:id>
        </ext>
      </extLst>
    </cfRule>
  </conditionalFormatting>
  <conditionalFormatting sqref="AJ1:AR1">
    <cfRule type="iconSet" priority="120">
      <iconSet iconSet="4Arrows">
        <cfvo type="percent" val="0"/>
        <cfvo type="percent" val="25"/>
        <cfvo type="percent" val="50"/>
        <cfvo type="percent" val="75"/>
      </iconSet>
    </cfRule>
  </conditionalFormatting>
  <printOptions horizontalCentered="1"/>
  <pageMargins left="0.25" right="0.25" top="0.75" bottom="0.75" header="0.3" footer="0.3"/>
  <pageSetup scale="89" fitToWidth="0" orientation="portrait" horizontalDpi="300" verticalDpi="300" r:id="rId1"/>
  <rowBreaks count="1" manualBreakCount="1">
    <brk id="54" min="2" max="10" man="1"/>
  </rowBreaks>
  <colBreaks count="3" manualBreakCount="3">
    <brk id="12" max="53" man="1"/>
    <brk id="22" max="53" man="1"/>
    <brk id="44" max="5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locked="0" defaultSize="0" autoFill="0" autoLine="0" autoPict="0" macro="[0]!MOSTRAR1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34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locked="0" defaultSize="0" autoFill="0" autoLine="0" autoPict="0" macro="[0]!MOSTRAR2">
                <anchor mov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34</xdr:col>
                    <xdr:colOff>152400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locked="0" defaultSize="0" autoFill="0" autoLine="0" autoPict="0" macro="[0]!MOSTRAR3">
                <anchor moveWithCells="1">
                  <from>
                    <xdr:col>0</xdr:col>
                    <xdr:colOff>0</xdr:colOff>
                    <xdr:row>3</xdr:row>
                    <xdr:rowOff>104775</xdr:rowOff>
                  </from>
                  <to>
                    <xdr:col>34</xdr:col>
                    <xdr:colOff>152400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locked="0" defaultSize="0" autoFill="0" autoLine="0" autoPict="0" macro="[0]!OCULTARTODO">
                <anchor moveWithCells="1">
                  <from>
                    <xdr:col>0</xdr:col>
                    <xdr:colOff>0</xdr:colOff>
                    <xdr:row>4</xdr:row>
                    <xdr:rowOff>95250</xdr:rowOff>
                  </from>
                  <to>
                    <xdr:col>34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200-000009000000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FF0000"/>
            </x14:dataBar>
          </x14:cfRule>
          <xm:sqref>T7</xm:sqref>
        </x14:conditionalFormatting>
        <x14:conditionalFormatting xmlns:xm="http://schemas.microsoft.com/office/excel/2006/main">
          <x14:cfRule type="dataBar" id="{D85504E9-CB2B-4827-9358-C913C699B0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F14 F24 F30 F40 F51</xm:sqref>
        </x14:conditionalFormatting>
        <x14:conditionalFormatting xmlns:xm="http://schemas.microsoft.com/office/excel/2006/main">
          <x14:cfRule type="dataBar" id="{20D5968B-CDB0-45DB-B356-80EA5E0790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P14 P23 P30 P40 P51</xm:sqref>
        </x14:conditionalFormatting>
        <x14:conditionalFormatting xmlns:xm="http://schemas.microsoft.com/office/excel/2006/main">
          <x14:cfRule type="dataBar" id="{EDC50648-76DA-4737-80AB-53CBB72BA36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C9B92AC7-09F9-4184-8453-60D1E718622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B40CE647-98A1-4002-9698-34EE1D1174A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2D050"/>
  </sheetPr>
  <dimension ref="A1:WVW166"/>
  <sheetViews>
    <sheetView showGridLine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baseColWidth="10" defaultRowHeight="12.75" x14ac:dyDescent="0.25"/>
  <cols>
    <col min="1" max="1" width="3" style="225" bestFit="1" customWidth="1"/>
    <col min="2" max="2" width="20.85546875" style="233" bestFit="1" customWidth="1"/>
    <col min="3" max="4" width="12" style="230" bestFit="1" customWidth="1"/>
    <col min="5" max="5" width="12.5703125" style="230" bestFit="1" customWidth="1"/>
    <col min="6" max="8" width="12" style="230" bestFit="1" customWidth="1"/>
    <col min="9" max="9" width="12.5703125" style="230" bestFit="1" customWidth="1"/>
    <col min="10" max="14" width="12" style="230" bestFit="1" customWidth="1"/>
    <col min="15" max="15" width="2" style="230" customWidth="1"/>
    <col min="16" max="16" width="12" style="230" bestFit="1" customWidth="1"/>
    <col min="17" max="17" width="12.5703125" style="284" bestFit="1" customWidth="1"/>
    <col min="18" max="18" width="11" style="284" bestFit="1" customWidth="1"/>
    <col min="19" max="19" width="4.28515625" style="225" bestFit="1" customWidth="1"/>
    <col min="20" max="20" width="4.42578125" style="225" bestFit="1" customWidth="1"/>
    <col min="21" max="21" width="8.5703125" style="225" bestFit="1" customWidth="1"/>
    <col min="22" max="22" width="4.28515625" style="225" bestFit="1" customWidth="1"/>
    <col min="23" max="23" width="7.5703125" style="225" bestFit="1" customWidth="1"/>
    <col min="24" max="24" width="9.5703125" style="225" bestFit="1" customWidth="1"/>
    <col min="25" max="26" width="8" style="225" bestFit="1" customWidth="1"/>
    <col min="27" max="27" width="8.5703125" style="225" bestFit="1" customWidth="1"/>
    <col min="28" max="29" width="7" style="225" bestFit="1" customWidth="1"/>
    <col min="30" max="30" width="8.5703125" style="225" bestFit="1" customWidth="1"/>
    <col min="31" max="31" width="8" style="225" bestFit="1" customWidth="1"/>
    <col min="32" max="33" width="7" style="225" bestFit="1" customWidth="1"/>
    <col min="34" max="34" width="3.42578125" style="225" bestFit="1" customWidth="1"/>
    <col min="35" max="256" width="11.42578125" style="225"/>
    <col min="257" max="257" width="1.85546875" style="225" customWidth="1"/>
    <col min="258" max="258" width="3" style="225" customWidth="1"/>
    <col min="259" max="259" width="17.42578125" style="225" customWidth="1"/>
    <col min="260" max="271" width="10.7109375" style="225" customWidth="1"/>
    <col min="272" max="512" width="11.42578125" style="225"/>
    <col min="513" max="513" width="1.85546875" style="225" customWidth="1"/>
    <col min="514" max="514" width="3" style="225" customWidth="1"/>
    <col min="515" max="515" width="17.42578125" style="225" customWidth="1"/>
    <col min="516" max="527" width="10.7109375" style="225" customWidth="1"/>
    <col min="528" max="768" width="11.42578125" style="225"/>
    <col min="769" max="769" width="1.85546875" style="225" customWidth="1"/>
    <col min="770" max="770" width="3" style="225" customWidth="1"/>
    <col min="771" max="771" width="17.42578125" style="225" customWidth="1"/>
    <col min="772" max="783" width="10.7109375" style="225" customWidth="1"/>
    <col min="784" max="1024" width="11.42578125" style="225"/>
    <col min="1025" max="1025" width="1.85546875" style="225" customWidth="1"/>
    <col min="1026" max="1026" width="3" style="225" customWidth="1"/>
    <col min="1027" max="1027" width="17.42578125" style="225" customWidth="1"/>
    <col min="1028" max="1039" width="10.7109375" style="225" customWidth="1"/>
    <col min="1040" max="1280" width="11.42578125" style="225"/>
    <col min="1281" max="1281" width="1.85546875" style="225" customWidth="1"/>
    <col min="1282" max="1282" width="3" style="225" customWidth="1"/>
    <col min="1283" max="1283" width="17.42578125" style="225" customWidth="1"/>
    <col min="1284" max="1295" width="10.7109375" style="225" customWidth="1"/>
    <col min="1296" max="1536" width="11.42578125" style="225"/>
    <col min="1537" max="1537" width="1.85546875" style="225" customWidth="1"/>
    <col min="1538" max="1538" width="3" style="225" customWidth="1"/>
    <col min="1539" max="1539" width="17.42578125" style="225" customWidth="1"/>
    <col min="1540" max="1551" width="10.7109375" style="225" customWidth="1"/>
    <col min="1552" max="1792" width="11.42578125" style="225"/>
    <col min="1793" max="1793" width="1.85546875" style="225" customWidth="1"/>
    <col min="1794" max="1794" width="3" style="225" customWidth="1"/>
    <col min="1795" max="1795" width="17.42578125" style="225" customWidth="1"/>
    <col min="1796" max="1807" width="10.7109375" style="225" customWidth="1"/>
    <col min="1808" max="2048" width="11.42578125" style="225"/>
    <col min="2049" max="2049" width="1.85546875" style="225" customWidth="1"/>
    <col min="2050" max="2050" width="3" style="225" customWidth="1"/>
    <col min="2051" max="2051" width="17.42578125" style="225" customWidth="1"/>
    <col min="2052" max="2063" width="10.7109375" style="225" customWidth="1"/>
    <col min="2064" max="2304" width="11.42578125" style="225"/>
    <col min="2305" max="2305" width="1.85546875" style="225" customWidth="1"/>
    <col min="2306" max="2306" width="3" style="225" customWidth="1"/>
    <col min="2307" max="2307" width="17.42578125" style="225" customWidth="1"/>
    <col min="2308" max="2319" width="10.7109375" style="225" customWidth="1"/>
    <col min="2320" max="2560" width="11.42578125" style="225"/>
    <col min="2561" max="2561" width="1.85546875" style="225" customWidth="1"/>
    <col min="2562" max="2562" width="3" style="225" customWidth="1"/>
    <col min="2563" max="2563" width="17.42578125" style="225" customWidth="1"/>
    <col min="2564" max="2575" width="10.7109375" style="225" customWidth="1"/>
    <col min="2576" max="2816" width="11.42578125" style="225"/>
    <col min="2817" max="2817" width="1.85546875" style="225" customWidth="1"/>
    <col min="2818" max="2818" width="3" style="225" customWidth="1"/>
    <col min="2819" max="2819" width="17.42578125" style="225" customWidth="1"/>
    <col min="2820" max="2831" width="10.7109375" style="225" customWidth="1"/>
    <col min="2832" max="3072" width="11.42578125" style="225"/>
    <col min="3073" max="3073" width="1.85546875" style="225" customWidth="1"/>
    <col min="3074" max="3074" width="3" style="225" customWidth="1"/>
    <col min="3075" max="3075" width="17.42578125" style="225" customWidth="1"/>
    <col min="3076" max="3087" width="10.7109375" style="225" customWidth="1"/>
    <col min="3088" max="3328" width="11.42578125" style="225"/>
    <col min="3329" max="3329" width="1.85546875" style="225" customWidth="1"/>
    <col min="3330" max="3330" width="3" style="225" customWidth="1"/>
    <col min="3331" max="3331" width="17.42578125" style="225" customWidth="1"/>
    <col min="3332" max="3343" width="10.7109375" style="225" customWidth="1"/>
    <col min="3344" max="3584" width="11.42578125" style="225"/>
    <col min="3585" max="3585" width="1.85546875" style="225" customWidth="1"/>
    <col min="3586" max="3586" width="3" style="225" customWidth="1"/>
    <col min="3587" max="3587" width="17.42578125" style="225" customWidth="1"/>
    <col min="3588" max="3599" width="10.7109375" style="225" customWidth="1"/>
    <col min="3600" max="3840" width="11.42578125" style="225"/>
    <col min="3841" max="3841" width="1.85546875" style="225" customWidth="1"/>
    <col min="3842" max="3842" width="3" style="225" customWidth="1"/>
    <col min="3843" max="3843" width="17.42578125" style="225" customWidth="1"/>
    <col min="3844" max="3855" width="10.7109375" style="225" customWidth="1"/>
    <col min="3856" max="4096" width="11.42578125" style="225"/>
    <col min="4097" max="4097" width="1.85546875" style="225" customWidth="1"/>
    <col min="4098" max="4098" width="3" style="225" customWidth="1"/>
    <col min="4099" max="4099" width="17.42578125" style="225" customWidth="1"/>
    <col min="4100" max="4111" width="10.7109375" style="225" customWidth="1"/>
    <col min="4112" max="4352" width="11.42578125" style="225"/>
    <col min="4353" max="4353" width="1.85546875" style="225" customWidth="1"/>
    <col min="4354" max="4354" width="3" style="225" customWidth="1"/>
    <col min="4355" max="4355" width="17.42578125" style="225" customWidth="1"/>
    <col min="4356" max="4367" width="10.7109375" style="225" customWidth="1"/>
    <col min="4368" max="4608" width="11.42578125" style="225"/>
    <col min="4609" max="4609" width="1.85546875" style="225" customWidth="1"/>
    <col min="4610" max="4610" width="3" style="225" customWidth="1"/>
    <col min="4611" max="4611" width="17.42578125" style="225" customWidth="1"/>
    <col min="4612" max="4623" width="10.7109375" style="225" customWidth="1"/>
    <col min="4624" max="4864" width="11.42578125" style="225"/>
    <col min="4865" max="4865" width="1.85546875" style="225" customWidth="1"/>
    <col min="4866" max="4866" width="3" style="225" customWidth="1"/>
    <col min="4867" max="4867" width="17.42578125" style="225" customWidth="1"/>
    <col min="4868" max="4879" width="10.7109375" style="225" customWidth="1"/>
    <col min="4880" max="5120" width="11.42578125" style="225"/>
    <col min="5121" max="5121" width="1.85546875" style="225" customWidth="1"/>
    <col min="5122" max="5122" width="3" style="225" customWidth="1"/>
    <col min="5123" max="5123" width="17.42578125" style="225" customWidth="1"/>
    <col min="5124" max="5135" width="10.7109375" style="225" customWidth="1"/>
    <col min="5136" max="5376" width="11.42578125" style="225"/>
    <col min="5377" max="5377" width="1.85546875" style="225" customWidth="1"/>
    <col min="5378" max="5378" width="3" style="225" customWidth="1"/>
    <col min="5379" max="5379" width="17.42578125" style="225" customWidth="1"/>
    <col min="5380" max="5391" width="10.7109375" style="225" customWidth="1"/>
    <col min="5392" max="5632" width="11.42578125" style="225"/>
    <col min="5633" max="5633" width="1.85546875" style="225" customWidth="1"/>
    <col min="5634" max="5634" width="3" style="225" customWidth="1"/>
    <col min="5635" max="5635" width="17.42578125" style="225" customWidth="1"/>
    <col min="5636" max="5647" width="10.7109375" style="225" customWidth="1"/>
    <col min="5648" max="5888" width="11.42578125" style="225"/>
    <col min="5889" max="5889" width="1.85546875" style="225" customWidth="1"/>
    <col min="5890" max="5890" width="3" style="225" customWidth="1"/>
    <col min="5891" max="5891" width="17.42578125" style="225" customWidth="1"/>
    <col min="5892" max="5903" width="10.7109375" style="225" customWidth="1"/>
    <col min="5904" max="6144" width="11.42578125" style="225"/>
    <col min="6145" max="6145" width="1.85546875" style="225" customWidth="1"/>
    <col min="6146" max="6146" width="3" style="225" customWidth="1"/>
    <col min="6147" max="6147" width="17.42578125" style="225" customWidth="1"/>
    <col min="6148" max="6159" width="10.7109375" style="225" customWidth="1"/>
    <col min="6160" max="6400" width="11.42578125" style="225"/>
    <col min="6401" max="6401" width="1.85546875" style="225" customWidth="1"/>
    <col min="6402" max="6402" width="3" style="225" customWidth="1"/>
    <col min="6403" max="6403" width="17.42578125" style="225" customWidth="1"/>
    <col min="6404" max="6415" width="10.7109375" style="225" customWidth="1"/>
    <col min="6416" max="6656" width="11.42578125" style="225"/>
    <col min="6657" max="6657" width="1.85546875" style="225" customWidth="1"/>
    <col min="6658" max="6658" width="3" style="225" customWidth="1"/>
    <col min="6659" max="6659" width="17.42578125" style="225" customWidth="1"/>
    <col min="6660" max="6671" width="10.7109375" style="225" customWidth="1"/>
    <col min="6672" max="6912" width="11.42578125" style="225"/>
    <col min="6913" max="6913" width="1.85546875" style="225" customWidth="1"/>
    <col min="6914" max="6914" width="3" style="225" customWidth="1"/>
    <col min="6915" max="6915" width="17.42578125" style="225" customWidth="1"/>
    <col min="6916" max="6927" width="10.7109375" style="225" customWidth="1"/>
    <col min="6928" max="7168" width="11.42578125" style="225"/>
    <col min="7169" max="7169" width="1.85546875" style="225" customWidth="1"/>
    <col min="7170" max="7170" width="3" style="225" customWidth="1"/>
    <col min="7171" max="7171" width="17.42578125" style="225" customWidth="1"/>
    <col min="7172" max="7183" width="10.7109375" style="225" customWidth="1"/>
    <col min="7184" max="7424" width="11.42578125" style="225"/>
    <col min="7425" max="7425" width="1.85546875" style="225" customWidth="1"/>
    <col min="7426" max="7426" width="3" style="225" customWidth="1"/>
    <col min="7427" max="7427" width="17.42578125" style="225" customWidth="1"/>
    <col min="7428" max="7439" width="10.7109375" style="225" customWidth="1"/>
    <col min="7440" max="7680" width="11.42578125" style="225"/>
    <col min="7681" max="7681" width="1.85546875" style="225" customWidth="1"/>
    <col min="7682" max="7682" width="3" style="225" customWidth="1"/>
    <col min="7683" max="7683" width="17.42578125" style="225" customWidth="1"/>
    <col min="7684" max="7695" width="10.7109375" style="225" customWidth="1"/>
    <col min="7696" max="7936" width="11.42578125" style="225"/>
    <col min="7937" max="7937" width="1.85546875" style="225" customWidth="1"/>
    <col min="7938" max="7938" width="3" style="225" customWidth="1"/>
    <col min="7939" max="7939" width="17.42578125" style="225" customWidth="1"/>
    <col min="7940" max="7951" width="10.7109375" style="225" customWidth="1"/>
    <col min="7952" max="8192" width="11.42578125" style="225"/>
    <col min="8193" max="8193" width="1.85546875" style="225" customWidth="1"/>
    <col min="8194" max="8194" width="3" style="225" customWidth="1"/>
    <col min="8195" max="8195" width="17.42578125" style="225" customWidth="1"/>
    <col min="8196" max="8207" width="10.7109375" style="225" customWidth="1"/>
    <col min="8208" max="8448" width="11.42578125" style="225"/>
    <col min="8449" max="8449" width="1.85546875" style="225" customWidth="1"/>
    <col min="8450" max="8450" width="3" style="225" customWidth="1"/>
    <col min="8451" max="8451" width="17.42578125" style="225" customWidth="1"/>
    <col min="8452" max="8463" width="10.7109375" style="225" customWidth="1"/>
    <col min="8464" max="8704" width="11.42578125" style="225"/>
    <col min="8705" max="8705" width="1.85546875" style="225" customWidth="1"/>
    <col min="8706" max="8706" width="3" style="225" customWidth="1"/>
    <col min="8707" max="8707" width="17.42578125" style="225" customWidth="1"/>
    <col min="8708" max="8719" width="10.7109375" style="225" customWidth="1"/>
    <col min="8720" max="8960" width="11.42578125" style="225"/>
    <col min="8961" max="8961" width="1.85546875" style="225" customWidth="1"/>
    <col min="8962" max="8962" width="3" style="225" customWidth="1"/>
    <col min="8963" max="8963" width="17.42578125" style="225" customWidth="1"/>
    <col min="8964" max="8975" width="10.7109375" style="225" customWidth="1"/>
    <col min="8976" max="9216" width="11.42578125" style="225"/>
    <col min="9217" max="9217" width="1.85546875" style="225" customWidth="1"/>
    <col min="9218" max="9218" width="3" style="225" customWidth="1"/>
    <col min="9219" max="9219" width="17.42578125" style="225" customWidth="1"/>
    <col min="9220" max="9231" width="10.7109375" style="225" customWidth="1"/>
    <col min="9232" max="9472" width="11.42578125" style="225"/>
    <col min="9473" max="9473" width="1.85546875" style="225" customWidth="1"/>
    <col min="9474" max="9474" width="3" style="225" customWidth="1"/>
    <col min="9475" max="9475" width="17.42578125" style="225" customWidth="1"/>
    <col min="9476" max="9487" width="10.7109375" style="225" customWidth="1"/>
    <col min="9488" max="9728" width="11.42578125" style="225"/>
    <col min="9729" max="9729" width="1.85546875" style="225" customWidth="1"/>
    <col min="9730" max="9730" width="3" style="225" customWidth="1"/>
    <col min="9731" max="9731" width="17.42578125" style="225" customWidth="1"/>
    <col min="9732" max="9743" width="10.7109375" style="225" customWidth="1"/>
    <col min="9744" max="9984" width="11.42578125" style="225"/>
    <col min="9985" max="9985" width="1.85546875" style="225" customWidth="1"/>
    <col min="9986" max="9986" width="3" style="225" customWidth="1"/>
    <col min="9987" max="9987" width="17.42578125" style="225" customWidth="1"/>
    <col min="9988" max="9999" width="10.7109375" style="225" customWidth="1"/>
    <col min="10000" max="10240" width="11.42578125" style="225"/>
    <col min="10241" max="10241" width="1.85546875" style="225" customWidth="1"/>
    <col min="10242" max="10242" width="3" style="225" customWidth="1"/>
    <col min="10243" max="10243" width="17.42578125" style="225" customWidth="1"/>
    <col min="10244" max="10255" width="10.7109375" style="225" customWidth="1"/>
    <col min="10256" max="10496" width="11.42578125" style="225"/>
    <col min="10497" max="10497" width="1.85546875" style="225" customWidth="1"/>
    <col min="10498" max="10498" width="3" style="225" customWidth="1"/>
    <col min="10499" max="10499" width="17.42578125" style="225" customWidth="1"/>
    <col min="10500" max="10511" width="10.7109375" style="225" customWidth="1"/>
    <col min="10512" max="10752" width="11.42578125" style="225"/>
    <col min="10753" max="10753" width="1.85546875" style="225" customWidth="1"/>
    <col min="10754" max="10754" width="3" style="225" customWidth="1"/>
    <col min="10755" max="10755" width="17.42578125" style="225" customWidth="1"/>
    <col min="10756" max="10767" width="10.7109375" style="225" customWidth="1"/>
    <col min="10768" max="11008" width="11.42578125" style="225"/>
    <col min="11009" max="11009" width="1.85546875" style="225" customWidth="1"/>
    <col min="11010" max="11010" width="3" style="225" customWidth="1"/>
    <col min="11011" max="11011" width="17.42578125" style="225" customWidth="1"/>
    <col min="11012" max="11023" width="10.7109375" style="225" customWidth="1"/>
    <col min="11024" max="11264" width="11.42578125" style="225"/>
    <col min="11265" max="11265" width="1.85546875" style="225" customWidth="1"/>
    <col min="11266" max="11266" width="3" style="225" customWidth="1"/>
    <col min="11267" max="11267" width="17.42578125" style="225" customWidth="1"/>
    <col min="11268" max="11279" width="10.7109375" style="225" customWidth="1"/>
    <col min="11280" max="11520" width="11.42578125" style="225"/>
    <col min="11521" max="11521" width="1.85546875" style="225" customWidth="1"/>
    <col min="11522" max="11522" width="3" style="225" customWidth="1"/>
    <col min="11523" max="11523" width="17.42578125" style="225" customWidth="1"/>
    <col min="11524" max="11535" width="10.7109375" style="225" customWidth="1"/>
    <col min="11536" max="11776" width="11.42578125" style="225"/>
    <col min="11777" max="11777" width="1.85546875" style="225" customWidth="1"/>
    <col min="11778" max="11778" width="3" style="225" customWidth="1"/>
    <col min="11779" max="11779" width="17.42578125" style="225" customWidth="1"/>
    <col min="11780" max="11791" width="10.7109375" style="225" customWidth="1"/>
    <col min="11792" max="12032" width="11.42578125" style="225"/>
    <col min="12033" max="12033" width="1.85546875" style="225" customWidth="1"/>
    <col min="12034" max="12034" width="3" style="225" customWidth="1"/>
    <col min="12035" max="12035" width="17.42578125" style="225" customWidth="1"/>
    <col min="12036" max="12047" width="10.7109375" style="225" customWidth="1"/>
    <col min="12048" max="12288" width="11.42578125" style="225"/>
    <col min="12289" max="12289" width="1.85546875" style="225" customWidth="1"/>
    <col min="12290" max="12290" width="3" style="225" customWidth="1"/>
    <col min="12291" max="12291" width="17.42578125" style="225" customWidth="1"/>
    <col min="12292" max="12303" width="10.7109375" style="225" customWidth="1"/>
    <col min="12304" max="12544" width="11.42578125" style="225"/>
    <col min="12545" max="12545" width="1.85546875" style="225" customWidth="1"/>
    <col min="12546" max="12546" width="3" style="225" customWidth="1"/>
    <col min="12547" max="12547" width="17.42578125" style="225" customWidth="1"/>
    <col min="12548" max="12559" width="10.7109375" style="225" customWidth="1"/>
    <col min="12560" max="12800" width="11.42578125" style="225"/>
    <col min="12801" max="12801" width="1.85546875" style="225" customWidth="1"/>
    <col min="12802" max="12802" width="3" style="225" customWidth="1"/>
    <col min="12803" max="12803" width="17.42578125" style="225" customWidth="1"/>
    <col min="12804" max="12815" width="10.7109375" style="225" customWidth="1"/>
    <col min="12816" max="13056" width="11.42578125" style="225"/>
    <col min="13057" max="13057" width="1.85546875" style="225" customWidth="1"/>
    <col min="13058" max="13058" width="3" style="225" customWidth="1"/>
    <col min="13059" max="13059" width="17.42578125" style="225" customWidth="1"/>
    <col min="13060" max="13071" width="10.7109375" style="225" customWidth="1"/>
    <col min="13072" max="13312" width="11.42578125" style="225"/>
    <col min="13313" max="13313" width="1.85546875" style="225" customWidth="1"/>
    <col min="13314" max="13314" width="3" style="225" customWidth="1"/>
    <col min="13315" max="13315" width="17.42578125" style="225" customWidth="1"/>
    <col min="13316" max="13327" width="10.7109375" style="225" customWidth="1"/>
    <col min="13328" max="13568" width="11.42578125" style="225"/>
    <col min="13569" max="13569" width="1.85546875" style="225" customWidth="1"/>
    <col min="13570" max="13570" width="3" style="225" customWidth="1"/>
    <col min="13571" max="13571" width="17.42578125" style="225" customWidth="1"/>
    <col min="13572" max="13583" width="10.7109375" style="225" customWidth="1"/>
    <col min="13584" max="13824" width="11.42578125" style="225"/>
    <col min="13825" max="13825" width="1.85546875" style="225" customWidth="1"/>
    <col min="13826" max="13826" width="3" style="225" customWidth="1"/>
    <col min="13827" max="13827" width="17.42578125" style="225" customWidth="1"/>
    <col min="13828" max="13839" width="10.7109375" style="225" customWidth="1"/>
    <col min="13840" max="14080" width="11.42578125" style="225"/>
    <col min="14081" max="14081" width="1.85546875" style="225" customWidth="1"/>
    <col min="14082" max="14082" width="3" style="225" customWidth="1"/>
    <col min="14083" max="14083" width="17.42578125" style="225" customWidth="1"/>
    <col min="14084" max="14095" width="10.7109375" style="225" customWidth="1"/>
    <col min="14096" max="14336" width="11.42578125" style="225"/>
    <col min="14337" max="14337" width="1.85546875" style="225" customWidth="1"/>
    <col min="14338" max="14338" width="3" style="225" customWidth="1"/>
    <col min="14339" max="14339" width="17.42578125" style="225" customWidth="1"/>
    <col min="14340" max="14351" width="10.7109375" style="225" customWidth="1"/>
    <col min="14352" max="14592" width="11.42578125" style="225"/>
    <col min="14593" max="14593" width="1.85546875" style="225" customWidth="1"/>
    <col min="14594" max="14594" width="3" style="225" customWidth="1"/>
    <col min="14595" max="14595" width="17.42578125" style="225" customWidth="1"/>
    <col min="14596" max="14607" width="10.7109375" style="225" customWidth="1"/>
    <col min="14608" max="14848" width="11.42578125" style="225"/>
    <col min="14849" max="14849" width="1.85546875" style="225" customWidth="1"/>
    <col min="14850" max="14850" width="3" style="225" customWidth="1"/>
    <col min="14851" max="14851" width="17.42578125" style="225" customWidth="1"/>
    <col min="14852" max="14863" width="10.7109375" style="225" customWidth="1"/>
    <col min="14864" max="15104" width="11.42578125" style="225"/>
    <col min="15105" max="15105" width="1.85546875" style="225" customWidth="1"/>
    <col min="15106" max="15106" width="3" style="225" customWidth="1"/>
    <col min="15107" max="15107" width="17.42578125" style="225" customWidth="1"/>
    <col min="15108" max="15119" width="10.7109375" style="225" customWidth="1"/>
    <col min="15120" max="15360" width="11.42578125" style="225"/>
    <col min="15361" max="15361" width="1.85546875" style="225" customWidth="1"/>
    <col min="15362" max="15362" width="3" style="225" customWidth="1"/>
    <col min="15363" max="15363" width="17.42578125" style="225" customWidth="1"/>
    <col min="15364" max="15375" width="10.7109375" style="225" customWidth="1"/>
    <col min="15376" max="15616" width="11.42578125" style="225"/>
    <col min="15617" max="15617" width="1.85546875" style="225" customWidth="1"/>
    <col min="15618" max="15618" width="3" style="225" customWidth="1"/>
    <col min="15619" max="15619" width="17.42578125" style="225" customWidth="1"/>
    <col min="15620" max="15631" width="10.7109375" style="225" customWidth="1"/>
    <col min="15632" max="15872" width="11.42578125" style="225"/>
    <col min="15873" max="15873" width="1.85546875" style="225" customWidth="1"/>
    <col min="15874" max="15874" width="3" style="225" customWidth="1"/>
    <col min="15875" max="15875" width="17.42578125" style="225" customWidth="1"/>
    <col min="15876" max="15887" width="10.7109375" style="225" customWidth="1"/>
    <col min="15888" max="16128" width="11.42578125" style="225"/>
    <col min="16129" max="16129" width="1.85546875" style="225" customWidth="1"/>
    <col min="16130" max="16130" width="3" style="225" customWidth="1"/>
    <col min="16131" max="16131" width="17.42578125" style="225" customWidth="1"/>
    <col min="16132" max="16143" width="10.7109375" style="225" customWidth="1"/>
    <col min="16144" max="16384" width="11.42578125" style="225"/>
  </cols>
  <sheetData>
    <row r="1" spans="1:25" ht="15" x14ac:dyDescent="0.25">
      <c r="B1" s="226" t="s">
        <v>40</v>
      </c>
      <c r="C1" s="1023" t="s">
        <v>41</v>
      </c>
      <c r="D1" s="1023"/>
      <c r="E1" s="227">
        <v>12183148</v>
      </c>
      <c r="F1" s="228">
        <f>+J1-N1</f>
        <v>1</v>
      </c>
      <c r="G1" s="1024" t="s">
        <v>42</v>
      </c>
      <c r="H1" s="1024"/>
      <c r="I1" s="931">
        <f>+P82</f>
        <v>10611753.4</v>
      </c>
      <c r="J1" s="229">
        <f>+I1/E1</f>
        <v>0.87101900100039831</v>
      </c>
      <c r="K1" s="1023" t="s">
        <v>43</v>
      </c>
      <c r="L1" s="1023"/>
      <c r="M1" s="399">
        <f>+IF(I1=0,0,+I1-E1)</f>
        <v>-1571394.5999999996</v>
      </c>
      <c r="N1" s="229">
        <f>+M1/E1</f>
        <v>-0.12898099899960172</v>
      </c>
      <c r="O1" s="285"/>
      <c r="P1" s="513"/>
      <c r="Q1" s="231"/>
      <c r="R1" s="231"/>
      <c r="S1" s="1025" t="s">
        <v>463</v>
      </c>
      <c r="T1" s="1025"/>
      <c r="X1" s="232"/>
    </row>
    <row r="2" spans="1:25" s="238" customFormat="1" ht="15" x14ac:dyDescent="0.25">
      <c r="A2" s="233"/>
      <c r="B2" s="234" t="s">
        <v>473</v>
      </c>
      <c r="C2" s="235" t="s">
        <v>47</v>
      </c>
      <c r="D2" s="235" t="s">
        <v>48</v>
      </c>
      <c r="E2" s="235" t="s">
        <v>49</v>
      </c>
      <c r="F2" s="235" t="s">
        <v>50</v>
      </c>
      <c r="G2" s="235" t="s">
        <v>51</v>
      </c>
      <c r="H2" s="235" t="s">
        <v>52</v>
      </c>
      <c r="I2" s="235" t="s">
        <v>53</v>
      </c>
      <c r="J2" s="235" t="s">
        <v>54</v>
      </c>
      <c r="K2" s="235" t="s">
        <v>55</v>
      </c>
      <c r="L2" s="235" t="s">
        <v>44</v>
      </c>
      <c r="M2" s="235" t="s">
        <v>45</v>
      </c>
      <c r="N2" s="235" t="s">
        <v>46</v>
      </c>
      <c r="O2" s="685"/>
      <c r="P2" s="235" t="s">
        <v>25</v>
      </c>
      <c r="Q2" s="237" t="s">
        <v>29</v>
      </c>
      <c r="R2" s="237"/>
      <c r="S2" s="544" t="s">
        <v>464</v>
      </c>
      <c r="T2" s="544" t="s">
        <v>462</v>
      </c>
    </row>
    <row r="3" spans="1:25" x14ac:dyDescent="0.25">
      <c r="A3" s="440">
        <f>+S3</f>
        <v>12</v>
      </c>
      <c r="B3" s="239" t="s">
        <v>56</v>
      </c>
      <c r="C3" s="728">
        <v>17000</v>
      </c>
      <c r="D3" s="564">
        <v>17000</v>
      </c>
      <c r="E3" s="564">
        <v>17000</v>
      </c>
      <c r="F3" s="564">
        <v>17000</v>
      </c>
      <c r="G3" s="564">
        <v>18000</v>
      </c>
      <c r="H3" s="564">
        <v>17000</v>
      </c>
      <c r="I3" s="564">
        <v>18000</v>
      </c>
      <c r="J3" s="564">
        <v>18000</v>
      </c>
      <c r="K3" s="564">
        <v>17500</v>
      </c>
      <c r="L3" s="564">
        <v>16500</v>
      </c>
      <c r="M3" s="564">
        <v>17500</v>
      </c>
      <c r="N3" s="565">
        <v>17000</v>
      </c>
      <c r="O3" s="684"/>
      <c r="P3" s="240">
        <f>SUM(C3:N3)</f>
        <v>207500</v>
      </c>
      <c r="Q3" s="241"/>
      <c r="R3" s="241">
        <v>500</v>
      </c>
      <c r="S3" s="545">
        <f t="shared" ref="S3:S12" si="0">+COUNTA(C3:N3)</f>
        <v>12</v>
      </c>
      <c r="T3" s="571" t="str">
        <f>+IF(S3=12,"Ok",+S3/120)</f>
        <v>Ok</v>
      </c>
      <c r="U3" s="439"/>
    </row>
    <row r="4" spans="1:25" x14ac:dyDescent="0.25">
      <c r="A4" s="440">
        <f t="shared" ref="A4:A12" si="1">+S4</f>
        <v>0</v>
      </c>
      <c r="B4" s="242" t="s">
        <v>474</v>
      </c>
      <c r="C4" s="558">
        <f>48500+43000+43000+42500+42500</f>
        <v>219500</v>
      </c>
      <c r="D4" s="736"/>
      <c r="E4" s="736"/>
      <c r="F4" s="737"/>
      <c r="G4" s="736"/>
      <c r="H4" s="736"/>
      <c r="I4" s="736"/>
      <c r="J4" s="737"/>
      <c r="K4" s="737"/>
      <c r="L4" s="737"/>
      <c r="M4" s="737"/>
      <c r="N4" s="930"/>
      <c r="O4" s="684"/>
      <c r="P4" s="243">
        <f t="shared" ref="P4:P12" si="2">SUM(C4:N4)</f>
        <v>219500</v>
      </c>
      <c r="Q4" s="241"/>
      <c r="R4" s="241">
        <v>500</v>
      </c>
      <c r="S4" s="545">
        <f>+COUNTA(C4:N4)-1</f>
        <v>0</v>
      </c>
      <c r="T4" s="571">
        <f t="shared" ref="T4:T12" si="3">+IF(S4=12,"Ok",+S4/120)</f>
        <v>0</v>
      </c>
      <c r="U4" s="439"/>
      <c r="X4" s="230"/>
    </row>
    <row r="5" spans="1:25" x14ac:dyDescent="0.25">
      <c r="A5" s="440">
        <f t="shared" si="1"/>
        <v>0</v>
      </c>
      <c r="B5" s="242" t="s">
        <v>475</v>
      </c>
      <c r="C5" s="559"/>
      <c r="D5" s="737"/>
      <c r="E5" s="737"/>
      <c r="F5" s="737"/>
      <c r="G5" s="737"/>
      <c r="H5" s="737"/>
      <c r="I5" s="737"/>
      <c r="J5" s="737"/>
      <c r="K5" s="737"/>
      <c r="L5" s="737"/>
      <c r="M5" s="737"/>
      <c r="N5" s="930"/>
      <c r="O5" s="684"/>
      <c r="P5" s="243">
        <f t="shared" si="2"/>
        <v>0</v>
      </c>
      <c r="Q5" s="241"/>
      <c r="R5" s="241">
        <v>500</v>
      </c>
      <c r="S5" s="545">
        <f t="shared" si="0"/>
        <v>0</v>
      </c>
      <c r="T5" s="571">
        <f t="shared" si="3"/>
        <v>0</v>
      </c>
      <c r="U5" s="439"/>
    </row>
    <row r="6" spans="1:25" x14ac:dyDescent="0.25">
      <c r="A6" s="440">
        <f t="shared" si="1"/>
        <v>12</v>
      </c>
      <c r="B6" s="242" t="s">
        <v>476</v>
      </c>
      <c r="C6" s="559">
        <v>43500</v>
      </c>
      <c r="D6" s="562">
        <v>48000</v>
      </c>
      <c r="E6" s="562">
        <v>44000</v>
      </c>
      <c r="F6" s="562">
        <v>42500</v>
      </c>
      <c r="G6" s="562">
        <v>41500</v>
      </c>
      <c r="H6" s="562">
        <v>43500</v>
      </c>
      <c r="I6" s="562">
        <v>77682</v>
      </c>
      <c r="J6" s="562">
        <v>60200</v>
      </c>
      <c r="K6" s="562">
        <v>59500</v>
      </c>
      <c r="L6" s="562">
        <v>60900</v>
      </c>
      <c r="M6" s="562">
        <v>57400</v>
      </c>
      <c r="N6" s="567">
        <v>57400</v>
      </c>
      <c r="O6" s="684"/>
      <c r="P6" s="243">
        <f t="shared" si="2"/>
        <v>636082</v>
      </c>
      <c r="Q6" s="241"/>
      <c r="R6" s="241">
        <v>700</v>
      </c>
      <c r="S6" s="545">
        <f t="shared" si="0"/>
        <v>12</v>
      </c>
      <c r="T6" s="571" t="str">
        <f t="shared" si="3"/>
        <v>Ok</v>
      </c>
      <c r="U6" s="439"/>
    </row>
    <row r="7" spans="1:25" x14ac:dyDescent="0.25">
      <c r="A7" s="440">
        <f t="shared" si="1"/>
        <v>12</v>
      </c>
      <c r="B7" s="242" t="s">
        <v>477</v>
      </c>
      <c r="C7" s="729">
        <v>87500</v>
      </c>
      <c r="D7" s="562">
        <v>87000</v>
      </c>
      <c r="E7" s="562">
        <v>84000</v>
      </c>
      <c r="F7" s="562">
        <v>80500</v>
      </c>
      <c r="G7" s="562">
        <v>82500</v>
      </c>
      <c r="H7" s="562">
        <v>82500</v>
      </c>
      <c r="I7" s="562">
        <v>126000</v>
      </c>
      <c r="J7" s="562">
        <v>125300</v>
      </c>
      <c r="K7" s="562">
        <v>121800</v>
      </c>
      <c r="L7" s="562">
        <v>119000</v>
      </c>
      <c r="M7" s="562">
        <v>119000</v>
      </c>
      <c r="N7" s="567">
        <v>123900</v>
      </c>
      <c r="O7" s="684"/>
      <c r="P7" s="243">
        <f t="shared" si="2"/>
        <v>1239000</v>
      </c>
      <c r="Q7" s="241"/>
      <c r="R7" s="241">
        <v>700</v>
      </c>
      <c r="S7" s="545">
        <f t="shared" si="0"/>
        <v>12</v>
      </c>
      <c r="T7" s="571" t="str">
        <f t="shared" si="3"/>
        <v>Ok</v>
      </c>
      <c r="U7" s="439"/>
    </row>
    <row r="8" spans="1:25" x14ac:dyDescent="0.25">
      <c r="A8" s="440">
        <f t="shared" si="1"/>
        <v>12</v>
      </c>
      <c r="B8" s="242" t="s">
        <v>478</v>
      </c>
      <c r="C8" s="559">
        <v>78000</v>
      </c>
      <c r="D8" s="562">
        <v>78500</v>
      </c>
      <c r="E8" s="562">
        <v>77500</v>
      </c>
      <c r="F8" s="562">
        <v>76000</v>
      </c>
      <c r="G8" s="562">
        <v>73500</v>
      </c>
      <c r="H8" s="562">
        <f>72853+153400</f>
        <v>226253</v>
      </c>
      <c r="I8" s="562">
        <f>29000+153400+24000</f>
        <v>206400</v>
      </c>
      <c r="J8" s="562">
        <v>75070</v>
      </c>
      <c r="K8" s="562">
        <v>74570</v>
      </c>
      <c r="L8" s="562">
        <v>80694</v>
      </c>
      <c r="M8" s="562">
        <v>73070</v>
      </c>
      <c r="N8" s="567">
        <v>72070</v>
      </c>
      <c r="O8" s="684"/>
      <c r="P8" s="243">
        <f t="shared" si="2"/>
        <v>1191627</v>
      </c>
      <c r="Q8" s="241"/>
      <c r="R8" s="241">
        <v>700</v>
      </c>
      <c r="S8" s="545">
        <f t="shared" si="0"/>
        <v>12</v>
      </c>
      <c r="T8" s="571" t="str">
        <f t="shared" si="3"/>
        <v>Ok</v>
      </c>
      <c r="U8" s="439"/>
    </row>
    <row r="9" spans="1:25" x14ac:dyDescent="0.25">
      <c r="A9" s="440">
        <f t="shared" si="1"/>
        <v>12</v>
      </c>
      <c r="B9" s="242" t="s">
        <v>479</v>
      </c>
      <c r="C9" s="559">
        <v>33500</v>
      </c>
      <c r="D9" s="562">
        <v>33000</v>
      </c>
      <c r="E9" s="562">
        <v>33000</v>
      </c>
      <c r="F9" s="562">
        <v>34000</v>
      </c>
      <c r="G9" s="562">
        <v>33500</v>
      </c>
      <c r="H9" s="562">
        <v>33000</v>
      </c>
      <c r="I9" s="562">
        <v>47600</v>
      </c>
      <c r="J9" s="562">
        <v>46900</v>
      </c>
      <c r="K9" s="562">
        <v>46200</v>
      </c>
      <c r="L9" s="562">
        <v>46900</v>
      </c>
      <c r="M9" s="562">
        <v>47600</v>
      </c>
      <c r="N9" s="567">
        <v>44800</v>
      </c>
      <c r="O9" s="684"/>
      <c r="P9" s="243">
        <f t="shared" si="2"/>
        <v>480000</v>
      </c>
      <c r="Q9" s="241"/>
      <c r="R9" s="241">
        <v>700</v>
      </c>
      <c r="S9" s="545">
        <f t="shared" si="0"/>
        <v>12</v>
      </c>
      <c r="T9" s="571" t="str">
        <f t="shared" si="3"/>
        <v>Ok</v>
      </c>
      <c r="U9" s="439"/>
    </row>
    <row r="10" spans="1:25" x14ac:dyDescent="0.25">
      <c r="A10" s="440">
        <f t="shared" si="1"/>
        <v>11</v>
      </c>
      <c r="B10" s="242" t="s">
        <v>480</v>
      </c>
      <c r="C10" s="558">
        <v>0</v>
      </c>
      <c r="D10" s="562">
        <f>113000+107000+108500</f>
        <v>328500</v>
      </c>
      <c r="E10" s="566">
        <v>0</v>
      </c>
      <c r="F10" s="562">
        <f>109000+109000</f>
        <v>218000</v>
      </c>
      <c r="G10" s="562">
        <v>152600</v>
      </c>
      <c r="H10" s="562">
        <v>151200</v>
      </c>
      <c r="I10" s="733">
        <f>99200+153300</f>
        <v>252500</v>
      </c>
      <c r="J10" s="562">
        <v>151900</v>
      </c>
      <c r="K10" s="562">
        <v>152600</v>
      </c>
      <c r="L10" s="562">
        <v>149100</v>
      </c>
      <c r="M10" s="562"/>
      <c r="N10" s="567">
        <v>147700</v>
      </c>
      <c r="O10" s="684"/>
      <c r="P10" s="243">
        <f t="shared" si="2"/>
        <v>1704100</v>
      </c>
      <c r="Q10" s="241"/>
      <c r="R10" s="241">
        <v>700</v>
      </c>
      <c r="S10" s="545">
        <f t="shared" si="0"/>
        <v>11</v>
      </c>
      <c r="T10" s="571">
        <f t="shared" si="3"/>
        <v>9.166666666666666E-2</v>
      </c>
      <c r="U10" s="439"/>
      <c r="X10" s="230"/>
    </row>
    <row r="11" spans="1:25" x14ac:dyDescent="0.25">
      <c r="A11" s="440">
        <f t="shared" si="1"/>
        <v>12</v>
      </c>
      <c r="B11" s="242" t="s">
        <v>481</v>
      </c>
      <c r="C11" s="559">
        <v>73500</v>
      </c>
      <c r="D11" s="562">
        <v>101500</v>
      </c>
      <c r="E11" s="562">
        <v>102200</v>
      </c>
      <c r="F11" s="562">
        <v>105000</v>
      </c>
      <c r="G11" s="562">
        <v>106400</v>
      </c>
      <c r="H11" s="562">
        <v>105700</v>
      </c>
      <c r="I11" s="562">
        <f>107800+29400</f>
        <v>137200</v>
      </c>
      <c r="J11" s="562">
        <v>105700</v>
      </c>
      <c r="K11" s="562">
        <v>105700</v>
      </c>
      <c r="L11" s="566">
        <v>104300</v>
      </c>
      <c r="M11" s="562">
        <v>105700</v>
      </c>
      <c r="N11" s="567">
        <v>104300</v>
      </c>
      <c r="O11" s="684"/>
      <c r="P11" s="243">
        <f t="shared" si="2"/>
        <v>1257200</v>
      </c>
      <c r="Q11" s="241"/>
      <c r="R11" s="241">
        <v>700</v>
      </c>
      <c r="S11" s="545">
        <f t="shared" si="0"/>
        <v>12</v>
      </c>
      <c r="T11" s="571" t="str">
        <f t="shared" si="3"/>
        <v>Ok</v>
      </c>
      <c r="U11" s="439"/>
    </row>
    <row r="12" spans="1:25" x14ac:dyDescent="0.25">
      <c r="A12" s="440">
        <f t="shared" si="1"/>
        <v>12</v>
      </c>
      <c r="B12" s="244" t="s">
        <v>482</v>
      </c>
      <c r="C12" s="560">
        <v>47500</v>
      </c>
      <c r="D12" s="563">
        <v>67900</v>
      </c>
      <c r="E12" s="563">
        <v>67900</v>
      </c>
      <c r="F12" s="563">
        <v>70340</v>
      </c>
      <c r="G12" s="563">
        <v>71400</v>
      </c>
      <c r="H12" s="563">
        <v>74200</v>
      </c>
      <c r="I12" s="732">
        <v>74200</v>
      </c>
      <c r="J12" s="563">
        <v>72100</v>
      </c>
      <c r="K12" s="563">
        <v>71400</v>
      </c>
      <c r="L12" s="563">
        <v>74200</v>
      </c>
      <c r="M12" s="563">
        <v>70700</v>
      </c>
      <c r="N12" s="568">
        <v>67200</v>
      </c>
      <c r="O12" s="684"/>
      <c r="P12" s="245">
        <f t="shared" si="2"/>
        <v>829040</v>
      </c>
      <c r="Q12" s="241"/>
      <c r="R12" s="241">
        <v>700</v>
      </c>
      <c r="S12" s="545">
        <f t="shared" si="0"/>
        <v>12</v>
      </c>
      <c r="T12" s="571" t="str">
        <f t="shared" si="3"/>
        <v>Ok</v>
      </c>
      <c r="U12" s="439"/>
    </row>
    <row r="13" spans="1:25" collapsed="1" x14ac:dyDescent="0.25">
      <c r="B13" s="256" t="s">
        <v>58</v>
      </c>
      <c r="C13" s="251">
        <f t="shared" ref="C13:N13" si="4">SUM(C3:C12)</f>
        <v>600000</v>
      </c>
      <c r="D13" s="251">
        <f t="shared" si="4"/>
        <v>761400</v>
      </c>
      <c r="E13" s="251">
        <f t="shared" si="4"/>
        <v>425600</v>
      </c>
      <c r="F13" s="251">
        <f t="shared" si="4"/>
        <v>643340</v>
      </c>
      <c r="G13" s="251">
        <f t="shared" si="4"/>
        <v>579400</v>
      </c>
      <c r="H13" s="251">
        <f t="shared" si="4"/>
        <v>733353</v>
      </c>
      <c r="I13" s="251">
        <f t="shared" si="4"/>
        <v>939582</v>
      </c>
      <c r="J13" s="251">
        <f t="shared" si="4"/>
        <v>655170</v>
      </c>
      <c r="K13" s="251">
        <f t="shared" si="4"/>
        <v>649270</v>
      </c>
      <c r="L13" s="251">
        <f t="shared" si="4"/>
        <v>651594</v>
      </c>
      <c r="M13" s="251">
        <f t="shared" si="4"/>
        <v>490970</v>
      </c>
      <c r="N13" s="252">
        <f t="shared" si="4"/>
        <v>634370</v>
      </c>
      <c r="Q13" s="241">
        <f>SUM(C13:N13)</f>
        <v>7764049</v>
      </c>
      <c r="R13" s="241"/>
      <c r="S13" s="546">
        <f>SUM(S3:S12)</f>
        <v>95</v>
      </c>
      <c r="T13" s="571">
        <f>SUM(T3:T12)</f>
        <v>9.166666666666666E-2</v>
      </c>
      <c r="U13" s="440"/>
      <c r="X13" s="547"/>
      <c r="Y13" s="440"/>
    </row>
    <row r="14" spans="1:25" x14ac:dyDescent="0.25">
      <c r="B14" s="239" t="s">
        <v>56</v>
      </c>
      <c r="C14" s="564">
        <v>0</v>
      </c>
      <c r="D14" s="564">
        <v>0</v>
      </c>
      <c r="E14" s="564">
        <v>0</v>
      </c>
      <c r="F14" s="564">
        <v>0</v>
      </c>
      <c r="G14" s="564">
        <v>0</v>
      </c>
      <c r="H14" s="564">
        <v>0</v>
      </c>
      <c r="I14" s="564">
        <v>30000</v>
      </c>
      <c r="J14" s="564">
        <v>0</v>
      </c>
      <c r="K14" s="564">
        <v>0</v>
      </c>
      <c r="L14" s="564">
        <v>0</v>
      </c>
      <c r="M14" s="564">
        <v>0</v>
      </c>
      <c r="N14" s="565">
        <v>0</v>
      </c>
      <c r="O14" s="247"/>
      <c r="P14" s="240">
        <f>SUM(C14:N14)</f>
        <v>30000</v>
      </c>
      <c r="Q14" s="248"/>
      <c r="R14" s="248"/>
    </row>
    <row r="15" spans="1:25" x14ac:dyDescent="0.25">
      <c r="B15" s="242" t="s">
        <v>474</v>
      </c>
      <c r="C15" s="562">
        <v>30000</v>
      </c>
      <c r="D15" s="562">
        <v>0</v>
      </c>
      <c r="E15" s="562">
        <v>0</v>
      </c>
      <c r="F15" s="562">
        <v>0</v>
      </c>
      <c r="G15" s="562">
        <v>0</v>
      </c>
      <c r="H15" s="562">
        <v>0</v>
      </c>
      <c r="I15" s="562">
        <v>0</v>
      </c>
      <c r="J15" s="562">
        <v>0</v>
      </c>
      <c r="K15" s="562">
        <v>0</v>
      </c>
      <c r="L15" s="562">
        <v>0</v>
      </c>
      <c r="M15" s="562">
        <v>0</v>
      </c>
      <c r="N15" s="567">
        <v>0</v>
      </c>
      <c r="O15" s="247"/>
      <c r="P15" s="243">
        <f t="shared" ref="P15:P25" si="5">SUM(C15:N15)</f>
        <v>30000</v>
      </c>
      <c r="Q15" s="248"/>
      <c r="R15" s="248"/>
    </row>
    <row r="16" spans="1:25" x14ac:dyDescent="0.25">
      <c r="B16" s="242" t="s">
        <v>475</v>
      </c>
      <c r="C16" s="562">
        <v>0</v>
      </c>
      <c r="D16" s="562">
        <v>0</v>
      </c>
      <c r="E16" s="562">
        <v>0</v>
      </c>
      <c r="F16" s="562">
        <v>0</v>
      </c>
      <c r="G16" s="562">
        <v>0</v>
      </c>
      <c r="H16" s="562">
        <v>0</v>
      </c>
      <c r="I16" s="562">
        <v>0</v>
      </c>
      <c r="J16" s="562">
        <v>0</v>
      </c>
      <c r="K16" s="562">
        <v>0</v>
      </c>
      <c r="L16" s="562">
        <v>0</v>
      </c>
      <c r="M16" s="562">
        <v>0</v>
      </c>
      <c r="N16" s="567">
        <v>0</v>
      </c>
      <c r="O16" s="247"/>
      <c r="P16" s="243">
        <f t="shared" si="5"/>
        <v>0</v>
      </c>
      <c r="Q16" s="248"/>
      <c r="R16" s="248"/>
    </row>
    <row r="17" spans="1:18" x14ac:dyDescent="0.25">
      <c r="B17" s="242" t="s">
        <v>476</v>
      </c>
      <c r="C17" s="562">
        <v>30000</v>
      </c>
      <c r="D17" s="562">
        <v>0</v>
      </c>
      <c r="E17" s="562">
        <v>0</v>
      </c>
      <c r="F17" s="562">
        <v>0</v>
      </c>
      <c r="G17" s="562">
        <v>0</v>
      </c>
      <c r="H17" s="562">
        <v>0</v>
      </c>
      <c r="I17" s="562">
        <v>30000</v>
      </c>
      <c r="J17" s="562">
        <v>0</v>
      </c>
      <c r="K17" s="562">
        <v>0</v>
      </c>
      <c r="L17" s="562">
        <v>0</v>
      </c>
      <c r="M17" s="562">
        <v>0</v>
      </c>
      <c r="N17" s="567">
        <v>45000</v>
      </c>
      <c r="O17" s="247"/>
      <c r="P17" s="243">
        <f t="shared" si="5"/>
        <v>105000</v>
      </c>
      <c r="Q17" s="248"/>
      <c r="R17" s="248"/>
    </row>
    <row r="18" spans="1:18" x14ac:dyDescent="0.25">
      <c r="B18" s="242" t="s">
        <v>477</v>
      </c>
      <c r="C18" s="562">
        <v>0</v>
      </c>
      <c r="D18" s="562">
        <v>0</v>
      </c>
      <c r="E18" s="562">
        <v>0</v>
      </c>
      <c r="F18" s="562">
        <v>0</v>
      </c>
      <c r="G18" s="562">
        <v>0</v>
      </c>
      <c r="H18" s="562">
        <v>0</v>
      </c>
      <c r="I18" s="562">
        <v>45000</v>
      </c>
      <c r="J18" s="562">
        <v>0</v>
      </c>
      <c r="K18" s="562">
        <v>0</v>
      </c>
      <c r="L18" s="562">
        <v>0</v>
      </c>
      <c r="M18" s="562">
        <v>0</v>
      </c>
      <c r="N18" s="567">
        <v>30000</v>
      </c>
      <c r="O18" s="247"/>
      <c r="P18" s="243">
        <f t="shared" si="5"/>
        <v>75000</v>
      </c>
      <c r="Q18" s="248"/>
      <c r="R18" s="248"/>
    </row>
    <row r="19" spans="1:18" x14ac:dyDescent="0.25">
      <c r="B19" s="242" t="s">
        <v>478</v>
      </c>
      <c r="C19" s="562">
        <v>45000</v>
      </c>
      <c r="D19" s="562">
        <v>0</v>
      </c>
      <c r="E19" s="562">
        <v>0</v>
      </c>
      <c r="F19" s="562">
        <v>0</v>
      </c>
      <c r="G19" s="562">
        <v>0</v>
      </c>
      <c r="H19" s="562">
        <v>0</v>
      </c>
      <c r="I19" s="562">
        <v>45000</v>
      </c>
      <c r="J19" s="562">
        <v>0</v>
      </c>
      <c r="K19" s="562">
        <v>0</v>
      </c>
      <c r="L19" s="562">
        <v>0</v>
      </c>
      <c r="M19" s="562">
        <v>0</v>
      </c>
      <c r="N19" s="567">
        <v>30000</v>
      </c>
      <c r="O19" s="247"/>
      <c r="P19" s="243">
        <f t="shared" si="5"/>
        <v>120000</v>
      </c>
      <c r="Q19" s="248"/>
      <c r="R19" s="248"/>
    </row>
    <row r="20" spans="1:18" x14ac:dyDescent="0.25">
      <c r="B20" s="242" t="s">
        <v>479</v>
      </c>
      <c r="C20" s="562">
        <v>30000</v>
      </c>
      <c r="D20" s="562">
        <v>0</v>
      </c>
      <c r="E20" s="562">
        <v>0</v>
      </c>
      <c r="F20" s="562">
        <v>0</v>
      </c>
      <c r="G20" s="562">
        <v>0</v>
      </c>
      <c r="H20" s="562">
        <v>0</v>
      </c>
      <c r="I20" s="562">
        <v>30000</v>
      </c>
      <c r="J20" s="562">
        <v>0</v>
      </c>
      <c r="K20" s="562">
        <v>0</v>
      </c>
      <c r="L20" s="562">
        <v>0</v>
      </c>
      <c r="M20" s="562">
        <v>0</v>
      </c>
      <c r="N20" s="567">
        <v>30000</v>
      </c>
      <c r="O20" s="247"/>
      <c r="P20" s="243">
        <f t="shared" si="5"/>
        <v>90000</v>
      </c>
      <c r="Q20" s="248"/>
      <c r="R20" s="248"/>
    </row>
    <row r="21" spans="1:18" x14ac:dyDescent="0.25">
      <c r="B21" s="242" t="s">
        <v>480</v>
      </c>
      <c r="C21" s="562">
        <v>45000</v>
      </c>
      <c r="D21" s="562">
        <v>0</v>
      </c>
      <c r="E21" s="562">
        <v>0</v>
      </c>
      <c r="F21" s="562">
        <v>0</v>
      </c>
      <c r="G21" s="562">
        <v>0</v>
      </c>
      <c r="H21" s="562">
        <v>0</v>
      </c>
      <c r="I21" s="562">
        <v>45000</v>
      </c>
      <c r="J21" s="562">
        <v>0</v>
      </c>
      <c r="K21" s="562">
        <v>0</v>
      </c>
      <c r="L21" s="562">
        <v>0</v>
      </c>
      <c r="M21" s="562">
        <v>0</v>
      </c>
      <c r="N21" s="567">
        <v>45000</v>
      </c>
      <c r="O21" s="247"/>
      <c r="P21" s="243">
        <f t="shared" si="5"/>
        <v>135000</v>
      </c>
      <c r="Q21" s="248"/>
      <c r="R21" s="248"/>
    </row>
    <row r="22" spans="1:18" x14ac:dyDescent="0.25">
      <c r="B22" s="242" t="s">
        <v>481</v>
      </c>
      <c r="C22" s="562">
        <v>45000</v>
      </c>
      <c r="D22" s="562">
        <v>0</v>
      </c>
      <c r="E22" s="562">
        <v>0</v>
      </c>
      <c r="F22" s="562">
        <v>0</v>
      </c>
      <c r="G22" s="562">
        <v>0</v>
      </c>
      <c r="H22" s="562">
        <v>0</v>
      </c>
      <c r="I22" s="562">
        <v>45000</v>
      </c>
      <c r="J22" s="562">
        <v>0</v>
      </c>
      <c r="K22" s="562">
        <v>0</v>
      </c>
      <c r="L22" s="562">
        <v>0</v>
      </c>
      <c r="M22" s="562">
        <v>0</v>
      </c>
      <c r="N22" s="567">
        <v>45000</v>
      </c>
      <c r="O22" s="247"/>
      <c r="P22" s="243">
        <f t="shared" si="5"/>
        <v>135000</v>
      </c>
      <c r="Q22" s="248"/>
      <c r="R22" s="248"/>
    </row>
    <row r="23" spans="1:18" x14ac:dyDescent="0.25">
      <c r="B23" s="242" t="s">
        <v>482</v>
      </c>
      <c r="C23" s="562">
        <v>30000</v>
      </c>
      <c r="D23" s="562">
        <v>0</v>
      </c>
      <c r="E23" s="562">
        <v>0</v>
      </c>
      <c r="F23" s="562">
        <v>0</v>
      </c>
      <c r="G23" s="562">
        <v>0</v>
      </c>
      <c r="H23" s="562">
        <v>0</v>
      </c>
      <c r="I23" s="562">
        <v>45000</v>
      </c>
      <c r="J23" s="562">
        <v>0</v>
      </c>
      <c r="K23" s="562">
        <v>0</v>
      </c>
      <c r="L23" s="562">
        <v>0</v>
      </c>
      <c r="M23" s="562">
        <v>0</v>
      </c>
      <c r="N23" s="567">
        <v>45000</v>
      </c>
      <c r="O23" s="247"/>
      <c r="P23" s="243">
        <f t="shared" si="5"/>
        <v>120000</v>
      </c>
      <c r="Q23" s="248"/>
      <c r="R23" s="248"/>
    </row>
    <row r="24" spans="1:18" x14ac:dyDescent="0.25">
      <c r="B24" s="242" t="s">
        <v>57</v>
      </c>
      <c r="C24" s="562">
        <v>1000</v>
      </c>
      <c r="D24" s="562">
        <v>0</v>
      </c>
      <c r="E24" s="562">
        <v>0</v>
      </c>
      <c r="F24" s="562">
        <v>0</v>
      </c>
      <c r="G24" s="562">
        <v>0</v>
      </c>
      <c r="H24" s="562">
        <v>0</v>
      </c>
      <c r="I24" s="562">
        <v>0</v>
      </c>
      <c r="J24" s="562">
        <v>0</v>
      </c>
      <c r="K24" s="562">
        <v>0</v>
      </c>
      <c r="L24" s="562">
        <v>0</v>
      </c>
      <c r="M24" s="562">
        <v>0</v>
      </c>
      <c r="N24" s="567">
        <v>1000</v>
      </c>
      <c r="O24" s="247"/>
      <c r="P24" s="243">
        <f t="shared" si="5"/>
        <v>2000</v>
      </c>
      <c r="Q24" s="248"/>
      <c r="R24" s="248"/>
    </row>
    <row r="25" spans="1:18" x14ac:dyDescent="0.25">
      <c r="B25" s="249" t="s">
        <v>59</v>
      </c>
      <c r="C25" s="563">
        <v>0</v>
      </c>
      <c r="D25" s="563">
        <v>0</v>
      </c>
      <c r="E25" s="563">
        <v>0</v>
      </c>
      <c r="F25" s="563">
        <v>0</v>
      </c>
      <c r="G25" s="563">
        <v>0</v>
      </c>
      <c r="H25" s="563">
        <v>0</v>
      </c>
      <c r="I25" s="563">
        <v>0</v>
      </c>
      <c r="J25" s="563">
        <v>0</v>
      </c>
      <c r="K25" s="563">
        <v>0</v>
      </c>
      <c r="L25" s="563">
        <v>0</v>
      </c>
      <c r="M25" s="563">
        <v>0</v>
      </c>
      <c r="N25" s="568">
        <v>0</v>
      </c>
      <c r="O25" s="247"/>
      <c r="P25" s="245">
        <f t="shared" si="5"/>
        <v>0</v>
      </c>
      <c r="Q25" s="248"/>
      <c r="R25" s="248"/>
    </row>
    <row r="26" spans="1:18" collapsed="1" x14ac:dyDescent="0.25">
      <c r="B26" s="246" t="s">
        <v>60</v>
      </c>
      <c r="C26" s="425">
        <f t="shared" ref="C26:N26" si="6">SUM(C14:C25)</f>
        <v>256000</v>
      </c>
      <c r="D26" s="425">
        <f t="shared" si="6"/>
        <v>0</v>
      </c>
      <c r="E26" s="425">
        <f t="shared" si="6"/>
        <v>0</v>
      </c>
      <c r="F26" s="425">
        <f t="shared" si="6"/>
        <v>0</v>
      </c>
      <c r="G26" s="425">
        <f t="shared" si="6"/>
        <v>0</v>
      </c>
      <c r="H26" s="425">
        <f t="shared" si="6"/>
        <v>0</v>
      </c>
      <c r="I26" s="425">
        <f>SUM(I14:I25)</f>
        <v>315000</v>
      </c>
      <c r="J26" s="425">
        <f t="shared" si="6"/>
        <v>0</v>
      </c>
      <c r="K26" s="425">
        <f t="shared" si="6"/>
        <v>0</v>
      </c>
      <c r="L26" s="425">
        <f t="shared" si="6"/>
        <v>0</v>
      </c>
      <c r="M26" s="425">
        <f t="shared" si="6"/>
        <v>0</v>
      </c>
      <c r="N26" s="426">
        <f t="shared" si="6"/>
        <v>271000</v>
      </c>
      <c r="O26" s="253"/>
      <c r="P26" s="254"/>
      <c r="Q26" s="241">
        <f>SUM(C26:N26)</f>
        <v>842000</v>
      </c>
      <c r="R26" s="241"/>
    </row>
    <row r="27" spans="1:18" x14ac:dyDescent="0.25">
      <c r="B27" s="423" t="s">
        <v>387</v>
      </c>
      <c r="C27" s="427">
        <v>500</v>
      </c>
      <c r="D27" s="427">
        <f>500+1521065</f>
        <v>1521565</v>
      </c>
      <c r="E27" s="427">
        <v>500</v>
      </c>
      <c r="F27" s="427">
        <v>0</v>
      </c>
      <c r="G27" s="427">
        <v>500</v>
      </c>
      <c r="H27" s="427">
        <v>500</v>
      </c>
      <c r="I27" s="427">
        <v>0</v>
      </c>
      <c r="J27" s="427">
        <f>6*500+1700+700</f>
        <v>5400</v>
      </c>
      <c r="K27" s="427"/>
      <c r="L27" s="427"/>
      <c r="M27" s="427">
        <f>17*500+2000</f>
        <v>10500</v>
      </c>
      <c r="N27" s="428"/>
      <c r="O27" s="253"/>
      <c r="P27" s="255">
        <f>SUM(C27:N27)</f>
        <v>1539465</v>
      </c>
      <c r="Q27" s="248"/>
      <c r="R27" s="248">
        <v>1521065</v>
      </c>
    </row>
    <row r="28" spans="1:18" x14ac:dyDescent="0.25">
      <c r="B28" s="246" t="s">
        <v>81</v>
      </c>
      <c r="C28" s="425">
        <v>0</v>
      </c>
      <c r="D28" s="425">
        <v>0</v>
      </c>
      <c r="E28" s="425">
        <v>0</v>
      </c>
      <c r="F28" s="425">
        <v>0</v>
      </c>
      <c r="G28" s="425">
        <v>0</v>
      </c>
      <c r="H28" s="425">
        <v>0</v>
      </c>
      <c r="I28" s="425">
        <v>0</v>
      </c>
      <c r="J28" s="425">
        <v>0</v>
      </c>
      <c r="K28" s="425">
        <v>0</v>
      </c>
      <c r="L28" s="425">
        <v>0</v>
      </c>
      <c r="M28" s="425">
        <v>0</v>
      </c>
      <c r="N28" s="426">
        <v>0</v>
      </c>
      <c r="O28" s="253"/>
      <c r="P28" s="255">
        <f>SUM(C28:N28)</f>
        <v>0</v>
      </c>
      <c r="Q28" s="248"/>
      <c r="R28" s="248"/>
    </row>
    <row r="29" spans="1:18" x14ac:dyDescent="0.25">
      <c r="A29" s="225">
        <v>3</v>
      </c>
      <c r="B29" s="239" t="s">
        <v>56</v>
      </c>
      <c r="C29" s="564">
        <v>0</v>
      </c>
      <c r="D29" s="564">
        <v>0</v>
      </c>
      <c r="E29" s="564">
        <v>0</v>
      </c>
      <c r="F29" s="564">
        <v>0</v>
      </c>
      <c r="G29" s="564">
        <v>0</v>
      </c>
      <c r="H29" s="564">
        <v>0</v>
      </c>
      <c r="I29" s="564">
        <v>38000</v>
      </c>
      <c r="J29" s="564">
        <v>0</v>
      </c>
      <c r="K29" s="564">
        <v>0</v>
      </c>
      <c r="L29" s="564">
        <v>0</v>
      </c>
      <c r="M29" s="564">
        <v>0</v>
      </c>
      <c r="N29" s="565">
        <v>0</v>
      </c>
      <c r="O29" s="247"/>
      <c r="P29" s="240">
        <f>SUM(C29:N29)</f>
        <v>38000</v>
      </c>
      <c r="Q29" s="248"/>
      <c r="R29" s="248"/>
    </row>
    <row r="30" spans="1:18" x14ac:dyDescent="0.25">
      <c r="A30" s="225">
        <v>3</v>
      </c>
      <c r="B30" s="242" t="s">
        <v>474</v>
      </c>
      <c r="C30" s="562">
        <v>2000</v>
      </c>
      <c r="D30" s="562">
        <v>0</v>
      </c>
      <c r="E30" s="562">
        <v>0</v>
      </c>
      <c r="F30" s="562">
        <v>0</v>
      </c>
      <c r="G30" s="562">
        <v>0</v>
      </c>
      <c r="H30" s="562">
        <v>0</v>
      </c>
      <c r="I30" s="562">
        <v>0</v>
      </c>
      <c r="J30" s="562">
        <v>0</v>
      </c>
      <c r="K30" s="562">
        <v>0</v>
      </c>
      <c r="L30" s="562">
        <v>0</v>
      </c>
      <c r="M30" s="562">
        <v>0</v>
      </c>
      <c r="N30" s="567">
        <v>0</v>
      </c>
      <c r="O30" s="247"/>
      <c r="P30" s="243">
        <f t="shared" ref="P30:P39" si="7">SUM(C30:N30)</f>
        <v>2000</v>
      </c>
      <c r="Q30" s="248"/>
      <c r="R30" s="248"/>
    </row>
    <row r="31" spans="1:18" x14ac:dyDescent="0.25">
      <c r="A31" s="225">
        <v>3</v>
      </c>
      <c r="B31" s="242" t="s">
        <v>475</v>
      </c>
      <c r="C31" s="562">
        <v>0</v>
      </c>
      <c r="D31" s="562">
        <v>0</v>
      </c>
      <c r="E31" s="562">
        <v>0</v>
      </c>
      <c r="F31" s="562">
        <v>0</v>
      </c>
      <c r="G31" s="562">
        <v>0</v>
      </c>
      <c r="H31" s="562">
        <v>0</v>
      </c>
      <c r="I31" s="562">
        <v>0</v>
      </c>
      <c r="J31" s="562">
        <v>0</v>
      </c>
      <c r="K31" s="562">
        <v>0</v>
      </c>
      <c r="L31" s="562">
        <v>0</v>
      </c>
      <c r="M31" s="562">
        <v>0</v>
      </c>
      <c r="N31" s="567">
        <v>0</v>
      </c>
      <c r="O31" s="247"/>
      <c r="P31" s="243">
        <f t="shared" si="7"/>
        <v>0</v>
      </c>
      <c r="Q31" s="248"/>
      <c r="R31" s="248"/>
    </row>
    <row r="32" spans="1:18" x14ac:dyDescent="0.25">
      <c r="A32" s="225">
        <v>3</v>
      </c>
      <c r="B32" s="242" t="s">
        <v>476</v>
      </c>
      <c r="C32" s="562">
        <v>24000</v>
      </c>
      <c r="D32" s="562">
        <v>0</v>
      </c>
      <c r="E32" s="562">
        <v>0</v>
      </c>
      <c r="F32" s="562">
        <v>0</v>
      </c>
      <c r="G32" s="562">
        <v>0</v>
      </c>
      <c r="H32" s="562">
        <v>0</v>
      </c>
      <c r="I32" s="562">
        <v>0</v>
      </c>
      <c r="J32" s="562">
        <v>0</v>
      </c>
      <c r="K32" s="562">
        <v>0</v>
      </c>
      <c r="L32" s="562">
        <v>0</v>
      </c>
      <c r="M32" s="562">
        <v>0</v>
      </c>
      <c r="N32" s="567">
        <v>42000</v>
      </c>
      <c r="O32" s="247"/>
      <c r="P32" s="243">
        <f t="shared" si="7"/>
        <v>66000</v>
      </c>
      <c r="Q32" s="248"/>
      <c r="R32" s="248"/>
    </row>
    <row r="33" spans="1:34" x14ac:dyDescent="0.25">
      <c r="A33" s="225">
        <v>4</v>
      </c>
      <c r="B33" s="242" t="s">
        <v>477</v>
      </c>
      <c r="C33" s="562">
        <v>0</v>
      </c>
      <c r="D33" s="562">
        <v>0</v>
      </c>
      <c r="E33" s="562">
        <v>0</v>
      </c>
      <c r="F33" s="562">
        <v>0</v>
      </c>
      <c r="G33" s="562">
        <v>0</v>
      </c>
      <c r="H33" s="562">
        <v>0</v>
      </c>
      <c r="I33" s="562">
        <v>0</v>
      </c>
      <c r="J33" s="562">
        <v>0</v>
      </c>
      <c r="K33" s="562">
        <v>0</v>
      </c>
      <c r="L33" s="562">
        <v>0</v>
      </c>
      <c r="M33" s="562">
        <v>0</v>
      </c>
      <c r="N33" s="567">
        <v>18000</v>
      </c>
      <c r="O33" s="247"/>
      <c r="P33" s="243">
        <f t="shared" si="7"/>
        <v>18000</v>
      </c>
      <c r="Q33" s="248"/>
      <c r="R33" s="248"/>
    </row>
    <row r="34" spans="1:34" x14ac:dyDescent="0.25">
      <c r="A34" s="225">
        <v>3</v>
      </c>
      <c r="B34" s="242" t="s">
        <v>478</v>
      </c>
      <c r="C34" s="562">
        <v>0</v>
      </c>
      <c r="D34" s="562">
        <v>0</v>
      </c>
      <c r="E34" s="562">
        <v>0</v>
      </c>
      <c r="F34" s="562">
        <v>0</v>
      </c>
      <c r="G34" s="562">
        <v>0</v>
      </c>
      <c r="H34" s="562">
        <v>18000</v>
      </c>
      <c r="I34" s="562">
        <v>0</v>
      </c>
      <c r="J34" s="562">
        <v>0</v>
      </c>
      <c r="K34" s="562">
        <v>0</v>
      </c>
      <c r="L34" s="562">
        <v>0</v>
      </c>
      <c r="M34" s="562">
        <v>0</v>
      </c>
      <c r="N34" s="567">
        <v>18000</v>
      </c>
      <c r="O34" s="247"/>
      <c r="P34" s="243">
        <f t="shared" si="7"/>
        <v>36000</v>
      </c>
      <c r="Q34" s="248"/>
      <c r="R34" s="248"/>
    </row>
    <row r="35" spans="1:34" x14ac:dyDescent="0.25">
      <c r="A35" s="225">
        <v>3</v>
      </c>
      <c r="B35" s="242" t="s">
        <v>479</v>
      </c>
      <c r="C35" s="562">
        <v>15000</v>
      </c>
      <c r="D35" s="562">
        <v>0</v>
      </c>
      <c r="E35" s="562">
        <v>0</v>
      </c>
      <c r="F35" s="562">
        <v>0</v>
      </c>
      <c r="G35" s="562">
        <v>0</v>
      </c>
      <c r="H35" s="562">
        <v>0</v>
      </c>
      <c r="I35" s="562">
        <v>0</v>
      </c>
      <c r="J35" s="562">
        <v>21000</v>
      </c>
      <c r="K35" s="562">
        <v>0</v>
      </c>
      <c r="L35" s="562">
        <v>0</v>
      </c>
      <c r="M35" s="562">
        <v>0</v>
      </c>
      <c r="N35" s="567">
        <v>12000</v>
      </c>
      <c r="O35" s="247"/>
      <c r="P35" s="243">
        <f t="shared" si="7"/>
        <v>48000</v>
      </c>
      <c r="Q35" s="248"/>
      <c r="R35" s="248"/>
    </row>
    <row r="36" spans="1:34" x14ac:dyDescent="0.25">
      <c r="A36" s="225">
        <v>3</v>
      </c>
      <c r="B36" s="242" t="s">
        <v>480</v>
      </c>
      <c r="C36" s="562">
        <v>12000</v>
      </c>
      <c r="D36" s="562">
        <v>0</v>
      </c>
      <c r="E36" s="562">
        <v>0</v>
      </c>
      <c r="F36" s="562">
        <v>0</v>
      </c>
      <c r="G36" s="562">
        <v>0</v>
      </c>
      <c r="H36" s="562">
        <v>0</v>
      </c>
      <c r="I36" s="562">
        <v>12000</v>
      </c>
      <c r="J36" s="562">
        <v>0</v>
      </c>
      <c r="K36" s="562">
        <v>0</v>
      </c>
      <c r="L36" s="562">
        <v>0</v>
      </c>
      <c r="M36" s="562">
        <v>0</v>
      </c>
      <c r="N36" s="567">
        <v>0</v>
      </c>
      <c r="O36" s="247"/>
      <c r="P36" s="243">
        <f t="shared" si="7"/>
        <v>24000</v>
      </c>
      <c r="Q36" s="248"/>
      <c r="R36" s="248"/>
    </row>
    <row r="37" spans="1:34" x14ac:dyDescent="0.25">
      <c r="A37" s="225">
        <v>3</v>
      </c>
      <c r="B37" s="242" t="s">
        <v>481</v>
      </c>
      <c r="C37" s="562">
        <v>3000</v>
      </c>
      <c r="D37" s="562">
        <v>3000</v>
      </c>
      <c r="E37" s="562">
        <v>3000</v>
      </c>
      <c r="F37" s="562">
        <v>3000</v>
      </c>
      <c r="G37" s="562">
        <v>3000</v>
      </c>
      <c r="H37" s="562">
        <v>3000</v>
      </c>
      <c r="I37" s="562">
        <v>3000</v>
      </c>
      <c r="J37" s="562">
        <v>3000</v>
      </c>
      <c r="K37" s="562">
        <v>3000</v>
      </c>
      <c r="L37" s="562">
        <v>3000</v>
      </c>
      <c r="M37" s="562">
        <v>3000</v>
      </c>
      <c r="N37" s="567">
        <v>3000</v>
      </c>
      <c r="O37" s="247"/>
      <c r="P37" s="243">
        <f t="shared" si="7"/>
        <v>36000</v>
      </c>
      <c r="Q37" s="248"/>
      <c r="R37" s="248"/>
    </row>
    <row r="38" spans="1:34" x14ac:dyDescent="0.25">
      <c r="A38" s="225">
        <v>3</v>
      </c>
      <c r="B38" s="242" t="s">
        <v>482</v>
      </c>
      <c r="C38" s="561">
        <v>3000</v>
      </c>
      <c r="D38" s="562">
        <v>0</v>
      </c>
      <c r="E38" s="562">
        <v>0</v>
      </c>
      <c r="F38" s="562">
        <v>0</v>
      </c>
      <c r="G38" s="562">
        <v>0</v>
      </c>
      <c r="H38" s="562">
        <v>0</v>
      </c>
      <c r="I38" s="562">
        <v>17000</v>
      </c>
      <c r="J38" s="562">
        <v>0</v>
      </c>
      <c r="K38" s="562">
        <v>0</v>
      </c>
      <c r="L38" s="562">
        <v>0</v>
      </c>
      <c r="M38" s="562">
        <v>0</v>
      </c>
      <c r="N38" s="567">
        <v>10000</v>
      </c>
      <c r="O38" s="247"/>
      <c r="P38" s="243">
        <f t="shared" si="7"/>
        <v>30000</v>
      </c>
      <c r="Q38" s="248"/>
      <c r="R38" s="248"/>
    </row>
    <row r="39" spans="1:34" x14ac:dyDescent="0.25">
      <c r="A39" s="225">
        <v>1</v>
      </c>
      <c r="B39" s="244" t="s">
        <v>57</v>
      </c>
      <c r="C39" s="563">
        <v>0</v>
      </c>
      <c r="D39" s="563">
        <v>0</v>
      </c>
      <c r="E39" s="563">
        <v>0</v>
      </c>
      <c r="F39" s="563">
        <v>0</v>
      </c>
      <c r="G39" s="563">
        <v>0</v>
      </c>
      <c r="H39" s="563">
        <v>6000</v>
      </c>
      <c r="I39" s="563">
        <v>0</v>
      </c>
      <c r="J39" s="563">
        <v>0</v>
      </c>
      <c r="K39" s="563">
        <v>0</v>
      </c>
      <c r="L39" s="563">
        <v>0</v>
      </c>
      <c r="M39" s="563">
        <v>0</v>
      </c>
      <c r="N39" s="568">
        <v>6000</v>
      </c>
      <c r="O39" s="247"/>
      <c r="P39" s="245">
        <f t="shared" si="7"/>
        <v>12000</v>
      </c>
      <c r="Q39" s="248"/>
      <c r="R39" s="248"/>
    </row>
    <row r="40" spans="1:34" collapsed="1" x14ac:dyDescent="0.25">
      <c r="A40" s="225">
        <f>SUM(A29:A39)</f>
        <v>32</v>
      </c>
      <c r="B40" s="250" t="s">
        <v>61</v>
      </c>
      <c r="C40" s="257">
        <f t="shared" ref="C40:N40" si="8">SUM(C29:C39)</f>
        <v>59000</v>
      </c>
      <c r="D40" s="257">
        <f t="shared" si="8"/>
        <v>3000</v>
      </c>
      <c r="E40" s="257">
        <f t="shared" si="8"/>
        <v>3000</v>
      </c>
      <c r="F40" s="257">
        <f t="shared" si="8"/>
        <v>3000</v>
      </c>
      <c r="G40" s="257">
        <f t="shared" si="8"/>
        <v>3000</v>
      </c>
      <c r="H40" s="257">
        <f t="shared" si="8"/>
        <v>27000</v>
      </c>
      <c r="I40" s="257">
        <f t="shared" si="8"/>
        <v>70000</v>
      </c>
      <c r="J40" s="257">
        <f t="shared" si="8"/>
        <v>24000</v>
      </c>
      <c r="K40" s="257">
        <f t="shared" si="8"/>
        <v>3000</v>
      </c>
      <c r="L40" s="257">
        <f t="shared" si="8"/>
        <v>3000</v>
      </c>
      <c r="M40" s="257">
        <f t="shared" si="8"/>
        <v>3000</v>
      </c>
      <c r="N40" s="258">
        <f t="shared" si="8"/>
        <v>109000</v>
      </c>
      <c r="P40" s="259"/>
      <c r="Q40" s="241">
        <f>SUM(C40:N40)</f>
        <v>310000</v>
      </c>
      <c r="R40" s="241"/>
      <c r="T40" s="260"/>
      <c r="U40" s="260"/>
      <c r="V40" s="260"/>
      <c r="W40" s="260"/>
      <c r="X40" s="260"/>
      <c r="Y40" s="260"/>
      <c r="Z40" s="260"/>
      <c r="AA40" s="260"/>
      <c r="AB40" s="260"/>
      <c r="AC40" s="260"/>
      <c r="AD40" s="260"/>
      <c r="AE40" s="260"/>
      <c r="AF40" s="260"/>
      <c r="AG40" s="260"/>
      <c r="AH40" s="260"/>
    </row>
    <row r="41" spans="1:34" x14ac:dyDescent="0.25">
      <c r="B41" s="418" t="s">
        <v>39</v>
      </c>
      <c r="C41" s="419">
        <f t="shared" ref="C41:N41" si="9">+C40+C28+C27+C26+C13</f>
        <v>915500</v>
      </c>
      <c r="D41" s="419">
        <f t="shared" si="9"/>
        <v>2285965</v>
      </c>
      <c r="E41" s="419">
        <f t="shared" si="9"/>
        <v>429100</v>
      </c>
      <c r="F41" s="419">
        <f t="shared" si="9"/>
        <v>646340</v>
      </c>
      <c r="G41" s="419">
        <f t="shared" si="9"/>
        <v>582900</v>
      </c>
      <c r="H41" s="419">
        <f t="shared" si="9"/>
        <v>760853</v>
      </c>
      <c r="I41" s="419">
        <f t="shared" si="9"/>
        <v>1324582</v>
      </c>
      <c r="J41" s="419">
        <f t="shared" si="9"/>
        <v>684570</v>
      </c>
      <c r="K41" s="419">
        <f t="shared" si="9"/>
        <v>652270</v>
      </c>
      <c r="L41" s="419">
        <f t="shared" si="9"/>
        <v>654594</v>
      </c>
      <c r="M41" s="419">
        <f t="shared" si="9"/>
        <v>504470</v>
      </c>
      <c r="N41" s="419">
        <f t="shared" si="9"/>
        <v>1014370</v>
      </c>
      <c r="Q41" s="429">
        <f>SUM(C41:N41)</f>
        <v>10455514</v>
      </c>
      <c r="R41" s="248">
        <f>+Q41-R27</f>
        <v>8934449</v>
      </c>
    </row>
    <row r="42" spans="1:34" s="260" customFormat="1" x14ac:dyDescent="0.25">
      <c r="B42" s="261"/>
      <c r="C42" s="236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53"/>
      <c r="P42" s="253"/>
      <c r="Q42" s="262"/>
      <c r="R42" s="262"/>
      <c r="T42" s="225"/>
      <c r="U42" s="225"/>
      <c r="V42" s="225"/>
      <c r="W42" s="225"/>
      <c r="X42" s="225"/>
      <c r="Y42" s="225"/>
      <c r="Z42" s="225"/>
      <c r="AA42" s="225"/>
      <c r="AB42" s="225"/>
      <c r="AC42" s="225"/>
      <c r="AD42" s="225"/>
      <c r="AE42" s="225"/>
      <c r="AF42" s="225"/>
      <c r="AG42" s="225"/>
      <c r="AH42" s="225"/>
    </row>
    <row r="43" spans="1:34" x14ac:dyDescent="0.25">
      <c r="B43" s="263" t="s">
        <v>8</v>
      </c>
      <c r="C43" s="620">
        <f>+DIRECTOR!M4</f>
        <v>262797</v>
      </c>
      <c r="D43" s="620">
        <f>+DIRECTOR!M13</f>
        <v>0</v>
      </c>
      <c r="E43" s="620">
        <f>+DIRECTOR!M22</f>
        <v>353083</v>
      </c>
      <c r="F43" s="620">
        <f>+DIRECTOR!M31</f>
        <v>0</v>
      </c>
      <c r="G43" s="620">
        <f>+DIRECTOR!M40</f>
        <v>262787</v>
      </c>
      <c r="H43" s="620">
        <f>+DIRECTOR!M49</f>
        <v>0</v>
      </c>
      <c r="I43" s="620">
        <f>+DIRECTOR!M58</f>
        <v>352747</v>
      </c>
      <c r="J43" s="620">
        <f>+DIRECTOR!M67</f>
        <v>0</v>
      </c>
      <c r="K43" s="620">
        <f>+DIRECTOR!M76</f>
        <v>215630</v>
      </c>
      <c r="L43" s="620">
        <f>+DIRECTOR!M85</f>
        <v>0</v>
      </c>
      <c r="M43" s="620">
        <f>+DIRECTOR!M94</f>
        <v>84794</v>
      </c>
      <c r="N43" s="621">
        <f>+DIRECTOR!M103</f>
        <v>247995</v>
      </c>
      <c r="O43" s="247"/>
      <c r="P43" s="266">
        <f t="shared" ref="P43:P50" si="10">SUM(C43:N43)*(-1)</f>
        <v>-1779833</v>
      </c>
      <c r="Q43" s="241">
        <f>+P43</f>
        <v>-1779833</v>
      </c>
      <c r="R43" s="241"/>
      <c r="S43" s="267"/>
    </row>
    <row r="44" spans="1:34" x14ac:dyDescent="0.25">
      <c r="B44" s="268" t="s">
        <v>62</v>
      </c>
      <c r="C44" s="269">
        <f>+DIRECTOR!M5</f>
        <v>21000</v>
      </c>
      <c r="D44" s="269">
        <f>+DIRECTOR!M14</f>
        <v>0</v>
      </c>
      <c r="E44" s="269">
        <f>+DIRECTOR!M23</f>
        <v>67570</v>
      </c>
      <c r="F44" s="269">
        <f>+DIRECTOR!M32</f>
        <v>0</v>
      </c>
      <c r="G44" s="269">
        <f>+DIRECTOR!M41</f>
        <v>0</v>
      </c>
      <c r="H44" s="269">
        <f>+DIRECTOR!M50</f>
        <v>0</v>
      </c>
      <c r="I44" s="269">
        <f>+DIRECTOR!M59</f>
        <v>0</v>
      </c>
      <c r="J44" s="269">
        <f>+DIRECTOR!M68</f>
        <v>0</v>
      </c>
      <c r="K44" s="269">
        <f>+DIRECTOR!M77</f>
        <v>97000</v>
      </c>
      <c r="L44" s="269">
        <f>+DIRECTOR!M86</f>
        <v>0</v>
      </c>
      <c r="M44" s="269">
        <f>+DIRECTOR!M95</f>
        <v>10000</v>
      </c>
      <c r="N44" s="270">
        <f>+DIRECTOR!M104</f>
        <v>89470</v>
      </c>
      <c r="O44" s="247"/>
      <c r="P44" s="271">
        <f t="shared" si="10"/>
        <v>-285040</v>
      </c>
      <c r="Q44" s="248"/>
      <c r="R44" s="241"/>
      <c r="S44" s="267"/>
    </row>
    <row r="45" spans="1:34" x14ac:dyDescent="0.25">
      <c r="B45" s="268" t="s">
        <v>63</v>
      </c>
      <c r="C45" s="269">
        <f>+DIRECTOR!M6</f>
        <v>0</v>
      </c>
      <c r="D45" s="269">
        <f>+DIRECTOR!M15</f>
        <v>0</v>
      </c>
      <c r="E45" s="269">
        <f>+DIRECTOR!M24</f>
        <v>11770</v>
      </c>
      <c r="F45" s="269">
        <f>+DIRECTOR!M33</f>
        <v>0</v>
      </c>
      <c r="G45" s="269">
        <f>+DIRECTOR!M42</f>
        <v>13739</v>
      </c>
      <c r="H45" s="269">
        <f>+DIRECTOR!M51</f>
        <v>0</v>
      </c>
      <c r="I45" s="269">
        <f>+DIRECTOR!M60</f>
        <v>0</v>
      </c>
      <c r="J45" s="269">
        <f>+DIRECTOR!M69</f>
        <v>0</v>
      </c>
      <c r="K45" s="269">
        <f>+DIRECTOR!M78</f>
        <v>104110</v>
      </c>
      <c r="L45" s="269">
        <f>+DIRECTOR!M87</f>
        <v>0</v>
      </c>
      <c r="M45" s="269">
        <f>+DIRECTOR!M96</f>
        <v>0</v>
      </c>
      <c r="N45" s="270">
        <f>+DIRECTOR!M105</f>
        <v>13900</v>
      </c>
      <c r="O45" s="247"/>
      <c r="P45" s="271">
        <f t="shared" si="10"/>
        <v>-143519</v>
      </c>
      <c r="Q45" s="248"/>
      <c r="R45" s="241"/>
      <c r="S45" s="267"/>
    </row>
    <row r="46" spans="1:34" x14ac:dyDescent="0.25">
      <c r="B46" s="268" t="s">
        <v>64</v>
      </c>
      <c r="C46" s="269">
        <f>+DIRECTOR!M7</f>
        <v>2000</v>
      </c>
      <c r="D46" s="269">
        <f>+DIRECTOR!M16</f>
        <v>0</v>
      </c>
      <c r="E46" s="269">
        <f>+DIRECTOR!M25</f>
        <v>13000</v>
      </c>
      <c r="F46" s="269">
        <f>+DIRECTOR!M34</f>
        <v>0</v>
      </c>
      <c r="G46" s="269">
        <f>+DIRECTOR!M43</f>
        <v>0</v>
      </c>
      <c r="H46" s="269">
        <f>+DIRECTOR!M52</f>
        <v>0</v>
      </c>
      <c r="I46" s="269">
        <f>+DIRECTOR!M61</f>
        <v>0</v>
      </c>
      <c r="J46" s="269">
        <f>+DIRECTOR!M70</f>
        <v>0</v>
      </c>
      <c r="K46" s="269">
        <f>+DIRECTOR!M79</f>
        <v>3000</v>
      </c>
      <c r="L46" s="269">
        <f>+DIRECTOR!M88</f>
        <v>0</v>
      </c>
      <c r="M46" s="269">
        <f>+DIRECTOR!M97</f>
        <v>0</v>
      </c>
      <c r="N46" s="270">
        <f>+DIRECTOR!M106</f>
        <v>8000</v>
      </c>
      <c r="O46" s="247"/>
      <c r="P46" s="271">
        <f t="shared" si="10"/>
        <v>-26000</v>
      </c>
      <c r="Q46" s="248"/>
      <c r="R46" s="241"/>
      <c r="S46" s="267"/>
    </row>
    <row r="47" spans="1:34" x14ac:dyDescent="0.25">
      <c r="B47" s="268" t="s">
        <v>65</v>
      </c>
      <c r="C47" s="269">
        <f>+DIRECTOR!M8</f>
        <v>0</v>
      </c>
      <c r="D47" s="269">
        <f>+DIRECTOR!M17</f>
        <v>0</v>
      </c>
      <c r="E47" s="269">
        <f>+DIRECTOR!M26</f>
        <v>3700</v>
      </c>
      <c r="F47" s="269">
        <f>+DIRECTOR!M35</f>
        <v>0</v>
      </c>
      <c r="G47" s="269">
        <f>+DIRECTOR!M44</f>
        <v>6600</v>
      </c>
      <c r="H47" s="269">
        <f>+DIRECTOR!M53</f>
        <v>0</v>
      </c>
      <c r="I47" s="269">
        <f>+DIRECTOR!M62</f>
        <v>0</v>
      </c>
      <c r="J47" s="269">
        <f>+DIRECTOR!M71</f>
        <v>0</v>
      </c>
      <c r="K47" s="269">
        <f>+DIRECTOR!M80</f>
        <v>13204</v>
      </c>
      <c r="L47" s="269">
        <f>+DIRECTOR!M89</f>
        <v>0</v>
      </c>
      <c r="M47" s="269">
        <f>+DIRECTOR!M98</f>
        <v>0</v>
      </c>
      <c r="N47" s="270">
        <f>+DIRECTOR!M107</f>
        <v>11876</v>
      </c>
      <c r="O47" s="247"/>
      <c r="P47" s="271">
        <f t="shared" si="10"/>
        <v>-35380</v>
      </c>
      <c r="Q47" s="248"/>
      <c r="R47" s="241"/>
      <c r="S47" s="267"/>
    </row>
    <row r="48" spans="1:34" x14ac:dyDescent="0.25">
      <c r="B48" s="268" t="s">
        <v>66</v>
      </c>
      <c r="C48" s="269">
        <f>+DIRECTOR!M9</f>
        <v>0</v>
      </c>
      <c r="D48" s="269">
        <f>+DIRECTOR!M18</f>
        <v>0</v>
      </c>
      <c r="E48" s="269">
        <f>+DIRECTOR!M27</f>
        <v>0</v>
      </c>
      <c r="F48" s="269">
        <f>+DIRECTOR!M36</f>
        <v>0</v>
      </c>
      <c r="G48" s="269">
        <f>+DIRECTOR!M45</f>
        <v>0</v>
      </c>
      <c r="H48" s="269">
        <f>+DIRECTOR!M54</f>
        <v>0</v>
      </c>
      <c r="I48" s="269">
        <f>+DIRECTOR!M63</f>
        <v>0</v>
      </c>
      <c r="J48" s="269">
        <f>+DIRECTOR!M72</f>
        <v>0</v>
      </c>
      <c r="K48" s="269">
        <f>+DIRECTOR!M81</f>
        <v>0</v>
      </c>
      <c r="L48" s="269">
        <f>+DIRECTOR!M90</f>
        <v>0</v>
      </c>
      <c r="M48" s="269">
        <f>+DIRECTOR!M99</f>
        <v>0</v>
      </c>
      <c r="N48" s="270">
        <f>+DIRECTOR!M108</f>
        <v>1100</v>
      </c>
      <c r="O48" s="247"/>
      <c r="P48" s="271">
        <f t="shared" si="10"/>
        <v>-1100</v>
      </c>
      <c r="Q48" s="248"/>
      <c r="R48" s="241"/>
      <c r="S48" s="267"/>
    </row>
    <row r="49" spans="2:20" x14ac:dyDescent="0.25">
      <c r="B49" s="263" t="s">
        <v>68</v>
      </c>
      <c r="C49" s="641">
        <f>+DIRECTOR!M10</f>
        <v>15500</v>
      </c>
      <c r="D49" s="264">
        <f>+DIRECTOR!M19</f>
        <v>0</v>
      </c>
      <c r="E49" s="264">
        <f>+DIRECTOR!M28</f>
        <v>1000</v>
      </c>
      <c r="F49" s="264">
        <f>+DIRECTOR!M37</f>
        <v>0</v>
      </c>
      <c r="G49" s="264">
        <f>+DIRECTOR!M46</f>
        <v>242348</v>
      </c>
      <c r="H49" s="264">
        <f>+DIRECTOR!M55</f>
        <v>0</v>
      </c>
      <c r="I49" s="264">
        <f>+DIRECTOR!M64</f>
        <v>0</v>
      </c>
      <c r="J49" s="264">
        <f>+DIRECTOR!M73</f>
        <v>0</v>
      </c>
      <c r="K49" s="264">
        <f>+DIRECTOR!M82</f>
        <v>0</v>
      </c>
      <c r="L49" s="264">
        <f>+DIRECTOR!M91</f>
        <v>0</v>
      </c>
      <c r="M49" s="264">
        <f>+DIRECTOR!M100</f>
        <v>52562</v>
      </c>
      <c r="N49" s="265">
        <f>+DIRECTOR!M109</f>
        <v>457103</v>
      </c>
      <c r="O49" s="247"/>
      <c r="P49" s="266">
        <f t="shared" si="10"/>
        <v>-768513</v>
      </c>
      <c r="Q49" s="248">
        <f>SUM(P44:P49)</f>
        <v>-1259552</v>
      </c>
      <c r="R49" s="241"/>
      <c r="S49" s="267"/>
    </row>
    <row r="50" spans="2:20" x14ac:dyDescent="0.25">
      <c r="B50" s="274" t="s">
        <v>67</v>
      </c>
      <c r="C50" s="713">
        <f>+DIRECTOR!B11</f>
        <v>0</v>
      </c>
      <c r="D50" s="714">
        <f>+DIRECTOR!$B20</f>
        <v>0</v>
      </c>
      <c r="E50" s="715">
        <f>+DIRECTOR!$B29</f>
        <v>0</v>
      </c>
      <c r="F50" s="275">
        <f>+DIRECTOR!$B38</f>
        <v>0</v>
      </c>
      <c r="G50" s="275">
        <f>+DIRECTOR!$B47+DIRECTOR!$C47</f>
        <v>100000</v>
      </c>
      <c r="H50" s="275">
        <f>+DIRECTOR!$C56</f>
        <v>0</v>
      </c>
      <c r="I50" s="275">
        <f>+DIRECTOR!$C65</f>
        <v>40000</v>
      </c>
      <c r="J50" s="275">
        <f>+DIRECTOR!$C74</f>
        <v>0</v>
      </c>
      <c r="K50" s="275">
        <f>+DIRECTOR!$C83</f>
        <v>20000</v>
      </c>
      <c r="L50" s="275">
        <f>+DIRECTOR!$C92</f>
        <v>0</v>
      </c>
      <c r="M50" s="275">
        <f>+DIRECTOR!$C101</f>
        <v>0</v>
      </c>
      <c r="N50" s="276">
        <f>+DIRECTOR!C110</f>
        <v>80000</v>
      </c>
      <c r="O50" s="247"/>
      <c r="P50" s="266">
        <f t="shared" si="10"/>
        <v>-240000</v>
      </c>
      <c r="Q50" s="248">
        <f>+P50</f>
        <v>-240000</v>
      </c>
      <c r="R50" s="248"/>
      <c r="S50" s="267"/>
    </row>
    <row r="51" spans="2:20" collapsed="1" x14ac:dyDescent="0.25">
      <c r="B51" s="423" t="s">
        <v>69</v>
      </c>
      <c r="C51" s="427">
        <f>SUM(C43:C50)</f>
        <v>301297</v>
      </c>
      <c r="D51" s="427">
        <f t="shared" ref="D51:M51" si="11">SUM(D43:D50)</f>
        <v>0</v>
      </c>
      <c r="E51" s="427">
        <f t="shared" si="11"/>
        <v>450123</v>
      </c>
      <c r="F51" s="427">
        <f t="shared" si="11"/>
        <v>0</v>
      </c>
      <c r="G51" s="427">
        <f t="shared" si="11"/>
        <v>625474</v>
      </c>
      <c r="H51" s="427">
        <f t="shared" si="11"/>
        <v>0</v>
      </c>
      <c r="I51" s="427">
        <f t="shared" si="11"/>
        <v>392747</v>
      </c>
      <c r="J51" s="427">
        <f t="shared" si="11"/>
        <v>0</v>
      </c>
      <c r="K51" s="427">
        <f t="shared" si="11"/>
        <v>452944</v>
      </c>
      <c r="L51" s="427">
        <f t="shared" si="11"/>
        <v>0</v>
      </c>
      <c r="M51" s="427">
        <f t="shared" si="11"/>
        <v>147356</v>
      </c>
      <c r="N51" s="428">
        <f>SUM(N43:N50)</f>
        <v>909444</v>
      </c>
      <c r="Q51" s="241">
        <f>SUM(Q43:Q50)</f>
        <v>-3279385</v>
      </c>
      <c r="R51" s="248"/>
      <c r="S51" s="267"/>
      <c r="T51" s="522"/>
    </row>
    <row r="52" spans="2:20" x14ac:dyDescent="0.2">
      <c r="B52" s="239" t="s">
        <v>93</v>
      </c>
      <c r="C52" s="626">
        <f>+BOLETAS!B5</f>
        <v>1407000</v>
      </c>
      <c r="D52" s="564" t="s">
        <v>253</v>
      </c>
      <c r="E52" s="564" t="s">
        <v>253</v>
      </c>
      <c r="F52" s="564" t="s">
        <v>253</v>
      </c>
      <c r="G52" s="564" t="s">
        <v>253</v>
      </c>
      <c r="H52" s="564" t="s">
        <v>253</v>
      </c>
      <c r="I52" s="564">
        <v>1837791</v>
      </c>
      <c r="J52" s="564" t="s">
        <v>253</v>
      </c>
      <c r="K52" s="564" t="s">
        <v>253</v>
      </c>
      <c r="L52" s="564" t="s">
        <v>253</v>
      </c>
      <c r="M52" s="564"/>
      <c r="N52" s="565">
        <f>1695250</f>
        <v>1695250</v>
      </c>
      <c r="O52" s="247"/>
      <c r="P52" s="272">
        <f t="shared" ref="P52:P74" si="12">SUM(C52:N52)*(-1)</f>
        <v>-4940041</v>
      </c>
      <c r="Q52" s="241"/>
      <c r="R52" s="248"/>
      <c r="S52" s="267"/>
    </row>
    <row r="53" spans="2:20" x14ac:dyDescent="0.25">
      <c r="B53" s="242" t="s">
        <v>70</v>
      </c>
      <c r="C53" s="559">
        <f>+BOLETAS!B6</f>
        <v>36060</v>
      </c>
      <c r="D53" s="562" t="s">
        <v>253</v>
      </c>
      <c r="E53" s="562" t="s">
        <v>253</v>
      </c>
      <c r="F53" s="562" t="s">
        <v>253</v>
      </c>
      <c r="G53" s="562" t="s">
        <v>253</v>
      </c>
      <c r="H53" s="562" t="s">
        <v>253</v>
      </c>
      <c r="I53" s="562">
        <v>92770</v>
      </c>
      <c r="J53" s="562" t="s">
        <v>253</v>
      </c>
      <c r="K53" s="562" t="s">
        <v>253</v>
      </c>
      <c r="L53" s="562" t="s">
        <v>253</v>
      </c>
      <c r="M53" s="562"/>
      <c r="N53" s="567"/>
      <c r="O53" s="247"/>
      <c r="P53" s="271">
        <f t="shared" si="12"/>
        <v>-128830</v>
      </c>
      <c r="Q53" s="241"/>
      <c r="R53" s="241"/>
      <c r="S53" s="267"/>
    </row>
    <row r="54" spans="2:20" x14ac:dyDescent="0.25">
      <c r="B54" s="244" t="s">
        <v>602</v>
      </c>
      <c r="C54" s="563">
        <f>+BOLETAS!B7</f>
        <v>15000</v>
      </c>
      <c r="D54" s="563" t="s">
        <v>253</v>
      </c>
      <c r="E54" s="563" t="s">
        <v>253</v>
      </c>
      <c r="F54" s="563" t="s">
        <v>253</v>
      </c>
      <c r="G54" s="563" t="s">
        <v>253</v>
      </c>
      <c r="H54" s="563" t="s">
        <v>253</v>
      </c>
      <c r="I54" s="563">
        <v>0</v>
      </c>
      <c r="J54" s="563" t="s">
        <v>253</v>
      </c>
      <c r="K54" s="563" t="s">
        <v>253</v>
      </c>
      <c r="L54" s="563" t="s">
        <v>253</v>
      </c>
      <c r="M54" s="563"/>
      <c r="N54" s="568">
        <v>30000</v>
      </c>
      <c r="O54" s="247"/>
      <c r="P54" s="273">
        <f t="shared" si="12"/>
        <v>-45000</v>
      </c>
      <c r="Q54" s="241">
        <f>SUM(P52:P54)</f>
        <v>-5113871</v>
      </c>
      <c r="R54" s="241"/>
      <c r="S54" s="267"/>
    </row>
    <row r="55" spans="2:20" x14ac:dyDescent="0.25">
      <c r="B55" s="244" t="s">
        <v>603</v>
      </c>
      <c r="C55" s="563">
        <f>+BOLETAS!B8</f>
        <v>17000</v>
      </c>
      <c r="D55" s="563" t="s">
        <v>253</v>
      </c>
      <c r="E55" s="563" t="s">
        <v>253</v>
      </c>
      <c r="F55" s="563" t="s">
        <v>253</v>
      </c>
      <c r="G55" s="563" t="s">
        <v>253</v>
      </c>
      <c r="H55" s="563" t="s">
        <v>253</v>
      </c>
      <c r="I55" s="563" t="s">
        <v>253</v>
      </c>
      <c r="J55" s="563" t="s">
        <v>253</v>
      </c>
      <c r="K55" s="563" t="s">
        <v>253</v>
      </c>
      <c r="L55" s="563" t="s">
        <v>253</v>
      </c>
      <c r="M55" s="563"/>
      <c r="N55" s="568"/>
      <c r="O55" s="247"/>
      <c r="P55" s="273">
        <f t="shared" si="12"/>
        <v>-17000</v>
      </c>
      <c r="Q55" s="241">
        <f>+P55</f>
        <v>-17000</v>
      </c>
      <c r="R55" s="241"/>
      <c r="S55" s="267"/>
    </row>
    <row r="56" spans="2:20" x14ac:dyDescent="0.25">
      <c r="B56" s="242" t="s">
        <v>71</v>
      </c>
      <c r="C56" s="559" t="s">
        <v>253</v>
      </c>
      <c r="D56" s="562" t="s">
        <v>253</v>
      </c>
      <c r="E56" s="562" t="s">
        <v>253</v>
      </c>
      <c r="F56" s="562" t="s">
        <v>253</v>
      </c>
      <c r="G56" s="562">
        <f>+RENDICION!K183</f>
        <v>43000</v>
      </c>
      <c r="H56" s="562" t="s">
        <v>253</v>
      </c>
      <c r="I56" s="562" t="s">
        <v>253</v>
      </c>
      <c r="J56" s="562" t="s">
        <v>253</v>
      </c>
      <c r="K56" s="562" t="s">
        <v>253</v>
      </c>
      <c r="L56" s="562" t="s">
        <v>253</v>
      </c>
      <c r="M56" s="562" t="s">
        <v>253</v>
      </c>
      <c r="N56" s="567"/>
      <c r="O56" s="247"/>
      <c r="P56" s="271">
        <f t="shared" si="12"/>
        <v>-43000</v>
      </c>
      <c r="Q56" s="248"/>
      <c r="R56" s="248"/>
      <c r="S56" s="267"/>
    </row>
    <row r="57" spans="2:20" x14ac:dyDescent="0.25">
      <c r="B57" s="242" t="s">
        <v>30</v>
      </c>
      <c r="C57" s="559" t="s">
        <v>253</v>
      </c>
      <c r="D57" s="562" t="s">
        <v>253</v>
      </c>
      <c r="E57" s="562" t="s">
        <v>253</v>
      </c>
      <c r="F57" s="562" t="s">
        <v>253</v>
      </c>
      <c r="G57" s="562" t="s">
        <v>253</v>
      </c>
      <c r="H57" s="562" t="s">
        <v>253</v>
      </c>
      <c r="I57" s="562" t="s">
        <v>253</v>
      </c>
      <c r="J57" s="562" t="s">
        <v>253</v>
      </c>
      <c r="K57" s="562" t="s">
        <v>253</v>
      </c>
      <c r="L57" s="562" t="s">
        <v>253</v>
      </c>
      <c r="M57" s="562" t="s">
        <v>253</v>
      </c>
      <c r="N57" s="567"/>
      <c r="O57" s="247"/>
      <c r="P57" s="271">
        <f t="shared" si="12"/>
        <v>0</v>
      </c>
      <c r="Q57" s="248"/>
      <c r="R57" s="248"/>
      <c r="S57" s="267"/>
    </row>
    <row r="58" spans="2:20" x14ac:dyDescent="0.25">
      <c r="B58" s="242" t="s">
        <v>31</v>
      </c>
      <c r="C58" s="559" t="s">
        <v>253</v>
      </c>
      <c r="D58" s="562" t="s">
        <v>253</v>
      </c>
      <c r="E58" s="562" t="s">
        <v>253</v>
      </c>
      <c r="F58" s="562" t="s">
        <v>253</v>
      </c>
      <c r="G58" s="708">
        <v>800000</v>
      </c>
      <c r="H58" s="562" t="s">
        <v>253</v>
      </c>
      <c r="I58" s="562">
        <v>200000</v>
      </c>
      <c r="J58" s="562" t="s">
        <v>253</v>
      </c>
      <c r="K58" s="562">
        <v>150000</v>
      </c>
      <c r="L58" s="562" t="s">
        <v>253</v>
      </c>
      <c r="M58" s="562" t="s">
        <v>253</v>
      </c>
      <c r="N58" s="567">
        <v>450000</v>
      </c>
      <c r="O58" s="247"/>
      <c r="P58" s="271">
        <f>SUM(D58:N58)*(-1)</f>
        <v>-1600000</v>
      </c>
      <c r="Q58" s="248"/>
      <c r="R58" s="248"/>
      <c r="S58" s="267"/>
    </row>
    <row r="59" spans="2:20" x14ac:dyDescent="0.25">
      <c r="B59" s="242" t="s">
        <v>32</v>
      </c>
      <c r="C59" s="559" t="s">
        <v>253</v>
      </c>
      <c r="D59" s="562" t="s">
        <v>253</v>
      </c>
      <c r="E59" s="562" t="s">
        <v>253</v>
      </c>
      <c r="F59" s="562" t="s">
        <v>253</v>
      </c>
      <c r="G59" s="562" t="s">
        <v>253</v>
      </c>
      <c r="H59" s="562" t="s">
        <v>253</v>
      </c>
      <c r="I59" s="562">
        <f>81450+66500</f>
        <v>147950</v>
      </c>
      <c r="J59" s="562" t="s">
        <v>253</v>
      </c>
      <c r="K59" s="562" t="s">
        <v>253</v>
      </c>
      <c r="L59" s="562" t="s">
        <v>253</v>
      </c>
      <c r="M59" s="562" t="s">
        <v>253</v>
      </c>
      <c r="N59" s="567"/>
      <c r="O59" s="247"/>
      <c r="P59" s="271">
        <f t="shared" si="12"/>
        <v>-147950</v>
      </c>
      <c r="Q59" s="248"/>
      <c r="R59" s="248"/>
      <c r="S59" s="267"/>
    </row>
    <row r="60" spans="2:20" x14ac:dyDescent="0.25">
      <c r="B60" s="242" t="s">
        <v>33</v>
      </c>
      <c r="C60" s="559" t="s">
        <v>253</v>
      </c>
      <c r="D60" s="562" t="s">
        <v>253</v>
      </c>
      <c r="E60" s="562" t="s">
        <v>253</v>
      </c>
      <c r="F60" s="562" t="s">
        <v>253</v>
      </c>
      <c r="G60" s="562" t="s">
        <v>253</v>
      </c>
      <c r="H60" s="562" t="s">
        <v>253</v>
      </c>
      <c r="I60" s="562" t="s">
        <v>253</v>
      </c>
      <c r="J60" s="562" t="s">
        <v>253</v>
      </c>
      <c r="K60" s="562" t="s">
        <v>253</v>
      </c>
      <c r="L60" s="562" t="s">
        <v>253</v>
      </c>
      <c r="M60" s="562" t="s">
        <v>253</v>
      </c>
      <c r="N60" s="567"/>
      <c r="O60" s="247"/>
      <c r="P60" s="271">
        <f t="shared" si="12"/>
        <v>0</v>
      </c>
      <c r="Q60" s="248"/>
      <c r="R60" s="248"/>
      <c r="S60" s="267"/>
    </row>
    <row r="61" spans="2:20" x14ac:dyDescent="0.25">
      <c r="B61" s="242" t="s">
        <v>568</v>
      </c>
      <c r="C61" s="559" t="s">
        <v>253</v>
      </c>
      <c r="D61" s="562" t="s">
        <v>253</v>
      </c>
      <c r="E61" s="562" t="s">
        <v>253</v>
      </c>
      <c r="F61" s="562" t="s">
        <v>253</v>
      </c>
      <c r="G61" s="562">
        <f>+RENDICION!K199+RENDICION!K200</f>
        <v>27825.600000000002</v>
      </c>
      <c r="H61" s="562" t="s">
        <v>253</v>
      </c>
      <c r="I61" s="562">
        <v>13968</v>
      </c>
      <c r="J61" s="562" t="s">
        <v>253</v>
      </c>
      <c r="K61" s="562">
        <v>14498</v>
      </c>
      <c r="L61" s="562" t="s">
        <v>253</v>
      </c>
      <c r="M61" s="562">
        <v>14721</v>
      </c>
      <c r="N61" s="567">
        <f>15390+14029+14042</f>
        <v>43461</v>
      </c>
      <c r="O61" s="247"/>
      <c r="P61" s="271">
        <f t="shared" si="12"/>
        <v>-114473.60000000001</v>
      </c>
      <c r="Q61" s="248"/>
      <c r="R61" s="248"/>
      <c r="S61" s="267"/>
    </row>
    <row r="62" spans="2:20" x14ac:dyDescent="0.25">
      <c r="B62" s="242" t="s">
        <v>34</v>
      </c>
      <c r="C62" s="559" t="s">
        <v>253</v>
      </c>
      <c r="D62" s="562" t="s">
        <v>253</v>
      </c>
      <c r="E62" s="562" t="s">
        <v>253</v>
      </c>
      <c r="F62" s="562" t="s">
        <v>253</v>
      </c>
      <c r="G62" s="562" t="s">
        <v>253</v>
      </c>
      <c r="H62" s="562" t="s">
        <v>253</v>
      </c>
      <c r="I62" s="562" t="s">
        <v>253</v>
      </c>
      <c r="J62" s="562" t="s">
        <v>253</v>
      </c>
      <c r="K62" s="562" t="s">
        <v>253</v>
      </c>
      <c r="L62" s="562" t="s">
        <v>253</v>
      </c>
      <c r="M62" s="562" t="s">
        <v>253</v>
      </c>
      <c r="N62" s="567"/>
      <c r="O62" s="247"/>
      <c r="P62" s="271">
        <f t="shared" si="12"/>
        <v>0</v>
      </c>
      <c r="Q62" s="248"/>
      <c r="R62" s="248"/>
      <c r="S62" s="267"/>
    </row>
    <row r="63" spans="2:20" x14ac:dyDescent="0.25">
      <c r="B63" s="242" t="s">
        <v>35</v>
      </c>
      <c r="C63" s="559" t="s">
        <v>253</v>
      </c>
      <c r="D63" s="562" t="s">
        <v>253</v>
      </c>
      <c r="E63" s="562" t="s">
        <v>253</v>
      </c>
      <c r="F63" s="562" t="s">
        <v>253</v>
      </c>
      <c r="G63" s="562" t="s">
        <v>253</v>
      </c>
      <c r="H63" s="562" t="s">
        <v>253</v>
      </c>
      <c r="I63" s="562" t="s">
        <v>253</v>
      </c>
      <c r="J63" s="562" t="s">
        <v>253</v>
      </c>
      <c r="K63" s="562" t="s">
        <v>253</v>
      </c>
      <c r="L63" s="562" t="s">
        <v>253</v>
      </c>
      <c r="M63" s="562" t="s">
        <v>253</v>
      </c>
      <c r="N63" s="567"/>
      <c r="O63" s="247"/>
      <c r="P63" s="271">
        <f t="shared" si="12"/>
        <v>0</v>
      </c>
      <c r="Q63" s="248"/>
      <c r="R63" s="248"/>
      <c r="S63" s="267"/>
    </row>
    <row r="64" spans="2:20" x14ac:dyDescent="0.25">
      <c r="B64" s="242" t="s">
        <v>92</v>
      </c>
      <c r="C64" s="559" t="s">
        <v>253</v>
      </c>
      <c r="D64" s="562" t="s">
        <v>253</v>
      </c>
      <c r="E64" s="562" t="s">
        <v>253</v>
      </c>
      <c r="F64" s="562" t="s">
        <v>253</v>
      </c>
      <c r="G64" s="562" t="s">
        <v>253</v>
      </c>
      <c r="H64" s="562" t="s">
        <v>253</v>
      </c>
      <c r="I64" s="562" t="s">
        <v>253</v>
      </c>
      <c r="J64" s="562" t="s">
        <v>253</v>
      </c>
      <c r="K64" s="562" t="s">
        <v>253</v>
      </c>
      <c r="L64" s="562" t="s">
        <v>253</v>
      </c>
      <c r="M64" s="562" t="s">
        <v>253</v>
      </c>
      <c r="N64" s="567"/>
      <c r="O64" s="247"/>
      <c r="P64" s="271">
        <f t="shared" si="12"/>
        <v>0</v>
      </c>
      <c r="Q64" s="248"/>
      <c r="R64" s="248"/>
      <c r="S64" s="267"/>
    </row>
    <row r="65" spans="2:19" x14ac:dyDescent="0.25">
      <c r="B65" s="242" t="s">
        <v>36</v>
      </c>
      <c r="C65" s="559" t="s">
        <v>253</v>
      </c>
      <c r="D65" s="562" t="s">
        <v>253</v>
      </c>
      <c r="E65" s="562" t="s">
        <v>253</v>
      </c>
      <c r="F65" s="562" t="s">
        <v>253</v>
      </c>
      <c r="G65" s="562" t="s">
        <v>253</v>
      </c>
      <c r="H65" s="562" t="s">
        <v>253</v>
      </c>
      <c r="I65" s="562" t="s">
        <v>253</v>
      </c>
      <c r="J65" s="562" t="s">
        <v>253</v>
      </c>
      <c r="K65" s="562" t="s">
        <v>253</v>
      </c>
      <c r="L65" s="562" t="s">
        <v>253</v>
      </c>
      <c r="M65" s="562" t="s">
        <v>253</v>
      </c>
      <c r="N65" s="567"/>
      <c r="O65" s="247"/>
      <c r="P65" s="271">
        <f t="shared" si="12"/>
        <v>0</v>
      </c>
      <c r="Q65" s="248"/>
      <c r="R65" s="248"/>
      <c r="S65" s="267"/>
    </row>
    <row r="66" spans="2:19" x14ac:dyDescent="0.25">
      <c r="B66" s="242" t="s">
        <v>37</v>
      </c>
      <c r="C66" s="559" t="s">
        <v>253</v>
      </c>
      <c r="D66" s="562" t="s">
        <v>253</v>
      </c>
      <c r="E66" s="562" t="s">
        <v>253</v>
      </c>
      <c r="F66" s="562" t="s">
        <v>253</v>
      </c>
      <c r="G66" s="562" t="s">
        <v>253</v>
      </c>
      <c r="H66" s="562" t="s">
        <v>253</v>
      </c>
      <c r="I66" s="562" t="s">
        <v>253</v>
      </c>
      <c r="J66" s="562" t="s">
        <v>253</v>
      </c>
      <c r="K66" s="562" t="s">
        <v>253</v>
      </c>
      <c r="L66" s="562" t="s">
        <v>253</v>
      </c>
      <c r="M66" s="562" t="s">
        <v>253</v>
      </c>
      <c r="N66" s="567"/>
      <c r="O66" s="247"/>
      <c r="P66" s="271">
        <f t="shared" si="12"/>
        <v>0</v>
      </c>
      <c r="Q66" s="248"/>
      <c r="R66" s="248"/>
      <c r="S66" s="267"/>
    </row>
    <row r="67" spans="2:19" x14ac:dyDescent="0.25">
      <c r="B67" s="242" t="s">
        <v>38</v>
      </c>
      <c r="C67" s="559">
        <f>+RENDICION!K70</f>
        <v>1780</v>
      </c>
      <c r="D67" s="562" t="s">
        <v>253</v>
      </c>
      <c r="E67" s="562" t="s">
        <v>253</v>
      </c>
      <c r="F67" s="562" t="s">
        <v>253</v>
      </c>
      <c r="G67" s="562" t="s">
        <v>253</v>
      </c>
      <c r="H67" s="562" t="s">
        <v>253</v>
      </c>
      <c r="I67" s="562" t="s">
        <v>253</v>
      </c>
      <c r="J67" s="562" t="s">
        <v>253</v>
      </c>
      <c r="K67" s="562" t="s">
        <v>253</v>
      </c>
      <c r="L67" s="562" t="s">
        <v>253</v>
      </c>
      <c r="M67" s="562" t="s">
        <v>253</v>
      </c>
      <c r="N67" s="567">
        <v>52400</v>
      </c>
      <c r="O67" s="247"/>
      <c r="P67" s="271">
        <f t="shared" si="12"/>
        <v>-54180</v>
      </c>
      <c r="Q67" s="225"/>
      <c r="R67" s="225"/>
      <c r="S67" s="267"/>
    </row>
    <row r="68" spans="2:19" x14ac:dyDescent="0.25">
      <c r="B68" s="242" t="s">
        <v>242</v>
      </c>
      <c r="C68" s="560" t="s">
        <v>253</v>
      </c>
      <c r="D68" s="563" t="s">
        <v>253</v>
      </c>
      <c r="E68" s="563" t="s">
        <v>253</v>
      </c>
      <c r="F68" s="563" t="s">
        <v>253</v>
      </c>
      <c r="G68" s="563" t="s">
        <v>253</v>
      </c>
      <c r="H68" s="563" t="s">
        <v>253</v>
      </c>
      <c r="I68" s="923">
        <f>125000+5050</f>
        <v>130050</v>
      </c>
      <c r="J68" s="563" t="s">
        <v>253</v>
      </c>
      <c r="K68" s="563" t="s">
        <v>253</v>
      </c>
      <c r="L68" s="563" t="s">
        <v>253</v>
      </c>
      <c r="M68" s="563" t="s">
        <v>253</v>
      </c>
      <c r="N68" s="568">
        <v>5934</v>
      </c>
      <c r="O68" s="247"/>
      <c r="P68" s="271">
        <f t="shared" si="12"/>
        <v>-135984</v>
      </c>
      <c r="Q68" s="248">
        <f>SUM(P56:P68)</f>
        <v>-2095587.6</v>
      </c>
      <c r="R68" s="248"/>
      <c r="S68" s="267"/>
    </row>
    <row r="69" spans="2:19" x14ac:dyDescent="0.25">
      <c r="B69" s="239" t="s">
        <v>208</v>
      </c>
      <c r="C69" s="564" t="s">
        <v>253</v>
      </c>
      <c r="D69" s="564" t="s">
        <v>253</v>
      </c>
      <c r="E69" s="564" t="s">
        <v>253</v>
      </c>
      <c r="F69" s="564" t="s">
        <v>253</v>
      </c>
      <c r="G69" s="564" t="s">
        <v>253</v>
      </c>
      <c r="H69" s="564" t="s">
        <v>253</v>
      </c>
      <c r="I69" s="564" t="s">
        <v>253</v>
      </c>
      <c r="J69" s="564" t="s">
        <v>253</v>
      </c>
      <c r="K69" s="564" t="s">
        <v>253</v>
      </c>
      <c r="L69" s="564" t="s">
        <v>253</v>
      </c>
      <c r="M69" s="564" t="s">
        <v>253</v>
      </c>
      <c r="N69" s="565"/>
      <c r="O69" s="247"/>
      <c r="P69" s="272">
        <f t="shared" si="12"/>
        <v>0</v>
      </c>
      <c r="Q69" s="248"/>
      <c r="R69" s="248"/>
      <c r="S69" s="267"/>
    </row>
    <row r="70" spans="2:19" x14ac:dyDescent="0.25">
      <c r="B70" s="242" t="s">
        <v>100</v>
      </c>
      <c r="C70" s="562" t="s">
        <v>253</v>
      </c>
      <c r="D70" s="562" t="s">
        <v>253</v>
      </c>
      <c r="E70" s="562" t="s">
        <v>253</v>
      </c>
      <c r="F70" s="562" t="s">
        <v>253</v>
      </c>
      <c r="G70" s="562" t="s">
        <v>253</v>
      </c>
      <c r="H70" s="562" t="s">
        <v>253</v>
      </c>
      <c r="I70" s="562" t="s">
        <v>253</v>
      </c>
      <c r="J70" s="562" t="s">
        <v>253</v>
      </c>
      <c r="K70" s="562" t="s">
        <v>253</v>
      </c>
      <c r="L70" s="562" t="s">
        <v>253</v>
      </c>
      <c r="M70" s="562" t="s">
        <v>253</v>
      </c>
      <c r="N70" s="567"/>
      <c r="O70" s="247"/>
      <c r="P70" s="271">
        <f t="shared" si="12"/>
        <v>0</v>
      </c>
      <c r="Q70" s="248"/>
      <c r="R70" s="248"/>
      <c r="S70" s="267"/>
    </row>
    <row r="71" spans="2:19" x14ac:dyDescent="0.25">
      <c r="B71" s="242" t="s">
        <v>101</v>
      </c>
      <c r="C71" s="562" t="s">
        <v>253</v>
      </c>
      <c r="D71" s="562" t="s">
        <v>253</v>
      </c>
      <c r="E71" s="562" t="s">
        <v>253</v>
      </c>
      <c r="F71" s="562" t="s">
        <v>253</v>
      </c>
      <c r="G71" s="562" t="s">
        <v>253</v>
      </c>
      <c r="H71" s="562" t="s">
        <v>253</v>
      </c>
      <c r="I71" s="562" t="s">
        <v>253</v>
      </c>
      <c r="J71" s="562" t="s">
        <v>253</v>
      </c>
      <c r="K71" s="562" t="s">
        <v>253</v>
      </c>
      <c r="L71" s="562" t="s">
        <v>253</v>
      </c>
      <c r="M71" s="562" t="s">
        <v>253</v>
      </c>
      <c r="N71" s="567"/>
      <c r="O71" s="247"/>
      <c r="P71" s="271">
        <f t="shared" si="12"/>
        <v>0</v>
      </c>
      <c r="Q71" s="248"/>
      <c r="R71" s="248"/>
      <c r="S71" s="267"/>
    </row>
    <row r="72" spans="2:19" x14ac:dyDescent="0.25">
      <c r="B72" s="242" t="s">
        <v>102</v>
      </c>
      <c r="C72" s="562" t="s">
        <v>253</v>
      </c>
      <c r="D72" s="562" t="s">
        <v>253</v>
      </c>
      <c r="E72" s="562" t="s">
        <v>253</v>
      </c>
      <c r="F72" s="562" t="s">
        <v>253</v>
      </c>
      <c r="G72" s="562" t="s">
        <v>253</v>
      </c>
      <c r="H72" s="562" t="s">
        <v>253</v>
      </c>
      <c r="I72" s="562" t="s">
        <v>253</v>
      </c>
      <c r="J72" s="562" t="s">
        <v>253</v>
      </c>
      <c r="K72" s="562" t="s">
        <v>253</v>
      </c>
      <c r="L72" s="562" t="s">
        <v>253</v>
      </c>
      <c r="M72" s="562" t="s">
        <v>253</v>
      </c>
      <c r="N72" s="567"/>
      <c r="O72" s="247"/>
      <c r="P72" s="271">
        <f t="shared" si="12"/>
        <v>0</v>
      </c>
      <c r="Q72" s="248"/>
      <c r="R72" s="248"/>
      <c r="S72" s="267"/>
    </row>
    <row r="73" spans="2:19" x14ac:dyDescent="0.25">
      <c r="B73" s="242" t="s">
        <v>99</v>
      </c>
      <c r="C73" s="562" t="s">
        <v>253</v>
      </c>
      <c r="D73" s="562" t="s">
        <v>253</v>
      </c>
      <c r="E73" s="562" t="s">
        <v>253</v>
      </c>
      <c r="F73" s="562" t="s">
        <v>253</v>
      </c>
      <c r="G73" s="562" t="s">
        <v>253</v>
      </c>
      <c r="H73" s="562" t="s">
        <v>253</v>
      </c>
      <c r="I73" s="562" t="s">
        <v>253</v>
      </c>
      <c r="J73" s="562" t="s">
        <v>253</v>
      </c>
      <c r="K73" s="562" t="s">
        <v>253</v>
      </c>
      <c r="L73" s="562" t="s">
        <v>253</v>
      </c>
      <c r="M73" s="562" t="s">
        <v>253</v>
      </c>
      <c r="N73" s="567"/>
      <c r="O73" s="247"/>
      <c r="P73" s="271">
        <f t="shared" si="12"/>
        <v>0</v>
      </c>
      <c r="Q73" s="248"/>
      <c r="R73" s="248"/>
      <c r="S73" s="267"/>
    </row>
    <row r="74" spans="2:19" x14ac:dyDescent="0.25">
      <c r="B74" s="244" t="s">
        <v>103</v>
      </c>
      <c r="C74" s="563" t="s">
        <v>253</v>
      </c>
      <c r="D74" s="563" t="s">
        <v>253</v>
      </c>
      <c r="E74" s="563" t="s">
        <v>253</v>
      </c>
      <c r="F74" s="563" t="s">
        <v>253</v>
      </c>
      <c r="G74" s="563" t="s">
        <v>253</v>
      </c>
      <c r="H74" s="563" t="s">
        <v>253</v>
      </c>
      <c r="I74" s="563" t="s">
        <v>253</v>
      </c>
      <c r="J74" s="563" t="s">
        <v>253</v>
      </c>
      <c r="K74" s="563" t="s">
        <v>253</v>
      </c>
      <c r="L74" s="563" t="s">
        <v>253</v>
      </c>
      <c r="M74" s="563" t="s">
        <v>253</v>
      </c>
      <c r="N74" s="568"/>
      <c r="O74" s="247"/>
      <c r="P74" s="273">
        <f t="shared" si="12"/>
        <v>0</v>
      </c>
      <c r="Q74" s="248">
        <f>SUM(P69:P74)</f>
        <v>0</v>
      </c>
      <c r="R74" s="248"/>
      <c r="S74" s="267"/>
    </row>
    <row r="75" spans="2:19" collapsed="1" x14ac:dyDescent="0.25">
      <c r="B75" s="250" t="s">
        <v>72</v>
      </c>
      <c r="C75" s="257">
        <f t="shared" ref="C75:N75" si="13">SUM(C52:C74)</f>
        <v>1476840</v>
      </c>
      <c r="D75" s="257">
        <f t="shared" si="13"/>
        <v>0</v>
      </c>
      <c r="E75" s="257">
        <f t="shared" si="13"/>
        <v>0</v>
      </c>
      <c r="F75" s="257">
        <f t="shared" si="13"/>
        <v>0</v>
      </c>
      <c r="G75" s="257">
        <f t="shared" si="13"/>
        <v>870825.6</v>
      </c>
      <c r="H75" s="257">
        <f t="shared" si="13"/>
        <v>0</v>
      </c>
      <c r="I75" s="257">
        <f t="shared" si="13"/>
        <v>2422529</v>
      </c>
      <c r="J75" s="257">
        <f t="shared" si="13"/>
        <v>0</v>
      </c>
      <c r="K75" s="257">
        <f t="shared" si="13"/>
        <v>164498</v>
      </c>
      <c r="L75" s="257">
        <f t="shared" si="13"/>
        <v>0</v>
      </c>
      <c r="M75" s="257">
        <f t="shared" si="13"/>
        <v>14721</v>
      </c>
      <c r="N75" s="258">
        <f t="shared" si="13"/>
        <v>2277045</v>
      </c>
      <c r="Q75" s="241">
        <f>SUM(Q51:Q74)</f>
        <v>-10505843.6</v>
      </c>
      <c r="R75" s="241"/>
    </row>
    <row r="76" spans="2:19" x14ac:dyDescent="0.25">
      <c r="B76" s="423" t="s">
        <v>388</v>
      </c>
      <c r="C76" s="424"/>
      <c r="D76" s="424"/>
      <c r="E76" s="424">
        <v>1521065</v>
      </c>
      <c r="F76" s="424"/>
      <c r="G76" s="424"/>
      <c r="H76" s="424"/>
      <c r="I76" s="424"/>
      <c r="J76" s="424"/>
      <c r="K76" s="424"/>
      <c r="L76" s="424"/>
      <c r="M76" s="424"/>
      <c r="N76" s="424"/>
      <c r="O76" s="253"/>
      <c r="P76" s="255">
        <f>SUM(C76:N76)*-1</f>
        <v>-1521065</v>
      </c>
      <c r="Q76" s="248"/>
      <c r="R76" s="248"/>
    </row>
    <row r="77" spans="2:19" x14ac:dyDescent="0.25">
      <c r="B77" s="420" t="s">
        <v>73</v>
      </c>
      <c r="C77" s="421">
        <f t="shared" ref="C77:N77" si="14">+C75+C51+C76</f>
        <v>1778137</v>
      </c>
      <c r="D77" s="421">
        <f t="shared" si="14"/>
        <v>0</v>
      </c>
      <c r="E77" s="421">
        <f t="shared" si="14"/>
        <v>1971188</v>
      </c>
      <c r="F77" s="421">
        <f t="shared" si="14"/>
        <v>0</v>
      </c>
      <c r="G77" s="421">
        <f t="shared" si="14"/>
        <v>1496299.6</v>
      </c>
      <c r="H77" s="421">
        <f t="shared" si="14"/>
        <v>0</v>
      </c>
      <c r="I77" s="421">
        <f t="shared" si="14"/>
        <v>2815276</v>
      </c>
      <c r="J77" s="421">
        <f t="shared" si="14"/>
        <v>0</v>
      </c>
      <c r="K77" s="421">
        <f t="shared" si="14"/>
        <v>617442</v>
      </c>
      <c r="L77" s="421">
        <f t="shared" si="14"/>
        <v>0</v>
      </c>
      <c r="M77" s="421">
        <f t="shared" si="14"/>
        <v>162077</v>
      </c>
      <c r="N77" s="422">
        <f t="shared" si="14"/>
        <v>3186489</v>
      </c>
      <c r="Q77" s="429">
        <f>SUM(Q75)+P76</f>
        <v>-12026908.6</v>
      </c>
      <c r="R77" s="230"/>
      <c r="S77" s="230"/>
    </row>
    <row r="78" spans="2:19" x14ac:dyDescent="0.25">
      <c r="B78" s="277"/>
      <c r="C78" s="395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</row>
    <row r="79" spans="2:19" x14ac:dyDescent="0.25">
      <c r="B79" s="279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P79" s="281">
        <f>SUM(P3:P76)</f>
        <v>-1571394.6</v>
      </c>
    </row>
    <row r="80" spans="2:19" x14ac:dyDescent="0.25">
      <c r="B80" s="286" t="s">
        <v>74</v>
      </c>
      <c r="C80" s="639">
        <f t="shared" ref="C80:N80" si="15">C41-C77</f>
        <v>-862637</v>
      </c>
      <c r="D80" s="639">
        <f t="shared" si="15"/>
        <v>2285965</v>
      </c>
      <c r="E80" s="639">
        <f t="shared" si="15"/>
        <v>-1542088</v>
      </c>
      <c r="F80" s="639">
        <f t="shared" si="15"/>
        <v>646340</v>
      </c>
      <c r="G80" s="639">
        <f t="shared" si="15"/>
        <v>-913399.60000000009</v>
      </c>
      <c r="H80" s="639">
        <f t="shared" si="15"/>
        <v>760853</v>
      </c>
      <c r="I80" s="639">
        <f t="shared" si="15"/>
        <v>-1490694</v>
      </c>
      <c r="J80" s="639">
        <f t="shared" si="15"/>
        <v>684570</v>
      </c>
      <c r="K80" s="639">
        <f t="shared" si="15"/>
        <v>34828</v>
      </c>
      <c r="L80" s="639">
        <f t="shared" si="15"/>
        <v>654594</v>
      </c>
      <c r="M80" s="639">
        <f t="shared" si="15"/>
        <v>342393</v>
      </c>
      <c r="N80" s="640">
        <f t="shared" si="15"/>
        <v>-2172119</v>
      </c>
      <c r="O80" s="282"/>
      <c r="P80" s="283">
        <f>SUM(C80:N80)</f>
        <v>-1571394.6</v>
      </c>
      <c r="Q80" s="519">
        <f>+Q77+Q41-P80</f>
        <v>0</v>
      </c>
      <c r="R80" s="519"/>
    </row>
    <row r="81" spans="2:19" s="233" customFormat="1" x14ac:dyDescent="0.25">
      <c r="B81" s="730" t="s">
        <v>75</v>
      </c>
      <c r="C81" s="639">
        <f>IF(C80&lt;&gt;0,C80,0)</f>
        <v>-862637</v>
      </c>
      <c r="D81" s="639">
        <f t="shared" ref="D81:N81" si="16">IF(D80&lt;&gt;0,C81+D80,0)</f>
        <v>1423328</v>
      </c>
      <c r="E81" s="639">
        <f t="shared" si="16"/>
        <v>-118760</v>
      </c>
      <c r="F81" s="639">
        <f t="shared" si="16"/>
        <v>527580</v>
      </c>
      <c r="G81" s="639">
        <f t="shared" si="16"/>
        <v>-385819.60000000009</v>
      </c>
      <c r="H81" s="639">
        <f t="shared" si="16"/>
        <v>375033.39999999991</v>
      </c>
      <c r="I81" s="639">
        <f t="shared" si="16"/>
        <v>-1115660.6000000001</v>
      </c>
      <c r="J81" s="639">
        <f t="shared" si="16"/>
        <v>-431090.60000000009</v>
      </c>
      <c r="K81" s="639">
        <f t="shared" si="16"/>
        <v>-396262.60000000009</v>
      </c>
      <c r="L81" s="639">
        <f t="shared" si="16"/>
        <v>258331.39999999991</v>
      </c>
      <c r="M81" s="639">
        <f t="shared" si="16"/>
        <v>600724.39999999991</v>
      </c>
      <c r="N81" s="640">
        <f t="shared" si="16"/>
        <v>-1571394.6</v>
      </c>
      <c r="O81" s="285"/>
      <c r="P81" s="283">
        <f>SUM(C81:N81)</f>
        <v>-1696627.8000000007</v>
      </c>
      <c r="Q81" s="284"/>
      <c r="R81" s="284"/>
    </row>
    <row r="82" spans="2:19" x14ac:dyDescent="0.25">
      <c r="B82" s="636" t="s">
        <v>76</v>
      </c>
      <c r="C82" s="637">
        <f>IF(C80&lt;&gt;0,+ROUND(C81+$E$1,0),0)</f>
        <v>11320511</v>
      </c>
      <c r="D82" s="637">
        <f>IF(D80&lt;&gt;0,+ROUND(D81+$E$1,0),0)</f>
        <v>13606476</v>
      </c>
      <c r="E82" s="637">
        <f>IF(E80&lt;&gt;0,+ROUND(E81+$E$1,0),0)</f>
        <v>12064388</v>
      </c>
      <c r="F82" s="637">
        <f>IF(F80&lt;&gt;0,+ROUND(F81+$E$1,0),0)</f>
        <v>12710728</v>
      </c>
      <c r="G82" s="637">
        <f>IF(G80&lt;&gt;0,+ROUND(G81+$E$1,0),0)</f>
        <v>11797328</v>
      </c>
      <c r="H82" s="637">
        <f t="shared" ref="H82:N82" si="17">IF(H80&lt;&gt;0,+ROUND(H81+$E$1,0),0)</f>
        <v>12558181</v>
      </c>
      <c r="I82" s="637">
        <f t="shared" si="17"/>
        <v>11067487</v>
      </c>
      <c r="J82" s="637">
        <f t="shared" si="17"/>
        <v>11752057</v>
      </c>
      <c r="K82" s="637">
        <f t="shared" si="17"/>
        <v>11786885</v>
      </c>
      <c r="L82" s="637">
        <f t="shared" si="17"/>
        <v>12441479</v>
      </c>
      <c r="M82" s="637">
        <f t="shared" si="17"/>
        <v>12783872</v>
      </c>
      <c r="N82" s="638">
        <f t="shared" si="17"/>
        <v>10611753</v>
      </c>
      <c r="P82" s="283">
        <f>+IF(P80=0,0,+P80+E1)</f>
        <v>10611753.4</v>
      </c>
    </row>
    <row r="83" spans="2:19" x14ac:dyDescent="0.25">
      <c r="B83" s="286" t="s">
        <v>77</v>
      </c>
      <c r="C83" s="287">
        <v>11320511</v>
      </c>
      <c r="D83" s="287">
        <v>13606476</v>
      </c>
      <c r="E83" s="287">
        <v>12064388</v>
      </c>
      <c r="F83" s="287">
        <v>12710728</v>
      </c>
      <c r="G83" s="287">
        <v>11797328</v>
      </c>
      <c r="H83" s="287">
        <v>12558181</v>
      </c>
      <c r="I83" s="287">
        <v>11067487</v>
      </c>
      <c r="J83" s="287">
        <v>11752057</v>
      </c>
      <c r="K83" s="287">
        <v>11786855</v>
      </c>
      <c r="L83" s="287">
        <v>12441479</v>
      </c>
      <c r="M83" s="287">
        <v>12783872</v>
      </c>
      <c r="N83" s="288">
        <v>10611753</v>
      </c>
      <c r="P83" s="289">
        <f>+P79-P80</f>
        <v>0</v>
      </c>
      <c r="S83" s="290"/>
    </row>
    <row r="84" spans="2:19" x14ac:dyDescent="0.25">
      <c r="B84" s="291" t="s">
        <v>78</v>
      </c>
      <c r="C84" s="292">
        <f t="shared" ref="C84:N84" si="18">+C83-C82</f>
        <v>0</v>
      </c>
      <c r="D84" s="292">
        <f t="shared" si="18"/>
        <v>0</v>
      </c>
      <c r="E84" s="292">
        <f t="shared" si="18"/>
        <v>0</v>
      </c>
      <c r="F84" s="292">
        <f t="shared" si="18"/>
        <v>0</v>
      </c>
      <c r="G84" s="292">
        <f t="shared" si="18"/>
        <v>0</v>
      </c>
      <c r="H84" s="292">
        <f t="shared" si="18"/>
        <v>0</v>
      </c>
      <c r="I84" s="292">
        <f t="shared" si="18"/>
        <v>0</v>
      </c>
      <c r="J84" s="292">
        <f t="shared" si="18"/>
        <v>0</v>
      </c>
      <c r="K84" s="292">
        <f t="shared" si="18"/>
        <v>-30</v>
      </c>
      <c r="L84" s="292">
        <f>+L83-L82</f>
        <v>0</v>
      </c>
      <c r="M84" s="292">
        <f t="shared" si="18"/>
        <v>0</v>
      </c>
      <c r="N84" s="293">
        <f t="shared" si="18"/>
        <v>0</v>
      </c>
    </row>
    <row r="85" spans="2:19" x14ac:dyDescent="0.25">
      <c r="B85" s="294"/>
      <c r="C85" s="412" t="str">
        <f>+IF(C83&lt;&gt;0,+IF(C84&lt;&gt;0,"DIFERENCIA","-"),"")</f>
        <v>-</v>
      </c>
      <c r="D85" s="412" t="str">
        <f t="shared" ref="D85:N85" si="19">+IF(D83&lt;&gt;0,+IF(D84&lt;&gt;0,"DIFERENCIA","-"),"")</f>
        <v>-</v>
      </c>
      <c r="E85" s="412" t="str">
        <f t="shared" si="19"/>
        <v>-</v>
      </c>
      <c r="F85" s="412" t="str">
        <f t="shared" si="19"/>
        <v>-</v>
      </c>
      <c r="G85" s="412" t="str">
        <f t="shared" si="19"/>
        <v>-</v>
      </c>
      <c r="H85" s="412" t="str">
        <f t="shared" si="19"/>
        <v>-</v>
      </c>
      <c r="I85" s="412" t="str">
        <f t="shared" si="19"/>
        <v>-</v>
      </c>
      <c r="J85" s="412" t="str">
        <f t="shared" si="19"/>
        <v>-</v>
      </c>
      <c r="K85" s="412" t="str">
        <f t="shared" si="19"/>
        <v>DIFERENCIA</v>
      </c>
      <c r="L85" s="412" t="str">
        <f t="shared" si="19"/>
        <v>-</v>
      </c>
      <c r="M85" s="412" t="str">
        <f t="shared" si="19"/>
        <v>-</v>
      </c>
      <c r="N85" s="412" t="str">
        <f t="shared" si="19"/>
        <v>-</v>
      </c>
    </row>
    <row r="86" spans="2:19" x14ac:dyDescent="0.25">
      <c r="B86" s="294"/>
      <c r="C86" s="295"/>
      <c r="D86" s="295"/>
      <c r="E86" s="295"/>
      <c r="F86" s="295"/>
      <c r="G86" s="295"/>
      <c r="H86" s="295"/>
      <c r="I86" s="295"/>
      <c r="J86" s="295"/>
      <c r="K86" s="295"/>
      <c r="L86" s="295"/>
      <c r="M86" s="295"/>
      <c r="N86" s="295"/>
    </row>
    <row r="87" spans="2:19" x14ac:dyDescent="0.25">
      <c r="B87" s="279"/>
      <c r="C87" s="296"/>
      <c r="D87" s="296"/>
      <c r="E87" s="296"/>
      <c r="F87" s="296"/>
      <c r="G87" s="296"/>
      <c r="H87" s="296"/>
      <c r="I87" s="296"/>
      <c r="J87" s="296"/>
      <c r="K87" s="296"/>
      <c r="L87" s="296"/>
      <c r="M87" s="296"/>
      <c r="N87" s="296"/>
      <c r="O87" s="296"/>
    </row>
    <row r="88" spans="2:19" x14ac:dyDescent="0.25">
      <c r="B88" s="279"/>
    </row>
    <row r="89" spans="2:19" x14ac:dyDescent="0.25">
      <c r="B89" s="279"/>
    </row>
    <row r="90" spans="2:19" x14ac:dyDescent="0.25">
      <c r="B90" s="279"/>
    </row>
    <row r="91" spans="2:19" x14ac:dyDescent="0.25">
      <c r="B91" s="279"/>
    </row>
    <row r="92" spans="2:19" x14ac:dyDescent="0.25">
      <c r="B92" s="279"/>
    </row>
    <row r="93" spans="2:19" x14ac:dyDescent="0.25">
      <c r="B93" s="279"/>
    </row>
    <row r="94" spans="2:19" x14ac:dyDescent="0.25">
      <c r="B94" s="279"/>
    </row>
    <row r="95" spans="2:19" x14ac:dyDescent="0.25">
      <c r="B95" s="279"/>
    </row>
    <row r="96" spans="2:19" x14ac:dyDescent="0.25">
      <c r="B96" s="279"/>
    </row>
    <row r="97" spans="2:18" x14ac:dyDescent="0.25">
      <c r="B97" s="279"/>
    </row>
    <row r="98" spans="2:18" x14ac:dyDescent="0.25">
      <c r="B98" s="279"/>
    </row>
    <row r="99" spans="2:18" x14ac:dyDescent="0.25">
      <c r="B99" s="279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25"/>
    </row>
    <row r="100" spans="2:18" x14ac:dyDescent="0.25">
      <c r="B100" s="279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25"/>
    </row>
    <row r="101" spans="2:18" x14ac:dyDescent="0.25">
      <c r="B101" s="279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25"/>
    </row>
    <row r="102" spans="2:18" x14ac:dyDescent="0.25">
      <c r="B102" s="279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25"/>
    </row>
    <row r="103" spans="2:18" x14ac:dyDescent="0.25">
      <c r="B103" s="279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25"/>
    </row>
    <row r="104" spans="2:18" x14ac:dyDescent="0.25">
      <c r="B104" s="279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25"/>
    </row>
    <row r="105" spans="2:18" x14ac:dyDescent="0.25">
      <c r="B105" s="279"/>
      <c r="C105" s="225"/>
      <c r="D105" s="225"/>
      <c r="E105" s="225"/>
      <c r="F105" s="225"/>
      <c r="G105" s="225"/>
      <c r="H105" s="225"/>
      <c r="I105" s="225"/>
      <c r="J105" s="225"/>
      <c r="K105" s="225"/>
      <c r="L105" s="225"/>
      <c r="M105" s="225"/>
      <c r="N105" s="225"/>
      <c r="O105" s="225"/>
      <c r="P105" s="225"/>
      <c r="Q105" s="225"/>
      <c r="R105" s="225"/>
    </row>
    <row r="106" spans="2:18" x14ac:dyDescent="0.25">
      <c r="B106" s="279"/>
      <c r="C106" s="225"/>
      <c r="D106" s="225"/>
      <c r="E106" s="225"/>
      <c r="F106" s="225"/>
      <c r="G106" s="225"/>
      <c r="H106" s="225"/>
      <c r="I106" s="225"/>
      <c r="J106" s="225"/>
      <c r="K106" s="225"/>
      <c r="L106" s="225"/>
      <c r="M106" s="225"/>
      <c r="N106" s="225"/>
      <c r="O106" s="225"/>
      <c r="P106" s="225"/>
      <c r="Q106" s="225"/>
      <c r="R106" s="225"/>
    </row>
    <row r="108" spans="2:18" ht="15.75" collapsed="1" x14ac:dyDescent="0.25">
      <c r="B108" s="569" t="s">
        <v>453</v>
      </c>
      <c r="C108" s="570" t="str">
        <f t="shared" ref="C108:N108" si="20">+C2</f>
        <v>ABR</v>
      </c>
      <c r="D108" s="570" t="str">
        <f t="shared" si="20"/>
        <v>MAY</v>
      </c>
      <c r="E108" s="570" t="str">
        <f t="shared" si="20"/>
        <v>JUN</v>
      </c>
      <c r="F108" s="570" t="str">
        <f t="shared" si="20"/>
        <v>JUL</v>
      </c>
      <c r="G108" s="570" t="str">
        <f t="shared" si="20"/>
        <v>AGO</v>
      </c>
      <c r="H108" s="570" t="str">
        <f t="shared" si="20"/>
        <v>SEP</v>
      </c>
      <c r="I108" s="570" t="str">
        <f t="shared" si="20"/>
        <v>OCT</v>
      </c>
      <c r="J108" s="570" t="str">
        <f t="shared" si="20"/>
        <v>NOV</v>
      </c>
      <c r="K108" s="570" t="str">
        <f t="shared" si="20"/>
        <v>DIC</v>
      </c>
      <c r="L108" s="570" t="str">
        <f t="shared" si="20"/>
        <v>ENE</v>
      </c>
      <c r="M108" s="570" t="str">
        <f t="shared" si="20"/>
        <v>FEB</v>
      </c>
      <c r="N108" s="570" t="str">
        <f t="shared" si="20"/>
        <v>MAR</v>
      </c>
      <c r="O108" s="225"/>
      <c r="P108" s="282"/>
      <c r="Q108" s="225"/>
      <c r="R108" s="225"/>
    </row>
    <row r="109" spans="2:18" x14ac:dyDescent="0.25">
      <c r="B109" s="580" t="str">
        <f>+B41</f>
        <v>TOTAL INGRESOS</v>
      </c>
      <c r="C109" s="583">
        <f t="shared" ref="C109:N109" si="21">+IF(C41=0,"",+C41)</f>
        <v>915500</v>
      </c>
      <c r="D109" s="583">
        <f t="shared" si="21"/>
        <v>2285965</v>
      </c>
      <c r="E109" s="583">
        <f t="shared" si="21"/>
        <v>429100</v>
      </c>
      <c r="F109" s="583">
        <f t="shared" si="21"/>
        <v>646340</v>
      </c>
      <c r="G109" s="583">
        <f t="shared" si="21"/>
        <v>582900</v>
      </c>
      <c r="H109" s="583">
        <f t="shared" si="21"/>
        <v>760853</v>
      </c>
      <c r="I109" s="583">
        <f t="shared" si="21"/>
        <v>1324582</v>
      </c>
      <c r="J109" s="583">
        <f t="shared" si="21"/>
        <v>684570</v>
      </c>
      <c r="K109" s="583">
        <f t="shared" si="21"/>
        <v>652270</v>
      </c>
      <c r="L109" s="583">
        <f t="shared" si="21"/>
        <v>654594</v>
      </c>
      <c r="M109" s="583">
        <f t="shared" si="21"/>
        <v>504470</v>
      </c>
      <c r="N109" s="583">
        <f t="shared" si="21"/>
        <v>1014370</v>
      </c>
      <c r="O109" s="225"/>
      <c r="P109" s="282">
        <f>SUM(C109:N109)</f>
        <v>10455514</v>
      </c>
      <c r="Q109" s="282"/>
      <c r="R109" s="225"/>
    </row>
    <row r="110" spans="2:18" x14ac:dyDescent="0.25">
      <c r="B110" s="581" t="str">
        <f>+B77</f>
        <v>TOTAL GASTOS</v>
      </c>
      <c r="C110" s="584">
        <f t="shared" ref="C110:N110" si="22">+IF(C77=0,"",+C77)</f>
        <v>1778137</v>
      </c>
      <c r="D110" s="584" t="str">
        <f t="shared" si="22"/>
        <v/>
      </c>
      <c r="E110" s="584">
        <f t="shared" si="22"/>
        <v>1971188</v>
      </c>
      <c r="F110" s="584" t="str">
        <f t="shared" si="22"/>
        <v/>
      </c>
      <c r="G110" s="584">
        <f t="shared" si="22"/>
        <v>1496299.6</v>
      </c>
      <c r="H110" s="584" t="str">
        <f t="shared" si="22"/>
        <v/>
      </c>
      <c r="I110" s="584">
        <f t="shared" si="22"/>
        <v>2815276</v>
      </c>
      <c r="J110" s="584" t="str">
        <f t="shared" si="22"/>
        <v/>
      </c>
      <c r="K110" s="584">
        <f t="shared" si="22"/>
        <v>617442</v>
      </c>
      <c r="L110" s="584" t="str">
        <f t="shared" si="22"/>
        <v/>
      </c>
      <c r="M110" s="584">
        <f t="shared" si="22"/>
        <v>162077</v>
      </c>
      <c r="N110" s="584">
        <f t="shared" si="22"/>
        <v>3186489</v>
      </c>
      <c r="O110" s="225"/>
      <c r="P110" s="282">
        <f>SUM(C110:N110)</f>
        <v>12026908.6</v>
      </c>
      <c r="Q110" s="282"/>
      <c r="R110" s="225"/>
    </row>
    <row r="111" spans="2:18" x14ac:dyDescent="0.25">
      <c r="B111" s="582" t="str">
        <f>+B80</f>
        <v>AHORRO O DÉFICIT</v>
      </c>
      <c r="C111" s="585">
        <f t="shared" ref="C111:N111" si="23">+IF(C80=0,"",+C80)</f>
        <v>-862637</v>
      </c>
      <c r="D111" s="585">
        <f t="shared" si="23"/>
        <v>2285965</v>
      </c>
      <c r="E111" s="585">
        <f t="shared" si="23"/>
        <v>-1542088</v>
      </c>
      <c r="F111" s="585">
        <f t="shared" si="23"/>
        <v>646340</v>
      </c>
      <c r="G111" s="585">
        <f t="shared" si="23"/>
        <v>-913399.60000000009</v>
      </c>
      <c r="H111" s="585">
        <f t="shared" si="23"/>
        <v>760853</v>
      </c>
      <c r="I111" s="585">
        <f t="shared" si="23"/>
        <v>-1490694</v>
      </c>
      <c r="J111" s="585">
        <f t="shared" si="23"/>
        <v>684570</v>
      </c>
      <c r="K111" s="585">
        <f t="shared" si="23"/>
        <v>34828</v>
      </c>
      <c r="L111" s="585">
        <f t="shared" si="23"/>
        <v>654594</v>
      </c>
      <c r="M111" s="585">
        <f t="shared" si="23"/>
        <v>342393</v>
      </c>
      <c r="N111" s="585">
        <f t="shared" si="23"/>
        <v>-2172119</v>
      </c>
      <c r="O111" s="225"/>
      <c r="P111" s="282">
        <f>SUM(C111:N111)</f>
        <v>-1571394.6</v>
      </c>
      <c r="Q111" s="282"/>
      <c r="R111" s="225"/>
    </row>
    <row r="112" spans="2:18" x14ac:dyDescent="0.25">
      <c r="B112" s="260"/>
      <c r="C112" s="297"/>
      <c r="D112" s="297"/>
      <c r="E112" s="297"/>
      <c r="F112" s="297"/>
      <c r="G112" s="297"/>
      <c r="H112" s="297"/>
      <c r="I112" s="297"/>
      <c r="J112" s="297"/>
      <c r="K112" s="297"/>
      <c r="L112" s="297"/>
      <c r="M112" s="297"/>
      <c r="N112" s="297"/>
      <c r="O112" s="225"/>
      <c r="P112" s="225"/>
      <c r="Q112" s="225"/>
      <c r="R112" s="225"/>
    </row>
    <row r="114" spans="1:16143" ht="15.75" x14ac:dyDescent="0.25">
      <c r="B114" s="569" t="s">
        <v>452</v>
      </c>
      <c r="C114" s="570" t="str">
        <f>+C108</f>
        <v>ABR</v>
      </c>
      <c r="D114" s="570" t="str">
        <f t="shared" ref="D114:N114" si="24">+D108</f>
        <v>MAY</v>
      </c>
      <c r="E114" s="570" t="str">
        <f t="shared" si="24"/>
        <v>JUN</v>
      </c>
      <c r="F114" s="570" t="str">
        <f t="shared" si="24"/>
        <v>JUL</v>
      </c>
      <c r="G114" s="570" t="str">
        <f t="shared" si="24"/>
        <v>AGO</v>
      </c>
      <c r="H114" s="570" t="str">
        <f t="shared" si="24"/>
        <v>SEP</v>
      </c>
      <c r="I114" s="570" t="str">
        <f t="shared" si="24"/>
        <v>OCT</v>
      </c>
      <c r="J114" s="570" t="str">
        <f t="shared" si="24"/>
        <v>NOV</v>
      </c>
      <c r="K114" s="570" t="str">
        <f t="shared" si="24"/>
        <v>DIC</v>
      </c>
      <c r="L114" s="570" t="str">
        <f t="shared" si="24"/>
        <v>ENE</v>
      </c>
      <c r="M114" s="570" t="str">
        <f t="shared" si="24"/>
        <v>FEB</v>
      </c>
      <c r="N114" s="570" t="str">
        <f t="shared" si="24"/>
        <v>MAR</v>
      </c>
    </row>
    <row r="115" spans="1:16143" x14ac:dyDescent="0.2">
      <c r="B115" s="578" t="s">
        <v>56</v>
      </c>
      <c r="C115" s="579" t="str">
        <f t="shared" ref="C115:N115" si="25">+IF(C3&lt;&gt;0,"Ok","")</f>
        <v>Ok</v>
      </c>
      <c r="D115" s="579" t="str">
        <f t="shared" si="25"/>
        <v>Ok</v>
      </c>
      <c r="E115" s="579" t="str">
        <f t="shared" si="25"/>
        <v>Ok</v>
      </c>
      <c r="F115" s="579" t="str">
        <f t="shared" si="25"/>
        <v>Ok</v>
      </c>
      <c r="G115" s="579" t="str">
        <f t="shared" si="25"/>
        <v>Ok</v>
      </c>
      <c r="H115" s="579" t="str">
        <f t="shared" si="25"/>
        <v>Ok</v>
      </c>
      <c r="I115" s="579" t="str">
        <f t="shared" si="25"/>
        <v>Ok</v>
      </c>
      <c r="J115" s="579" t="str">
        <f t="shared" si="25"/>
        <v>Ok</v>
      </c>
      <c r="K115" s="579" t="str">
        <f t="shared" si="25"/>
        <v>Ok</v>
      </c>
      <c r="L115" s="579" t="str">
        <f t="shared" si="25"/>
        <v>Ok</v>
      </c>
      <c r="M115" s="579" t="str">
        <f t="shared" si="25"/>
        <v>Ok</v>
      </c>
      <c r="N115" s="579" t="str">
        <f t="shared" si="25"/>
        <v>Ok</v>
      </c>
    </row>
    <row r="116" spans="1:16143" x14ac:dyDescent="0.2">
      <c r="B116" s="574" t="s">
        <v>474</v>
      </c>
      <c r="C116" s="576"/>
      <c r="D116" s="576" t="str">
        <f t="shared" ref="D116:N116" si="26">+IF(D4&lt;&gt;0,"Ok","")</f>
        <v/>
      </c>
      <c r="E116" s="576" t="str">
        <f t="shared" si="26"/>
        <v/>
      </c>
      <c r="F116" s="576" t="str">
        <f t="shared" si="26"/>
        <v/>
      </c>
      <c r="G116" s="576" t="str">
        <f t="shared" si="26"/>
        <v/>
      </c>
      <c r="H116" s="576" t="str">
        <f t="shared" si="26"/>
        <v/>
      </c>
      <c r="I116" s="576" t="str">
        <f t="shared" si="26"/>
        <v/>
      </c>
      <c r="J116" s="576" t="str">
        <f t="shared" si="26"/>
        <v/>
      </c>
      <c r="K116" s="576" t="str">
        <f t="shared" si="26"/>
        <v/>
      </c>
      <c r="L116" s="576" t="str">
        <f t="shared" si="26"/>
        <v/>
      </c>
      <c r="M116" s="576" t="str">
        <f t="shared" si="26"/>
        <v/>
      </c>
      <c r="N116" s="576" t="str">
        <f t="shared" si="26"/>
        <v/>
      </c>
    </row>
    <row r="117" spans="1:16143" x14ac:dyDescent="0.2">
      <c r="B117" s="574" t="s">
        <v>475</v>
      </c>
      <c r="C117" s="576" t="str">
        <f t="shared" ref="C117:N117" si="27">+IF(C5&lt;&gt;0,"Ok","")</f>
        <v/>
      </c>
      <c r="D117" s="576" t="str">
        <f t="shared" si="27"/>
        <v/>
      </c>
      <c r="E117" s="576" t="str">
        <f t="shared" si="27"/>
        <v/>
      </c>
      <c r="F117" s="576" t="str">
        <f t="shared" si="27"/>
        <v/>
      </c>
      <c r="G117" s="576" t="str">
        <f t="shared" si="27"/>
        <v/>
      </c>
      <c r="H117" s="576" t="str">
        <f t="shared" si="27"/>
        <v/>
      </c>
      <c r="I117" s="576" t="str">
        <f t="shared" si="27"/>
        <v/>
      </c>
      <c r="J117" s="576" t="str">
        <f t="shared" si="27"/>
        <v/>
      </c>
      <c r="K117" s="576" t="str">
        <f t="shared" si="27"/>
        <v/>
      </c>
      <c r="L117" s="576" t="str">
        <f t="shared" si="27"/>
        <v/>
      </c>
      <c r="M117" s="576" t="str">
        <f t="shared" si="27"/>
        <v/>
      </c>
      <c r="N117" s="576" t="str">
        <f t="shared" si="27"/>
        <v/>
      </c>
    </row>
    <row r="118" spans="1:16143" s="230" customFormat="1" x14ac:dyDescent="0.2">
      <c r="A118" s="225"/>
      <c r="B118" s="574" t="s">
        <v>476</v>
      </c>
      <c r="C118" s="576" t="str">
        <f t="shared" ref="C118:N118" si="28">+IF(C6&lt;&gt;0,"Ok","")</f>
        <v>Ok</v>
      </c>
      <c r="D118" s="576" t="str">
        <f t="shared" si="28"/>
        <v>Ok</v>
      </c>
      <c r="E118" s="576" t="str">
        <f t="shared" si="28"/>
        <v>Ok</v>
      </c>
      <c r="F118" s="576" t="str">
        <f t="shared" si="28"/>
        <v>Ok</v>
      </c>
      <c r="G118" s="576" t="str">
        <f t="shared" si="28"/>
        <v>Ok</v>
      </c>
      <c r="H118" s="576" t="str">
        <f t="shared" si="28"/>
        <v>Ok</v>
      </c>
      <c r="I118" s="576" t="str">
        <f t="shared" si="28"/>
        <v>Ok</v>
      </c>
      <c r="J118" s="576" t="str">
        <f t="shared" si="28"/>
        <v>Ok</v>
      </c>
      <c r="K118" s="576" t="str">
        <f t="shared" si="28"/>
        <v>Ok</v>
      </c>
      <c r="L118" s="576" t="str">
        <f t="shared" si="28"/>
        <v>Ok</v>
      </c>
      <c r="M118" s="576" t="str">
        <f t="shared" si="28"/>
        <v>Ok</v>
      </c>
      <c r="N118" s="576" t="str">
        <f t="shared" si="28"/>
        <v>Ok</v>
      </c>
      <c r="Q118" s="284"/>
      <c r="R118" s="284"/>
      <c r="S118" s="225"/>
      <c r="T118" s="225"/>
      <c r="U118" s="225"/>
      <c r="V118" s="225"/>
      <c r="W118" s="225"/>
      <c r="X118" s="225"/>
      <c r="Y118" s="225"/>
      <c r="Z118" s="225"/>
      <c r="AA118" s="225"/>
      <c r="AB118" s="225"/>
      <c r="AC118" s="225"/>
      <c r="AD118" s="225"/>
      <c r="AE118" s="225"/>
      <c r="AF118" s="225"/>
      <c r="AG118" s="225"/>
      <c r="AH118" s="225"/>
      <c r="AI118" s="225"/>
      <c r="AJ118" s="225"/>
      <c r="AK118" s="225"/>
      <c r="AL118" s="225"/>
      <c r="AM118" s="225"/>
      <c r="AN118" s="225"/>
      <c r="AO118" s="225"/>
      <c r="AP118" s="225"/>
      <c r="AQ118" s="225"/>
      <c r="AR118" s="225"/>
      <c r="AS118" s="225"/>
      <c r="AT118" s="225"/>
      <c r="AU118" s="225"/>
      <c r="AV118" s="225"/>
      <c r="AW118" s="225"/>
      <c r="AX118" s="225"/>
      <c r="AY118" s="225"/>
      <c r="AZ118" s="225"/>
      <c r="BA118" s="225"/>
      <c r="BB118" s="225"/>
      <c r="BC118" s="225"/>
      <c r="BD118" s="225"/>
      <c r="BE118" s="225"/>
      <c r="BF118" s="225"/>
      <c r="BG118" s="225"/>
      <c r="BH118" s="225"/>
      <c r="BI118" s="225"/>
      <c r="BJ118" s="225"/>
      <c r="BK118" s="225"/>
      <c r="BL118" s="225"/>
      <c r="BM118" s="225"/>
      <c r="BN118" s="225"/>
      <c r="BO118" s="225"/>
      <c r="BP118" s="225"/>
      <c r="BQ118" s="225"/>
      <c r="BR118" s="225"/>
      <c r="BS118" s="225"/>
      <c r="BT118" s="225"/>
      <c r="BU118" s="225"/>
      <c r="BV118" s="225"/>
      <c r="BW118" s="225"/>
      <c r="BX118" s="225"/>
      <c r="BY118" s="225"/>
      <c r="BZ118" s="225"/>
      <c r="CA118" s="225"/>
      <c r="CB118" s="225"/>
      <c r="CC118" s="225"/>
      <c r="CD118" s="225"/>
      <c r="CE118" s="225"/>
      <c r="CF118" s="225"/>
      <c r="CG118" s="225"/>
      <c r="CH118" s="225"/>
      <c r="CI118" s="225"/>
      <c r="CJ118" s="225"/>
      <c r="CK118" s="225"/>
      <c r="CL118" s="225"/>
      <c r="CM118" s="225"/>
      <c r="CN118" s="225"/>
      <c r="CO118" s="225"/>
      <c r="CP118" s="225"/>
      <c r="CQ118" s="225"/>
      <c r="CR118" s="225"/>
      <c r="CS118" s="225"/>
      <c r="CT118" s="225"/>
      <c r="CU118" s="225"/>
      <c r="CV118" s="225"/>
      <c r="CW118" s="225"/>
      <c r="CX118" s="225"/>
      <c r="CY118" s="225"/>
      <c r="CZ118" s="225"/>
      <c r="DA118" s="225"/>
      <c r="DB118" s="225"/>
      <c r="DC118" s="225"/>
      <c r="DD118" s="225"/>
      <c r="DE118" s="225"/>
      <c r="DF118" s="225"/>
      <c r="DG118" s="225"/>
      <c r="DH118" s="225"/>
      <c r="DI118" s="225"/>
      <c r="DJ118" s="225"/>
      <c r="DK118" s="225"/>
      <c r="DL118" s="225"/>
      <c r="DM118" s="225"/>
      <c r="DN118" s="225"/>
      <c r="DO118" s="225"/>
      <c r="DP118" s="225"/>
      <c r="DQ118" s="225"/>
      <c r="DR118" s="225"/>
      <c r="DS118" s="225"/>
      <c r="DT118" s="225"/>
      <c r="DU118" s="225"/>
      <c r="DV118" s="225"/>
      <c r="DW118" s="225"/>
      <c r="DX118" s="225"/>
      <c r="DY118" s="225"/>
      <c r="DZ118" s="225"/>
      <c r="EA118" s="225"/>
      <c r="EB118" s="225"/>
      <c r="EC118" s="225"/>
      <c r="ED118" s="225"/>
      <c r="EE118" s="225"/>
      <c r="EF118" s="225"/>
      <c r="EG118" s="225"/>
      <c r="EH118" s="225"/>
      <c r="EI118" s="225"/>
      <c r="EJ118" s="225"/>
      <c r="EK118" s="225"/>
      <c r="EL118" s="225"/>
      <c r="EM118" s="225"/>
      <c r="EN118" s="225"/>
      <c r="EO118" s="225"/>
      <c r="EP118" s="225"/>
      <c r="EQ118" s="225"/>
      <c r="ER118" s="225"/>
      <c r="ES118" s="225"/>
      <c r="ET118" s="225"/>
      <c r="EU118" s="225"/>
      <c r="EV118" s="225"/>
      <c r="EW118" s="225"/>
      <c r="EX118" s="225"/>
      <c r="EY118" s="225"/>
      <c r="EZ118" s="225"/>
      <c r="FA118" s="225"/>
      <c r="FB118" s="225"/>
      <c r="FC118" s="225"/>
      <c r="FD118" s="225"/>
      <c r="FE118" s="225"/>
      <c r="FF118" s="225"/>
      <c r="FG118" s="225"/>
      <c r="FH118" s="225"/>
      <c r="FI118" s="225"/>
      <c r="FJ118" s="225"/>
      <c r="FK118" s="225"/>
      <c r="FL118" s="225"/>
      <c r="FM118" s="225"/>
      <c r="FN118" s="225"/>
      <c r="FO118" s="225"/>
      <c r="FP118" s="225"/>
      <c r="FQ118" s="225"/>
      <c r="FR118" s="225"/>
      <c r="FS118" s="225"/>
      <c r="FT118" s="225"/>
      <c r="FU118" s="225"/>
      <c r="FV118" s="225"/>
      <c r="FW118" s="225"/>
      <c r="FX118" s="225"/>
      <c r="FY118" s="225"/>
      <c r="FZ118" s="225"/>
      <c r="GA118" s="225"/>
      <c r="GB118" s="225"/>
      <c r="GC118" s="225"/>
      <c r="GD118" s="225"/>
      <c r="GE118" s="225"/>
      <c r="GF118" s="225"/>
      <c r="GG118" s="225"/>
      <c r="GH118" s="225"/>
      <c r="GI118" s="225"/>
      <c r="GJ118" s="225"/>
      <c r="GK118" s="225"/>
      <c r="GL118" s="225"/>
      <c r="GM118" s="225"/>
      <c r="GN118" s="225"/>
      <c r="GO118" s="225"/>
      <c r="GP118" s="225"/>
      <c r="GQ118" s="225"/>
      <c r="GR118" s="225"/>
      <c r="GS118" s="225"/>
      <c r="GT118" s="225"/>
      <c r="GU118" s="225"/>
      <c r="GV118" s="225"/>
      <c r="GW118" s="225"/>
      <c r="GX118" s="225"/>
      <c r="GY118" s="225"/>
      <c r="GZ118" s="225"/>
      <c r="HA118" s="225"/>
      <c r="HB118" s="225"/>
      <c r="HC118" s="225"/>
      <c r="HD118" s="225"/>
      <c r="HE118" s="225"/>
      <c r="HF118" s="225"/>
      <c r="HG118" s="225"/>
      <c r="HH118" s="225"/>
      <c r="HI118" s="225"/>
      <c r="HJ118" s="225"/>
      <c r="HK118" s="225"/>
      <c r="HL118" s="225"/>
      <c r="HM118" s="225"/>
      <c r="HN118" s="225"/>
      <c r="HO118" s="225"/>
      <c r="HP118" s="225"/>
      <c r="HQ118" s="225"/>
      <c r="HR118" s="225"/>
      <c r="HS118" s="225"/>
      <c r="HT118" s="225"/>
      <c r="HU118" s="225"/>
      <c r="HV118" s="225"/>
      <c r="HW118" s="225"/>
      <c r="HX118" s="225"/>
      <c r="HY118" s="225"/>
      <c r="HZ118" s="225"/>
      <c r="IA118" s="225"/>
      <c r="IB118" s="225"/>
      <c r="IC118" s="225"/>
      <c r="ID118" s="225"/>
      <c r="IE118" s="225"/>
      <c r="IF118" s="225"/>
      <c r="IG118" s="225"/>
      <c r="IH118" s="225"/>
      <c r="II118" s="225"/>
      <c r="IJ118" s="225"/>
      <c r="IK118" s="225"/>
      <c r="IL118" s="225"/>
      <c r="IM118" s="225"/>
      <c r="IN118" s="225"/>
      <c r="IO118" s="225"/>
      <c r="IP118" s="225"/>
      <c r="IQ118" s="225"/>
      <c r="IR118" s="225"/>
      <c r="IS118" s="225"/>
      <c r="IT118" s="225"/>
      <c r="IU118" s="225"/>
      <c r="IV118" s="225"/>
      <c r="IW118" s="225"/>
      <c r="IX118" s="225"/>
      <c r="IY118" s="225"/>
      <c r="IZ118" s="225"/>
      <c r="JA118" s="225"/>
      <c r="JB118" s="225"/>
      <c r="JC118" s="225"/>
      <c r="JD118" s="225"/>
      <c r="JE118" s="225"/>
      <c r="JF118" s="225"/>
      <c r="JG118" s="225"/>
      <c r="JH118" s="225"/>
      <c r="JI118" s="225"/>
      <c r="JJ118" s="225"/>
      <c r="JK118" s="225"/>
      <c r="JL118" s="225"/>
      <c r="JM118" s="225"/>
      <c r="JN118" s="225"/>
      <c r="JO118" s="225"/>
      <c r="JP118" s="225"/>
      <c r="JQ118" s="225"/>
      <c r="JR118" s="225"/>
      <c r="JS118" s="225"/>
      <c r="JT118" s="225"/>
      <c r="JU118" s="225"/>
      <c r="JV118" s="225"/>
      <c r="JW118" s="225"/>
      <c r="JX118" s="225"/>
      <c r="JY118" s="225"/>
      <c r="JZ118" s="225"/>
      <c r="KA118" s="225"/>
      <c r="KB118" s="225"/>
      <c r="KC118" s="225"/>
      <c r="KD118" s="225"/>
      <c r="KE118" s="225"/>
      <c r="KF118" s="225"/>
      <c r="KG118" s="225"/>
      <c r="KH118" s="225"/>
      <c r="KI118" s="225"/>
      <c r="KJ118" s="225"/>
      <c r="KK118" s="225"/>
      <c r="KL118" s="225"/>
      <c r="KM118" s="225"/>
      <c r="KN118" s="225"/>
      <c r="KO118" s="225"/>
      <c r="KP118" s="225"/>
      <c r="KQ118" s="225"/>
      <c r="KR118" s="225"/>
      <c r="KS118" s="225"/>
      <c r="KT118" s="225"/>
      <c r="KU118" s="225"/>
      <c r="KV118" s="225"/>
      <c r="KW118" s="225"/>
      <c r="KX118" s="225"/>
      <c r="KY118" s="225"/>
      <c r="KZ118" s="225"/>
      <c r="LA118" s="225"/>
      <c r="LB118" s="225"/>
      <c r="LC118" s="225"/>
      <c r="LD118" s="225"/>
      <c r="LE118" s="225"/>
      <c r="LF118" s="225"/>
      <c r="LG118" s="225"/>
      <c r="LH118" s="225"/>
      <c r="LI118" s="225"/>
      <c r="LJ118" s="225"/>
      <c r="LK118" s="225"/>
      <c r="LL118" s="225"/>
      <c r="LM118" s="225"/>
      <c r="LN118" s="225"/>
      <c r="LO118" s="225"/>
      <c r="LP118" s="225"/>
      <c r="LQ118" s="225"/>
      <c r="LR118" s="225"/>
      <c r="LS118" s="225"/>
      <c r="LT118" s="225"/>
      <c r="LU118" s="225"/>
      <c r="LV118" s="225"/>
      <c r="LW118" s="225"/>
      <c r="LX118" s="225"/>
      <c r="LY118" s="225"/>
      <c r="LZ118" s="225"/>
      <c r="MA118" s="225"/>
      <c r="MB118" s="225"/>
      <c r="MC118" s="225"/>
      <c r="MD118" s="225"/>
      <c r="ME118" s="225"/>
      <c r="MF118" s="225"/>
      <c r="MG118" s="225"/>
      <c r="MH118" s="225"/>
      <c r="MI118" s="225"/>
      <c r="MJ118" s="225"/>
      <c r="MK118" s="225"/>
      <c r="ML118" s="225"/>
      <c r="MM118" s="225"/>
      <c r="MN118" s="225"/>
      <c r="MO118" s="225"/>
      <c r="MP118" s="225"/>
      <c r="MQ118" s="225"/>
      <c r="MR118" s="225"/>
      <c r="MS118" s="225"/>
      <c r="MT118" s="225"/>
      <c r="MU118" s="225"/>
      <c r="MV118" s="225"/>
      <c r="MW118" s="225"/>
      <c r="MX118" s="225"/>
      <c r="MY118" s="225"/>
      <c r="MZ118" s="225"/>
      <c r="NA118" s="225"/>
      <c r="NB118" s="225"/>
      <c r="NC118" s="225"/>
      <c r="ND118" s="225"/>
      <c r="NE118" s="225"/>
      <c r="NF118" s="225"/>
      <c r="NG118" s="225"/>
      <c r="NH118" s="225"/>
      <c r="NI118" s="225"/>
      <c r="NJ118" s="225"/>
      <c r="NK118" s="225"/>
      <c r="NL118" s="225"/>
      <c r="NM118" s="225"/>
      <c r="NN118" s="225"/>
      <c r="NO118" s="225"/>
      <c r="NP118" s="225"/>
      <c r="NQ118" s="225"/>
      <c r="NR118" s="225"/>
      <c r="NS118" s="225"/>
      <c r="NT118" s="225"/>
      <c r="NU118" s="225"/>
      <c r="NV118" s="225"/>
      <c r="NW118" s="225"/>
      <c r="NX118" s="225"/>
      <c r="NY118" s="225"/>
      <c r="NZ118" s="225"/>
      <c r="OA118" s="225"/>
      <c r="OB118" s="225"/>
      <c r="OC118" s="225"/>
      <c r="OD118" s="225"/>
      <c r="OE118" s="225"/>
      <c r="OF118" s="225"/>
      <c r="OG118" s="225"/>
      <c r="OH118" s="225"/>
      <c r="OI118" s="225"/>
      <c r="OJ118" s="225"/>
      <c r="OK118" s="225"/>
      <c r="OL118" s="225"/>
      <c r="OM118" s="225"/>
      <c r="ON118" s="225"/>
      <c r="OO118" s="225"/>
      <c r="OP118" s="225"/>
      <c r="OQ118" s="225"/>
      <c r="OR118" s="225"/>
      <c r="OS118" s="225"/>
      <c r="OT118" s="225"/>
      <c r="OU118" s="225"/>
      <c r="OV118" s="225"/>
      <c r="OW118" s="225"/>
      <c r="OX118" s="225"/>
      <c r="OY118" s="225"/>
      <c r="OZ118" s="225"/>
      <c r="PA118" s="225"/>
      <c r="PB118" s="225"/>
      <c r="PC118" s="225"/>
      <c r="PD118" s="225"/>
      <c r="PE118" s="225"/>
      <c r="PF118" s="225"/>
      <c r="PG118" s="225"/>
      <c r="PH118" s="225"/>
      <c r="PI118" s="225"/>
      <c r="PJ118" s="225"/>
      <c r="PK118" s="225"/>
      <c r="PL118" s="225"/>
      <c r="PM118" s="225"/>
      <c r="PN118" s="225"/>
      <c r="PO118" s="225"/>
      <c r="PP118" s="225"/>
      <c r="PQ118" s="225"/>
      <c r="PR118" s="225"/>
      <c r="PS118" s="225"/>
      <c r="PT118" s="225"/>
      <c r="PU118" s="225"/>
      <c r="PV118" s="225"/>
      <c r="PW118" s="225"/>
      <c r="PX118" s="225"/>
      <c r="PY118" s="225"/>
      <c r="PZ118" s="225"/>
      <c r="QA118" s="225"/>
      <c r="QB118" s="225"/>
      <c r="QC118" s="225"/>
      <c r="QD118" s="225"/>
      <c r="QE118" s="225"/>
      <c r="QF118" s="225"/>
      <c r="QG118" s="225"/>
      <c r="QH118" s="225"/>
      <c r="QI118" s="225"/>
      <c r="QJ118" s="225"/>
      <c r="QK118" s="225"/>
      <c r="QL118" s="225"/>
      <c r="QM118" s="225"/>
      <c r="QN118" s="225"/>
      <c r="QO118" s="225"/>
      <c r="QP118" s="225"/>
      <c r="QQ118" s="225"/>
      <c r="QR118" s="225"/>
      <c r="QS118" s="225"/>
      <c r="QT118" s="225"/>
      <c r="QU118" s="225"/>
      <c r="QV118" s="225"/>
      <c r="QW118" s="225"/>
      <c r="QX118" s="225"/>
      <c r="QY118" s="225"/>
      <c r="QZ118" s="225"/>
      <c r="RA118" s="225"/>
      <c r="RB118" s="225"/>
      <c r="RC118" s="225"/>
      <c r="RD118" s="225"/>
      <c r="RE118" s="225"/>
      <c r="RF118" s="225"/>
      <c r="RG118" s="225"/>
      <c r="RH118" s="225"/>
      <c r="RI118" s="225"/>
      <c r="RJ118" s="225"/>
      <c r="RK118" s="225"/>
      <c r="RL118" s="225"/>
      <c r="RM118" s="225"/>
      <c r="RN118" s="225"/>
      <c r="RO118" s="225"/>
      <c r="RP118" s="225"/>
      <c r="RQ118" s="225"/>
      <c r="RR118" s="225"/>
      <c r="RS118" s="225"/>
      <c r="RT118" s="225"/>
      <c r="RU118" s="225"/>
      <c r="RV118" s="225"/>
      <c r="RW118" s="225"/>
      <c r="RX118" s="225"/>
      <c r="RY118" s="225"/>
      <c r="RZ118" s="225"/>
      <c r="SA118" s="225"/>
      <c r="SB118" s="225"/>
      <c r="SC118" s="225"/>
      <c r="SD118" s="225"/>
      <c r="SE118" s="225"/>
      <c r="SF118" s="225"/>
      <c r="SG118" s="225"/>
      <c r="SH118" s="225"/>
      <c r="SI118" s="225"/>
      <c r="SJ118" s="225"/>
      <c r="SK118" s="225"/>
      <c r="SL118" s="225"/>
      <c r="SM118" s="225"/>
      <c r="SN118" s="225"/>
      <c r="SO118" s="225"/>
      <c r="SP118" s="225"/>
      <c r="SQ118" s="225"/>
      <c r="SR118" s="225"/>
      <c r="SS118" s="225"/>
      <c r="ST118" s="225"/>
      <c r="SU118" s="225"/>
      <c r="SV118" s="225"/>
      <c r="SW118" s="225"/>
      <c r="SX118" s="225"/>
      <c r="SY118" s="225"/>
      <c r="SZ118" s="225"/>
      <c r="TA118" s="225"/>
      <c r="TB118" s="225"/>
      <c r="TC118" s="225"/>
      <c r="TD118" s="225"/>
      <c r="TE118" s="225"/>
      <c r="TF118" s="225"/>
      <c r="TG118" s="225"/>
      <c r="TH118" s="225"/>
      <c r="TI118" s="225"/>
      <c r="TJ118" s="225"/>
      <c r="TK118" s="225"/>
      <c r="TL118" s="225"/>
      <c r="TM118" s="225"/>
      <c r="TN118" s="225"/>
      <c r="TO118" s="225"/>
      <c r="TP118" s="225"/>
      <c r="TQ118" s="225"/>
      <c r="TR118" s="225"/>
      <c r="TS118" s="225"/>
      <c r="TT118" s="225"/>
      <c r="TU118" s="225"/>
      <c r="TV118" s="225"/>
      <c r="TW118" s="225"/>
      <c r="TX118" s="225"/>
      <c r="TY118" s="225"/>
      <c r="TZ118" s="225"/>
      <c r="UA118" s="225"/>
      <c r="UB118" s="225"/>
      <c r="UC118" s="225"/>
      <c r="UD118" s="225"/>
      <c r="UE118" s="225"/>
      <c r="UF118" s="225"/>
      <c r="UG118" s="225"/>
      <c r="UH118" s="225"/>
      <c r="UI118" s="225"/>
      <c r="UJ118" s="225"/>
      <c r="UK118" s="225"/>
      <c r="UL118" s="225"/>
      <c r="UM118" s="225"/>
      <c r="UN118" s="225"/>
      <c r="UO118" s="225"/>
      <c r="UP118" s="225"/>
      <c r="UQ118" s="225"/>
      <c r="UR118" s="225"/>
      <c r="US118" s="225"/>
      <c r="UT118" s="225"/>
      <c r="UU118" s="225"/>
      <c r="UV118" s="225"/>
      <c r="UW118" s="225"/>
      <c r="UX118" s="225"/>
      <c r="UY118" s="225"/>
      <c r="UZ118" s="225"/>
      <c r="VA118" s="225"/>
      <c r="VB118" s="225"/>
      <c r="VC118" s="225"/>
      <c r="VD118" s="225"/>
      <c r="VE118" s="225"/>
      <c r="VF118" s="225"/>
      <c r="VG118" s="225"/>
      <c r="VH118" s="225"/>
      <c r="VI118" s="225"/>
      <c r="VJ118" s="225"/>
      <c r="VK118" s="225"/>
      <c r="VL118" s="225"/>
      <c r="VM118" s="225"/>
      <c r="VN118" s="225"/>
      <c r="VO118" s="225"/>
      <c r="VP118" s="225"/>
      <c r="VQ118" s="225"/>
      <c r="VR118" s="225"/>
      <c r="VS118" s="225"/>
      <c r="VT118" s="225"/>
      <c r="VU118" s="225"/>
      <c r="VV118" s="225"/>
      <c r="VW118" s="225"/>
      <c r="VX118" s="225"/>
      <c r="VY118" s="225"/>
      <c r="VZ118" s="225"/>
      <c r="WA118" s="225"/>
      <c r="WB118" s="225"/>
      <c r="WC118" s="225"/>
      <c r="WD118" s="225"/>
      <c r="WE118" s="225"/>
      <c r="WF118" s="225"/>
      <c r="WG118" s="225"/>
      <c r="WH118" s="225"/>
      <c r="WI118" s="225"/>
      <c r="WJ118" s="225"/>
      <c r="WK118" s="225"/>
      <c r="WL118" s="225"/>
      <c r="WM118" s="225"/>
      <c r="WN118" s="225"/>
      <c r="WO118" s="225"/>
      <c r="WP118" s="225"/>
      <c r="WQ118" s="225"/>
      <c r="WR118" s="225"/>
      <c r="WS118" s="225"/>
      <c r="WT118" s="225"/>
      <c r="WU118" s="225"/>
      <c r="WV118" s="225"/>
      <c r="WW118" s="225"/>
      <c r="WX118" s="225"/>
      <c r="WY118" s="225"/>
      <c r="WZ118" s="225"/>
      <c r="XA118" s="225"/>
      <c r="XB118" s="225"/>
      <c r="XC118" s="225"/>
      <c r="XD118" s="225"/>
      <c r="XE118" s="225"/>
      <c r="XF118" s="225"/>
      <c r="XG118" s="225"/>
      <c r="XH118" s="225"/>
      <c r="XI118" s="225"/>
      <c r="XJ118" s="225"/>
      <c r="XK118" s="225"/>
      <c r="XL118" s="225"/>
      <c r="XM118" s="225"/>
      <c r="XN118" s="225"/>
      <c r="XO118" s="225"/>
      <c r="XP118" s="225"/>
      <c r="XQ118" s="225"/>
      <c r="XR118" s="225"/>
      <c r="XS118" s="225"/>
      <c r="XT118" s="225"/>
      <c r="XU118" s="225"/>
      <c r="XV118" s="225"/>
      <c r="XW118" s="225"/>
      <c r="XX118" s="225"/>
      <c r="XY118" s="225"/>
      <c r="XZ118" s="225"/>
      <c r="YA118" s="225"/>
      <c r="YB118" s="225"/>
      <c r="YC118" s="225"/>
      <c r="YD118" s="225"/>
      <c r="YE118" s="225"/>
      <c r="YF118" s="225"/>
      <c r="YG118" s="225"/>
      <c r="YH118" s="225"/>
      <c r="YI118" s="225"/>
      <c r="YJ118" s="225"/>
      <c r="YK118" s="225"/>
      <c r="YL118" s="225"/>
      <c r="YM118" s="225"/>
      <c r="YN118" s="225"/>
      <c r="YO118" s="225"/>
      <c r="YP118" s="225"/>
      <c r="YQ118" s="225"/>
      <c r="YR118" s="225"/>
      <c r="YS118" s="225"/>
      <c r="YT118" s="225"/>
      <c r="YU118" s="225"/>
      <c r="YV118" s="225"/>
      <c r="YW118" s="225"/>
      <c r="YX118" s="225"/>
      <c r="YY118" s="225"/>
      <c r="YZ118" s="225"/>
      <c r="ZA118" s="225"/>
      <c r="ZB118" s="225"/>
      <c r="ZC118" s="225"/>
      <c r="ZD118" s="225"/>
      <c r="ZE118" s="225"/>
      <c r="ZF118" s="225"/>
      <c r="ZG118" s="225"/>
      <c r="ZH118" s="225"/>
      <c r="ZI118" s="225"/>
      <c r="ZJ118" s="225"/>
      <c r="ZK118" s="225"/>
      <c r="ZL118" s="225"/>
      <c r="ZM118" s="225"/>
      <c r="ZN118" s="225"/>
      <c r="ZO118" s="225"/>
      <c r="ZP118" s="225"/>
      <c r="ZQ118" s="225"/>
      <c r="ZR118" s="225"/>
      <c r="ZS118" s="225"/>
      <c r="ZT118" s="225"/>
      <c r="ZU118" s="225"/>
      <c r="ZV118" s="225"/>
      <c r="ZW118" s="225"/>
      <c r="ZX118" s="225"/>
      <c r="ZY118" s="225"/>
      <c r="ZZ118" s="225"/>
      <c r="AAA118" s="225"/>
      <c r="AAB118" s="225"/>
      <c r="AAC118" s="225"/>
      <c r="AAD118" s="225"/>
      <c r="AAE118" s="225"/>
      <c r="AAF118" s="225"/>
      <c r="AAG118" s="225"/>
      <c r="AAH118" s="225"/>
      <c r="AAI118" s="225"/>
      <c r="AAJ118" s="225"/>
      <c r="AAK118" s="225"/>
      <c r="AAL118" s="225"/>
      <c r="AAM118" s="225"/>
      <c r="AAN118" s="225"/>
      <c r="AAO118" s="225"/>
      <c r="AAP118" s="225"/>
      <c r="AAQ118" s="225"/>
      <c r="AAR118" s="225"/>
      <c r="AAS118" s="225"/>
      <c r="AAT118" s="225"/>
      <c r="AAU118" s="225"/>
      <c r="AAV118" s="225"/>
      <c r="AAW118" s="225"/>
      <c r="AAX118" s="225"/>
      <c r="AAY118" s="225"/>
      <c r="AAZ118" s="225"/>
      <c r="ABA118" s="225"/>
      <c r="ABB118" s="225"/>
      <c r="ABC118" s="225"/>
      <c r="ABD118" s="225"/>
      <c r="ABE118" s="225"/>
      <c r="ABF118" s="225"/>
      <c r="ABG118" s="225"/>
      <c r="ABH118" s="225"/>
      <c r="ABI118" s="225"/>
      <c r="ABJ118" s="225"/>
      <c r="ABK118" s="225"/>
      <c r="ABL118" s="225"/>
      <c r="ABM118" s="225"/>
      <c r="ABN118" s="225"/>
      <c r="ABO118" s="225"/>
      <c r="ABP118" s="225"/>
      <c r="ABQ118" s="225"/>
      <c r="ABR118" s="225"/>
      <c r="ABS118" s="225"/>
      <c r="ABT118" s="225"/>
      <c r="ABU118" s="225"/>
      <c r="ABV118" s="225"/>
      <c r="ABW118" s="225"/>
      <c r="ABX118" s="225"/>
      <c r="ABY118" s="225"/>
      <c r="ABZ118" s="225"/>
      <c r="ACA118" s="225"/>
      <c r="ACB118" s="225"/>
      <c r="ACC118" s="225"/>
      <c r="ACD118" s="225"/>
      <c r="ACE118" s="225"/>
      <c r="ACF118" s="225"/>
      <c r="ACG118" s="225"/>
      <c r="ACH118" s="225"/>
      <c r="ACI118" s="225"/>
      <c r="ACJ118" s="225"/>
      <c r="ACK118" s="225"/>
      <c r="ACL118" s="225"/>
      <c r="ACM118" s="225"/>
      <c r="ACN118" s="225"/>
      <c r="ACO118" s="225"/>
      <c r="ACP118" s="225"/>
      <c r="ACQ118" s="225"/>
      <c r="ACR118" s="225"/>
      <c r="ACS118" s="225"/>
      <c r="ACT118" s="225"/>
      <c r="ACU118" s="225"/>
      <c r="ACV118" s="225"/>
      <c r="ACW118" s="225"/>
      <c r="ACX118" s="225"/>
      <c r="ACY118" s="225"/>
      <c r="ACZ118" s="225"/>
      <c r="ADA118" s="225"/>
      <c r="ADB118" s="225"/>
      <c r="ADC118" s="225"/>
      <c r="ADD118" s="225"/>
      <c r="ADE118" s="225"/>
      <c r="ADF118" s="225"/>
      <c r="ADG118" s="225"/>
      <c r="ADH118" s="225"/>
      <c r="ADI118" s="225"/>
      <c r="ADJ118" s="225"/>
      <c r="ADK118" s="225"/>
      <c r="ADL118" s="225"/>
      <c r="ADM118" s="225"/>
      <c r="ADN118" s="225"/>
      <c r="ADO118" s="225"/>
      <c r="ADP118" s="225"/>
      <c r="ADQ118" s="225"/>
      <c r="ADR118" s="225"/>
      <c r="ADS118" s="225"/>
      <c r="ADT118" s="225"/>
      <c r="ADU118" s="225"/>
      <c r="ADV118" s="225"/>
      <c r="ADW118" s="225"/>
      <c r="ADX118" s="225"/>
      <c r="ADY118" s="225"/>
      <c r="ADZ118" s="225"/>
      <c r="AEA118" s="225"/>
      <c r="AEB118" s="225"/>
      <c r="AEC118" s="225"/>
      <c r="AED118" s="225"/>
      <c r="AEE118" s="225"/>
      <c r="AEF118" s="225"/>
      <c r="AEG118" s="225"/>
      <c r="AEH118" s="225"/>
      <c r="AEI118" s="225"/>
      <c r="AEJ118" s="225"/>
      <c r="AEK118" s="225"/>
      <c r="AEL118" s="225"/>
      <c r="AEM118" s="225"/>
      <c r="AEN118" s="225"/>
      <c r="AEO118" s="225"/>
      <c r="AEP118" s="225"/>
      <c r="AEQ118" s="225"/>
      <c r="AER118" s="225"/>
      <c r="AES118" s="225"/>
      <c r="AET118" s="225"/>
      <c r="AEU118" s="225"/>
      <c r="AEV118" s="225"/>
      <c r="AEW118" s="225"/>
      <c r="AEX118" s="225"/>
      <c r="AEY118" s="225"/>
      <c r="AEZ118" s="225"/>
      <c r="AFA118" s="225"/>
      <c r="AFB118" s="225"/>
      <c r="AFC118" s="225"/>
      <c r="AFD118" s="225"/>
      <c r="AFE118" s="225"/>
      <c r="AFF118" s="225"/>
      <c r="AFG118" s="225"/>
      <c r="AFH118" s="225"/>
      <c r="AFI118" s="225"/>
      <c r="AFJ118" s="225"/>
      <c r="AFK118" s="225"/>
      <c r="AFL118" s="225"/>
      <c r="AFM118" s="225"/>
      <c r="AFN118" s="225"/>
      <c r="AFO118" s="225"/>
      <c r="AFP118" s="225"/>
      <c r="AFQ118" s="225"/>
      <c r="AFR118" s="225"/>
      <c r="AFS118" s="225"/>
      <c r="AFT118" s="225"/>
      <c r="AFU118" s="225"/>
      <c r="AFV118" s="225"/>
      <c r="AFW118" s="225"/>
      <c r="AFX118" s="225"/>
      <c r="AFY118" s="225"/>
      <c r="AFZ118" s="225"/>
      <c r="AGA118" s="225"/>
      <c r="AGB118" s="225"/>
      <c r="AGC118" s="225"/>
      <c r="AGD118" s="225"/>
      <c r="AGE118" s="225"/>
      <c r="AGF118" s="225"/>
      <c r="AGG118" s="225"/>
      <c r="AGH118" s="225"/>
      <c r="AGI118" s="225"/>
      <c r="AGJ118" s="225"/>
      <c r="AGK118" s="225"/>
      <c r="AGL118" s="225"/>
      <c r="AGM118" s="225"/>
      <c r="AGN118" s="225"/>
      <c r="AGO118" s="225"/>
      <c r="AGP118" s="225"/>
      <c r="AGQ118" s="225"/>
      <c r="AGR118" s="225"/>
      <c r="AGS118" s="225"/>
      <c r="AGT118" s="225"/>
      <c r="AGU118" s="225"/>
      <c r="AGV118" s="225"/>
      <c r="AGW118" s="225"/>
      <c r="AGX118" s="225"/>
      <c r="AGY118" s="225"/>
      <c r="AGZ118" s="225"/>
      <c r="AHA118" s="225"/>
      <c r="AHB118" s="225"/>
      <c r="AHC118" s="225"/>
      <c r="AHD118" s="225"/>
      <c r="AHE118" s="225"/>
      <c r="AHF118" s="225"/>
      <c r="AHG118" s="225"/>
      <c r="AHH118" s="225"/>
      <c r="AHI118" s="225"/>
      <c r="AHJ118" s="225"/>
      <c r="AHK118" s="225"/>
      <c r="AHL118" s="225"/>
      <c r="AHM118" s="225"/>
      <c r="AHN118" s="225"/>
      <c r="AHO118" s="225"/>
      <c r="AHP118" s="225"/>
      <c r="AHQ118" s="225"/>
      <c r="AHR118" s="225"/>
      <c r="AHS118" s="225"/>
      <c r="AHT118" s="225"/>
      <c r="AHU118" s="225"/>
      <c r="AHV118" s="225"/>
      <c r="AHW118" s="225"/>
      <c r="AHX118" s="225"/>
      <c r="AHY118" s="225"/>
      <c r="AHZ118" s="225"/>
      <c r="AIA118" s="225"/>
      <c r="AIB118" s="225"/>
      <c r="AIC118" s="225"/>
      <c r="AID118" s="225"/>
      <c r="AIE118" s="225"/>
      <c r="AIF118" s="225"/>
      <c r="AIG118" s="225"/>
      <c r="AIH118" s="225"/>
      <c r="AII118" s="225"/>
      <c r="AIJ118" s="225"/>
      <c r="AIK118" s="225"/>
      <c r="AIL118" s="225"/>
      <c r="AIM118" s="225"/>
      <c r="AIN118" s="225"/>
      <c r="AIO118" s="225"/>
      <c r="AIP118" s="225"/>
      <c r="AIQ118" s="225"/>
      <c r="AIR118" s="225"/>
      <c r="AIS118" s="225"/>
      <c r="AIT118" s="225"/>
      <c r="AIU118" s="225"/>
      <c r="AIV118" s="225"/>
      <c r="AIW118" s="225"/>
      <c r="AIX118" s="225"/>
      <c r="AIY118" s="225"/>
      <c r="AIZ118" s="225"/>
      <c r="AJA118" s="225"/>
      <c r="AJB118" s="225"/>
      <c r="AJC118" s="225"/>
      <c r="AJD118" s="225"/>
      <c r="AJE118" s="225"/>
      <c r="AJF118" s="225"/>
      <c r="AJG118" s="225"/>
      <c r="AJH118" s="225"/>
      <c r="AJI118" s="225"/>
      <c r="AJJ118" s="225"/>
      <c r="AJK118" s="225"/>
      <c r="AJL118" s="225"/>
      <c r="AJM118" s="225"/>
      <c r="AJN118" s="225"/>
      <c r="AJO118" s="225"/>
      <c r="AJP118" s="225"/>
      <c r="AJQ118" s="225"/>
      <c r="AJR118" s="225"/>
      <c r="AJS118" s="225"/>
      <c r="AJT118" s="225"/>
      <c r="AJU118" s="225"/>
      <c r="AJV118" s="225"/>
      <c r="AJW118" s="225"/>
      <c r="AJX118" s="225"/>
      <c r="AJY118" s="225"/>
      <c r="AJZ118" s="225"/>
      <c r="AKA118" s="225"/>
      <c r="AKB118" s="225"/>
      <c r="AKC118" s="225"/>
      <c r="AKD118" s="225"/>
      <c r="AKE118" s="225"/>
      <c r="AKF118" s="225"/>
      <c r="AKG118" s="225"/>
      <c r="AKH118" s="225"/>
      <c r="AKI118" s="225"/>
      <c r="AKJ118" s="225"/>
      <c r="AKK118" s="225"/>
      <c r="AKL118" s="225"/>
      <c r="AKM118" s="225"/>
      <c r="AKN118" s="225"/>
      <c r="AKO118" s="225"/>
      <c r="AKP118" s="225"/>
      <c r="AKQ118" s="225"/>
      <c r="AKR118" s="225"/>
      <c r="AKS118" s="225"/>
      <c r="AKT118" s="225"/>
      <c r="AKU118" s="225"/>
      <c r="AKV118" s="225"/>
      <c r="AKW118" s="225"/>
      <c r="AKX118" s="225"/>
      <c r="AKY118" s="225"/>
      <c r="AKZ118" s="225"/>
      <c r="ALA118" s="225"/>
      <c r="ALB118" s="225"/>
      <c r="ALC118" s="225"/>
      <c r="ALD118" s="225"/>
      <c r="ALE118" s="225"/>
      <c r="ALF118" s="225"/>
      <c r="ALG118" s="225"/>
      <c r="ALH118" s="225"/>
      <c r="ALI118" s="225"/>
      <c r="ALJ118" s="225"/>
      <c r="ALK118" s="225"/>
      <c r="ALL118" s="225"/>
      <c r="ALM118" s="225"/>
      <c r="ALN118" s="225"/>
      <c r="ALO118" s="225"/>
      <c r="ALP118" s="225"/>
      <c r="ALQ118" s="225"/>
      <c r="ALR118" s="225"/>
      <c r="ALS118" s="225"/>
      <c r="ALT118" s="225"/>
      <c r="ALU118" s="225"/>
      <c r="ALV118" s="225"/>
      <c r="ALW118" s="225"/>
      <c r="ALX118" s="225"/>
      <c r="ALY118" s="225"/>
      <c r="ALZ118" s="225"/>
      <c r="AMA118" s="225"/>
      <c r="AMB118" s="225"/>
      <c r="AMC118" s="225"/>
      <c r="AMD118" s="225"/>
      <c r="AME118" s="225"/>
      <c r="AMF118" s="225"/>
      <c r="AMG118" s="225"/>
      <c r="AMH118" s="225"/>
      <c r="AMI118" s="225"/>
      <c r="AMJ118" s="225"/>
      <c r="AMK118" s="225"/>
      <c r="AML118" s="225"/>
      <c r="AMM118" s="225"/>
      <c r="AMN118" s="225"/>
      <c r="AMO118" s="225"/>
      <c r="AMP118" s="225"/>
      <c r="AMQ118" s="225"/>
      <c r="AMR118" s="225"/>
      <c r="AMS118" s="225"/>
      <c r="AMT118" s="225"/>
      <c r="AMU118" s="225"/>
      <c r="AMV118" s="225"/>
      <c r="AMW118" s="225"/>
      <c r="AMX118" s="225"/>
      <c r="AMY118" s="225"/>
      <c r="AMZ118" s="225"/>
      <c r="ANA118" s="225"/>
      <c r="ANB118" s="225"/>
      <c r="ANC118" s="225"/>
      <c r="AND118" s="225"/>
      <c r="ANE118" s="225"/>
      <c r="ANF118" s="225"/>
      <c r="ANG118" s="225"/>
      <c r="ANH118" s="225"/>
      <c r="ANI118" s="225"/>
      <c r="ANJ118" s="225"/>
      <c r="ANK118" s="225"/>
      <c r="ANL118" s="225"/>
      <c r="ANM118" s="225"/>
      <c r="ANN118" s="225"/>
      <c r="ANO118" s="225"/>
      <c r="ANP118" s="225"/>
      <c r="ANQ118" s="225"/>
      <c r="ANR118" s="225"/>
      <c r="ANS118" s="225"/>
      <c r="ANT118" s="225"/>
      <c r="ANU118" s="225"/>
      <c r="ANV118" s="225"/>
      <c r="ANW118" s="225"/>
      <c r="ANX118" s="225"/>
      <c r="ANY118" s="225"/>
      <c r="ANZ118" s="225"/>
      <c r="AOA118" s="225"/>
      <c r="AOB118" s="225"/>
      <c r="AOC118" s="225"/>
      <c r="AOD118" s="225"/>
      <c r="AOE118" s="225"/>
      <c r="AOF118" s="225"/>
      <c r="AOG118" s="225"/>
      <c r="AOH118" s="225"/>
      <c r="AOI118" s="225"/>
      <c r="AOJ118" s="225"/>
      <c r="AOK118" s="225"/>
      <c r="AOL118" s="225"/>
      <c r="AOM118" s="225"/>
      <c r="AON118" s="225"/>
      <c r="AOO118" s="225"/>
      <c r="AOP118" s="225"/>
      <c r="AOQ118" s="225"/>
      <c r="AOR118" s="225"/>
      <c r="AOS118" s="225"/>
      <c r="AOT118" s="225"/>
      <c r="AOU118" s="225"/>
      <c r="AOV118" s="225"/>
      <c r="AOW118" s="225"/>
      <c r="AOX118" s="225"/>
      <c r="AOY118" s="225"/>
      <c r="AOZ118" s="225"/>
      <c r="APA118" s="225"/>
      <c r="APB118" s="225"/>
      <c r="APC118" s="225"/>
      <c r="APD118" s="225"/>
      <c r="APE118" s="225"/>
      <c r="APF118" s="225"/>
      <c r="APG118" s="225"/>
      <c r="APH118" s="225"/>
      <c r="API118" s="225"/>
      <c r="APJ118" s="225"/>
      <c r="APK118" s="225"/>
      <c r="APL118" s="225"/>
      <c r="APM118" s="225"/>
      <c r="APN118" s="225"/>
      <c r="APO118" s="225"/>
      <c r="APP118" s="225"/>
      <c r="APQ118" s="225"/>
      <c r="APR118" s="225"/>
      <c r="APS118" s="225"/>
      <c r="APT118" s="225"/>
      <c r="APU118" s="225"/>
      <c r="APV118" s="225"/>
      <c r="APW118" s="225"/>
      <c r="APX118" s="225"/>
      <c r="APY118" s="225"/>
      <c r="APZ118" s="225"/>
      <c r="AQA118" s="225"/>
      <c r="AQB118" s="225"/>
      <c r="AQC118" s="225"/>
      <c r="AQD118" s="225"/>
      <c r="AQE118" s="225"/>
      <c r="AQF118" s="225"/>
      <c r="AQG118" s="225"/>
      <c r="AQH118" s="225"/>
      <c r="AQI118" s="225"/>
      <c r="AQJ118" s="225"/>
      <c r="AQK118" s="225"/>
      <c r="AQL118" s="225"/>
      <c r="AQM118" s="225"/>
      <c r="AQN118" s="225"/>
      <c r="AQO118" s="225"/>
      <c r="AQP118" s="225"/>
      <c r="AQQ118" s="225"/>
      <c r="AQR118" s="225"/>
      <c r="AQS118" s="225"/>
      <c r="AQT118" s="225"/>
      <c r="AQU118" s="225"/>
      <c r="AQV118" s="225"/>
      <c r="AQW118" s="225"/>
      <c r="AQX118" s="225"/>
      <c r="AQY118" s="225"/>
      <c r="AQZ118" s="225"/>
      <c r="ARA118" s="225"/>
      <c r="ARB118" s="225"/>
      <c r="ARC118" s="225"/>
      <c r="ARD118" s="225"/>
      <c r="ARE118" s="225"/>
      <c r="ARF118" s="225"/>
      <c r="ARG118" s="225"/>
      <c r="ARH118" s="225"/>
      <c r="ARI118" s="225"/>
      <c r="ARJ118" s="225"/>
      <c r="ARK118" s="225"/>
      <c r="ARL118" s="225"/>
      <c r="ARM118" s="225"/>
      <c r="ARN118" s="225"/>
      <c r="ARO118" s="225"/>
      <c r="ARP118" s="225"/>
      <c r="ARQ118" s="225"/>
      <c r="ARR118" s="225"/>
      <c r="ARS118" s="225"/>
      <c r="ART118" s="225"/>
      <c r="ARU118" s="225"/>
      <c r="ARV118" s="225"/>
      <c r="ARW118" s="225"/>
      <c r="ARX118" s="225"/>
      <c r="ARY118" s="225"/>
      <c r="ARZ118" s="225"/>
      <c r="ASA118" s="225"/>
      <c r="ASB118" s="225"/>
      <c r="ASC118" s="225"/>
      <c r="ASD118" s="225"/>
      <c r="ASE118" s="225"/>
      <c r="ASF118" s="225"/>
      <c r="ASG118" s="225"/>
      <c r="ASH118" s="225"/>
      <c r="ASI118" s="225"/>
      <c r="ASJ118" s="225"/>
      <c r="ASK118" s="225"/>
      <c r="ASL118" s="225"/>
      <c r="ASM118" s="225"/>
      <c r="ASN118" s="225"/>
      <c r="ASO118" s="225"/>
      <c r="ASP118" s="225"/>
      <c r="ASQ118" s="225"/>
      <c r="ASR118" s="225"/>
      <c r="ASS118" s="225"/>
      <c r="AST118" s="225"/>
      <c r="ASU118" s="225"/>
      <c r="ASV118" s="225"/>
      <c r="ASW118" s="225"/>
      <c r="ASX118" s="225"/>
      <c r="ASY118" s="225"/>
      <c r="ASZ118" s="225"/>
      <c r="ATA118" s="225"/>
      <c r="ATB118" s="225"/>
      <c r="ATC118" s="225"/>
      <c r="ATD118" s="225"/>
      <c r="ATE118" s="225"/>
      <c r="ATF118" s="225"/>
      <c r="ATG118" s="225"/>
      <c r="ATH118" s="225"/>
      <c r="ATI118" s="225"/>
      <c r="ATJ118" s="225"/>
      <c r="ATK118" s="225"/>
      <c r="ATL118" s="225"/>
      <c r="ATM118" s="225"/>
      <c r="ATN118" s="225"/>
      <c r="ATO118" s="225"/>
      <c r="ATP118" s="225"/>
      <c r="ATQ118" s="225"/>
      <c r="ATR118" s="225"/>
      <c r="ATS118" s="225"/>
      <c r="ATT118" s="225"/>
      <c r="ATU118" s="225"/>
      <c r="ATV118" s="225"/>
      <c r="ATW118" s="225"/>
      <c r="ATX118" s="225"/>
      <c r="ATY118" s="225"/>
      <c r="ATZ118" s="225"/>
      <c r="AUA118" s="225"/>
      <c r="AUB118" s="225"/>
      <c r="AUC118" s="225"/>
      <c r="AUD118" s="225"/>
      <c r="AUE118" s="225"/>
      <c r="AUF118" s="225"/>
      <c r="AUG118" s="225"/>
      <c r="AUH118" s="225"/>
      <c r="AUI118" s="225"/>
      <c r="AUJ118" s="225"/>
      <c r="AUK118" s="225"/>
      <c r="AUL118" s="225"/>
      <c r="AUM118" s="225"/>
      <c r="AUN118" s="225"/>
      <c r="AUO118" s="225"/>
      <c r="AUP118" s="225"/>
      <c r="AUQ118" s="225"/>
      <c r="AUR118" s="225"/>
      <c r="AUS118" s="225"/>
      <c r="AUT118" s="225"/>
      <c r="AUU118" s="225"/>
      <c r="AUV118" s="225"/>
      <c r="AUW118" s="225"/>
      <c r="AUX118" s="225"/>
      <c r="AUY118" s="225"/>
      <c r="AUZ118" s="225"/>
      <c r="AVA118" s="225"/>
      <c r="AVB118" s="225"/>
      <c r="AVC118" s="225"/>
      <c r="AVD118" s="225"/>
      <c r="AVE118" s="225"/>
      <c r="AVF118" s="225"/>
      <c r="AVG118" s="225"/>
      <c r="AVH118" s="225"/>
      <c r="AVI118" s="225"/>
      <c r="AVJ118" s="225"/>
      <c r="AVK118" s="225"/>
      <c r="AVL118" s="225"/>
      <c r="AVM118" s="225"/>
      <c r="AVN118" s="225"/>
      <c r="AVO118" s="225"/>
      <c r="AVP118" s="225"/>
      <c r="AVQ118" s="225"/>
      <c r="AVR118" s="225"/>
      <c r="AVS118" s="225"/>
      <c r="AVT118" s="225"/>
      <c r="AVU118" s="225"/>
      <c r="AVV118" s="225"/>
      <c r="AVW118" s="225"/>
      <c r="AVX118" s="225"/>
      <c r="AVY118" s="225"/>
      <c r="AVZ118" s="225"/>
      <c r="AWA118" s="225"/>
      <c r="AWB118" s="225"/>
      <c r="AWC118" s="225"/>
      <c r="AWD118" s="225"/>
      <c r="AWE118" s="225"/>
      <c r="AWF118" s="225"/>
      <c r="AWG118" s="225"/>
      <c r="AWH118" s="225"/>
      <c r="AWI118" s="225"/>
      <c r="AWJ118" s="225"/>
      <c r="AWK118" s="225"/>
      <c r="AWL118" s="225"/>
      <c r="AWM118" s="225"/>
      <c r="AWN118" s="225"/>
      <c r="AWO118" s="225"/>
      <c r="AWP118" s="225"/>
      <c r="AWQ118" s="225"/>
      <c r="AWR118" s="225"/>
      <c r="AWS118" s="225"/>
      <c r="AWT118" s="225"/>
      <c r="AWU118" s="225"/>
      <c r="AWV118" s="225"/>
      <c r="AWW118" s="225"/>
      <c r="AWX118" s="225"/>
      <c r="AWY118" s="225"/>
      <c r="AWZ118" s="225"/>
      <c r="AXA118" s="225"/>
      <c r="AXB118" s="225"/>
      <c r="AXC118" s="225"/>
      <c r="AXD118" s="225"/>
      <c r="AXE118" s="225"/>
      <c r="AXF118" s="225"/>
      <c r="AXG118" s="225"/>
      <c r="AXH118" s="225"/>
      <c r="AXI118" s="225"/>
      <c r="AXJ118" s="225"/>
      <c r="AXK118" s="225"/>
      <c r="AXL118" s="225"/>
      <c r="AXM118" s="225"/>
      <c r="AXN118" s="225"/>
      <c r="AXO118" s="225"/>
      <c r="AXP118" s="225"/>
      <c r="AXQ118" s="225"/>
      <c r="AXR118" s="225"/>
      <c r="AXS118" s="225"/>
      <c r="AXT118" s="225"/>
      <c r="AXU118" s="225"/>
      <c r="AXV118" s="225"/>
      <c r="AXW118" s="225"/>
      <c r="AXX118" s="225"/>
      <c r="AXY118" s="225"/>
      <c r="AXZ118" s="225"/>
      <c r="AYA118" s="225"/>
      <c r="AYB118" s="225"/>
      <c r="AYC118" s="225"/>
      <c r="AYD118" s="225"/>
      <c r="AYE118" s="225"/>
      <c r="AYF118" s="225"/>
      <c r="AYG118" s="225"/>
      <c r="AYH118" s="225"/>
      <c r="AYI118" s="225"/>
      <c r="AYJ118" s="225"/>
      <c r="AYK118" s="225"/>
      <c r="AYL118" s="225"/>
      <c r="AYM118" s="225"/>
      <c r="AYN118" s="225"/>
      <c r="AYO118" s="225"/>
      <c r="AYP118" s="225"/>
      <c r="AYQ118" s="225"/>
      <c r="AYR118" s="225"/>
      <c r="AYS118" s="225"/>
      <c r="AYT118" s="225"/>
      <c r="AYU118" s="225"/>
      <c r="AYV118" s="225"/>
      <c r="AYW118" s="225"/>
      <c r="AYX118" s="225"/>
      <c r="AYY118" s="225"/>
      <c r="AYZ118" s="225"/>
      <c r="AZA118" s="225"/>
      <c r="AZB118" s="225"/>
      <c r="AZC118" s="225"/>
      <c r="AZD118" s="225"/>
      <c r="AZE118" s="225"/>
      <c r="AZF118" s="225"/>
      <c r="AZG118" s="225"/>
      <c r="AZH118" s="225"/>
      <c r="AZI118" s="225"/>
      <c r="AZJ118" s="225"/>
      <c r="AZK118" s="225"/>
      <c r="AZL118" s="225"/>
      <c r="AZM118" s="225"/>
      <c r="AZN118" s="225"/>
      <c r="AZO118" s="225"/>
      <c r="AZP118" s="225"/>
      <c r="AZQ118" s="225"/>
      <c r="AZR118" s="225"/>
      <c r="AZS118" s="225"/>
      <c r="AZT118" s="225"/>
      <c r="AZU118" s="225"/>
      <c r="AZV118" s="225"/>
      <c r="AZW118" s="225"/>
      <c r="AZX118" s="225"/>
      <c r="AZY118" s="225"/>
      <c r="AZZ118" s="225"/>
      <c r="BAA118" s="225"/>
      <c r="BAB118" s="225"/>
      <c r="BAC118" s="225"/>
      <c r="BAD118" s="225"/>
      <c r="BAE118" s="225"/>
      <c r="BAF118" s="225"/>
      <c r="BAG118" s="225"/>
      <c r="BAH118" s="225"/>
      <c r="BAI118" s="225"/>
      <c r="BAJ118" s="225"/>
      <c r="BAK118" s="225"/>
      <c r="BAL118" s="225"/>
      <c r="BAM118" s="225"/>
      <c r="BAN118" s="225"/>
      <c r="BAO118" s="225"/>
      <c r="BAP118" s="225"/>
      <c r="BAQ118" s="225"/>
      <c r="BAR118" s="225"/>
      <c r="BAS118" s="225"/>
      <c r="BAT118" s="225"/>
      <c r="BAU118" s="225"/>
      <c r="BAV118" s="225"/>
      <c r="BAW118" s="225"/>
      <c r="BAX118" s="225"/>
      <c r="BAY118" s="225"/>
      <c r="BAZ118" s="225"/>
      <c r="BBA118" s="225"/>
      <c r="BBB118" s="225"/>
      <c r="BBC118" s="225"/>
      <c r="BBD118" s="225"/>
      <c r="BBE118" s="225"/>
      <c r="BBF118" s="225"/>
      <c r="BBG118" s="225"/>
      <c r="BBH118" s="225"/>
      <c r="BBI118" s="225"/>
      <c r="BBJ118" s="225"/>
      <c r="BBK118" s="225"/>
      <c r="BBL118" s="225"/>
      <c r="BBM118" s="225"/>
      <c r="BBN118" s="225"/>
      <c r="BBO118" s="225"/>
      <c r="BBP118" s="225"/>
      <c r="BBQ118" s="225"/>
      <c r="BBR118" s="225"/>
      <c r="BBS118" s="225"/>
      <c r="BBT118" s="225"/>
      <c r="BBU118" s="225"/>
      <c r="BBV118" s="225"/>
      <c r="BBW118" s="225"/>
      <c r="BBX118" s="225"/>
      <c r="BBY118" s="225"/>
      <c r="BBZ118" s="225"/>
      <c r="BCA118" s="225"/>
      <c r="BCB118" s="225"/>
      <c r="BCC118" s="225"/>
      <c r="BCD118" s="225"/>
      <c r="BCE118" s="225"/>
      <c r="BCF118" s="225"/>
      <c r="BCG118" s="225"/>
      <c r="BCH118" s="225"/>
      <c r="BCI118" s="225"/>
      <c r="BCJ118" s="225"/>
      <c r="BCK118" s="225"/>
      <c r="BCL118" s="225"/>
      <c r="BCM118" s="225"/>
      <c r="BCN118" s="225"/>
      <c r="BCO118" s="225"/>
      <c r="BCP118" s="225"/>
      <c r="BCQ118" s="225"/>
      <c r="BCR118" s="225"/>
      <c r="BCS118" s="225"/>
      <c r="BCT118" s="225"/>
      <c r="BCU118" s="225"/>
      <c r="BCV118" s="225"/>
      <c r="BCW118" s="225"/>
      <c r="BCX118" s="225"/>
      <c r="BCY118" s="225"/>
      <c r="BCZ118" s="225"/>
      <c r="BDA118" s="225"/>
      <c r="BDB118" s="225"/>
      <c r="BDC118" s="225"/>
      <c r="BDD118" s="225"/>
      <c r="BDE118" s="225"/>
      <c r="BDF118" s="225"/>
      <c r="BDG118" s="225"/>
      <c r="BDH118" s="225"/>
      <c r="BDI118" s="225"/>
      <c r="BDJ118" s="225"/>
      <c r="BDK118" s="225"/>
      <c r="BDL118" s="225"/>
      <c r="BDM118" s="225"/>
      <c r="BDN118" s="225"/>
      <c r="BDO118" s="225"/>
      <c r="BDP118" s="225"/>
      <c r="BDQ118" s="225"/>
      <c r="BDR118" s="225"/>
      <c r="BDS118" s="225"/>
      <c r="BDT118" s="225"/>
      <c r="BDU118" s="225"/>
      <c r="BDV118" s="225"/>
      <c r="BDW118" s="225"/>
      <c r="BDX118" s="225"/>
      <c r="BDY118" s="225"/>
      <c r="BDZ118" s="225"/>
      <c r="BEA118" s="225"/>
      <c r="BEB118" s="225"/>
      <c r="BEC118" s="225"/>
      <c r="BED118" s="225"/>
      <c r="BEE118" s="225"/>
      <c r="BEF118" s="225"/>
      <c r="BEG118" s="225"/>
      <c r="BEH118" s="225"/>
      <c r="BEI118" s="225"/>
      <c r="BEJ118" s="225"/>
      <c r="BEK118" s="225"/>
      <c r="BEL118" s="225"/>
      <c r="BEM118" s="225"/>
      <c r="BEN118" s="225"/>
      <c r="BEO118" s="225"/>
      <c r="BEP118" s="225"/>
      <c r="BEQ118" s="225"/>
      <c r="BER118" s="225"/>
      <c r="BES118" s="225"/>
      <c r="BET118" s="225"/>
      <c r="BEU118" s="225"/>
      <c r="BEV118" s="225"/>
      <c r="BEW118" s="225"/>
      <c r="BEX118" s="225"/>
      <c r="BEY118" s="225"/>
      <c r="BEZ118" s="225"/>
      <c r="BFA118" s="225"/>
      <c r="BFB118" s="225"/>
      <c r="BFC118" s="225"/>
      <c r="BFD118" s="225"/>
      <c r="BFE118" s="225"/>
      <c r="BFF118" s="225"/>
      <c r="BFG118" s="225"/>
      <c r="BFH118" s="225"/>
      <c r="BFI118" s="225"/>
      <c r="BFJ118" s="225"/>
      <c r="BFK118" s="225"/>
      <c r="BFL118" s="225"/>
      <c r="BFM118" s="225"/>
      <c r="BFN118" s="225"/>
      <c r="BFO118" s="225"/>
      <c r="BFP118" s="225"/>
      <c r="BFQ118" s="225"/>
      <c r="BFR118" s="225"/>
      <c r="BFS118" s="225"/>
      <c r="BFT118" s="225"/>
      <c r="BFU118" s="225"/>
      <c r="BFV118" s="225"/>
      <c r="BFW118" s="225"/>
      <c r="BFX118" s="225"/>
      <c r="BFY118" s="225"/>
      <c r="BFZ118" s="225"/>
      <c r="BGA118" s="225"/>
      <c r="BGB118" s="225"/>
      <c r="BGC118" s="225"/>
      <c r="BGD118" s="225"/>
      <c r="BGE118" s="225"/>
      <c r="BGF118" s="225"/>
      <c r="BGG118" s="225"/>
      <c r="BGH118" s="225"/>
      <c r="BGI118" s="225"/>
      <c r="BGJ118" s="225"/>
      <c r="BGK118" s="225"/>
      <c r="BGL118" s="225"/>
      <c r="BGM118" s="225"/>
      <c r="BGN118" s="225"/>
      <c r="BGO118" s="225"/>
      <c r="BGP118" s="225"/>
      <c r="BGQ118" s="225"/>
      <c r="BGR118" s="225"/>
      <c r="BGS118" s="225"/>
      <c r="BGT118" s="225"/>
      <c r="BGU118" s="225"/>
      <c r="BGV118" s="225"/>
      <c r="BGW118" s="225"/>
      <c r="BGX118" s="225"/>
      <c r="BGY118" s="225"/>
      <c r="BGZ118" s="225"/>
      <c r="BHA118" s="225"/>
      <c r="BHB118" s="225"/>
      <c r="BHC118" s="225"/>
      <c r="BHD118" s="225"/>
      <c r="BHE118" s="225"/>
      <c r="BHF118" s="225"/>
      <c r="BHG118" s="225"/>
      <c r="BHH118" s="225"/>
      <c r="BHI118" s="225"/>
      <c r="BHJ118" s="225"/>
      <c r="BHK118" s="225"/>
      <c r="BHL118" s="225"/>
      <c r="BHM118" s="225"/>
      <c r="BHN118" s="225"/>
      <c r="BHO118" s="225"/>
      <c r="BHP118" s="225"/>
      <c r="BHQ118" s="225"/>
      <c r="BHR118" s="225"/>
      <c r="BHS118" s="225"/>
      <c r="BHT118" s="225"/>
      <c r="BHU118" s="225"/>
      <c r="BHV118" s="225"/>
      <c r="BHW118" s="225"/>
      <c r="BHX118" s="225"/>
      <c r="BHY118" s="225"/>
      <c r="BHZ118" s="225"/>
      <c r="BIA118" s="225"/>
      <c r="BIB118" s="225"/>
      <c r="BIC118" s="225"/>
      <c r="BID118" s="225"/>
      <c r="BIE118" s="225"/>
      <c r="BIF118" s="225"/>
      <c r="BIG118" s="225"/>
      <c r="BIH118" s="225"/>
      <c r="BII118" s="225"/>
      <c r="BIJ118" s="225"/>
      <c r="BIK118" s="225"/>
      <c r="BIL118" s="225"/>
      <c r="BIM118" s="225"/>
      <c r="BIN118" s="225"/>
      <c r="BIO118" s="225"/>
      <c r="BIP118" s="225"/>
      <c r="BIQ118" s="225"/>
      <c r="BIR118" s="225"/>
      <c r="BIS118" s="225"/>
      <c r="BIT118" s="225"/>
      <c r="BIU118" s="225"/>
      <c r="BIV118" s="225"/>
      <c r="BIW118" s="225"/>
      <c r="BIX118" s="225"/>
      <c r="BIY118" s="225"/>
      <c r="BIZ118" s="225"/>
      <c r="BJA118" s="225"/>
      <c r="BJB118" s="225"/>
      <c r="BJC118" s="225"/>
      <c r="BJD118" s="225"/>
      <c r="BJE118" s="225"/>
      <c r="BJF118" s="225"/>
      <c r="BJG118" s="225"/>
      <c r="BJH118" s="225"/>
      <c r="BJI118" s="225"/>
      <c r="BJJ118" s="225"/>
      <c r="BJK118" s="225"/>
      <c r="BJL118" s="225"/>
      <c r="BJM118" s="225"/>
      <c r="BJN118" s="225"/>
      <c r="BJO118" s="225"/>
      <c r="BJP118" s="225"/>
      <c r="BJQ118" s="225"/>
      <c r="BJR118" s="225"/>
      <c r="BJS118" s="225"/>
      <c r="BJT118" s="225"/>
      <c r="BJU118" s="225"/>
      <c r="BJV118" s="225"/>
      <c r="BJW118" s="225"/>
      <c r="BJX118" s="225"/>
      <c r="BJY118" s="225"/>
      <c r="BJZ118" s="225"/>
      <c r="BKA118" s="225"/>
      <c r="BKB118" s="225"/>
      <c r="BKC118" s="225"/>
      <c r="BKD118" s="225"/>
      <c r="BKE118" s="225"/>
      <c r="BKF118" s="225"/>
      <c r="BKG118" s="225"/>
      <c r="BKH118" s="225"/>
      <c r="BKI118" s="225"/>
      <c r="BKJ118" s="225"/>
      <c r="BKK118" s="225"/>
      <c r="BKL118" s="225"/>
      <c r="BKM118" s="225"/>
      <c r="BKN118" s="225"/>
      <c r="BKO118" s="225"/>
      <c r="BKP118" s="225"/>
      <c r="BKQ118" s="225"/>
      <c r="BKR118" s="225"/>
      <c r="BKS118" s="225"/>
      <c r="BKT118" s="225"/>
      <c r="BKU118" s="225"/>
      <c r="BKV118" s="225"/>
      <c r="BKW118" s="225"/>
      <c r="BKX118" s="225"/>
      <c r="BKY118" s="225"/>
      <c r="BKZ118" s="225"/>
      <c r="BLA118" s="225"/>
      <c r="BLB118" s="225"/>
      <c r="BLC118" s="225"/>
      <c r="BLD118" s="225"/>
      <c r="BLE118" s="225"/>
      <c r="BLF118" s="225"/>
      <c r="BLG118" s="225"/>
      <c r="BLH118" s="225"/>
      <c r="BLI118" s="225"/>
      <c r="BLJ118" s="225"/>
      <c r="BLK118" s="225"/>
      <c r="BLL118" s="225"/>
      <c r="BLM118" s="225"/>
      <c r="BLN118" s="225"/>
      <c r="BLO118" s="225"/>
      <c r="BLP118" s="225"/>
      <c r="BLQ118" s="225"/>
      <c r="BLR118" s="225"/>
      <c r="BLS118" s="225"/>
      <c r="BLT118" s="225"/>
      <c r="BLU118" s="225"/>
      <c r="BLV118" s="225"/>
      <c r="BLW118" s="225"/>
      <c r="BLX118" s="225"/>
      <c r="BLY118" s="225"/>
      <c r="BLZ118" s="225"/>
      <c r="BMA118" s="225"/>
      <c r="BMB118" s="225"/>
      <c r="BMC118" s="225"/>
      <c r="BMD118" s="225"/>
      <c r="BME118" s="225"/>
      <c r="BMF118" s="225"/>
      <c r="BMG118" s="225"/>
      <c r="BMH118" s="225"/>
      <c r="BMI118" s="225"/>
      <c r="BMJ118" s="225"/>
      <c r="BMK118" s="225"/>
      <c r="BML118" s="225"/>
      <c r="BMM118" s="225"/>
      <c r="BMN118" s="225"/>
      <c r="BMO118" s="225"/>
      <c r="BMP118" s="225"/>
      <c r="BMQ118" s="225"/>
      <c r="BMR118" s="225"/>
      <c r="BMS118" s="225"/>
      <c r="BMT118" s="225"/>
      <c r="BMU118" s="225"/>
      <c r="BMV118" s="225"/>
      <c r="BMW118" s="225"/>
      <c r="BMX118" s="225"/>
      <c r="BMY118" s="225"/>
      <c r="BMZ118" s="225"/>
      <c r="BNA118" s="225"/>
      <c r="BNB118" s="225"/>
      <c r="BNC118" s="225"/>
      <c r="BND118" s="225"/>
      <c r="BNE118" s="225"/>
      <c r="BNF118" s="225"/>
      <c r="BNG118" s="225"/>
      <c r="BNH118" s="225"/>
      <c r="BNI118" s="225"/>
      <c r="BNJ118" s="225"/>
      <c r="BNK118" s="225"/>
      <c r="BNL118" s="225"/>
      <c r="BNM118" s="225"/>
      <c r="BNN118" s="225"/>
      <c r="BNO118" s="225"/>
      <c r="BNP118" s="225"/>
      <c r="BNQ118" s="225"/>
      <c r="BNR118" s="225"/>
      <c r="BNS118" s="225"/>
      <c r="BNT118" s="225"/>
      <c r="BNU118" s="225"/>
      <c r="BNV118" s="225"/>
      <c r="BNW118" s="225"/>
      <c r="BNX118" s="225"/>
      <c r="BNY118" s="225"/>
      <c r="BNZ118" s="225"/>
      <c r="BOA118" s="225"/>
      <c r="BOB118" s="225"/>
      <c r="BOC118" s="225"/>
      <c r="BOD118" s="225"/>
      <c r="BOE118" s="225"/>
      <c r="BOF118" s="225"/>
      <c r="BOG118" s="225"/>
      <c r="BOH118" s="225"/>
      <c r="BOI118" s="225"/>
      <c r="BOJ118" s="225"/>
      <c r="BOK118" s="225"/>
      <c r="BOL118" s="225"/>
      <c r="BOM118" s="225"/>
      <c r="BON118" s="225"/>
      <c r="BOO118" s="225"/>
      <c r="BOP118" s="225"/>
      <c r="BOQ118" s="225"/>
      <c r="BOR118" s="225"/>
      <c r="BOS118" s="225"/>
      <c r="BOT118" s="225"/>
      <c r="BOU118" s="225"/>
      <c r="BOV118" s="225"/>
      <c r="BOW118" s="225"/>
      <c r="BOX118" s="225"/>
      <c r="BOY118" s="225"/>
      <c r="BOZ118" s="225"/>
      <c r="BPA118" s="225"/>
      <c r="BPB118" s="225"/>
      <c r="BPC118" s="225"/>
      <c r="BPD118" s="225"/>
      <c r="BPE118" s="225"/>
      <c r="BPF118" s="225"/>
      <c r="BPG118" s="225"/>
      <c r="BPH118" s="225"/>
      <c r="BPI118" s="225"/>
      <c r="BPJ118" s="225"/>
      <c r="BPK118" s="225"/>
      <c r="BPL118" s="225"/>
      <c r="BPM118" s="225"/>
      <c r="BPN118" s="225"/>
      <c r="BPO118" s="225"/>
      <c r="BPP118" s="225"/>
      <c r="BPQ118" s="225"/>
      <c r="BPR118" s="225"/>
      <c r="BPS118" s="225"/>
      <c r="BPT118" s="225"/>
      <c r="BPU118" s="225"/>
      <c r="BPV118" s="225"/>
      <c r="BPW118" s="225"/>
      <c r="BPX118" s="225"/>
      <c r="BPY118" s="225"/>
      <c r="BPZ118" s="225"/>
      <c r="BQA118" s="225"/>
      <c r="BQB118" s="225"/>
      <c r="BQC118" s="225"/>
      <c r="BQD118" s="225"/>
      <c r="BQE118" s="225"/>
      <c r="BQF118" s="225"/>
      <c r="BQG118" s="225"/>
      <c r="BQH118" s="225"/>
      <c r="BQI118" s="225"/>
      <c r="BQJ118" s="225"/>
      <c r="BQK118" s="225"/>
      <c r="BQL118" s="225"/>
      <c r="BQM118" s="225"/>
      <c r="BQN118" s="225"/>
      <c r="BQO118" s="225"/>
      <c r="BQP118" s="225"/>
      <c r="BQQ118" s="225"/>
      <c r="BQR118" s="225"/>
      <c r="BQS118" s="225"/>
      <c r="BQT118" s="225"/>
      <c r="BQU118" s="225"/>
      <c r="BQV118" s="225"/>
      <c r="BQW118" s="225"/>
      <c r="BQX118" s="225"/>
      <c r="BQY118" s="225"/>
      <c r="BQZ118" s="225"/>
      <c r="BRA118" s="225"/>
      <c r="BRB118" s="225"/>
      <c r="BRC118" s="225"/>
      <c r="BRD118" s="225"/>
      <c r="BRE118" s="225"/>
      <c r="BRF118" s="225"/>
      <c r="BRG118" s="225"/>
      <c r="BRH118" s="225"/>
      <c r="BRI118" s="225"/>
      <c r="BRJ118" s="225"/>
      <c r="BRK118" s="225"/>
      <c r="BRL118" s="225"/>
      <c r="BRM118" s="225"/>
      <c r="BRN118" s="225"/>
      <c r="BRO118" s="225"/>
      <c r="BRP118" s="225"/>
      <c r="BRQ118" s="225"/>
      <c r="BRR118" s="225"/>
      <c r="BRS118" s="225"/>
      <c r="BRT118" s="225"/>
      <c r="BRU118" s="225"/>
      <c r="BRV118" s="225"/>
      <c r="BRW118" s="225"/>
      <c r="BRX118" s="225"/>
      <c r="BRY118" s="225"/>
      <c r="BRZ118" s="225"/>
      <c r="BSA118" s="225"/>
      <c r="BSB118" s="225"/>
      <c r="BSC118" s="225"/>
      <c r="BSD118" s="225"/>
      <c r="BSE118" s="225"/>
      <c r="BSF118" s="225"/>
      <c r="BSG118" s="225"/>
      <c r="BSH118" s="225"/>
      <c r="BSI118" s="225"/>
      <c r="BSJ118" s="225"/>
      <c r="BSK118" s="225"/>
      <c r="BSL118" s="225"/>
      <c r="BSM118" s="225"/>
      <c r="BSN118" s="225"/>
      <c r="BSO118" s="225"/>
      <c r="BSP118" s="225"/>
      <c r="BSQ118" s="225"/>
      <c r="BSR118" s="225"/>
      <c r="BSS118" s="225"/>
      <c r="BST118" s="225"/>
      <c r="BSU118" s="225"/>
      <c r="BSV118" s="225"/>
      <c r="BSW118" s="225"/>
      <c r="BSX118" s="225"/>
      <c r="BSY118" s="225"/>
      <c r="BSZ118" s="225"/>
      <c r="BTA118" s="225"/>
      <c r="BTB118" s="225"/>
      <c r="BTC118" s="225"/>
      <c r="BTD118" s="225"/>
      <c r="BTE118" s="225"/>
      <c r="BTF118" s="225"/>
      <c r="BTG118" s="225"/>
      <c r="BTH118" s="225"/>
      <c r="BTI118" s="225"/>
      <c r="BTJ118" s="225"/>
      <c r="BTK118" s="225"/>
      <c r="BTL118" s="225"/>
      <c r="BTM118" s="225"/>
      <c r="BTN118" s="225"/>
      <c r="BTO118" s="225"/>
      <c r="BTP118" s="225"/>
      <c r="BTQ118" s="225"/>
      <c r="BTR118" s="225"/>
      <c r="BTS118" s="225"/>
      <c r="BTT118" s="225"/>
      <c r="BTU118" s="225"/>
      <c r="BTV118" s="225"/>
      <c r="BTW118" s="225"/>
      <c r="BTX118" s="225"/>
      <c r="BTY118" s="225"/>
      <c r="BTZ118" s="225"/>
      <c r="BUA118" s="225"/>
      <c r="BUB118" s="225"/>
      <c r="BUC118" s="225"/>
      <c r="BUD118" s="225"/>
      <c r="BUE118" s="225"/>
      <c r="BUF118" s="225"/>
      <c r="BUG118" s="225"/>
      <c r="BUH118" s="225"/>
      <c r="BUI118" s="225"/>
      <c r="BUJ118" s="225"/>
      <c r="BUK118" s="225"/>
      <c r="BUL118" s="225"/>
      <c r="BUM118" s="225"/>
      <c r="BUN118" s="225"/>
      <c r="BUO118" s="225"/>
      <c r="BUP118" s="225"/>
      <c r="BUQ118" s="225"/>
      <c r="BUR118" s="225"/>
      <c r="BUS118" s="225"/>
      <c r="BUT118" s="225"/>
      <c r="BUU118" s="225"/>
      <c r="BUV118" s="225"/>
      <c r="BUW118" s="225"/>
      <c r="BUX118" s="225"/>
      <c r="BUY118" s="225"/>
      <c r="BUZ118" s="225"/>
      <c r="BVA118" s="225"/>
      <c r="BVB118" s="225"/>
      <c r="BVC118" s="225"/>
      <c r="BVD118" s="225"/>
      <c r="BVE118" s="225"/>
      <c r="BVF118" s="225"/>
      <c r="BVG118" s="225"/>
      <c r="BVH118" s="225"/>
      <c r="BVI118" s="225"/>
      <c r="BVJ118" s="225"/>
      <c r="BVK118" s="225"/>
      <c r="BVL118" s="225"/>
      <c r="BVM118" s="225"/>
      <c r="BVN118" s="225"/>
      <c r="BVO118" s="225"/>
      <c r="BVP118" s="225"/>
      <c r="BVQ118" s="225"/>
      <c r="BVR118" s="225"/>
      <c r="BVS118" s="225"/>
      <c r="BVT118" s="225"/>
      <c r="BVU118" s="225"/>
      <c r="BVV118" s="225"/>
      <c r="BVW118" s="225"/>
      <c r="BVX118" s="225"/>
      <c r="BVY118" s="225"/>
      <c r="BVZ118" s="225"/>
      <c r="BWA118" s="225"/>
      <c r="BWB118" s="225"/>
      <c r="BWC118" s="225"/>
      <c r="BWD118" s="225"/>
      <c r="BWE118" s="225"/>
      <c r="BWF118" s="225"/>
      <c r="BWG118" s="225"/>
      <c r="BWH118" s="225"/>
      <c r="BWI118" s="225"/>
      <c r="BWJ118" s="225"/>
      <c r="BWK118" s="225"/>
      <c r="BWL118" s="225"/>
      <c r="BWM118" s="225"/>
      <c r="BWN118" s="225"/>
      <c r="BWO118" s="225"/>
      <c r="BWP118" s="225"/>
      <c r="BWQ118" s="225"/>
      <c r="BWR118" s="225"/>
      <c r="BWS118" s="225"/>
      <c r="BWT118" s="225"/>
      <c r="BWU118" s="225"/>
      <c r="BWV118" s="225"/>
      <c r="BWW118" s="225"/>
      <c r="BWX118" s="225"/>
      <c r="BWY118" s="225"/>
      <c r="BWZ118" s="225"/>
      <c r="BXA118" s="225"/>
      <c r="BXB118" s="225"/>
      <c r="BXC118" s="225"/>
      <c r="BXD118" s="225"/>
      <c r="BXE118" s="225"/>
      <c r="BXF118" s="225"/>
      <c r="BXG118" s="225"/>
      <c r="BXH118" s="225"/>
      <c r="BXI118" s="225"/>
      <c r="BXJ118" s="225"/>
      <c r="BXK118" s="225"/>
      <c r="BXL118" s="225"/>
      <c r="BXM118" s="225"/>
      <c r="BXN118" s="225"/>
      <c r="BXO118" s="225"/>
      <c r="BXP118" s="225"/>
      <c r="BXQ118" s="225"/>
      <c r="BXR118" s="225"/>
      <c r="BXS118" s="225"/>
      <c r="BXT118" s="225"/>
      <c r="BXU118" s="225"/>
      <c r="BXV118" s="225"/>
      <c r="BXW118" s="225"/>
      <c r="BXX118" s="225"/>
      <c r="BXY118" s="225"/>
      <c r="BXZ118" s="225"/>
      <c r="BYA118" s="225"/>
      <c r="BYB118" s="225"/>
      <c r="BYC118" s="225"/>
      <c r="BYD118" s="225"/>
      <c r="BYE118" s="225"/>
      <c r="BYF118" s="225"/>
      <c r="BYG118" s="225"/>
      <c r="BYH118" s="225"/>
      <c r="BYI118" s="225"/>
      <c r="BYJ118" s="225"/>
      <c r="BYK118" s="225"/>
      <c r="BYL118" s="225"/>
      <c r="BYM118" s="225"/>
      <c r="BYN118" s="225"/>
      <c r="BYO118" s="225"/>
      <c r="BYP118" s="225"/>
      <c r="BYQ118" s="225"/>
      <c r="BYR118" s="225"/>
      <c r="BYS118" s="225"/>
      <c r="BYT118" s="225"/>
      <c r="BYU118" s="225"/>
      <c r="BYV118" s="225"/>
      <c r="BYW118" s="225"/>
      <c r="BYX118" s="225"/>
      <c r="BYY118" s="225"/>
      <c r="BYZ118" s="225"/>
      <c r="BZA118" s="225"/>
      <c r="BZB118" s="225"/>
      <c r="BZC118" s="225"/>
      <c r="BZD118" s="225"/>
      <c r="BZE118" s="225"/>
      <c r="BZF118" s="225"/>
      <c r="BZG118" s="225"/>
      <c r="BZH118" s="225"/>
      <c r="BZI118" s="225"/>
      <c r="BZJ118" s="225"/>
      <c r="BZK118" s="225"/>
      <c r="BZL118" s="225"/>
      <c r="BZM118" s="225"/>
      <c r="BZN118" s="225"/>
      <c r="BZO118" s="225"/>
      <c r="BZP118" s="225"/>
      <c r="BZQ118" s="225"/>
      <c r="BZR118" s="225"/>
      <c r="BZS118" s="225"/>
      <c r="BZT118" s="225"/>
      <c r="BZU118" s="225"/>
      <c r="BZV118" s="225"/>
      <c r="BZW118" s="225"/>
      <c r="BZX118" s="225"/>
      <c r="BZY118" s="225"/>
      <c r="BZZ118" s="225"/>
      <c r="CAA118" s="225"/>
      <c r="CAB118" s="225"/>
      <c r="CAC118" s="225"/>
      <c r="CAD118" s="225"/>
      <c r="CAE118" s="225"/>
      <c r="CAF118" s="225"/>
      <c r="CAG118" s="225"/>
      <c r="CAH118" s="225"/>
      <c r="CAI118" s="225"/>
      <c r="CAJ118" s="225"/>
      <c r="CAK118" s="225"/>
      <c r="CAL118" s="225"/>
      <c r="CAM118" s="225"/>
      <c r="CAN118" s="225"/>
      <c r="CAO118" s="225"/>
      <c r="CAP118" s="225"/>
      <c r="CAQ118" s="225"/>
      <c r="CAR118" s="225"/>
      <c r="CAS118" s="225"/>
      <c r="CAT118" s="225"/>
      <c r="CAU118" s="225"/>
      <c r="CAV118" s="225"/>
      <c r="CAW118" s="225"/>
      <c r="CAX118" s="225"/>
      <c r="CAY118" s="225"/>
      <c r="CAZ118" s="225"/>
      <c r="CBA118" s="225"/>
      <c r="CBB118" s="225"/>
      <c r="CBC118" s="225"/>
      <c r="CBD118" s="225"/>
      <c r="CBE118" s="225"/>
      <c r="CBF118" s="225"/>
      <c r="CBG118" s="225"/>
      <c r="CBH118" s="225"/>
      <c r="CBI118" s="225"/>
      <c r="CBJ118" s="225"/>
      <c r="CBK118" s="225"/>
      <c r="CBL118" s="225"/>
      <c r="CBM118" s="225"/>
      <c r="CBN118" s="225"/>
      <c r="CBO118" s="225"/>
      <c r="CBP118" s="225"/>
      <c r="CBQ118" s="225"/>
      <c r="CBR118" s="225"/>
      <c r="CBS118" s="225"/>
      <c r="CBT118" s="225"/>
      <c r="CBU118" s="225"/>
      <c r="CBV118" s="225"/>
      <c r="CBW118" s="225"/>
      <c r="CBX118" s="225"/>
      <c r="CBY118" s="225"/>
      <c r="CBZ118" s="225"/>
      <c r="CCA118" s="225"/>
      <c r="CCB118" s="225"/>
      <c r="CCC118" s="225"/>
      <c r="CCD118" s="225"/>
      <c r="CCE118" s="225"/>
      <c r="CCF118" s="225"/>
      <c r="CCG118" s="225"/>
      <c r="CCH118" s="225"/>
      <c r="CCI118" s="225"/>
      <c r="CCJ118" s="225"/>
      <c r="CCK118" s="225"/>
      <c r="CCL118" s="225"/>
      <c r="CCM118" s="225"/>
      <c r="CCN118" s="225"/>
      <c r="CCO118" s="225"/>
      <c r="CCP118" s="225"/>
      <c r="CCQ118" s="225"/>
      <c r="CCR118" s="225"/>
      <c r="CCS118" s="225"/>
      <c r="CCT118" s="225"/>
      <c r="CCU118" s="225"/>
      <c r="CCV118" s="225"/>
      <c r="CCW118" s="225"/>
      <c r="CCX118" s="225"/>
      <c r="CCY118" s="225"/>
      <c r="CCZ118" s="225"/>
      <c r="CDA118" s="225"/>
      <c r="CDB118" s="225"/>
      <c r="CDC118" s="225"/>
      <c r="CDD118" s="225"/>
      <c r="CDE118" s="225"/>
      <c r="CDF118" s="225"/>
      <c r="CDG118" s="225"/>
      <c r="CDH118" s="225"/>
      <c r="CDI118" s="225"/>
      <c r="CDJ118" s="225"/>
      <c r="CDK118" s="225"/>
      <c r="CDL118" s="225"/>
      <c r="CDM118" s="225"/>
      <c r="CDN118" s="225"/>
      <c r="CDO118" s="225"/>
      <c r="CDP118" s="225"/>
      <c r="CDQ118" s="225"/>
      <c r="CDR118" s="225"/>
      <c r="CDS118" s="225"/>
      <c r="CDT118" s="225"/>
      <c r="CDU118" s="225"/>
      <c r="CDV118" s="225"/>
      <c r="CDW118" s="225"/>
      <c r="CDX118" s="225"/>
      <c r="CDY118" s="225"/>
      <c r="CDZ118" s="225"/>
      <c r="CEA118" s="225"/>
      <c r="CEB118" s="225"/>
      <c r="CEC118" s="225"/>
      <c r="CED118" s="225"/>
      <c r="CEE118" s="225"/>
      <c r="CEF118" s="225"/>
      <c r="CEG118" s="225"/>
      <c r="CEH118" s="225"/>
      <c r="CEI118" s="225"/>
      <c r="CEJ118" s="225"/>
      <c r="CEK118" s="225"/>
      <c r="CEL118" s="225"/>
      <c r="CEM118" s="225"/>
      <c r="CEN118" s="225"/>
      <c r="CEO118" s="225"/>
      <c r="CEP118" s="225"/>
      <c r="CEQ118" s="225"/>
      <c r="CER118" s="225"/>
      <c r="CES118" s="225"/>
      <c r="CET118" s="225"/>
      <c r="CEU118" s="225"/>
      <c r="CEV118" s="225"/>
      <c r="CEW118" s="225"/>
      <c r="CEX118" s="225"/>
      <c r="CEY118" s="225"/>
      <c r="CEZ118" s="225"/>
      <c r="CFA118" s="225"/>
      <c r="CFB118" s="225"/>
      <c r="CFC118" s="225"/>
      <c r="CFD118" s="225"/>
      <c r="CFE118" s="225"/>
      <c r="CFF118" s="225"/>
      <c r="CFG118" s="225"/>
      <c r="CFH118" s="225"/>
      <c r="CFI118" s="225"/>
      <c r="CFJ118" s="225"/>
      <c r="CFK118" s="225"/>
      <c r="CFL118" s="225"/>
      <c r="CFM118" s="225"/>
      <c r="CFN118" s="225"/>
      <c r="CFO118" s="225"/>
      <c r="CFP118" s="225"/>
      <c r="CFQ118" s="225"/>
      <c r="CFR118" s="225"/>
      <c r="CFS118" s="225"/>
      <c r="CFT118" s="225"/>
      <c r="CFU118" s="225"/>
      <c r="CFV118" s="225"/>
      <c r="CFW118" s="225"/>
      <c r="CFX118" s="225"/>
      <c r="CFY118" s="225"/>
      <c r="CFZ118" s="225"/>
      <c r="CGA118" s="225"/>
      <c r="CGB118" s="225"/>
      <c r="CGC118" s="225"/>
      <c r="CGD118" s="225"/>
      <c r="CGE118" s="225"/>
      <c r="CGF118" s="225"/>
      <c r="CGG118" s="225"/>
      <c r="CGH118" s="225"/>
      <c r="CGI118" s="225"/>
      <c r="CGJ118" s="225"/>
      <c r="CGK118" s="225"/>
      <c r="CGL118" s="225"/>
      <c r="CGM118" s="225"/>
      <c r="CGN118" s="225"/>
      <c r="CGO118" s="225"/>
      <c r="CGP118" s="225"/>
      <c r="CGQ118" s="225"/>
      <c r="CGR118" s="225"/>
      <c r="CGS118" s="225"/>
      <c r="CGT118" s="225"/>
      <c r="CGU118" s="225"/>
      <c r="CGV118" s="225"/>
      <c r="CGW118" s="225"/>
      <c r="CGX118" s="225"/>
      <c r="CGY118" s="225"/>
      <c r="CGZ118" s="225"/>
      <c r="CHA118" s="225"/>
      <c r="CHB118" s="225"/>
      <c r="CHC118" s="225"/>
      <c r="CHD118" s="225"/>
      <c r="CHE118" s="225"/>
      <c r="CHF118" s="225"/>
      <c r="CHG118" s="225"/>
      <c r="CHH118" s="225"/>
      <c r="CHI118" s="225"/>
      <c r="CHJ118" s="225"/>
      <c r="CHK118" s="225"/>
      <c r="CHL118" s="225"/>
      <c r="CHM118" s="225"/>
      <c r="CHN118" s="225"/>
      <c r="CHO118" s="225"/>
      <c r="CHP118" s="225"/>
      <c r="CHQ118" s="225"/>
      <c r="CHR118" s="225"/>
      <c r="CHS118" s="225"/>
      <c r="CHT118" s="225"/>
      <c r="CHU118" s="225"/>
      <c r="CHV118" s="225"/>
      <c r="CHW118" s="225"/>
      <c r="CHX118" s="225"/>
      <c r="CHY118" s="225"/>
      <c r="CHZ118" s="225"/>
      <c r="CIA118" s="225"/>
      <c r="CIB118" s="225"/>
      <c r="CIC118" s="225"/>
      <c r="CID118" s="225"/>
      <c r="CIE118" s="225"/>
      <c r="CIF118" s="225"/>
      <c r="CIG118" s="225"/>
      <c r="CIH118" s="225"/>
      <c r="CII118" s="225"/>
      <c r="CIJ118" s="225"/>
      <c r="CIK118" s="225"/>
      <c r="CIL118" s="225"/>
      <c r="CIM118" s="225"/>
      <c r="CIN118" s="225"/>
      <c r="CIO118" s="225"/>
      <c r="CIP118" s="225"/>
      <c r="CIQ118" s="225"/>
      <c r="CIR118" s="225"/>
      <c r="CIS118" s="225"/>
      <c r="CIT118" s="225"/>
      <c r="CIU118" s="225"/>
      <c r="CIV118" s="225"/>
      <c r="CIW118" s="225"/>
      <c r="CIX118" s="225"/>
      <c r="CIY118" s="225"/>
      <c r="CIZ118" s="225"/>
      <c r="CJA118" s="225"/>
      <c r="CJB118" s="225"/>
      <c r="CJC118" s="225"/>
      <c r="CJD118" s="225"/>
      <c r="CJE118" s="225"/>
      <c r="CJF118" s="225"/>
      <c r="CJG118" s="225"/>
      <c r="CJH118" s="225"/>
      <c r="CJI118" s="225"/>
      <c r="CJJ118" s="225"/>
      <c r="CJK118" s="225"/>
      <c r="CJL118" s="225"/>
      <c r="CJM118" s="225"/>
      <c r="CJN118" s="225"/>
      <c r="CJO118" s="225"/>
      <c r="CJP118" s="225"/>
      <c r="CJQ118" s="225"/>
      <c r="CJR118" s="225"/>
      <c r="CJS118" s="225"/>
      <c r="CJT118" s="225"/>
      <c r="CJU118" s="225"/>
      <c r="CJV118" s="225"/>
      <c r="CJW118" s="225"/>
      <c r="CJX118" s="225"/>
      <c r="CJY118" s="225"/>
      <c r="CJZ118" s="225"/>
      <c r="CKA118" s="225"/>
      <c r="CKB118" s="225"/>
      <c r="CKC118" s="225"/>
      <c r="CKD118" s="225"/>
      <c r="CKE118" s="225"/>
      <c r="CKF118" s="225"/>
      <c r="CKG118" s="225"/>
      <c r="CKH118" s="225"/>
      <c r="CKI118" s="225"/>
      <c r="CKJ118" s="225"/>
      <c r="CKK118" s="225"/>
      <c r="CKL118" s="225"/>
      <c r="CKM118" s="225"/>
      <c r="CKN118" s="225"/>
      <c r="CKO118" s="225"/>
      <c r="CKP118" s="225"/>
      <c r="CKQ118" s="225"/>
      <c r="CKR118" s="225"/>
      <c r="CKS118" s="225"/>
      <c r="CKT118" s="225"/>
      <c r="CKU118" s="225"/>
      <c r="CKV118" s="225"/>
      <c r="CKW118" s="225"/>
      <c r="CKX118" s="225"/>
      <c r="CKY118" s="225"/>
      <c r="CKZ118" s="225"/>
      <c r="CLA118" s="225"/>
      <c r="CLB118" s="225"/>
      <c r="CLC118" s="225"/>
      <c r="CLD118" s="225"/>
      <c r="CLE118" s="225"/>
      <c r="CLF118" s="225"/>
      <c r="CLG118" s="225"/>
      <c r="CLH118" s="225"/>
      <c r="CLI118" s="225"/>
      <c r="CLJ118" s="225"/>
      <c r="CLK118" s="225"/>
      <c r="CLL118" s="225"/>
      <c r="CLM118" s="225"/>
      <c r="CLN118" s="225"/>
      <c r="CLO118" s="225"/>
      <c r="CLP118" s="225"/>
      <c r="CLQ118" s="225"/>
      <c r="CLR118" s="225"/>
      <c r="CLS118" s="225"/>
      <c r="CLT118" s="225"/>
      <c r="CLU118" s="225"/>
      <c r="CLV118" s="225"/>
      <c r="CLW118" s="225"/>
      <c r="CLX118" s="225"/>
      <c r="CLY118" s="225"/>
      <c r="CLZ118" s="225"/>
      <c r="CMA118" s="225"/>
      <c r="CMB118" s="225"/>
      <c r="CMC118" s="225"/>
      <c r="CMD118" s="225"/>
      <c r="CME118" s="225"/>
      <c r="CMF118" s="225"/>
      <c r="CMG118" s="225"/>
      <c r="CMH118" s="225"/>
      <c r="CMI118" s="225"/>
      <c r="CMJ118" s="225"/>
      <c r="CMK118" s="225"/>
      <c r="CML118" s="225"/>
      <c r="CMM118" s="225"/>
      <c r="CMN118" s="225"/>
      <c r="CMO118" s="225"/>
      <c r="CMP118" s="225"/>
      <c r="CMQ118" s="225"/>
      <c r="CMR118" s="225"/>
      <c r="CMS118" s="225"/>
      <c r="CMT118" s="225"/>
      <c r="CMU118" s="225"/>
      <c r="CMV118" s="225"/>
      <c r="CMW118" s="225"/>
      <c r="CMX118" s="225"/>
      <c r="CMY118" s="225"/>
      <c r="CMZ118" s="225"/>
      <c r="CNA118" s="225"/>
      <c r="CNB118" s="225"/>
      <c r="CNC118" s="225"/>
      <c r="CND118" s="225"/>
      <c r="CNE118" s="225"/>
      <c r="CNF118" s="225"/>
      <c r="CNG118" s="225"/>
      <c r="CNH118" s="225"/>
      <c r="CNI118" s="225"/>
      <c r="CNJ118" s="225"/>
      <c r="CNK118" s="225"/>
      <c r="CNL118" s="225"/>
      <c r="CNM118" s="225"/>
      <c r="CNN118" s="225"/>
      <c r="CNO118" s="225"/>
      <c r="CNP118" s="225"/>
      <c r="CNQ118" s="225"/>
      <c r="CNR118" s="225"/>
      <c r="CNS118" s="225"/>
      <c r="CNT118" s="225"/>
      <c r="CNU118" s="225"/>
      <c r="CNV118" s="225"/>
      <c r="CNW118" s="225"/>
      <c r="CNX118" s="225"/>
      <c r="CNY118" s="225"/>
      <c r="CNZ118" s="225"/>
      <c r="COA118" s="225"/>
      <c r="COB118" s="225"/>
      <c r="COC118" s="225"/>
      <c r="COD118" s="225"/>
      <c r="COE118" s="225"/>
      <c r="COF118" s="225"/>
      <c r="COG118" s="225"/>
      <c r="COH118" s="225"/>
      <c r="COI118" s="225"/>
      <c r="COJ118" s="225"/>
      <c r="COK118" s="225"/>
      <c r="COL118" s="225"/>
      <c r="COM118" s="225"/>
      <c r="CON118" s="225"/>
      <c r="COO118" s="225"/>
      <c r="COP118" s="225"/>
      <c r="COQ118" s="225"/>
      <c r="COR118" s="225"/>
      <c r="COS118" s="225"/>
      <c r="COT118" s="225"/>
      <c r="COU118" s="225"/>
      <c r="COV118" s="225"/>
      <c r="COW118" s="225"/>
      <c r="COX118" s="225"/>
      <c r="COY118" s="225"/>
      <c r="COZ118" s="225"/>
      <c r="CPA118" s="225"/>
      <c r="CPB118" s="225"/>
      <c r="CPC118" s="225"/>
      <c r="CPD118" s="225"/>
      <c r="CPE118" s="225"/>
      <c r="CPF118" s="225"/>
      <c r="CPG118" s="225"/>
      <c r="CPH118" s="225"/>
      <c r="CPI118" s="225"/>
      <c r="CPJ118" s="225"/>
      <c r="CPK118" s="225"/>
      <c r="CPL118" s="225"/>
      <c r="CPM118" s="225"/>
      <c r="CPN118" s="225"/>
      <c r="CPO118" s="225"/>
      <c r="CPP118" s="225"/>
      <c r="CPQ118" s="225"/>
      <c r="CPR118" s="225"/>
      <c r="CPS118" s="225"/>
      <c r="CPT118" s="225"/>
      <c r="CPU118" s="225"/>
      <c r="CPV118" s="225"/>
      <c r="CPW118" s="225"/>
      <c r="CPX118" s="225"/>
      <c r="CPY118" s="225"/>
      <c r="CPZ118" s="225"/>
      <c r="CQA118" s="225"/>
      <c r="CQB118" s="225"/>
      <c r="CQC118" s="225"/>
      <c r="CQD118" s="225"/>
      <c r="CQE118" s="225"/>
      <c r="CQF118" s="225"/>
      <c r="CQG118" s="225"/>
      <c r="CQH118" s="225"/>
      <c r="CQI118" s="225"/>
      <c r="CQJ118" s="225"/>
      <c r="CQK118" s="225"/>
      <c r="CQL118" s="225"/>
      <c r="CQM118" s="225"/>
      <c r="CQN118" s="225"/>
      <c r="CQO118" s="225"/>
      <c r="CQP118" s="225"/>
      <c r="CQQ118" s="225"/>
      <c r="CQR118" s="225"/>
      <c r="CQS118" s="225"/>
      <c r="CQT118" s="225"/>
      <c r="CQU118" s="225"/>
      <c r="CQV118" s="225"/>
      <c r="CQW118" s="225"/>
      <c r="CQX118" s="225"/>
      <c r="CQY118" s="225"/>
      <c r="CQZ118" s="225"/>
      <c r="CRA118" s="225"/>
      <c r="CRB118" s="225"/>
      <c r="CRC118" s="225"/>
      <c r="CRD118" s="225"/>
      <c r="CRE118" s="225"/>
      <c r="CRF118" s="225"/>
      <c r="CRG118" s="225"/>
      <c r="CRH118" s="225"/>
      <c r="CRI118" s="225"/>
      <c r="CRJ118" s="225"/>
      <c r="CRK118" s="225"/>
      <c r="CRL118" s="225"/>
      <c r="CRM118" s="225"/>
      <c r="CRN118" s="225"/>
      <c r="CRO118" s="225"/>
      <c r="CRP118" s="225"/>
      <c r="CRQ118" s="225"/>
      <c r="CRR118" s="225"/>
      <c r="CRS118" s="225"/>
      <c r="CRT118" s="225"/>
      <c r="CRU118" s="225"/>
      <c r="CRV118" s="225"/>
      <c r="CRW118" s="225"/>
      <c r="CRX118" s="225"/>
      <c r="CRY118" s="225"/>
      <c r="CRZ118" s="225"/>
      <c r="CSA118" s="225"/>
      <c r="CSB118" s="225"/>
      <c r="CSC118" s="225"/>
      <c r="CSD118" s="225"/>
      <c r="CSE118" s="225"/>
      <c r="CSF118" s="225"/>
      <c r="CSG118" s="225"/>
      <c r="CSH118" s="225"/>
      <c r="CSI118" s="225"/>
      <c r="CSJ118" s="225"/>
      <c r="CSK118" s="225"/>
      <c r="CSL118" s="225"/>
      <c r="CSM118" s="225"/>
      <c r="CSN118" s="225"/>
      <c r="CSO118" s="225"/>
      <c r="CSP118" s="225"/>
      <c r="CSQ118" s="225"/>
      <c r="CSR118" s="225"/>
      <c r="CSS118" s="225"/>
      <c r="CST118" s="225"/>
      <c r="CSU118" s="225"/>
      <c r="CSV118" s="225"/>
      <c r="CSW118" s="225"/>
      <c r="CSX118" s="225"/>
      <c r="CSY118" s="225"/>
      <c r="CSZ118" s="225"/>
      <c r="CTA118" s="225"/>
      <c r="CTB118" s="225"/>
      <c r="CTC118" s="225"/>
      <c r="CTD118" s="225"/>
      <c r="CTE118" s="225"/>
      <c r="CTF118" s="225"/>
      <c r="CTG118" s="225"/>
      <c r="CTH118" s="225"/>
      <c r="CTI118" s="225"/>
      <c r="CTJ118" s="225"/>
      <c r="CTK118" s="225"/>
      <c r="CTL118" s="225"/>
      <c r="CTM118" s="225"/>
      <c r="CTN118" s="225"/>
      <c r="CTO118" s="225"/>
      <c r="CTP118" s="225"/>
      <c r="CTQ118" s="225"/>
      <c r="CTR118" s="225"/>
      <c r="CTS118" s="225"/>
      <c r="CTT118" s="225"/>
      <c r="CTU118" s="225"/>
      <c r="CTV118" s="225"/>
      <c r="CTW118" s="225"/>
      <c r="CTX118" s="225"/>
      <c r="CTY118" s="225"/>
      <c r="CTZ118" s="225"/>
      <c r="CUA118" s="225"/>
      <c r="CUB118" s="225"/>
      <c r="CUC118" s="225"/>
      <c r="CUD118" s="225"/>
      <c r="CUE118" s="225"/>
      <c r="CUF118" s="225"/>
      <c r="CUG118" s="225"/>
      <c r="CUH118" s="225"/>
      <c r="CUI118" s="225"/>
      <c r="CUJ118" s="225"/>
      <c r="CUK118" s="225"/>
      <c r="CUL118" s="225"/>
      <c r="CUM118" s="225"/>
      <c r="CUN118" s="225"/>
      <c r="CUO118" s="225"/>
      <c r="CUP118" s="225"/>
      <c r="CUQ118" s="225"/>
      <c r="CUR118" s="225"/>
      <c r="CUS118" s="225"/>
      <c r="CUT118" s="225"/>
      <c r="CUU118" s="225"/>
      <c r="CUV118" s="225"/>
      <c r="CUW118" s="225"/>
      <c r="CUX118" s="225"/>
      <c r="CUY118" s="225"/>
      <c r="CUZ118" s="225"/>
      <c r="CVA118" s="225"/>
      <c r="CVB118" s="225"/>
      <c r="CVC118" s="225"/>
      <c r="CVD118" s="225"/>
      <c r="CVE118" s="225"/>
      <c r="CVF118" s="225"/>
      <c r="CVG118" s="225"/>
      <c r="CVH118" s="225"/>
      <c r="CVI118" s="225"/>
      <c r="CVJ118" s="225"/>
      <c r="CVK118" s="225"/>
      <c r="CVL118" s="225"/>
      <c r="CVM118" s="225"/>
      <c r="CVN118" s="225"/>
      <c r="CVO118" s="225"/>
      <c r="CVP118" s="225"/>
      <c r="CVQ118" s="225"/>
      <c r="CVR118" s="225"/>
      <c r="CVS118" s="225"/>
      <c r="CVT118" s="225"/>
      <c r="CVU118" s="225"/>
      <c r="CVV118" s="225"/>
      <c r="CVW118" s="225"/>
      <c r="CVX118" s="225"/>
      <c r="CVY118" s="225"/>
      <c r="CVZ118" s="225"/>
      <c r="CWA118" s="225"/>
      <c r="CWB118" s="225"/>
      <c r="CWC118" s="225"/>
      <c r="CWD118" s="225"/>
      <c r="CWE118" s="225"/>
      <c r="CWF118" s="225"/>
      <c r="CWG118" s="225"/>
      <c r="CWH118" s="225"/>
      <c r="CWI118" s="225"/>
      <c r="CWJ118" s="225"/>
      <c r="CWK118" s="225"/>
      <c r="CWL118" s="225"/>
      <c r="CWM118" s="225"/>
      <c r="CWN118" s="225"/>
      <c r="CWO118" s="225"/>
      <c r="CWP118" s="225"/>
      <c r="CWQ118" s="225"/>
      <c r="CWR118" s="225"/>
      <c r="CWS118" s="225"/>
      <c r="CWT118" s="225"/>
      <c r="CWU118" s="225"/>
      <c r="CWV118" s="225"/>
      <c r="CWW118" s="225"/>
      <c r="CWX118" s="225"/>
      <c r="CWY118" s="225"/>
      <c r="CWZ118" s="225"/>
      <c r="CXA118" s="225"/>
      <c r="CXB118" s="225"/>
      <c r="CXC118" s="225"/>
      <c r="CXD118" s="225"/>
      <c r="CXE118" s="225"/>
      <c r="CXF118" s="225"/>
      <c r="CXG118" s="225"/>
      <c r="CXH118" s="225"/>
      <c r="CXI118" s="225"/>
      <c r="CXJ118" s="225"/>
      <c r="CXK118" s="225"/>
      <c r="CXL118" s="225"/>
      <c r="CXM118" s="225"/>
      <c r="CXN118" s="225"/>
      <c r="CXO118" s="225"/>
      <c r="CXP118" s="225"/>
      <c r="CXQ118" s="225"/>
      <c r="CXR118" s="225"/>
      <c r="CXS118" s="225"/>
      <c r="CXT118" s="225"/>
      <c r="CXU118" s="225"/>
      <c r="CXV118" s="225"/>
      <c r="CXW118" s="225"/>
      <c r="CXX118" s="225"/>
      <c r="CXY118" s="225"/>
      <c r="CXZ118" s="225"/>
      <c r="CYA118" s="225"/>
      <c r="CYB118" s="225"/>
      <c r="CYC118" s="225"/>
      <c r="CYD118" s="225"/>
      <c r="CYE118" s="225"/>
      <c r="CYF118" s="225"/>
      <c r="CYG118" s="225"/>
      <c r="CYH118" s="225"/>
      <c r="CYI118" s="225"/>
      <c r="CYJ118" s="225"/>
      <c r="CYK118" s="225"/>
      <c r="CYL118" s="225"/>
      <c r="CYM118" s="225"/>
      <c r="CYN118" s="225"/>
      <c r="CYO118" s="225"/>
      <c r="CYP118" s="225"/>
      <c r="CYQ118" s="225"/>
      <c r="CYR118" s="225"/>
      <c r="CYS118" s="225"/>
      <c r="CYT118" s="225"/>
      <c r="CYU118" s="225"/>
      <c r="CYV118" s="225"/>
      <c r="CYW118" s="225"/>
      <c r="CYX118" s="225"/>
      <c r="CYY118" s="225"/>
      <c r="CYZ118" s="225"/>
      <c r="CZA118" s="225"/>
      <c r="CZB118" s="225"/>
      <c r="CZC118" s="225"/>
      <c r="CZD118" s="225"/>
      <c r="CZE118" s="225"/>
      <c r="CZF118" s="225"/>
      <c r="CZG118" s="225"/>
      <c r="CZH118" s="225"/>
      <c r="CZI118" s="225"/>
      <c r="CZJ118" s="225"/>
      <c r="CZK118" s="225"/>
      <c r="CZL118" s="225"/>
      <c r="CZM118" s="225"/>
      <c r="CZN118" s="225"/>
      <c r="CZO118" s="225"/>
      <c r="CZP118" s="225"/>
      <c r="CZQ118" s="225"/>
      <c r="CZR118" s="225"/>
      <c r="CZS118" s="225"/>
      <c r="CZT118" s="225"/>
      <c r="CZU118" s="225"/>
      <c r="CZV118" s="225"/>
      <c r="CZW118" s="225"/>
      <c r="CZX118" s="225"/>
      <c r="CZY118" s="225"/>
      <c r="CZZ118" s="225"/>
      <c r="DAA118" s="225"/>
      <c r="DAB118" s="225"/>
      <c r="DAC118" s="225"/>
      <c r="DAD118" s="225"/>
      <c r="DAE118" s="225"/>
      <c r="DAF118" s="225"/>
      <c r="DAG118" s="225"/>
      <c r="DAH118" s="225"/>
      <c r="DAI118" s="225"/>
      <c r="DAJ118" s="225"/>
      <c r="DAK118" s="225"/>
      <c r="DAL118" s="225"/>
      <c r="DAM118" s="225"/>
      <c r="DAN118" s="225"/>
      <c r="DAO118" s="225"/>
      <c r="DAP118" s="225"/>
      <c r="DAQ118" s="225"/>
      <c r="DAR118" s="225"/>
      <c r="DAS118" s="225"/>
      <c r="DAT118" s="225"/>
      <c r="DAU118" s="225"/>
      <c r="DAV118" s="225"/>
      <c r="DAW118" s="225"/>
      <c r="DAX118" s="225"/>
      <c r="DAY118" s="225"/>
      <c r="DAZ118" s="225"/>
      <c r="DBA118" s="225"/>
      <c r="DBB118" s="225"/>
      <c r="DBC118" s="225"/>
      <c r="DBD118" s="225"/>
      <c r="DBE118" s="225"/>
      <c r="DBF118" s="225"/>
      <c r="DBG118" s="225"/>
      <c r="DBH118" s="225"/>
      <c r="DBI118" s="225"/>
      <c r="DBJ118" s="225"/>
      <c r="DBK118" s="225"/>
      <c r="DBL118" s="225"/>
      <c r="DBM118" s="225"/>
      <c r="DBN118" s="225"/>
      <c r="DBO118" s="225"/>
      <c r="DBP118" s="225"/>
      <c r="DBQ118" s="225"/>
      <c r="DBR118" s="225"/>
      <c r="DBS118" s="225"/>
      <c r="DBT118" s="225"/>
      <c r="DBU118" s="225"/>
      <c r="DBV118" s="225"/>
      <c r="DBW118" s="225"/>
      <c r="DBX118" s="225"/>
      <c r="DBY118" s="225"/>
      <c r="DBZ118" s="225"/>
      <c r="DCA118" s="225"/>
      <c r="DCB118" s="225"/>
      <c r="DCC118" s="225"/>
      <c r="DCD118" s="225"/>
      <c r="DCE118" s="225"/>
      <c r="DCF118" s="225"/>
      <c r="DCG118" s="225"/>
      <c r="DCH118" s="225"/>
      <c r="DCI118" s="225"/>
      <c r="DCJ118" s="225"/>
      <c r="DCK118" s="225"/>
      <c r="DCL118" s="225"/>
      <c r="DCM118" s="225"/>
      <c r="DCN118" s="225"/>
      <c r="DCO118" s="225"/>
      <c r="DCP118" s="225"/>
      <c r="DCQ118" s="225"/>
      <c r="DCR118" s="225"/>
      <c r="DCS118" s="225"/>
      <c r="DCT118" s="225"/>
      <c r="DCU118" s="225"/>
      <c r="DCV118" s="225"/>
      <c r="DCW118" s="225"/>
      <c r="DCX118" s="225"/>
      <c r="DCY118" s="225"/>
      <c r="DCZ118" s="225"/>
      <c r="DDA118" s="225"/>
      <c r="DDB118" s="225"/>
      <c r="DDC118" s="225"/>
      <c r="DDD118" s="225"/>
      <c r="DDE118" s="225"/>
      <c r="DDF118" s="225"/>
      <c r="DDG118" s="225"/>
      <c r="DDH118" s="225"/>
      <c r="DDI118" s="225"/>
      <c r="DDJ118" s="225"/>
      <c r="DDK118" s="225"/>
      <c r="DDL118" s="225"/>
      <c r="DDM118" s="225"/>
      <c r="DDN118" s="225"/>
      <c r="DDO118" s="225"/>
      <c r="DDP118" s="225"/>
      <c r="DDQ118" s="225"/>
      <c r="DDR118" s="225"/>
      <c r="DDS118" s="225"/>
      <c r="DDT118" s="225"/>
      <c r="DDU118" s="225"/>
      <c r="DDV118" s="225"/>
      <c r="DDW118" s="225"/>
      <c r="DDX118" s="225"/>
      <c r="DDY118" s="225"/>
      <c r="DDZ118" s="225"/>
      <c r="DEA118" s="225"/>
      <c r="DEB118" s="225"/>
      <c r="DEC118" s="225"/>
      <c r="DED118" s="225"/>
      <c r="DEE118" s="225"/>
      <c r="DEF118" s="225"/>
      <c r="DEG118" s="225"/>
      <c r="DEH118" s="225"/>
      <c r="DEI118" s="225"/>
      <c r="DEJ118" s="225"/>
      <c r="DEK118" s="225"/>
      <c r="DEL118" s="225"/>
      <c r="DEM118" s="225"/>
      <c r="DEN118" s="225"/>
      <c r="DEO118" s="225"/>
      <c r="DEP118" s="225"/>
      <c r="DEQ118" s="225"/>
      <c r="DER118" s="225"/>
      <c r="DES118" s="225"/>
      <c r="DET118" s="225"/>
      <c r="DEU118" s="225"/>
      <c r="DEV118" s="225"/>
      <c r="DEW118" s="225"/>
      <c r="DEX118" s="225"/>
      <c r="DEY118" s="225"/>
      <c r="DEZ118" s="225"/>
      <c r="DFA118" s="225"/>
      <c r="DFB118" s="225"/>
      <c r="DFC118" s="225"/>
      <c r="DFD118" s="225"/>
      <c r="DFE118" s="225"/>
      <c r="DFF118" s="225"/>
      <c r="DFG118" s="225"/>
      <c r="DFH118" s="225"/>
      <c r="DFI118" s="225"/>
      <c r="DFJ118" s="225"/>
      <c r="DFK118" s="225"/>
      <c r="DFL118" s="225"/>
      <c r="DFM118" s="225"/>
      <c r="DFN118" s="225"/>
      <c r="DFO118" s="225"/>
      <c r="DFP118" s="225"/>
      <c r="DFQ118" s="225"/>
      <c r="DFR118" s="225"/>
      <c r="DFS118" s="225"/>
      <c r="DFT118" s="225"/>
      <c r="DFU118" s="225"/>
      <c r="DFV118" s="225"/>
      <c r="DFW118" s="225"/>
      <c r="DFX118" s="225"/>
      <c r="DFY118" s="225"/>
      <c r="DFZ118" s="225"/>
      <c r="DGA118" s="225"/>
      <c r="DGB118" s="225"/>
      <c r="DGC118" s="225"/>
      <c r="DGD118" s="225"/>
      <c r="DGE118" s="225"/>
      <c r="DGF118" s="225"/>
      <c r="DGG118" s="225"/>
      <c r="DGH118" s="225"/>
      <c r="DGI118" s="225"/>
      <c r="DGJ118" s="225"/>
      <c r="DGK118" s="225"/>
      <c r="DGL118" s="225"/>
      <c r="DGM118" s="225"/>
      <c r="DGN118" s="225"/>
      <c r="DGO118" s="225"/>
      <c r="DGP118" s="225"/>
      <c r="DGQ118" s="225"/>
      <c r="DGR118" s="225"/>
      <c r="DGS118" s="225"/>
      <c r="DGT118" s="225"/>
      <c r="DGU118" s="225"/>
      <c r="DGV118" s="225"/>
      <c r="DGW118" s="225"/>
      <c r="DGX118" s="225"/>
      <c r="DGY118" s="225"/>
      <c r="DGZ118" s="225"/>
      <c r="DHA118" s="225"/>
      <c r="DHB118" s="225"/>
      <c r="DHC118" s="225"/>
      <c r="DHD118" s="225"/>
      <c r="DHE118" s="225"/>
      <c r="DHF118" s="225"/>
      <c r="DHG118" s="225"/>
      <c r="DHH118" s="225"/>
      <c r="DHI118" s="225"/>
      <c r="DHJ118" s="225"/>
      <c r="DHK118" s="225"/>
      <c r="DHL118" s="225"/>
      <c r="DHM118" s="225"/>
      <c r="DHN118" s="225"/>
      <c r="DHO118" s="225"/>
      <c r="DHP118" s="225"/>
      <c r="DHQ118" s="225"/>
      <c r="DHR118" s="225"/>
      <c r="DHS118" s="225"/>
      <c r="DHT118" s="225"/>
      <c r="DHU118" s="225"/>
      <c r="DHV118" s="225"/>
      <c r="DHW118" s="225"/>
      <c r="DHX118" s="225"/>
      <c r="DHY118" s="225"/>
      <c r="DHZ118" s="225"/>
      <c r="DIA118" s="225"/>
      <c r="DIB118" s="225"/>
      <c r="DIC118" s="225"/>
      <c r="DID118" s="225"/>
      <c r="DIE118" s="225"/>
      <c r="DIF118" s="225"/>
      <c r="DIG118" s="225"/>
      <c r="DIH118" s="225"/>
      <c r="DII118" s="225"/>
      <c r="DIJ118" s="225"/>
      <c r="DIK118" s="225"/>
      <c r="DIL118" s="225"/>
      <c r="DIM118" s="225"/>
      <c r="DIN118" s="225"/>
      <c r="DIO118" s="225"/>
      <c r="DIP118" s="225"/>
      <c r="DIQ118" s="225"/>
      <c r="DIR118" s="225"/>
      <c r="DIS118" s="225"/>
      <c r="DIT118" s="225"/>
      <c r="DIU118" s="225"/>
      <c r="DIV118" s="225"/>
      <c r="DIW118" s="225"/>
      <c r="DIX118" s="225"/>
      <c r="DIY118" s="225"/>
      <c r="DIZ118" s="225"/>
      <c r="DJA118" s="225"/>
      <c r="DJB118" s="225"/>
      <c r="DJC118" s="225"/>
      <c r="DJD118" s="225"/>
      <c r="DJE118" s="225"/>
      <c r="DJF118" s="225"/>
      <c r="DJG118" s="225"/>
      <c r="DJH118" s="225"/>
      <c r="DJI118" s="225"/>
      <c r="DJJ118" s="225"/>
      <c r="DJK118" s="225"/>
      <c r="DJL118" s="225"/>
      <c r="DJM118" s="225"/>
      <c r="DJN118" s="225"/>
      <c r="DJO118" s="225"/>
      <c r="DJP118" s="225"/>
      <c r="DJQ118" s="225"/>
      <c r="DJR118" s="225"/>
      <c r="DJS118" s="225"/>
      <c r="DJT118" s="225"/>
      <c r="DJU118" s="225"/>
      <c r="DJV118" s="225"/>
      <c r="DJW118" s="225"/>
      <c r="DJX118" s="225"/>
      <c r="DJY118" s="225"/>
      <c r="DJZ118" s="225"/>
      <c r="DKA118" s="225"/>
      <c r="DKB118" s="225"/>
      <c r="DKC118" s="225"/>
      <c r="DKD118" s="225"/>
      <c r="DKE118" s="225"/>
      <c r="DKF118" s="225"/>
      <c r="DKG118" s="225"/>
      <c r="DKH118" s="225"/>
      <c r="DKI118" s="225"/>
      <c r="DKJ118" s="225"/>
      <c r="DKK118" s="225"/>
      <c r="DKL118" s="225"/>
      <c r="DKM118" s="225"/>
      <c r="DKN118" s="225"/>
      <c r="DKO118" s="225"/>
      <c r="DKP118" s="225"/>
      <c r="DKQ118" s="225"/>
      <c r="DKR118" s="225"/>
      <c r="DKS118" s="225"/>
      <c r="DKT118" s="225"/>
      <c r="DKU118" s="225"/>
      <c r="DKV118" s="225"/>
      <c r="DKW118" s="225"/>
      <c r="DKX118" s="225"/>
      <c r="DKY118" s="225"/>
      <c r="DKZ118" s="225"/>
      <c r="DLA118" s="225"/>
      <c r="DLB118" s="225"/>
      <c r="DLC118" s="225"/>
      <c r="DLD118" s="225"/>
      <c r="DLE118" s="225"/>
      <c r="DLF118" s="225"/>
      <c r="DLG118" s="225"/>
      <c r="DLH118" s="225"/>
      <c r="DLI118" s="225"/>
      <c r="DLJ118" s="225"/>
      <c r="DLK118" s="225"/>
      <c r="DLL118" s="225"/>
      <c r="DLM118" s="225"/>
      <c r="DLN118" s="225"/>
      <c r="DLO118" s="225"/>
      <c r="DLP118" s="225"/>
      <c r="DLQ118" s="225"/>
      <c r="DLR118" s="225"/>
      <c r="DLS118" s="225"/>
      <c r="DLT118" s="225"/>
      <c r="DLU118" s="225"/>
      <c r="DLV118" s="225"/>
      <c r="DLW118" s="225"/>
      <c r="DLX118" s="225"/>
      <c r="DLY118" s="225"/>
      <c r="DLZ118" s="225"/>
      <c r="DMA118" s="225"/>
      <c r="DMB118" s="225"/>
      <c r="DMC118" s="225"/>
      <c r="DMD118" s="225"/>
      <c r="DME118" s="225"/>
      <c r="DMF118" s="225"/>
      <c r="DMG118" s="225"/>
      <c r="DMH118" s="225"/>
      <c r="DMI118" s="225"/>
      <c r="DMJ118" s="225"/>
      <c r="DMK118" s="225"/>
      <c r="DML118" s="225"/>
      <c r="DMM118" s="225"/>
      <c r="DMN118" s="225"/>
      <c r="DMO118" s="225"/>
      <c r="DMP118" s="225"/>
      <c r="DMQ118" s="225"/>
      <c r="DMR118" s="225"/>
      <c r="DMS118" s="225"/>
      <c r="DMT118" s="225"/>
      <c r="DMU118" s="225"/>
      <c r="DMV118" s="225"/>
      <c r="DMW118" s="225"/>
      <c r="DMX118" s="225"/>
      <c r="DMY118" s="225"/>
      <c r="DMZ118" s="225"/>
      <c r="DNA118" s="225"/>
      <c r="DNB118" s="225"/>
      <c r="DNC118" s="225"/>
      <c r="DND118" s="225"/>
      <c r="DNE118" s="225"/>
      <c r="DNF118" s="225"/>
      <c r="DNG118" s="225"/>
      <c r="DNH118" s="225"/>
      <c r="DNI118" s="225"/>
      <c r="DNJ118" s="225"/>
      <c r="DNK118" s="225"/>
      <c r="DNL118" s="225"/>
      <c r="DNM118" s="225"/>
      <c r="DNN118" s="225"/>
      <c r="DNO118" s="225"/>
      <c r="DNP118" s="225"/>
      <c r="DNQ118" s="225"/>
      <c r="DNR118" s="225"/>
      <c r="DNS118" s="225"/>
      <c r="DNT118" s="225"/>
      <c r="DNU118" s="225"/>
      <c r="DNV118" s="225"/>
      <c r="DNW118" s="225"/>
      <c r="DNX118" s="225"/>
      <c r="DNY118" s="225"/>
      <c r="DNZ118" s="225"/>
      <c r="DOA118" s="225"/>
      <c r="DOB118" s="225"/>
      <c r="DOC118" s="225"/>
      <c r="DOD118" s="225"/>
      <c r="DOE118" s="225"/>
      <c r="DOF118" s="225"/>
      <c r="DOG118" s="225"/>
      <c r="DOH118" s="225"/>
      <c r="DOI118" s="225"/>
      <c r="DOJ118" s="225"/>
      <c r="DOK118" s="225"/>
      <c r="DOL118" s="225"/>
      <c r="DOM118" s="225"/>
      <c r="DON118" s="225"/>
      <c r="DOO118" s="225"/>
      <c r="DOP118" s="225"/>
      <c r="DOQ118" s="225"/>
      <c r="DOR118" s="225"/>
      <c r="DOS118" s="225"/>
      <c r="DOT118" s="225"/>
      <c r="DOU118" s="225"/>
      <c r="DOV118" s="225"/>
      <c r="DOW118" s="225"/>
      <c r="DOX118" s="225"/>
      <c r="DOY118" s="225"/>
      <c r="DOZ118" s="225"/>
      <c r="DPA118" s="225"/>
      <c r="DPB118" s="225"/>
      <c r="DPC118" s="225"/>
      <c r="DPD118" s="225"/>
      <c r="DPE118" s="225"/>
      <c r="DPF118" s="225"/>
      <c r="DPG118" s="225"/>
      <c r="DPH118" s="225"/>
      <c r="DPI118" s="225"/>
      <c r="DPJ118" s="225"/>
      <c r="DPK118" s="225"/>
      <c r="DPL118" s="225"/>
      <c r="DPM118" s="225"/>
      <c r="DPN118" s="225"/>
      <c r="DPO118" s="225"/>
      <c r="DPP118" s="225"/>
      <c r="DPQ118" s="225"/>
      <c r="DPR118" s="225"/>
      <c r="DPS118" s="225"/>
      <c r="DPT118" s="225"/>
      <c r="DPU118" s="225"/>
      <c r="DPV118" s="225"/>
      <c r="DPW118" s="225"/>
      <c r="DPX118" s="225"/>
      <c r="DPY118" s="225"/>
      <c r="DPZ118" s="225"/>
      <c r="DQA118" s="225"/>
      <c r="DQB118" s="225"/>
      <c r="DQC118" s="225"/>
      <c r="DQD118" s="225"/>
      <c r="DQE118" s="225"/>
      <c r="DQF118" s="225"/>
      <c r="DQG118" s="225"/>
      <c r="DQH118" s="225"/>
      <c r="DQI118" s="225"/>
      <c r="DQJ118" s="225"/>
      <c r="DQK118" s="225"/>
      <c r="DQL118" s="225"/>
      <c r="DQM118" s="225"/>
      <c r="DQN118" s="225"/>
      <c r="DQO118" s="225"/>
      <c r="DQP118" s="225"/>
      <c r="DQQ118" s="225"/>
      <c r="DQR118" s="225"/>
      <c r="DQS118" s="225"/>
      <c r="DQT118" s="225"/>
      <c r="DQU118" s="225"/>
      <c r="DQV118" s="225"/>
      <c r="DQW118" s="225"/>
      <c r="DQX118" s="225"/>
      <c r="DQY118" s="225"/>
      <c r="DQZ118" s="225"/>
      <c r="DRA118" s="225"/>
      <c r="DRB118" s="225"/>
      <c r="DRC118" s="225"/>
      <c r="DRD118" s="225"/>
      <c r="DRE118" s="225"/>
      <c r="DRF118" s="225"/>
      <c r="DRG118" s="225"/>
      <c r="DRH118" s="225"/>
      <c r="DRI118" s="225"/>
      <c r="DRJ118" s="225"/>
      <c r="DRK118" s="225"/>
      <c r="DRL118" s="225"/>
      <c r="DRM118" s="225"/>
      <c r="DRN118" s="225"/>
      <c r="DRO118" s="225"/>
      <c r="DRP118" s="225"/>
      <c r="DRQ118" s="225"/>
      <c r="DRR118" s="225"/>
      <c r="DRS118" s="225"/>
      <c r="DRT118" s="225"/>
      <c r="DRU118" s="225"/>
      <c r="DRV118" s="225"/>
      <c r="DRW118" s="225"/>
      <c r="DRX118" s="225"/>
      <c r="DRY118" s="225"/>
      <c r="DRZ118" s="225"/>
      <c r="DSA118" s="225"/>
      <c r="DSB118" s="225"/>
      <c r="DSC118" s="225"/>
      <c r="DSD118" s="225"/>
      <c r="DSE118" s="225"/>
      <c r="DSF118" s="225"/>
      <c r="DSG118" s="225"/>
      <c r="DSH118" s="225"/>
      <c r="DSI118" s="225"/>
      <c r="DSJ118" s="225"/>
      <c r="DSK118" s="225"/>
      <c r="DSL118" s="225"/>
      <c r="DSM118" s="225"/>
      <c r="DSN118" s="225"/>
      <c r="DSO118" s="225"/>
      <c r="DSP118" s="225"/>
      <c r="DSQ118" s="225"/>
      <c r="DSR118" s="225"/>
      <c r="DSS118" s="225"/>
      <c r="DST118" s="225"/>
      <c r="DSU118" s="225"/>
      <c r="DSV118" s="225"/>
      <c r="DSW118" s="225"/>
      <c r="DSX118" s="225"/>
      <c r="DSY118" s="225"/>
      <c r="DSZ118" s="225"/>
      <c r="DTA118" s="225"/>
      <c r="DTB118" s="225"/>
      <c r="DTC118" s="225"/>
      <c r="DTD118" s="225"/>
      <c r="DTE118" s="225"/>
      <c r="DTF118" s="225"/>
      <c r="DTG118" s="225"/>
      <c r="DTH118" s="225"/>
      <c r="DTI118" s="225"/>
      <c r="DTJ118" s="225"/>
      <c r="DTK118" s="225"/>
      <c r="DTL118" s="225"/>
      <c r="DTM118" s="225"/>
      <c r="DTN118" s="225"/>
      <c r="DTO118" s="225"/>
      <c r="DTP118" s="225"/>
      <c r="DTQ118" s="225"/>
      <c r="DTR118" s="225"/>
      <c r="DTS118" s="225"/>
      <c r="DTT118" s="225"/>
      <c r="DTU118" s="225"/>
      <c r="DTV118" s="225"/>
      <c r="DTW118" s="225"/>
      <c r="DTX118" s="225"/>
      <c r="DTY118" s="225"/>
      <c r="DTZ118" s="225"/>
      <c r="DUA118" s="225"/>
      <c r="DUB118" s="225"/>
      <c r="DUC118" s="225"/>
      <c r="DUD118" s="225"/>
      <c r="DUE118" s="225"/>
      <c r="DUF118" s="225"/>
      <c r="DUG118" s="225"/>
      <c r="DUH118" s="225"/>
      <c r="DUI118" s="225"/>
      <c r="DUJ118" s="225"/>
      <c r="DUK118" s="225"/>
      <c r="DUL118" s="225"/>
      <c r="DUM118" s="225"/>
      <c r="DUN118" s="225"/>
      <c r="DUO118" s="225"/>
      <c r="DUP118" s="225"/>
      <c r="DUQ118" s="225"/>
      <c r="DUR118" s="225"/>
      <c r="DUS118" s="225"/>
      <c r="DUT118" s="225"/>
      <c r="DUU118" s="225"/>
      <c r="DUV118" s="225"/>
      <c r="DUW118" s="225"/>
      <c r="DUX118" s="225"/>
      <c r="DUY118" s="225"/>
      <c r="DUZ118" s="225"/>
      <c r="DVA118" s="225"/>
      <c r="DVB118" s="225"/>
      <c r="DVC118" s="225"/>
      <c r="DVD118" s="225"/>
      <c r="DVE118" s="225"/>
      <c r="DVF118" s="225"/>
      <c r="DVG118" s="225"/>
      <c r="DVH118" s="225"/>
      <c r="DVI118" s="225"/>
      <c r="DVJ118" s="225"/>
      <c r="DVK118" s="225"/>
      <c r="DVL118" s="225"/>
      <c r="DVM118" s="225"/>
      <c r="DVN118" s="225"/>
      <c r="DVO118" s="225"/>
      <c r="DVP118" s="225"/>
      <c r="DVQ118" s="225"/>
      <c r="DVR118" s="225"/>
      <c r="DVS118" s="225"/>
      <c r="DVT118" s="225"/>
      <c r="DVU118" s="225"/>
      <c r="DVV118" s="225"/>
      <c r="DVW118" s="225"/>
      <c r="DVX118" s="225"/>
      <c r="DVY118" s="225"/>
      <c r="DVZ118" s="225"/>
      <c r="DWA118" s="225"/>
      <c r="DWB118" s="225"/>
      <c r="DWC118" s="225"/>
      <c r="DWD118" s="225"/>
      <c r="DWE118" s="225"/>
      <c r="DWF118" s="225"/>
      <c r="DWG118" s="225"/>
      <c r="DWH118" s="225"/>
      <c r="DWI118" s="225"/>
      <c r="DWJ118" s="225"/>
      <c r="DWK118" s="225"/>
      <c r="DWL118" s="225"/>
      <c r="DWM118" s="225"/>
      <c r="DWN118" s="225"/>
      <c r="DWO118" s="225"/>
      <c r="DWP118" s="225"/>
      <c r="DWQ118" s="225"/>
      <c r="DWR118" s="225"/>
      <c r="DWS118" s="225"/>
      <c r="DWT118" s="225"/>
      <c r="DWU118" s="225"/>
      <c r="DWV118" s="225"/>
      <c r="DWW118" s="225"/>
      <c r="DWX118" s="225"/>
      <c r="DWY118" s="225"/>
      <c r="DWZ118" s="225"/>
      <c r="DXA118" s="225"/>
      <c r="DXB118" s="225"/>
      <c r="DXC118" s="225"/>
      <c r="DXD118" s="225"/>
      <c r="DXE118" s="225"/>
      <c r="DXF118" s="225"/>
      <c r="DXG118" s="225"/>
      <c r="DXH118" s="225"/>
      <c r="DXI118" s="225"/>
      <c r="DXJ118" s="225"/>
      <c r="DXK118" s="225"/>
      <c r="DXL118" s="225"/>
      <c r="DXM118" s="225"/>
      <c r="DXN118" s="225"/>
      <c r="DXO118" s="225"/>
      <c r="DXP118" s="225"/>
      <c r="DXQ118" s="225"/>
      <c r="DXR118" s="225"/>
      <c r="DXS118" s="225"/>
      <c r="DXT118" s="225"/>
      <c r="DXU118" s="225"/>
      <c r="DXV118" s="225"/>
      <c r="DXW118" s="225"/>
      <c r="DXX118" s="225"/>
      <c r="DXY118" s="225"/>
      <c r="DXZ118" s="225"/>
      <c r="DYA118" s="225"/>
      <c r="DYB118" s="225"/>
      <c r="DYC118" s="225"/>
      <c r="DYD118" s="225"/>
      <c r="DYE118" s="225"/>
      <c r="DYF118" s="225"/>
      <c r="DYG118" s="225"/>
      <c r="DYH118" s="225"/>
      <c r="DYI118" s="225"/>
      <c r="DYJ118" s="225"/>
      <c r="DYK118" s="225"/>
      <c r="DYL118" s="225"/>
      <c r="DYM118" s="225"/>
      <c r="DYN118" s="225"/>
      <c r="DYO118" s="225"/>
      <c r="DYP118" s="225"/>
      <c r="DYQ118" s="225"/>
      <c r="DYR118" s="225"/>
      <c r="DYS118" s="225"/>
      <c r="DYT118" s="225"/>
      <c r="DYU118" s="225"/>
      <c r="DYV118" s="225"/>
      <c r="DYW118" s="225"/>
      <c r="DYX118" s="225"/>
      <c r="DYY118" s="225"/>
      <c r="DYZ118" s="225"/>
      <c r="DZA118" s="225"/>
      <c r="DZB118" s="225"/>
      <c r="DZC118" s="225"/>
      <c r="DZD118" s="225"/>
      <c r="DZE118" s="225"/>
      <c r="DZF118" s="225"/>
      <c r="DZG118" s="225"/>
      <c r="DZH118" s="225"/>
      <c r="DZI118" s="225"/>
      <c r="DZJ118" s="225"/>
      <c r="DZK118" s="225"/>
      <c r="DZL118" s="225"/>
      <c r="DZM118" s="225"/>
      <c r="DZN118" s="225"/>
      <c r="DZO118" s="225"/>
      <c r="DZP118" s="225"/>
      <c r="DZQ118" s="225"/>
      <c r="DZR118" s="225"/>
      <c r="DZS118" s="225"/>
      <c r="DZT118" s="225"/>
      <c r="DZU118" s="225"/>
      <c r="DZV118" s="225"/>
      <c r="DZW118" s="225"/>
      <c r="DZX118" s="225"/>
      <c r="DZY118" s="225"/>
      <c r="DZZ118" s="225"/>
      <c r="EAA118" s="225"/>
      <c r="EAB118" s="225"/>
      <c r="EAC118" s="225"/>
      <c r="EAD118" s="225"/>
      <c r="EAE118" s="225"/>
      <c r="EAF118" s="225"/>
      <c r="EAG118" s="225"/>
      <c r="EAH118" s="225"/>
      <c r="EAI118" s="225"/>
      <c r="EAJ118" s="225"/>
      <c r="EAK118" s="225"/>
      <c r="EAL118" s="225"/>
      <c r="EAM118" s="225"/>
      <c r="EAN118" s="225"/>
      <c r="EAO118" s="225"/>
      <c r="EAP118" s="225"/>
      <c r="EAQ118" s="225"/>
      <c r="EAR118" s="225"/>
      <c r="EAS118" s="225"/>
      <c r="EAT118" s="225"/>
      <c r="EAU118" s="225"/>
      <c r="EAV118" s="225"/>
      <c r="EAW118" s="225"/>
      <c r="EAX118" s="225"/>
      <c r="EAY118" s="225"/>
      <c r="EAZ118" s="225"/>
      <c r="EBA118" s="225"/>
      <c r="EBB118" s="225"/>
      <c r="EBC118" s="225"/>
      <c r="EBD118" s="225"/>
      <c r="EBE118" s="225"/>
      <c r="EBF118" s="225"/>
      <c r="EBG118" s="225"/>
      <c r="EBH118" s="225"/>
      <c r="EBI118" s="225"/>
      <c r="EBJ118" s="225"/>
      <c r="EBK118" s="225"/>
      <c r="EBL118" s="225"/>
      <c r="EBM118" s="225"/>
      <c r="EBN118" s="225"/>
      <c r="EBO118" s="225"/>
      <c r="EBP118" s="225"/>
      <c r="EBQ118" s="225"/>
      <c r="EBR118" s="225"/>
      <c r="EBS118" s="225"/>
      <c r="EBT118" s="225"/>
      <c r="EBU118" s="225"/>
      <c r="EBV118" s="225"/>
      <c r="EBW118" s="225"/>
      <c r="EBX118" s="225"/>
      <c r="EBY118" s="225"/>
      <c r="EBZ118" s="225"/>
      <c r="ECA118" s="225"/>
      <c r="ECB118" s="225"/>
      <c r="ECC118" s="225"/>
      <c r="ECD118" s="225"/>
      <c r="ECE118" s="225"/>
      <c r="ECF118" s="225"/>
      <c r="ECG118" s="225"/>
      <c r="ECH118" s="225"/>
      <c r="ECI118" s="225"/>
      <c r="ECJ118" s="225"/>
      <c r="ECK118" s="225"/>
      <c r="ECL118" s="225"/>
      <c r="ECM118" s="225"/>
      <c r="ECN118" s="225"/>
      <c r="ECO118" s="225"/>
      <c r="ECP118" s="225"/>
      <c r="ECQ118" s="225"/>
      <c r="ECR118" s="225"/>
      <c r="ECS118" s="225"/>
      <c r="ECT118" s="225"/>
      <c r="ECU118" s="225"/>
      <c r="ECV118" s="225"/>
      <c r="ECW118" s="225"/>
      <c r="ECX118" s="225"/>
      <c r="ECY118" s="225"/>
      <c r="ECZ118" s="225"/>
      <c r="EDA118" s="225"/>
      <c r="EDB118" s="225"/>
      <c r="EDC118" s="225"/>
      <c r="EDD118" s="225"/>
      <c r="EDE118" s="225"/>
      <c r="EDF118" s="225"/>
      <c r="EDG118" s="225"/>
      <c r="EDH118" s="225"/>
      <c r="EDI118" s="225"/>
      <c r="EDJ118" s="225"/>
      <c r="EDK118" s="225"/>
      <c r="EDL118" s="225"/>
      <c r="EDM118" s="225"/>
      <c r="EDN118" s="225"/>
      <c r="EDO118" s="225"/>
      <c r="EDP118" s="225"/>
      <c r="EDQ118" s="225"/>
      <c r="EDR118" s="225"/>
      <c r="EDS118" s="225"/>
      <c r="EDT118" s="225"/>
      <c r="EDU118" s="225"/>
      <c r="EDV118" s="225"/>
      <c r="EDW118" s="225"/>
      <c r="EDX118" s="225"/>
      <c r="EDY118" s="225"/>
      <c r="EDZ118" s="225"/>
      <c r="EEA118" s="225"/>
      <c r="EEB118" s="225"/>
      <c r="EEC118" s="225"/>
      <c r="EED118" s="225"/>
      <c r="EEE118" s="225"/>
      <c r="EEF118" s="225"/>
      <c r="EEG118" s="225"/>
      <c r="EEH118" s="225"/>
      <c r="EEI118" s="225"/>
      <c r="EEJ118" s="225"/>
      <c r="EEK118" s="225"/>
      <c r="EEL118" s="225"/>
      <c r="EEM118" s="225"/>
      <c r="EEN118" s="225"/>
      <c r="EEO118" s="225"/>
      <c r="EEP118" s="225"/>
      <c r="EEQ118" s="225"/>
      <c r="EER118" s="225"/>
      <c r="EES118" s="225"/>
      <c r="EET118" s="225"/>
      <c r="EEU118" s="225"/>
      <c r="EEV118" s="225"/>
      <c r="EEW118" s="225"/>
      <c r="EEX118" s="225"/>
      <c r="EEY118" s="225"/>
      <c r="EEZ118" s="225"/>
      <c r="EFA118" s="225"/>
      <c r="EFB118" s="225"/>
      <c r="EFC118" s="225"/>
      <c r="EFD118" s="225"/>
      <c r="EFE118" s="225"/>
      <c r="EFF118" s="225"/>
      <c r="EFG118" s="225"/>
      <c r="EFH118" s="225"/>
      <c r="EFI118" s="225"/>
      <c r="EFJ118" s="225"/>
      <c r="EFK118" s="225"/>
      <c r="EFL118" s="225"/>
      <c r="EFM118" s="225"/>
      <c r="EFN118" s="225"/>
      <c r="EFO118" s="225"/>
      <c r="EFP118" s="225"/>
      <c r="EFQ118" s="225"/>
      <c r="EFR118" s="225"/>
      <c r="EFS118" s="225"/>
      <c r="EFT118" s="225"/>
      <c r="EFU118" s="225"/>
      <c r="EFV118" s="225"/>
      <c r="EFW118" s="225"/>
      <c r="EFX118" s="225"/>
      <c r="EFY118" s="225"/>
      <c r="EFZ118" s="225"/>
      <c r="EGA118" s="225"/>
      <c r="EGB118" s="225"/>
      <c r="EGC118" s="225"/>
      <c r="EGD118" s="225"/>
      <c r="EGE118" s="225"/>
      <c r="EGF118" s="225"/>
      <c r="EGG118" s="225"/>
      <c r="EGH118" s="225"/>
      <c r="EGI118" s="225"/>
      <c r="EGJ118" s="225"/>
      <c r="EGK118" s="225"/>
      <c r="EGL118" s="225"/>
      <c r="EGM118" s="225"/>
      <c r="EGN118" s="225"/>
      <c r="EGO118" s="225"/>
      <c r="EGP118" s="225"/>
      <c r="EGQ118" s="225"/>
      <c r="EGR118" s="225"/>
      <c r="EGS118" s="225"/>
      <c r="EGT118" s="225"/>
      <c r="EGU118" s="225"/>
      <c r="EGV118" s="225"/>
      <c r="EGW118" s="225"/>
      <c r="EGX118" s="225"/>
      <c r="EGY118" s="225"/>
      <c r="EGZ118" s="225"/>
      <c r="EHA118" s="225"/>
      <c r="EHB118" s="225"/>
      <c r="EHC118" s="225"/>
      <c r="EHD118" s="225"/>
      <c r="EHE118" s="225"/>
      <c r="EHF118" s="225"/>
      <c r="EHG118" s="225"/>
      <c r="EHH118" s="225"/>
      <c r="EHI118" s="225"/>
      <c r="EHJ118" s="225"/>
      <c r="EHK118" s="225"/>
      <c r="EHL118" s="225"/>
      <c r="EHM118" s="225"/>
      <c r="EHN118" s="225"/>
      <c r="EHO118" s="225"/>
      <c r="EHP118" s="225"/>
      <c r="EHQ118" s="225"/>
      <c r="EHR118" s="225"/>
      <c r="EHS118" s="225"/>
      <c r="EHT118" s="225"/>
      <c r="EHU118" s="225"/>
      <c r="EHV118" s="225"/>
      <c r="EHW118" s="225"/>
      <c r="EHX118" s="225"/>
      <c r="EHY118" s="225"/>
      <c r="EHZ118" s="225"/>
      <c r="EIA118" s="225"/>
      <c r="EIB118" s="225"/>
      <c r="EIC118" s="225"/>
      <c r="EID118" s="225"/>
      <c r="EIE118" s="225"/>
      <c r="EIF118" s="225"/>
      <c r="EIG118" s="225"/>
      <c r="EIH118" s="225"/>
      <c r="EII118" s="225"/>
      <c r="EIJ118" s="225"/>
      <c r="EIK118" s="225"/>
      <c r="EIL118" s="225"/>
      <c r="EIM118" s="225"/>
      <c r="EIN118" s="225"/>
      <c r="EIO118" s="225"/>
      <c r="EIP118" s="225"/>
      <c r="EIQ118" s="225"/>
      <c r="EIR118" s="225"/>
      <c r="EIS118" s="225"/>
      <c r="EIT118" s="225"/>
      <c r="EIU118" s="225"/>
      <c r="EIV118" s="225"/>
      <c r="EIW118" s="225"/>
      <c r="EIX118" s="225"/>
      <c r="EIY118" s="225"/>
      <c r="EIZ118" s="225"/>
      <c r="EJA118" s="225"/>
      <c r="EJB118" s="225"/>
      <c r="EJC118" s="225"/>
      <c r="EJD118" s="225"/>
      <c r="EJE118" s="225"/>
      <c r="EJF118" s="225"/>
      <c r="EJG118" s="225"/>
      <c r="EJH118" s="225"/>
      <c r="EJI118" s="225"/>
      <c r="EJJ118" s="225"/>
      <c r="EJK118" s="225"/>
      <c r="EJL118" s="225"/>
      <c r="EJM118" s="225"/>
      <c r="EJN118" s="225"/>
      <c r="EJO118" s="225"/>
      <c r="EJP118" s="225"/>
      <c r="EJQ118" s="225"/>
      <c r="EJR118" s="225"/>
      <c r="EJS118" s="225"/>
      <c r="EJT118" s="225"/>
      <c r="EJU118" s="225"/>
      <c r="EJV118" s="225"/>
      <c r="EJW118" s="225"/>
      <c r="EJX118" s="225"/>
      <c r="EJY118" s="225"/>
      <c r="EJZ118" s="225"/>
      <c r="EKA118" s="225"/>
      <c r="EKB118" s="225"/>
      <c r="EKC118" s="225"/>
      <c r="EKD118" s="225"/>
      <c r="EKE118" s="225"/>
      <c r="EKF118" s="225"/>
      <c r="EKG118" s="225"/>
      <c r="EKH118" s="225"/>
      <c r="EKI118" s="225"/>
      <c r="EKJ118" s="225"/>
      <c r="EKK118" s="225"/>
      <c r="EKL118" s="225"/>
      <c r="EKM118" s="225"/>
      <c r="EKN118" s="225"/>
      <c r="EKO118" s="225"/>
      <c r="EKP118" s="225"/>
      <c r="EKQ118" s="225"/>
      <c r="EKR118" s="225"/>
      <c r="EKS118" s="225"/>
      <c r="EKT118" s="225"/>
      <c r="EKU118" s="225"/>
      <c r="EKV118" s="225"/>
      <c r="EKW118" s="225"/>
      <c r="EKX118" s="225"/>
      <c r="EKY118" s="225"/>
      <c r="EKZ118" s="225"/>
      <c r="ELA118" s="225"/>
      <c r="ELB118" s="225"/>
      <c r="ELC118" s="225"/>
      <c r="ELD118" s="225"/>
      <c r="ELE118" s="225"/>
      <c r="ELF118" s="225"/>
      <c r="ELG118" s="225"/>
      <c r="ELH118" s="225"/>
      <c r="ELI118" s="225"/>
      <c r="ELJ118" s="225"/>
      <c r="ELK118" s="225"/>
      <c r="ELL118" s="225"/>
      <c r="ELM118" s="225"/>
      <c r="ELN118" s="225"/>
      <c r="ELO118" s="225"/>
      <c r="ELP118" s="225"/>
      <c r="ELQ118" s="225"/>
      <c r="ELR118" s="225"/>
      <c r="ELS118" s="225"/>
      <c r="ELT118" s="225"/>
      <c r="ELU118" s="225"/>
      <c r="ELV118" s="225"/>
      <c r="ELW118" s="225"/>
      <c r="ELX118" s="225"/>
      <c r="ELY118" s="225"/>
      <c r="ELZ118" s="225"/>
      <c r="EMA118" s="225"/>
      <c r="EMB118" s="225"/>
      <c r="EMC118" s="225"/>
      <c r="EMD118" s="225"/>
      <c r="EME118" s="225"/>
      <c r="EMF118" s="225"/>
      <c r="EMG118" s="225"/>
      <c r="EMH118" s="225"/>
      <c r="EMI118" s="225"/>
      <c r="EMJ118" s="225"/>
      <c r="EMK118" s="225"/>
      <c r="EML118" s="225"/>
      <c r="EMM118" s="225"/>
      <c r="EMN118" s="225"/>
      <c r="EMO118" s="225"/>
      <c r="EMP118" s="225"/>
      <c r="EMQ118" s="225"/>
      <c r="EMR118" s="225"/>
      <c r="EMS118" s="225"/>
      <c r="EMT118" s="225"/>
      <c r="EMU118" s="225"/>
      <c r="EMV118" s="225"/>
      <c r="EMW118" s="225"/>
      <c r="EMX118" s="225"/>
      <c r="EMY118" s="225"/>
      <c r="EMZ118" s="225"/>
      <c r="ENA118" s="225"/>
      <c r="ENB118" s="225"/>
      <c r="ENC118" s="225"/>
      <c r="END118" s="225"/>
      <c r="ENE118" s="225"/>
      <c r="ENF118" s="225"/>
      <c r="ENG118" s="225"/>
      <c r="ENH118" s="225"/>
      <c r="ENI118" s="225"/>
      <c r="ENJ118" s="225"/>
      <c r="ENK118" s="225"/>
      <c r="ENL118" s="225"/>
      <c r="ENM118" s="225"/>
      <c r="ENN118" s="225"/>
      <c r="ENO118" s="225"/>
      <c r="ENP118" s="225"/>
      <c r="ENQ118" s="225"/>
      <c r="ENR118" s="225"/>
      <c r="ENS118" s="225"/>
      <c r="ENT118" s="225"/>
      <c r="ENU118" s="225"/>
      <c r="ENV118" s="225"/>
      <c r="ENW118" s="225"/>
      <c r="ENX118" s="225"/>
      <c r="ENY118" s="225"/>
      <c r="ENZ118" s="225"/>
      <c r="EOA118" s="225"/>
      <c r="EOB118" s="225"/>
      <c r="EOC118" s="225"/>
      <c r="EOD118" s="225"/>
      <c r="EOE118" s="225"/>
      <c r="EOF118" s="225"/>
      <c r="EOG118" s="225"/>
      <c r="EOH118" s="225"/>
      <c r="EOI118" s="225"/>
      <c r="EOJ118" s="225"/>
      <c r="EOK118" s="225"/>
      <c r="EOL118" s="225"/>
      <c r="EOM118" s="225"/>
      <c r="EON118" s="225"/>
      <c r="EOO118" s="225"/>
      <c r="EOP118" s="225"/>
      <c r="EOQ118" s="225"/>
      <c r="EOR118" s="225"/>
      <c r="EOS118" s="225"/>
      <c r="EOT118" s="225"/>
      <c r="EOU118" s="225"/>
      <c r="EOV118" s="225"/>
      <c r="EOW118" s="225"/>
      <c r="EOX118" s="225"/>
      <c r="EOY118" s="225"/>
      <c r="EOZ118" s="225"/>
      <c r="EPA118" s="225"/>
      <c r="EPB118" s="225"/>
      <c r="EPC118" s="225"/>
      <c r="EPD118" s="225"/>
      <c r="EPE118" s="225"/>
      <c r="EPF118" s="225"/>
      <c r="EPG118" s="225"/>
      <c r="EPH118" s="225"/>
      <c r="EPI118" s="225"/>
      <c r="EPJ118" s="225"/>
      <c r="EPK118" s="225"/>
      <c r="EPL118" s="225"/>
      <c r="EPM118" s="225"/>
      <c r="EPN118" s="225"/>
      <c r="EPO118" s="225"/>
      <c r="EPP118" s="225"/>
      <c r="EPQ118" s="225"/>
      <c r="EPR118" s="225"/>
      <c r="EPS118" s="225"/>
      <c r="EPT118" s="225"/>
      <c r="EPU118" s="225"/>
      <c r="EPV118" s="225"/>
      <c r="EPW118" s="225"/>
      <c r="EPX118" s="225"/>
      <c r="EPY118" s="225"/>
      <c r="EPZ118" s="225"/>
      <c r="EQA118" s="225"/>
      <c r="EQB118" s="225"/>
      <c r="EQC118" s="225"/>
      <c r="EQD118" s="225"/>
      <c r="EQE118" s="225"/>
      <c r="EQF118" s="225"/>
      <c r="EQG118" s="225"/>
      <c r="EQH118" s="225"/>
      <c r="EQI118" s="225"/>
      <c r="EQJ118" s="225"/>
      <c r="EQK118" s="225"/>
      <c r="EQL118" s="225"/>
      <c r="EQM118" s="225"/>
      <c r="EQN118" s="225"/>
      <c r="EQO118" s="225"/>
      <c r="EQP118" s="225"/>
      <c r="EQQ118" s="225"/>
      <c r="EQR118" s="225"/>
      <c r="EQS118" s="225"/>
      <c r="EQT118" s="225"/>
      <c r="EQU118" s="225"/>
      <c r="EQV118" s="225"/>
      <c r="EQW118" s="225"/>
      <c r="EQX118" s="225"/>
      <c r="EQY118" s="225"/>
      <c r="EQZ118" s="225"/>
      <c r="ERA118" s="225"/>
      <c r="ERB118" s="225"/>
      <c r="ERC118" s="225"/>
      <c r="ERD118" s="225"/>
      <c r="ERE118" s="225"/>
      <c r="ERF118" s="225"/>
      <c r="ERG118" s="225"/>
      <c r="ERH118" s="225"/>
      <c r="ERI118" s="225"/>
      <c r="ERJ118" s="225"/>
      <c r="ERK118" s="225"/>
      <c r="ERL118" s="225"/>
      <c r="ERM118" s="225"/>
      <c r="ERN118" s="225"/>
      <c r="ERO118" s="225"/>
      <c r="ERP118" s="225"/>
      <c r="ERQ118" s="225"/>
      <c r="ERR118" s="225"/>
      <c r="ERS118" s="225"/>
      <c r="ERT118" s="225"/>
      <c r="ERU118" s="225"/>
      <c r="ERV118" s="225"/>
      <c r="ERW118" s="225"/>
      <c r="ERX118" s="225"/>
      <c r="ERY118" s="225"/>
      <c r="ERZ118" s="225"/>
      <c r="ESA118" s="225"/>
      <c r="ESB118" s="225"/>
      <c r="ESC118" s="225"/>
      <c r="ESD118" s="225"/>
      <c r="ESE118" s="225"/>
      <c r="ESF118" s="225"/>
      <c r="ESG118" s="225"/>
      <c r="ESH118" s="225"/>
      <c r="ESI118" s="225"/>
      <c r="ESJ118" s="225"/>
      <c r="ESK118" s="225"/>
      <c r="ESL118" s="225"/>
      <c r="ESM118" s="225"/>
      <c r="ESN118" s="225"/>
      <c r="ESO118" s="225"/>
      <c r="ESP118" s="225"/>
      <c r="ESQ118" s="225"/>
      <c r="ESR118" s="225"/>
      <c r="ESS118" s="225"/>
      <c r="EST118" s="225"/>
      <c r="ESU118" s="225"/>
      <c r="ESV118" s="225"/>
      <c r="ESW118" s="225"/>
      <c r="ESX118" s="225"/>
      <c r="ESY118" s="225"/>
      <c r="ESZ118" s="225"/>
      <c r="ETA118" s="225"/>
      <c r="ETB118" s="225"/>
      <c r="ETC118" s="225"/>
      <c r="ETD118" s="225"/>
      <c r="ETE118" s="225"/>
      <c r="ETF118" s="225"/>
      <c r="ETG118" s="225"/>
      <c r="ETH118" s="225"/>
      <c r="ETI118" s="225"/>
      <c r="ETJ118" s="225"/>
      <c r="ETK118" s="225"/>
      <c r="ETL118" s="225"/>
      <c r="ETM118" s="225"/>
      <c r="ETN118" s="225"/>
      <c r="ETO118" s="225"/>
      <c r="ETP118" s="225"/>
      <c r="ETQ118" s="225"/>
      <c r="ETR118" s="225"/>
      <c r="ETS118" s="225"/>
      <c r="ETT118" s="225"/>
      <c r="ETU118" s="225"/>
      <c r="ETV118" s="225"/>
      <c r="ETW118" s="225"/>
      <c r="ETX118" s="225"/>
      <c r="ETY118" s="225"/>
      <c r="ETZ118" s="225"/>
      <c r="EUA118" s="225"/>
      <c r="EUB118" s="225"/>
      <c r="EUC118" s="225"/>
      <c r="EUD118" s="225"/>
      <c r="EUE118" s="225"/>
      <c r="EUF118" s="225"/>
      <c r="EUG118" s="225"/>
      <c r="EUH118" s="225"/>
      <c r="EUI118" s="225"/>
      <c r="EUJ118" s="225"/>
      <c r="EUK118" s="225"/>
      <c r="EUL118" s="225"/>
      <c r="EUM118" s="225"/>
      <c r="EUN118" s="225"/>
      <c r="EUO118" s="225"/>
      <c r="EUP118" s="225"/>
      <c r="EUQ118" s="225"/>
      <c r="EUR118" s="225"/>
      <c r="EUS118" s="225"/>
      <c r="EUT118" s="225"/>
      <c r="EUU118" s="225"/>
      <c r="EUV118" s="225"/>
      <c r="EUW118" s="225"/>
      <c r="EUX118" s="225"/>
      <c r="EUY118" s="225"/>
      <c r="EUZ118" s="225"/>
      <c r="EVA118" s="225"/>
      <c r="EVB118" s="225"/>
      <c r="EVC118" s="225"/>
      <c r="EVD118" s="225"/>
      <c r="EVE118" s="225"/>
      <c r="EVF118" s="225"/>
      <c r="EVG118" s="225"/>
      <c r="EVH118" s="225"/>
      <c r="EVI118" s="225"/>
      <c r="EVJ118" s="225"/>
      <c r="EVK118" s="225"/>
      <c r="EVL118" s="225"/>
      <c r="EVM118" s="225"/>
      <c r="EVN118" s="225"/>
      <c r="EVO118" s="225"/>
      <c r="EVP118" s="225"/>
      <c r="EVQ118" s="225"/>
      <c r="EVR118" s="225"/>
      <c r="EVS118" s="225"/>
      <c r="EVT118" s="225"/>
      <c r="EVU118" s="225"/>
      <c r="EVV118" s="225"/>
      <c r="EVW118" s="225"/>
      <c r="EVX118" s="225"/>
      <c r="EVY118" s="225"/>
      <c r="EVZ118" s="225"/>
      <c r="EWA118" s="225"/>
      <c r="EWB118" s="225"/>
      <c r="EWC118" s="225"/>
      <c r="EWD118" s="225"/>
      <c r="EWE118" s="225"/>
      <c r="EWF118" s="225"/>
      <c r="EWG118" s="225"/>
      <c r="EWH118" s="225"/>
      <c r="EWI118" s="225"/>
      <c r="EWJ118" s="225"/>
      <c r="EWK118" s="225"/>
      <c r="EWL118" s="225"/>
      <c r="EWM118" s="225"/>
      <c r="EWN118" s="225"/>
      <c r="EWO118" s="225"/>
      <c r="EWP118" s="225"/>
      <c r="EWQ118" s="225"/>
      <c r="EWR118" s="225"/>
      <c r="EWS118" s="225"/>
      <c r="EWT118" s="225"/>
      <c r="EWU118" s="225"/>
      <c r="EWV118" s="225"/>
      <c r="EWW118" s="225"/>
      <c r="EWX118" s="225"/>
      <c r="EWY118" s="225"/>
      <c r="EWZ118" s="225"/>
      <c r="EXA118" s="225"/>
      <c r="EXB118" s="225"/>
      <c r="EXC118" s="225"/>
      <c r="EXD118" s="225"/>
      <c r="EXE118" s="225"/>
      <c r="EXF118" s="225"/>
      <c r="EXG118" s="225"/>
      <c r="EXH118" s="225"/>
      <c r="EXI118" s="225"/>
      <c r="EXJ118" s="225"/>
      <c r="EXK118" s="225"/>
      <c r="EXL118" s="225"/>
      <c r="EXM118" s="225"/>
      <c r="EXN118" s="225"/>
      <c r="EXO118" s="225"/>
      <c r="EXP118" s="225"/>
      <c r="EXQ118" s="225"/>
      <c r="EXR118" s="225"/>
      <c r="EXS118" s="225"/>
      <c r="EXT118" s="225"/>
      <c r="EXU118" s="225"/>
      <c r="EXV118" s="225"/>
      <c r="EXW118" s="225"/>
      <c r="EXX118" s="225"/>
      <c r="EXY118" s="225"/>
      <c r="EXZ118" s="225"/>
      <c r="EYA118" s="225"/>
      <c r="EYB118" s="225"/>
      <c r="EYC118" s="225"/>
      <c r="EYD118" s="225"/>
      <c r="EYE118" s="225"/>
      <c r="EYF118" s="225"/>
      <c r="EYG118" s="225"/>
      <c r="EYH118" s="225"/>
      <c r="EYI118" s="225"/>
      <c r="EYJ118" s="225"/>
      <c r="EYK118" s="225"/>
      <c r="EYL118" s="225"/>
      <c r="EYM118" s="225"/>
      <c r="EYN118" s="225"/>
      <c r="EYO118" s="225"/>
      <c r="EYP118" s="225"/>
      <c r="EYQ118" s="225"/>
      <c r="EYR118" s="225"/>
      <c r="EYS118" s="225"/>
      <c r="EYT118" s="225"/>
      <c r="EYU118" s="225"/>
      <c r="EYV118" s="225"/>
      <c r="EYW118" s="225"/>
      <c r="EYX118" s="225"/>
      <c r="EYY118" s="225"/>
      <c r="EYZ118" s="225"/>
      <c r="EZA118" s="225"/>
      <c r="EZB118" s="225"/>
      <c r="EZC118" s="225"/>
      <c r="EZD118" s="225"/>
      <c r="EZE118" s="225"/>
      <c r="EZF118" s="225"/>
      <c r="EZG118" s="225"/>
      <c r="EZH118" s="225"/>
      <c r="EZI118" s="225"/>
      <c r="EZJ118" s="225"/>
      <c r="EZK118" s="225"/>
      <c r="EZL118" s="225"/>
      <c r="EZM118" s="225"/>
      <c r="EZN118" s="225"/>
      <c r="EZO118" s="225"/>
      <c r="EZP118" s="225"/>
      <c r="EZQ118" s="225"/>
      <c r="EZR118" s="225"/>
      <c r="EZS118" s="225"/>
      <c r="EZT118" s="225"/>
      <c r="EZU118" s="225"/>
      <c r="EZV118" s="225"/>
      <c r="EZW118" s="225"/>
      <c r="EZX118" s="225"/>
      <c r="EZY118" s="225"/>
      <c r="EZZ118" s="225"/>
      <c r="FAA118" s="225"/>
      <c r="FAB118" s="225"/>
      <c r="FAC118" s="225"/>
      <c r="FAD118" s="225"/>
      <c r="FAE118" s="225"/>
      <c r="FAF118" s="225"/>
      <c r="FAG118" s="225"/>
      <c r="FAH118" s="225"/>
      <c r="FAI118" s="225"/>
      <c r="FAJ118" s="225"/>
      <c r="FAK118" s="225"/>
      <c r="FAL118" s="225"/>
      <c r="FAM118" s="225"/>
      <c r="FAN118" s="225"/>
      <c r="FAO118" s="225"/>
      <c r="FAP118" s="225"/>
      <c r="FAQ118" s="225"/>
      <c r="FAR118" s="225"/>
      <c r="FAS118" s="225"/>
      <c r="FAT118" s="225"/>
      <c r="FAU118" s="225"/>
      <c r="FAV118" s="225"/>
      <c r="FAW118" s="225"/>
      <c r="FAX118" s="225"/>
      <c r="FAY118" s="225"/>
      <c r="FAZ118" s="225"/>
      <c r="FBA118" s="225"/>
      <c r="FBB118" s="225"/>
      <c r="FBC118" s="225"/>
      <c r="FBD118" s="225"/>
      <c r="FBE118" s="225"/>
      <c r="FBF118" s="225"/>
      <c r="FBG118" s="225"/>
      <c r="FBH118" s="225"/>
      <c r="FBI118" s="225"/>
      <c r="FBJ118" s="225"/>
      <c r="FBK118" s="225"/>
      <c r="FBL118" s="225"/>
      <c r="FBM118" s="225"/>
      <c r="FBN118" s="225"/>
      <c r="FBO118" s="225"/>
      <c r="FBP118" s="225"/>
      <c r="FBQ118" s="225"/>
      <c r="FBR118" s="225"/>
      <c r="FBS118" s="225"/>
      <c r="FBT118" s="225"/>
      <c r="FBU118" s="225"/>
      <c r="FBV118" s="225"/>
      <c r="FBW118" s="225"/>
      <c r="FBX118" s="225"/>
      <c r="FBY118" s="225"/>
      <c r="FBZ118" s="225"/>
      <c r="FCA118" s="225"/>
      <c r="FCB118" s="225"/>
      <c r="FCC118" s="225"/>
      <c r="FCD118" s="225"/>
      <c r="FCE118" s="225"/>
      <c r="FCF118" s="225"/>
      <c r="FCG118" s="225"/>
      <c r="FCH118" s="225"/>
      <c r="FCI118" s="225"/>
      <c r="FCJ118" s="225"/>
      <c r="FCK118" s="225"/>
      <c r="FCL118" s="225"/>
      <c r="FCM118" s="225"/>
      <c r="FCN118" s="225"/>
      <c r="FCO118" s="225"/>
      <c r="FCP118" s="225"/>
      <c r="FCQ118" s="225"/>
      <c r="FCR118" s="225"/>
      <c r="FCS118" s="225"/>
      <c r="FCT118" s="225"/>
      <c r="FCU118" s="225"/>
      <c r="FCV118" s="225"/>
      <c r="FCW118" s="225"/>
      <c r="FCX118" s="225"/>
      <c r="FCY118" s="225"/>
      <c r="FCZ118" s="225"/>
      <c r="FDA118" s="225"/>
      <c r="FDB118" s="225"/>
      <c r="FDC118" s="225"/>
      <c r="FDD118" s="225"/>
      <c r="FDE118" s="225"/>
      <c r="FDF118" s="225"/>
      <c r="FDG118" s="225"/>
      <c r="FDH118" s="225"/>
      <c r="FDI118" s="225"/>
      <c r="FDJ118" s="225"/>
      <c r="FDK118" s="225"/>
      <c r="FDL118" s="225"/>
      <c r="FDM118" s="225"/>
      <c r="FDN118" s="225"/>
      <c r="FDO118" s="225"/>
      <c r="FDP118" s="225"/>
      <c r="FDQ118" s="225"/>
      <c r="FDR118" s="225"/>
      <c r="FDS118" s="225"/>
      <c r="FDT118" s="225"/>
      <c r="FDU118" s="225"/>
      <c r="FDV118" s="225"/>
      <c r="FDW118" s="225"/>
      <c r="FDX118" s="225"/>
      <c r="FDY118" s="225"/>
      <c r="FDZ118" s="225"/>
      <c r="FEA118" s="225"/>
      <c r="FEB118" s="225"/>
      <c r="FEC118" s="225"/>
      <c r="FED118" s="225"/>
      <c r="FEE118" s="225"/>
      <c r="FEF118" s="225"/>
      <c r="FEG118" s="225"/>
      <c r="FEH118" s="225"/>
      <c r="FEI118" s="225"/>
      <c r="FEJ118" s="225"/>
      <c r="FEK118" s="225"/>
      <c r="FEL118" s="225"/>
      <c r="FEM118" s="225"/>
      <c r="FEN118" s="225"/>
      <c r="FEO118" s="225"/>
      <c r="FEP118" s="225"/>
      <c r="FEQ118" s="225"/>
      <c r="FER118" s="225"/>
      <c r="FES118" s="225"/>
      <c r="FET118" s="225"/>
      <c r="FEU118" s="225"/>
      <c r="FEV118" s="225"/>
      <c r="FEW118" s="225"/>
      <c r="FEX118" s="225"/>
      <c r="FEY118" s="225"/>
      <c r="FEZ118" s="225"/>
      <c r="FFA118" s="225"/>
      <c r="FFB118" s="225"/>
      <c r="FFC118" s="225"/>
      <c r="FFD118" s="225"/>
      <c r="FFE118" s="225"/>
      <c r="FFF118" s="225"/>
      <c r="FFG118" s="225"/>
      <c r="FFH118" s="225"/>
      <c r="FFI118" s="225"/>
      <c r="FFJ118" s="225"/>
      <c r="FFK118" s="225"/>
      <c r="FFL118" s="225"/>
      <c r="FFM118" s="225"/>
      <c r="FFN118" s="225"/>
      <c r="FFO118" s="225"/>
      <c r="FFP118" s="225"/>
      <c r="FFQ118" s="225"/>
      <c r="FFR118" s="225"/>
      <c r="FFS118" s="225"/>
      <c r="FFT118" s="225"/>
      <c r="FFU118" s="225"/>
      <c r="FFV118" s="225"/>
      <c r="FFW118" s="225"/>
      <c r="FFX118" s="225"/>
      <c r="FFY118" s="225"/>
      <c r="FFZ118" s="225"/>
      <c r="FGA118" s="225"/>
      <c r="FGB118" s="225"/>
      <c r="FGC118" s="225"/>
      <c r="FGD118" s="225"/>
      <c r="FGE118" s="225"/>
      <c r="FGF118" s="225"/>
      <c r="FGG118" s="225"/>
      <c r="FGH118" s="225"/>
      <c r="FGI118" s="225"/>
      <c r="FGJ118" s="225"/>
      <c r="FGK118" s="225"/>
      <c r="FGL118" s="225"/>
      <c r="FGM118" s="225"/>
      <c r="FGN118" s="225"/>
      <c r="FGO118" s="225"/>
      <c r="FGP118" s="225"/>
      <c r="FGQ118" s="225"/>
      <c r="FGR118" s="225"/>
      <c r="FGS118" s="225"/>
      <c r="FGT118" s="225"/>
      <c r="FGU118" s="225"/>
      <c r="FGV118" s="225"/>
      <c r="FGW118" s="225"/>
      <c r="FGX118" s="225"/>
      <c r="FGY118" s="225"/>
      <c r="FGZ118" s="225"/>
      <c r="FHA118" s="225"/>
      <c r="FHB118" s="225"/>
      <c r="FHC118" s="225"/>
      <c r="FHD118" s="225"/>
      <c r="FHE118" s="225"/>
      <c r="FHF118" s="225"/>
      <c r="FHG118" s="225"/>
      <c r="FHH118" s="225"/>
      <c r="FHI118" s="225"/>
      <c r="FHJ118" s="225"/>
      <c r="FHK118" s="225"/>
      <c r="FHL118" s="225"/>
      <c r="FHM118" s="225"/>
      <c r="FHN118" s="225"/>
      <c r="FHO118" s="225"/>
      <c r="FHP118" s="225"/>
      <c r="FHQ118" s="225"/>
      <c r="FHR118" s="225"/>
      <c r="FHS118" s="225"/>
      <c r="FHT118" s="225"/>
      <c r="FHU118" s="225"/>
      <c r="FHV118" s="225"/>
      <c r="FHW118" s="225"/>
      <c r="FHX118" s="225"/>
      <c r="FHY118" s="225"/>
      <c r="FHZ118" s="225"/>
      <c r="FIA118" s="225"/>
      <c r="FIB118" s="225"/>
      <c r="FIC118" s="225"/>
      <c r="FID118" s="225"/>
      <c r="FIE118" s="225"/>
      <c r="FIF118" s="225"/>
      <c r="FIG118" s="225"/>
      <c r="FIH118" s="225"/>
      <c r="FII118" s="225"/>
      <c r="FIJ118" s="225"/>
      <c r="FIK118" s="225"/>
      <c r="FIL118" s="225"/>
      <c r="FIM118" s="225"/>
      <c r="FIN118" s="225"/>
      <c r="FIO118" s="225"/>
      <c r="FIP118" s="225"/>
      <c r="FIQ118" s="225"/>
      <c r="FIR118" s="225"/>
      <c r="FIS118" s="225"/>
      <c r="FIT118" s="225"/>
      <c r="FIU118" s="225"/>
      <c r="FIV118" s="225"/>
      <c r="FIW118" s="225"/>
      <c r="FIX118" s="225"/>
      <c r="FIY118" s="225"/>
      <c r="FIZ118" s="225"/>
      <c r="FJA118" s="225"/>
      <c r="FJB118" s="225"/>
      <c r="FJC118" s="225"/>
      <c r="FJD118" s="225"/>
      <c r="FJE118" s="225"/>
      <c r="FJF118" s="225"/>
      <c r="FJG118" s="225"/>
      <c r="FJH118" s="225"/>
      <c r="FJI118" s="225"/>
      <c r="FJJ118" s="225"/>
      <c r="FJK118" s="225"/>
      <c r="FJL118" s="225"/>
      <c r="FJM118" s="225"/>
      <c r="FJN118" s="225"/>
      <c r="FJO118" s="225"/>
      <c r="FJP118" s="225"/>
      <c r="FJQ118" s="225"/>
      <c r="FJR118" s="225"/>
      <c r="FJS118" s="225"/>
      <c r="FJT118" s="225"/>
      <c r="FJU118" s="225"/>
      <c r="FJV118" s="225"/>
      <c r="FJW118" s="225"/>
      <c r="FJX118" s="225"/>
      <c r="FJY118" s="225"/>
      <c r="FJZ118" s="225"/>
      <c r="FKA118" s="225"/>
      <c r="FKB118" s="225"/>
      <c r="FKC118" s="225"/>
      <c r="FKD118" s="225"/>
      <c r="FKE118" s="225"/>
      <c r="FKF118" s="225"/>
      <c r="FKG118" s="225"/>
      <c r="FKH118" s="225"/>
      <c r="FKI118" s="225"/>
      <c r="FKJ118" s="225"/>
      <c r="FKK118" s="225"/>
      <c r="FKL118" s="225"/>
      <c r="FKM118" s="225"/>
      <c r="FKN118" s="225"/>
      <c r="FKO118" s="225"/>
      <c r="FKP118" s="225"/>
      <c r="FKQ118" s="225"/>
      <c r="FKR118" s="225"/>
      <c r="FKS118" s="225"/>
      <c r="FKT118" s="225"/>
      <c r="FKU118" s="225"/>
      <c r="FKV118" s="225"/>
      <c r="FKW118" s="225"/>
      <c r="FKX118" s="225"/>
      <c r="FKY118" s="225"/>
      <c r="FKZ118" s="225"/>
      <c r="FLA118" s="225"/>
      <c r="FLB118" s="225"/>
      <c r="FLC118" s="225"/>
      <c r="FLD118" s="225"/>
      <c r="FLE118" s="225"/>
      <c r="FLF118" s="225"/>
      <c r="FLG118" s="225"/>
      <c r="FLH118" s="225"/>
      <c r="FLI118" s="225"/>
      <c r="FLJ118" s="225"/>
      <c r="FLK118" s="225"/>
      <c r="FLL118" s="225"/>
      <c r="FLM118" s="225"/>
      <c r="FLN118" s="225"/>
      <c r="FLO118" s="225"/>
      <c r="FLP118" s="225"/>
      <c r="FLQ118" s="225"/>
      <c r="FLR118" s="225"/>
      <c r="FLS118" s="225"/>
      <c r="FLT118" s="225"/>
      <c r="FLU118" s="225"/>
      <c r="FLV118" s="225"/>
      <c r="FLW118" s="225"/>
      <c r="FLX118" s="225"/>
      <c r="FLY118" s="225"/>
      <c r="FLZ118" s="225"/>
      <c r="FMA118" s="225"/>
      <c r="FMB118" s="225"/>
      <c r="FMC118" s="225"/>
      <c r="FMD118" s="225"/>
      <c r="FME118" s="225"/>
      <c r="FMF118" s="225"/>
      <c r="FMG118" s="225"/>
      <c r="FMH118" s="225"/>
      <c r="FMI118" s="225"/>
      <c r="FMJ118" s="225"/>
      <c r="FMK118" s="225"/>
      <c r="FML118" s="225"/>
      <c r="FMM118" s="225"/>
      <c r="FMN118" s="225"/>
      <c r="FMO118" s="225"/>
      <c r="FMP118" s="225"/>
      <c r="FMQ118" s="225"/>
      <c r="FMR118" s="225"/>
      <c r="FMS118" s="225"/>
      <c r="FMT118" s="225"/>
      <c r="FMU118" s="225"/>
      <c r="FMV118" s="225"/>
      <c r="FMW118" s="225"/>
      <c r="FMX118" s="225"/>
      <c r="FMY118" s="225"/>
      <c r="FMZ118" s="225"/>
      <c r="FNA118" s="225"/>
      <c r="FNB118" s="225"/>
      <c r="FNC118" s="225"/>
      <c r="FND118" s="225"/>
      <c r="FNE118" s="225"/>
      <c r="FNF118" s="225"/>
      <c r="FNG118" s="225"/>
      <c r="FNH118" s="225"/>
      <c r="FNI118" s="225"/>
      <c r="FNJ118" s="225"/>
      <c r="FNK118" s="225"/>
      <c r="FNL118" s="225"/>
      <c r="FNM118" s="225"/>
      <c r="FNN118" s="225"/>
      <c r="FNO118" s="225"/>
      <c r="FNP118" s="225"/>
      <c r="FNQ118" s="225"/>
      <c r="FNR118" s="225"/>
      <c r="FNS118" s="225"/>
      <c r="FNT118" s="225"/>
      <c r="FNU118" s="225"/>
      <c r="FNV118" s="225"/>
      <c r="FNW118" s="225"/>
      <c r="FNX118" s="225"/>
      <c r="FNY118" s="225"/>
      <c r="FNZ118" s="225"/>
      <c r="FOA118" s="225"/>
      <c r="FOB118" s="225"/>
      <c r="FOC118" s="225"/>
      <c r="FOD118" s="225"/>
      <c r="FOE118" s="225"/>
      <c r="FOF118" s="225"/>
      <c r="FOG118" s="225"/>
      <c r="FOH118" s="225"/>
      <c r="FOI118" s="225"/>
      <c r="FOJ118" s="225"/>
      <c r="FOK118" s="225"/>
      <c r="FOL118" s="225"/>
      <c r="FOM118" s="225"/>
      <c r="FON118" s="225"/>
      <c r="FOO118" s="225"/>
      <c r="FOP118" s="225"/>
      <c r="FOQ118" s="225"/>
      <c r="FOR118" s="225"/>
      <c r="FOS118" s="225"/>
      <c r="FOT118" s="225"/>
      <c r="FOU118" s="225"/>
      <c r="FOV118" s="225"/>
      <c r="FOW118" s="225"/>
      <c r="FOX118" s="225"/>
      <c r="FOY118" s="225"/>
      <c r="FOZ118" s="225"/>
      <c r="FPA118" s="225"/>
      <c r="FPB118" s="225"/>
      <c r="FPC118" s="225"/>
      <c r="FPD118" s="225"/>
      <c r="FPE118" s="225"/>
      <c r="FPF118" s="225"/>
      <c r="FPG118" s="225"/>
      <c r="FPH118" s="225"/>
      <c r="FPI118" s="225"/>
      <c r="FPJ118" s="225"/>
      <c r="FPK118" s="225"/>
      <c r="FPL118" s="225"/>
      <c r="FPM118" s="225"/>
      <c r="FPN118" s="225"/>
      <c r="FPO118" s="225"/>
      <c r="FPP118" s="225"/>
      <c r="FPQ118" s="225"/>
      <c r="FPR118" s="225"/>
      <c r="FPS118" s="225"/>
      <c r="FPT118" s="225"/>
      <c r="FPU118" s="225"/>
      <c r="FPV118" s="225"/>
      <c r="FPW118" s="225"/>
      <c r="FPX118" s="225"/>
      <c r="FPY118" s="225"/>
      <c r="FPZ118" s="225"/>
      <c r="FQA118" s="225"/>
      <c r="FQB118" s="225"/>
      <c r="FQC118" s="225"/>
      <c r="FQD118" s="225"/>
      <c r="FQE118" s="225"/>
      <c r="FQF118" s="225"/>
      <c r="FQG118" s="225"/>
      <c r="FQH118" s="225"/>
      <c r="FQI118" s="225"/>
      <c r="FQJ118" s="225"/>
      <c r="FQK118" s="225"/>
      <c r="FQL118" s="225"/>
      <c r="FQM118" s="225"/>
      <c r="FQN118" s="225"/>
      <c r="FQO118" s="225"/>
      <c r="FQP118" s="225"/>
      <c r="FQQ118" s="225"/>
      <c r="FQR118" s="225"/>
      <c r="FQS118" s="225"/>
      <c r="FQT118" s="225"/>
      <c r="FQU118" s="225"/>
      <c r="FQV118" s="225"/>
      <c r="FQW118" s="225"/>
      <c r="FQX118" s="225"/>
      <c r="FQY118" s="225"/>
      <c r="FQZ118" s="225"/>
      <c r="FRA118" s="225"/>
      <c r="FRB118" s="225"/>
      <c r="FRC118" s="225"/>
      <c r="FRD118" s="225"/>
      <c r="FRE118" s="225"/>
      <c r="FRF118" s="225"/>
      <c r="FRG118" s="225"/>
      <c r="FRH118" s="225"/>
      <c r="FRI118" s="225"/>
      <c r="FRJ118" s="225"/>
      <c r="FRK118" s="225"/>
      <c r="FRL118" s="225"/>
      <c r="FRM118" s="225"/>
      <c r="FRN118" s="225"/>
      <c r="FRO118" s="225"/>
      <c r="FRP118" s="225"/>
      <c r="FRQ118" s="225"/>
      <c r="FRR118" s="225"/>
      <c r="FRS118" s="225"/>
      <c r="FRT118" s="225"/>
      <c r="FRU118" s="225"/>
      <c r="FRV118" s="225"/>
      <c r="FRW118" s="225"/>
      <c r="FRX118" s="225"/>
      <c r="FRY118" s="225"/>
      <c r="FRZ118" s="225"/>
      <c r="FSA118" s="225"/>
      <c r="FSB118" s="225"/>
      <c r="FSC118" s="225"/>
      <c r="FSD118" s="225"/>
      <c r="FSE118" s="225"/>
      <c r="FSF118" s="225"/>
      <c r="FSG118" s="225"/>
      <c r="FSH118" s="225"/>
      <c r="FSI118" s="225"/>
      <c r="FSJ118" s="225"/>
      <c r="FSK118" s="225"/>
      <c r="FSL118" s="225"/>
      <c r="FSM118" s="225"/>
      <c r="FSN118" s="225"/>
      <c r="FSO118" s="225"/>
      <c r="FSP118" s="225"/>
      <c r="FSQ118" s="225"/>
      <c r="FSR118" s="225"/>
      <c r="FSS118" s="225"/>
      <c r="FST118" s="225"/>
      <c r="FSU118" s="225"/>
      <c r="FSV118" s="225"/>
      <c r="FSW118" s="225"/>
      <c r="FSX118" s="225"/>
      <c r="FSY118" s="225"/>
      <c r="FSZ118" s="225"/>
      <c r="FTA118" s="225"/>
      <c r="FTB118" s="225"/>
      <c r="FTC118" s="225"/>
      <c r="FTD118" s="225"/>
      <c r="FTE118" s="225"/>
      <c r="FTF118" s="225"/>
      <c r="FTG118" s="225"/>
      <c r="FTH118" s="225"/>
      <c r="FTI118" s="225"/>
      <c r="FTJ118" s="225"/>
      <c r="FTK118" s="225"/>
      <c r="FTL118" s="225"/>
      <c r="FTM118" s="225"/>
      <c r="FTN118" s="225"/>
      <c r="FTO118" s="225"/>
      <c r="FTP118" s="225"/>
      <c r="FTQ118" s="225"/>
      <c r="FTR118" s="225"/>
      <c r="FTS118" s="225"/>
      <c r="FTT118" s="225"/>
      <c r="FTU118" s="225"/>
      <c r="FTV118" s="225"/>
      <c r="FTW118" s="225"/>
      <c r="FTX118" s="225"/>
      <c r="FTY118" s="225"/>
      <c r="FTZ118" s="225"/>
      <c r="FUA118" s="225"/>
      <c r="FUB118" s="225"/>
      <c r="FUC118" s="225"/>
      <c r="FUD118" s="225"/>
      <c r="FUE118" s="225"/>
      <c r="FUF118" s="225"/>
      <c r="FUG118" s="225"/>
      <c r="FUH118" s="225"/>
      <c r="FUI118" s="225"/>
      <c r="FUJ118" s="225"/>
      <c r="FUK118" s="225"/>
      <c r="FUL118" s="225"/>
      <c r="FUM118" s="225"/>
      <c r="FUN118" s="225"/>
      <c r="FUO118" s="225"/>
      <c r="FUP118" s="225"/>
      <c r="FUQ118" s="225"/>
      <c r="FUR118" s="225"/>
      <c r="FUS118" s="225"/>
      <c r="FUT118" s="225"/>
      <c r="FUU118" s="225"/>
      <c r="FUV118" s="225"/>
      <c r="FUW118" s="225"/>
      <c r="FUX118" s="225"/>
      <c r="FUY118" s="225"/>
      <c r="FUZ118" s="225"/>
      <c r="FVA118" s="225"/>
      <c r="FVB118" s="225"/>
      <c r="FVC118" s="225"/>
      <c r="FVD118" s="225"/>
      <c r="FVE118" s="225"/>
      <c r="FVF118" s="225"/>
      <c r="FVG118" s="225"/>
      <c r="FVH118" s="225"/>
      <c r="FVI118" s="225"/>
      <c r="FVJ118" s="225"/>
      <c r="FVK118" s="225"/>
      <c r="FVL118" s="225"/>
      <c r="FVM118" s="225"/>
      <c r="FVN118" s="225"/>
      <c r="FVO118" s="225"/>
      <c r="FVP118" s="225"/>
      <c r="FVQ118" s="225"/>
      <c r="FVR118" s="225"/>
      <c r="FVS118" s="225"/>
      <c r="FVT118" s="225"/>
      <c r="FVU118" s="225"/>
      <c r="FVV118" s="225"/>
      <c r="FVW118" s="225"/>
      <c r="FVX118" s="225"/>
      <c r="FVY118" s="225"/>
      <c r="FVZ118" s="225"/>
      <c r="FWA118" s="225"/>
      <c r="FWB118" s="225"/>
      <c r="FWC118" s="225"/>
      <c r="FWD118" s="225"/>
      <c r="FWE118" s="225"/>
      <c r="FWF118" s="225"/>
      <c r="FWG118" s="225"/>
      <c r="FWH118" s="225"/>
      <c r="FWI118" s="225"/>
      <c r="FWJ118" s="225"/>
      <c r="FWK118" s="225"/>
      <c r="FWL118" s="225"/>
      <c r="FWM118" s="225"/>
      <c r="FWN118" s="225"/>
      <c r="FWO118" s="225"/>
      <c r="FWP118" s="225"/>
      <c r="FWQ118" s="225"/>
      <c r="FWR118" s="225"/>
      <c r="FWS118" s="225"/>
      <c r="FWT118" s="225"/>
      <c r="FWU118" s="225"/>
      <c r="FWV118" s="225"/>
      <c r="FWW118" s="225"/>
      <c r="FWX118" s="225"/>
      <c r="FWY118" s="225"/>
      <c r="FWZ118" s="225"/>
      <c r="FXA118" s="225"/>
      <c r="FXB118" s="225"/>
      <c r="FXC118" s="225"/>
      <c r="FXD118" s="225"/>
      <c r="FXE118" s="225"/>
      <c r="FXF118" s="225"/>
      <c r="FXG118" s="225"/>
      <c r="FXH118" s="225"/>
      <c r="FXI118" s="225"/>
      <c r="FXJ118" s="225"/>
      <c r="FXK118" s="225"/>
      <c r="FXL118" s="225"/>
      <c r="FXM118" s="225"/>
      <c r="FXN118" s="225"/>
      <c r="FXO118" s="225"/>
      <c r="FXP118" s="225"/>
      <c r="FXQ118" s="225"/>
      <c r="FXR118" s="225"/>
      <c r="FXS118" s="225"/>
      <c r="FXT118" s="225"/>
      <c r="FXU118" s="225"/>
      <c r="FXV118" s="225"/>
      <c r="FXW118" s="225"/>
      <c r="FXX118" s="225"/>
      <c r="FXY118" s="225"/>
      <c r="FXZ118" s="225"/>
      <c r="FYA118" s="225"/>
      <c r="FYB118" s="225"/>
      <c r="FYC118" s="225"/>
      <c r="FYD118" s="225"/>
      <c r="FYE118" s="225"/>
      <c r="FYF118" s="225"/>
      <c r="FYG118" s="225"/>
      <c r="FYH118" s="225"/>
      <c r="FYI118" s="225"/>
      <c r="FYJ118" s="225"/>
      <c r="FYK118" s="225"/>
      <c r="FYL118" s="225"/>
      <c r="FYM118" s="225"/>
      <c r="FYN118" s="225"/>
      <c r="FYO118" s="225"/>
      <c r="FYP118" s="225"/>
      <c r="FYQ118" s="225"/>
      <c r="FYR118" s="225"/>
      <c r="FYS118" s="225"/>
      <c r="FYT118" s="225"/>
      <c r="FYU118" s="225"/>
      <c r="FYV118" s="225"/>
      <c r="FYW118" s="225"/>
      <c r="FYX118" s="225"/>
      <c r="FYY118" s="225"/>
      <c r="FYZ118" s="225"/>
      <c r="FZA118" s="225"/>
      <c r="FZB118" s="225"/>
      <c r="FZC118" s="225"/>
      <c r="FZD118" s="225"/>
      <c r="FZE118" s="225"/>
      <c r="FZF118" s="225"/>
      <c r="FZG118" s="225"/>
      <c r="FZH118" s="225"/>
      <c r="FZI118" s="225"/>
      <c r="FZJ118" s="225"/>
      <c r="FZK118" s="225"/>
      <c r="FZL118" s="225"/>
      <c r="FZM118" s="225"/>
      <c r="FZN118" s="225"/>
      <c r="FZO118" s="225"/>
      <c r="FZP118" s="225"/>
      <c r="FZQ118" s="225"/>
      <c r="FZR118" s="225"/>
      <c r="FZS118" s="225"/>
      <c r="FZT118" s="225"/>
      <c r="FZU118" s="225"/>
      <c r="FZV118" s="225"/>
      <c r="FZW118" s="225"/>
      <c r="FZX118" s="225"/>
      <c r="FZY118" s="225"/>
      <c r="FZZ118" s="225"/>
      <c r="GAA118" s="225"/>
      <c r="GAB118" s="225"/>
      <c r="GAC118" s="225"/>
      <c r="GAD118" s="225"/>
      <c r="GAE118" s="225"/>
      <c r="GAF118" s="225"/>
      <c r="GAG118" s="225"/>
      <c r="GAH118" s="225"/>
      <c r="GAI118" s="225"/>
      <c r="GAJ118" s="225"/>
      <c r="GAK118" s="225"/>
      <c r="GAL118" s="225"/>
      <c r="GAM118" s="225"/>
      <c r="GAN118" s="225"/>
      <c r="GAO118" s="225"/>
      <c r="GAP118" s="225"/>
      <c r="GAQ118" s="225"/>
      <c r="GAR118" s="225"/>
      <c r="GAS118" s="225"/>
      <c r="GAT118" s="225"/>
      <c r="GAU118" s="225"/>
      <c r="GAV118" s="225"/>
      <c r="GAW118" s="225"/>
      <c r="GAX118" s="225"/>
      <c r="GAY118" s="225"/>
      <c r="GAZ118" s="225"/>
      <c r="GBA118" s="225"/>
      <c r="GBB118" s="225"/>
      <c r="GBC118" s="225"/>
      <c r="GBD118" s="225"/>
      <c r="GBE118" s="225"/>
      <c r="GBF118" s="225"/>
      <c r="GBG118" s="225"/>
      <c r="GBH118" s="225"/>
      <c r="GBI118" s="225"/>
      <c r="GBJ118" s="225"/>
      <c r="GBK118" s="225"/>
      <c r="GBL118" s="225"/>
      <c r="GBM118" s="225"/>
      <c r="GBN118" s="225"/>
      <c r="GBO118" s="225"/>
      <c r="GBP118" s="225"/>
      <c r="GBQ118" s="225"/>
      <c r="GBR118" s="225"/>
      <c r="GBS118" s="225"/>
      <c r="GBT118" s="225"/>
      <c r="GBU118" s="225"/>
      <c r="GBV118" s="225"/>
      <c r="GBW118" s="225"/>
      <c r="GBX118" s="225"/>
      <c r="GBY118" s="225"/>
      <c r="GBZ118" s="225"/>
      <c r="GCA118" s="225"/>
      <c r="GCB118" s="225"/>
      <c r="GCC118" s="225"/>
      <c r="GCD118" s="225"/>
      <c r="GCE118" s="225"/>
      <c r="GCF118" s="225"/>
      <c r="GCG118" s="225"/>
      <c r="GCH118" s="225"/>
      <c r="GCI118" s="225"/>
      <c r="GCJ118" s="225"/>
      <c r="GCK118" s="225"/>
      <c r="GCL118" s="225"/>
      <c r="GCM118" s="225"/>
      <c r="GCN118" s="225"/>
      <c r="GCO118" s="225"/>
      <c r="GCP118" s="225"/>
      <c r="GCQ118" s="225"/>
      <c r="GCR118" s="225"/>
      <c r="GCS118" s="225"/>
      <c r="GCT118" s="225"/>
      <c r="GCU118" s="225"/>
      <c r="GCV118" s="225"/>
      <c r="GCW118" s="225"/>
      <c r="GCX118" s="225"/>
      <c r="GCY118" s="225"/>
      <c r="GCZ118" s="225"/>
      <c r="GDA118" s="225"/>
      <c r="GDB118" s="225"/>
      <c r="GDC118" s="225"/>
      <c r="GDD118" s="225"/>
      <c r="GDE118" s="225"/>
      <c r="GDF118" s="225"/>
      <c r="GDG118" s="225"/>
      <c r="GDH118" s="225"/>
      <c r="GDI118" s="225"/>
      <c r="GDJ118" s="225"/>
      <c r="GDK118" s="225"/>
      <c r="GDL118" s="225"/>
      <c r="GDM118" s="225"/>
      <c r="GDN118" s="225"/>
      <c r="GDO118" s="225"/>
      <c r="GDP118" s="225"/>
      <c r="GDQ118" s="225"/>
      <c r="GDR118" s="225"/>
      <c r="GDS118" s="225"/>
      <c r="GDT118" s="225"/>
      <c r="GDU118" s="225"/>
      <c r="GDV118" s="225"/>
      <c r="GDW118" s="225"/>
      <c r="GDX118" s="225"/>
      <c r="GDY118" s="225"/>
      <c r="GDZ118" s="225"/>
      <c r="GEA118" s="225"/>
      <c r="GEB118" s="225"/>
      <c r="GEC118" s="225"/>
      <c r="GED118" s="225"/>
      <c r="GEE118" s="225"/>
      <c r="GEF118" s="225"/>
      <c r="GEG118" s="225"/>
      <c r="GEH118" s="225"/>
      <c r="GEI118" s="225"/>
      <c r="GEJ118" s="225"/>
      <c r="GEK118" s="225"/>
      <c r="GEL118" s="225"/>
      <c r="GEM118" s="225"/>
      <c r="GEN118" s="225"/>
      <c r="GEO118" s="225"/>
      <c r="GEP118" s="225"/>
      <c r="GEQ118" s="225"/>
      <c r="GER118" s="225"/>
      <c r="GES118" s="225"/>
      <c r="GET118" s="225"/>
      <c r="GEU118" s="225"/>
      <c r="GEV118" s="225"/>
      <c r="GEW118" s="225"/>
      <c r="GEX118" s="225"/>
      <c r="GEY118" s="225"/>
      <c r="GEZ118" s="225"/>
      <c r="GFA118" s="225"/>
      <c r="GFB118" s="225"/>
      <c r="GFC118" s="225"/>
      <c r="GFD118" s="225"/>
      <c r="GFE118" s="225"/>
      <c r="GFF118" s="225"/>
      <c r="GFG118" s="225"/>
      <c r="GFH118" s="225"/>
      <c r="GFI118" s="225"/>
      <c r="GFJ118" s="225"/>
      <c r="GFK118" s="225"/>
      <c r="GFL118" s="225"/>
      <c r="GFM118" s="225"/>
      <c r="GFN118" s="225"/>
      <c r="GFO118" s="225"/>
      <c r="GFP118" s="225"/>
      <c r="GFQ118" s="225"/>
      <c r="GFR118" s="225"/>
      <c r="GFS118" s="225"/>
      <c r="GFT118" s="225"/>
      <c r="GFU118" s="225"/>
      <c r="GFV118" s="225"/>
      <c r="GFW118" s="225"/>
      <c r="GFX118" s="225"/>
      <c r="GFY118" s="225"/>
      <c r="GFZ118" s="225"/>
      <c r="GGA118" s="225"/>
      <c r="GGB118" s="225"/>
      <c r="GGC118" s="225"/>
      <c r="GGD118" s="225"/>
      <c r="GGE118" s="225"/>
      <c r="GGF118" s="225"/>
      <c r="GGG118" s="225"/>
      <c r="GGH118" s="225"/>
      <c r="GGI118" s="225"/>
      <c r="GGJ118" s="225"/>
      <c r="GGK118" s="225"/>
      <c r="GGL118" s="225"/>
      <c r="GGM118" s="225"/>
      <c r="GGN118" s="225"/>
      <c r="GGO118" s="225"/>
      <c r="GGP118" s="225"/>
      <c r="GGQ118" s="225"/>
      <c r="GGR118" s="225"/>
      <c r="GGS118" s="225"/>
      <c r="GGT118" s="225"/>
      <c r="GGU118" s="225"/>
      <c r="GGV118" s="225"/>
      <c r="GGW118" s="225"/>
      <c r="GGX118" s="225"/>
      <c r="GGY118" s="225"/>
      <c r="GGZ118" s="225"/>
      <c r="GHA118" s="225"/>
      <c r="GHB118" s="225"/>
      <c r="GHC118" s="225"/>
      <c r="GHD118" s="225"/>
      <c r="GHE118" s="225"/>
      <c r="GHF118" s="225"/>
      <c r="GHG118" s="225"/>
      <c r="GHH118" s="225"/>
      <c r="GHI118" s="225"/>
      <c r="GHJ118" s="225"/>
      <c r="GHK118" s="225"/>
      <c r="GHL118" s="225"/>
      <c r="GHM118" s="225"/>
      <c r="GHN118" s="225"/>
      <c r="GHO118" s="225"/>
      <c r="GHP118" s="225"/>
      <c r="GHQ118" s="225"/>
      <c r="GHR118" s="225"/>
      <c r="GHS118" s="225"/>
      <c r="GHT118" s="225"/>
      <c r="GHU118" s="225"/>
      <c r="GHV118" s="225"/>
      <c r="GHW118" s="225"/>
      <c r="GHX118" s="225"/>
      <c r="GHY118" s="225"/>
      <c r="GHZ118" s="225"/>
      <c r="GIA118" s="225"/>
      <c r="GIB118" s="225"/>
      <c r="GIC118" s="225"/>
      <c r="GID118" s="225"/>
      <c r="GIE118" s="225"/>
      <c r="GIF118" s="225"/>
      <c r="GIG118" s="225"/>
      <c r="GIH118" s="225"/>
      <c r="GII118" s="225"/>
      <c r="GIJ118" s="225"/>
      <c r="GIK118" s="225"/>
      <c r="GIL118" s="225"/>
      <c r="GIM118" s="225"/>
      <c r="GIN118" s="225"/>
      <c r="GIO118" s="225"/>
      <c r="GIP118" s="225"/>
      <c r="GIQ118" s="225"/>
      <c r="GIR118" s="225"/>
      <c r="GIS118" s="225"/>
      <c r="GIT118" s="225"/>
      <c r="GIU118" s="225"/>
      <c r="GIV118" s="225"/>
      <c r="GIW118" s="225"/>
      <c r="GIX118" s="225"/>
      <c r="GIY118" s="225"/>
      <c r="GIZ118" s="225"/>
      <c r="GJA118" s="225"/>
      <c r="GJB118" s="225"/>
      <c r="GJC118" s="225"/>
      <c r="GJD118" s="225"/>
      <c r="GJE118" s="225"/>
      <c r="GJF118" s="225"/>
      <c r="GJG118" s="225"/>
      <c r="GJH118" s="225"/>
      <c r="GJI118" s="225"/>
      <c r="GJJ118" s="225"/>
      <c r="GJK118" s="225"/>
      <c r="GJL118" s="225"/>
      <c r="GJM118" s="225"/>
      <c r="GJN118" s="225"/>
      <c r="GJO118" s="225"/>
      <c r="GJP118" s="225"/>
      <c r="GJQ118" s="225"/>
      <c r="GJR118" s="225"/>
      <c r="GJS118" s="225"/>
      <c r="GJT118" s="225"/>
      <c r="GJU118" s="225"/>
      <c r="GJV118" s="225"/>
      <c r="GJW118" s="225"/>
      <c r="GJX118" s="225"/>
      <c r="GJY118" s="225"/>
      <c r="GJZ118" s="225"/>
      <c r="GKA118" s="225"/>
      <c r="GKB118" s="225"/>
      <c r="GKC118" s="225"/>
      <c r="GKD118" s="225"/>
      <c r="GKE118" s="225"/>
      <c r="GKF118" s="225"/>
      <c r="GKG118" s="225"/>
      <c r="GKH118" s="225"/>
      <c r="GKI118" s="225"/>
      <c r="GKJ118" s="225"/>
      <c r="GKK118" s="225"/>
      <c r="GKL118" s="225"/>
      <c r="GKM118" s="225"/>
      <c r="GKN118" s="225"/>
      <c r="GKO118" s="225"/>
      <c r="GKP118" s="225"/>
      <c r="GKQ118" s="225"/>
      <c r="GKR118" s="225"/>
      <c r="GKS118" s="225"/>
      <c r="GKT118" s="225"/>
      <c r="GKU118" s="225"/>
      <c r="GKV118" s="225"/>
      <c r="GKW118" s="225"/>
      <c r="GKX118" s="225"/>
      <c r="GKY118" s="225"/>
      <c r="GKZ118" s="225"/>
      <c r="GLA118" s="225"/>
      <c r="GLB118" s="225"/>
      <c r="GLC118" s="225"/>
      <c r="GLD118" s="225"/>
      <c r="GLE118" s="225"/>
      <c r="GLF118" s="225"/>
      <c r="GLG118" s="225"/>
      <c r="GLH118" s="225"/>
      <c r="GLI118" s="225"/>
      <c r="GLJ118" s="225"/>
      <c r="GLK118" s="225"/>
      <c r="GLL118" s="225"/>
      <c r="GLM118" s="225"/>
      <c r="GLN118" s="225"/>
      <c r="GLO118" s="225"/>
      <c r="GLP118" s="225"/>
      <c r="GLQ118" s="225"/>
      <c r="GLR118" s="225"/>
      <c r="GLS118" s="225"/>
      <c r="GLT118" s="225"/>
      <c r="GLU118" s="225"/>
      <c r="GLV118" s="225"/>
      <c r="GLW118" s="225"/>
      <c r="GLX118" s="225"/>
      <c r="GLY118" s="225"/>
      <c r="GLZ118" s="225"/>
      <c r="GMA118" s="225"/>
      <c r="GMB118" s="225"/>
      <c r="GMC118" s="225"/>
      <c r="GMD118" s="225"/>
      <c r="GME118" s="225"/>
      <c r="GMF118" s="225"/>
      <c r="GMG118" s="225"/>
      <c r="GMH118" s="225"/>
      <c r="GMI118" s="225"/>
      <c r="GMJ118" s="225"/>
      <c r="GMK118" s="225"/>
      <c r="GML118" s="225"/>
      <c r="GMM118" s="225"/>
      <c r="GMN118" s="225"/>
      <c r="GMO118" s="225"/>
      <c r="GMP118" s="225"/>
      <c r="GMQ118" s="225"/>
      <c r="GMR118" s="225"/>
      <c r="GMS118" s="225"/>
      <c r="GMT118" s="225"/>
      <c r="GMU118" s="225"/>
      <c r="GMV118" s="225"/>
      <c r="GMW118" s="225"/>
      <c r="GMX118" s="225"/>
      <c r="GMY118" s="225"/>
      <c r="GMZ118" s="225"/>
      <c r="GNA118" s="225"/>
      <c r="GNB118" s="225"/>
      <c r="GNC118" s="225"/>
      <c r="GND118" s="225"/>
      <c r="GNE118" s="225"/>
      <c r="GNF118" s="225"/>
      <c r="GNG118" s="225"/>
      <c r="GNH118" s="225"/>
      <c r="GNI118" s="225"/>
      <c r="GNJ118" s="225"/>
      <c r="GNK118" s="225"/>
      <c r="GNL118" s="225"/>
      <c r="GNM118" s="225"/>
      <c r="GNN118" s="225"/>
      <c r="GNO118" s="225"/>
      <c r="GNP118" s="225"/>
      <c r="GNQ118" s="225"/>
      <c r="GNR118" s="225"/>
      <c r="GNS118" s="225"/>
      <c r="GNT118" s="225"/>
      <c r="GNU118" s="225"/>
      <c r="GNV118" s="225"/>
      <c r="GNW118" s="225"/>
      <c r="GNX118" s="225"/>
      <c r="GNY118" s="225"/>
      <c r="GNZ118" s="225"/>
      <c r="GOA118" s="225"/>
      <c r="GOB118" s="225"/>
      <c r="GOC118" s="225"/>
      <c r="GOD118" s="225"/>
      <c r="GOE118" s="225"/>
      <c r="GOF118" s="225"/>
      <c r="GOG118" s="225"/>
      <c r="GOH118" s="225"/>
      <c r="GOI118" s="225"/>
      <c r="GOJ118" s="225"/>
      <c r="GOK118" s="225"/>
      <c r="GOL118" s="225"/>
      <c r="GOM118" s="225"/>
      <c r="GON118" s="225"/>
      <c r="GOO118" s="225"/>
      <c r="GOP118" s="225"/>
      <c r="GOQ118" s="225"/>
      <c r="GOR118" s="225"/>
      <c r="GOS118" s="225"/>
      <c r="GOT118" s="225"/>
      <c r="GOU118" s="225"/>
      <c r="GOV118" s="225"/>
      <c r="GOW118" s="225"/>
      <c r="GOX118" s="225"/>
      <c r="GOY118" s="225"/>
      <c r="GOZ118" s="225"/>
      <c r="GPA118" s="225"/>
      <c r="GPB118" s="225"/>
      <c r="GPC118" s="225"/>
      <c r="GPD118" s="225"/>
      <c r="GPE118" s="225"/>
      <c r="GPF118" s="225"/>
      <c r="GPG118" s="225"/>
      <c r="GPH118" s="225"/>
      <c r="GPI118" s="225"/>
      <c r="GPJ118" s="225"/>
      <c r="GPK118" s="225"/>
      <c r="GPL118" s="225"/>
      <c r="GPM118" s="225"/>
      <c r="GPN118" s="225"/>
      <c r="GPO118" s="225"/>
      <c r="GPP118" s="225"/>
      <c r="GPQ118" s="225"/>
      <c r="GPR118" s="225"/>
      <c r="GPS118" s="225"/>
      <c r="GPT118" s="225"/>
      <c r="GPU118" s="225"/>
      <c r="GPV118" s="225"/>
      <c r="GPW118" s="225"/>
      <c r="GPX118" s="225"/>
      <c r="GPY118" s="225"/>
      <c r="GPZ118" s="225"/>
      <c r="GQA118" s="225"/>
      <c r="GQB118" s="225"/>
      <c r="GQC118" s="225"/>
      <c r="GQD118" s="225"/>
      <c r="GQE118" s="225"/>
      <c r="GQF118" s="225"/>
      <c r="GQG118" s="225"/>
      <c r="GQH118" s="225"/>
      <c r="GQI118" s="225"/>
      <c r="GQJ118" s="225"/>
      <c r="GQK118" s="225"/>
      <c r="GQL118" s="225"/>
      <c r="GQM118" s="225"/>
      <c r="GQN118" s="225"/>
      <c r="GQO118" s="225"/>
      <c r="GQP118" s="225"/>
      <c r="GQQ118" s="225"/>
      <c r="GQR118" s="225"/>
      <c r="GQS118" s="225"/>
      <c r="GQT118" s="225"/>
      <c r="GQU118" s="225"/>
      <c r="GQV118" s="225"/>
      <c r="GQW118" s="225"/>
      <c r="GQX118" s="225"/>
      <c r="GQY118" s="225"/>
      <c r="GQZ118" s="225"/>
      <c r="GRA118" s="225"/>
      <c r="GRB118" s="225"/>
      <c r="GRC118" s="225"/>
      <c r="GRD118" s="225"/>
      <c r="GRE118" s="225"/>
      <c r="GRF118" s="225"/>
      <c r="GRG118" s="225"/>
      <c r="GRH118" s="225"/>
      <c r="GRI118" s="225"/>
      <c r="GRJ118" s="225"/>
      <c r="GRK118" s="225"/>
      <c r="GRL118" s="225"/>
      <c r="GRM118" s="225"/>
      <c r="GRN118" s="225"/>
      <c r="GRO118" s="225"/>
      <c r="GRP118" s="225"/>
      <c r="GRQ118" s="225"/>
      <c r="GRR118" s="225"/>
      <c r="GRS118" s="225"/>
      <c r="GRT118" s="225"/>
      <c r="GRU118" s="225"/>
      <c r="GRV118" s="225"/>
      <c r="GRW118" s="225"/>
      <c r="GRX118" s="225"/>
      <c r="GRY118" s="225"/>
      <c r="GRZ118" s="225"/>
      <c r="GSA118" s="225"/>
      <c r="GSB118" s="225"/>
      <c r="GSC118" s="225"/>
      <c r="GSD118" s="225"/>
      <c r="GSE118" s="225"/>
      <c r="GSF118" s="225"/>
      <c r="GSG118" s="225"/>
      <c r="GSH118" s="225"/>
      <c r="GSI118" s="225"/>
      <c r="GSJ118" s="225"/>
      <c r="GSK118" s="225"/>
      <c r="GSL118" s="225"/>
      <c r="GSM118" s="225"/>
      <c r="GSN118" s="225"/>
      <c r="GSO118" s="225"/>
      <c r="GSP118" s="225"/>
      <c r="GSQ118" s="225"/>
      <c r="GSR118" s="225"/>
      <c r="GSS118" s="225"/>
      <c r="GST118" s="225"/>
      <c r="GSU118" s="225"/>
      <c r="GSV118" s="225"/>
      <c r="GSW118" s="225"/>
      <c r="GSX118" s="225"/>
      <c r="GSY118" s="225"/>
      <c r="GSZ118" s="225"/>
      <c r="GTA118" s="225"/>
      <c r="GTB118" s="225"/>
      <c r="GTC118" s="225"/>
      <c r="GTD118" s="225"/>
      <c r="GTE118" s="225"/>
      <c r="GTF118" s="225"/>
      <c r="GTG118" s="225"/>
      <c r="GTH118" s="225"/>
      <c r="GTI118" s="225"/>
      <c r="GTJ118" s="225"/>
      <c r="GTK118" s="225"/>
      <c r="GTL118" s="225"/>
      <c r="GTM118" s="225"/>
      <c r="GTN118" s="225"/>
      <c r="GTO118" s="225"/>
      <c r="GTP118" s="225"/>
      <c r="GTQ118" s="225"/>
      <c r="GTR118" s="225"/>
      <c r="GTS118" s="225"/>
      <c r="GTT118" s="225"/>
      <c r="GTU118" s="225"/>
      <c r="GTV118" s="225"/>
      <c r="GTW118" s="225"/>
      <c r="GTX118" s="225"/>
      <c r="GTY118" s="225"/>
      <c r="GTZ118" s="225"/>
      <c r="GUA118" s="225"/>
      <c r="GUB118" s="225"/>
      <c r="GUC118" s="225"/>
      <c r="GUD118" s="225"/>
      <c r="GUE118" s="225"/>
      <c r="GUF118" s="225"/>
      <c r="GUG118" s="225"/>
      <c r="GUH118" s="225"/>
      <c r="GUI118" s="225"/>
      <c r="GUJ118" s="225"/>
      <c r="GUK118" s="225"/>
      <c r="GUL118" s="225"/>
      <c r="GUM118" s="225"/>
      <c r="GUN118" s="225"/>
      <c r="GUO118" s="225"/>
      <c r="GUP118" s="225"/>
      <c r="GUQ118" s="225"/>
      <c r="GUR118" s="225"/>
      <c r="GUS118" s="225"/>
      <c r="GUT118" s="225"/>
      <c r="GUU118" s="225"/>
      <c r="GUV118" s="225"/>
      <c r="GUW118" s="225"/>
      <c r="GUX118" s="225"/>
      <c r="GUY118" s="225"/>
      <c r="GUZ118" s="225"/>
      <c r="GVA118" s="225"/>
      <c r="GVB118" s="225"/>
      <c r="GVC118" s="225"/>
      <c r="GVD118" s="225"/>
      <c r="GVE118" s="225"/>
      <c r="GVF118" s="225"/>
      <c r="GVG118" s="225"/>
      <c r="GVH118" s="225"/>
      <c r="GVI118" s="225"/>
      <c r="GVJ118" s="225"/>
      <c r="GVK118" s="225"/>
      <c r="GVL118" s="225"/>
      <c r="GVM118" s="225"/>
      <c r="GVN118" s="225"/>
      <c r="GVO118" s="225"/>
      <c r="GVP118" s="225"/>
      <c r="GVQ118" s="225"/>
      <c r="GVR118" s="225"/>
      <c r="GVS118" s="225"/>
      <c r="GVT118" s="225"/>
      <c r="GVU118" s="225"/>
      <c r="GVV118" s="225"/>
      <c r="GVW118" s="225"/>
      <c r="GVX118" s="225"/>
      <c r="GVY118" s="225"/>
      <c r="GVZ118" s="225"/>
      <c r="GWA118" s="225"/>
      <c r="GWB118" s="225"/>
      <c r="GWC118" s="225"/>
      <c r="GWD118" s="225"/>
      <c r="GWE118" s="225"/>
      <c r="GWF118" s="225"/>
      <c r="GWG118" s="225"/>
      <c r="GWH118" s="225"/>
      <c r="GWI118" s="225"/>
      <c r="GWJ118" s="225"/>
      <c r="GWK118" s="225"/>
      <c r="GWL118" s="225"/>
      <c r="GWM118" s="225"/>
      <c r="GWN118" s="225"/>
      <c r="GWO118" s="225"/>
      <c r="GWP118" s="225"/>
      <c r="GWQ118" s="225"/>
      <c r="GWR118" s="225"/>
      <c r="GWS118" s="225"/>
      <c r="GWT118" s="225"/>
      <c r="GWU118" s="225"/>
      <c r="GWV118" s="225"/>
      <c r="GWW118" s="225"/>
      <c r="GWX118" s="225"/>
      <c r="GWY118" s="225"/>
      <c r="GWZ118" s="225"/>
      <c r="GXA118" s="225"/>
      <c r="GXB118" s="225"/>
      <c r="GXC118" s="225"/>
      <c r="GXD118" s="225"/>
      <c r="GXE118" s="225"/>
      <c r="GXF118" s="225"/>
      <c r="GXG118" s="225"/>
      <c r="GXH118" s="225"/>
      <c r="GXI118" s="225"/>
      <c r="GXJ118" s="225"/>
      <c r="GXK118" s="225"/>
      <c r="GXL118" s="225"/>
      <c r="GXM118" s="225"/>
      <c r="GXN118" s="225"/>
      <c r="GXO118" s="225"/>
      <c r="GXP118" s="225"/>
      <c r="GXQ118" s="225"/>
      <c r="GXR118" s="225"/>
      <c r="GXS118" s="225"/>
      <c r="GXT118" s="225"/>
      <c r="GXU118" s="225"/>
      <c r="GXV118" s="225"/>
      <c r="GXW118" s="225"/>
      <c r="GXX118" s="225"/>
      <c r="GXY118" s="225"/>
      <c r="GXZ118" s="225"/>
      <c r="GYA118" s="225"/>
      <c r="GYB118" s="225"/>
      <c r="GYC118" s="225"/>
      <c r="GYD118" s="225"/>
      <c r="GYE118" s="225"/>
      <c r="GYF118" s="225"/>
      <c r="GYG118" s="225"/>
      <c r="GYH118" s="225"/>
      <c r="GYI118" s="225"/>
      <c r="GYJ118" s="225"/>
      <c r="GYK118" s="225"/>
      <c r="GYL118" s="225"/>
      <c r="GYM118" s="225"/>
      <c r="GYN118" s="225"/>
      <c r="GYO118" s="225"/>
      <c r="GYP118" s="225"/>
      <c r="GYQ118" s="225"/>
      <c r="GYR118" s="225"/>
      <c r="GYS118" s="225"/>
      <c r="GYT118" s="225"/>
      <c r="GYU118" s="225"/>
      <c r="GYV118" s="225"/>
      <c r="GYW118" s="225"/>
      <c r="GYX118" s="225"/>
      <c r="GYY118" s="225"/>
      <c r="GYZ118" s="225"/>
      <c r="GZA118" s="225"/>
      <c r="GZB118" s="225"/>
      <c r="GZC118" s="225"/>
      <c r="GZD118" s="225"/>
      <c r="GZE118" s="225"/>
      <c r="GZF118" s="225"/>
      <c r="GZG118" s="225"/>
      <c r="GZH118" s="225"/>
      <c r="GZI118" s="225"/>
      <c r="GZJ118" s="225"/>
      <c r="GZK118" s="225"/>
      <c r="GZL118" s="225"/>
      <c r="GZM118" s="225"/>
      <c r="GZN118" s="225"/>
      <c r="GZO118" s="225"/>
      <c r="GZP118" s="225"/>
      <c r="GZQ118" s="225"/>
      <c r="GZR118" s="225"/>
      <c r="GZS118" s="225"/>
      <c r="GZT118" s="225"/>
      <c r="GZU118" s="225"/>
      <c r="GZV118" s="225"/>
      <c r="GZW118" s="225"/>
      <c r="GZX118" s="225"/>
      <c r="GZY118" s="225"/>
      <c r="GZZ118" s="225"/>
      <c r="HAA118" s="225"/>
      <c r="HAB118" s="225"/>
      <c r="HAC118" s="225"/>
      <c r="HAD118" s="225"/>
      <c r="HAE118" s="225"/>
      <c r="HAF118" s="225"/>
      <c r="HAG118" s="225"/>
      <c r="HAH118" s="225"/>
      <c r="HAI118" s="225"/>
      <c r="HAJ118" s="225"/>
      <c r="HAK118" s="225"/>
      <c r="HAL118" s="225"/>
      <c r="HAM118" s="225"/>
      <c r="HAN118" s="225"/>
      <c r="HAO118" s="225"/>
      <c r="HAP118" s="225"/>
      <c r="HAQ118" s="225"/>
      <c r="HAR118" s="225"/>
      <c r="HAS118" s="225"/>
      <c r="HAT118" s="225"/>
      <c r="HAU118" s="225"/>
      <c r="HAV118" s="225"/>
      <c r="HAW118" s="225"/>
      <c r="HAX118" s="225"/>
      <c r="HAY118" s="225"/>
      <c r="HAZ118" s="225"/>
      <c r="HBA118" s="225"/>
      <c r="HBB118" s="225"/>
      <c r="HBC118" s="225"/>
      <c r="HBD118" s="225"/>
      <c r="HBE118" s="225"/>
      <c r="HBF118" s="225"/>
      <c r="HBG118" s="225"/>
      <c r="HBH118" s="225"/>
      <c r="HBI118" s="225"/>
      <c r="HBJ118" s="225"/>
      <c r="HBK118" s="225"/>
      <c r="HBL118" s="225"/>
      <c r="HBM118" s="225"/>
      <c r="HBN118" s="225"/>
      <c r="HBO118" s="225"/>
      <c r="HBP118" s="225"/>
      <c r="HBQ118" s="225"/>
      <c r="HBR118" s="225"/>
      <c r="HBS118" s="225"/>
      <c r="HBT118" s="225"/>
      <c r="HBU118" s="225"/>
      <c r="HBV118" s="225"/>
      <c r="HBW118" s="225"/>
      <c r="HBX118" s="225"/>
      <c r="HBY118" s="225"/>
      <c r="HBZ118" s="225"/>
      <c r="HCA118" s="225"/>
      <c r="HCB118" s="225"/>
      <c r="HCC118" s="225"/>
      <c r="HCD118" s="225"/>
      <c r="HCE118" s="225"/>
      <c r="HCF118" s="225"/>
      <c r="HCG118" s="225"/>
      <c r="HCH118" s="225"/>
      <c r="HCI118" s="225"/>
      <c r="HCJ118" s="225"/>
      <c r="HCK118" s="225"/>
      <c r="HCL118" s="225"/>
      <c r="HCM118" s="225"/>
      <c r="HCN118" s="225"/>
      <c r="HCO118" s="225"/>
      <c r="HCP118" s="225"/>
      <c r="HCQ118" s="225"/>
      <c r="HCR118" s="225"/>
      <c r="HCS118" s="225"/>
      <c r="HCT118" s="225"/>
      <c r="HCU118" s="225"/>
      <c r="HCV118" s="225"/>
      <c r="HCW118" s="225"/>
      <c r="HCX118" s="225"/>
      <c r="HCY118" s="225"/>
      <c r="HCZ118" s="225"/>
      <c r="HDA118" s="225"/>
      <c r="HDB118" s="225"/>
      <c r="HDC118" s="225"/>
      <c r="HDD118" s="225"/>
      <c r="HDE118" s="225"/>
      <c r="HDF118" s="225"/>
      <c r="HDG118" s="225"/>
      <c r="HDH118" s="225"/>
      <c r="HDI118" s="225"/>
      <c r="HDJ118" s="225"/>
      <c r="HDK118" s="225"/>
      <c r="HDL118" s="225"/>
      <c r="HDM118" s="225"/>
      <c r="HDN118" s="225"/>
      <c r="HDO118" s="225"/>
      <c r="HDP118" s="225"/>
      <c r="HDQ118" s="225"/>
      <c r="HDR118" s="225"/>
      <c r="HDS118" s="225"/>
      <c r="HDT118" s="225"/>
      <c r="HDU118" s="225"/>
      <c r="HDV118" s="225"/>
      <c r="HDW118" s="225"/>
      <c r="HDX118" s="225"/>
      <c r="HDY118" s="225"/>
      <c r="HDZ118" s="225"/>
      <c r="HEA118" s="225"/>
      <c r="HEB118" s="225"/>
      <c r="HEC118" s="225"/>
      <c r="HED118" s="225"/>
      <c r="HEE118" s="225"/>
      <c r="HEF118" s="225"/>
      <c r="HEG118" s="225"/>
      <c r="HEH118" s="225"/>
      <c r="HEI118" s="225"/>
      <c r="HEJ118" s="225"/>
      <c r="HEK118" s="225"/>
      <c r="HEL118" s="225"/>
      <c r="HEM118" s="225"/>
      <c r="HEN118" s="225"/>
      <c r="HEO118" s="225"/>
      <c r="HEP118" s="225"/>
      <c r="HEQ118" s="225"/>
      <c r="HER118" s="225"/>
      <c r="HES118" s="225"/>
      <c r="HET118" s="225"/>
      <c r="HEU118" s="225"/>
      <c r="HEV118" s="225"/>
      <c r="HEW118" s="225"/>
      <c r="HEX118" s="225"/>
      <c r="HEY118" s="225"/>
      <c r="HEZ118" s="225"/>
      <c r="HFA118" s="225"/>
      <c r="HFB118" s="225"/>
      <c r="HFC118" s="225"/>
      <c r="HFD118" s="225"/>
      <c r="HFE118" s="225"/>
      <c r="HFF118" s="225"/>
      <c r="HFG118" s="225"/>
      <c r="HFH118" s="225"/>
      <c r="HFI118" s="225"/>
      <c r="HFJ118" s="225"/>
      <c r="HFK118" s="225"/>
      <c r="HFL118" s="225"/>
      <c r="HFM118" s="225"/>
      <c r="HFN118" s="225"/>
      <c r="HFO118" s="225"/>
      <c r="HFP118" s="225"/>
      <c r="HFQ118" s="225"/>
      <c r="HFR118" s="225"/>
      <c r="HFS118" s="225"/>
      <c r="HFT118" s="225"/>
      <c r="HFU118" s="225"/>
      <c r="HFV118" s="225"/>
      <c r="HFW118" s="225"/>
      <c r="HFX118" s="225"/>
      <c r="HFY118" s="225"/>
      <c r="HFZ118" s="225"/>
      <c r="HGA118" s="225"/>
      <c r="HGB118" s="225"/>
      <c r="HGC118" s="225"/>
      <c r="HGD118" s="225"/>
      <c r="HGE118" s="225"/>
      <c r="HGF118" s="225"/>
      <c r="HGG118" s="225"/>
      <c r="HGH118" s="225"/>
      <c r="HGI118" s="225"/>
      <c r="HGJ118" s="225"/>
      <c r="HGK118" s="225"/>
      <c r="HGL118" s="225"/>
      <c r="HGM118" s="225"/>
      <c r="HGN118" s="225"/>
      <c r="HGO118" s="225"/>
      <c r="HGP118" s="225"/>
      <c r="HGQ118" s="225"/>
      <c r="HGR118" s="225"/>
      <c r="HGS118" s="225"/>
      <c r="HGT118" s="225"/>
      <c r="HGU118" s="225"/>
      <c r="HGV118" s="225"/>
      <c r="HGW118" s="225"/>
      <c r="HGX118" s="225"/>
      <c r="HGY118" s="225"/>
      <c r="HGZ118" s="225"/>
      <c r="HHA118" s="225"/>
      <c r="HHB118" s="225"/>
      <c r="HHC118" s="225"/>
      <c r="HHD118" s="225"/>
      <c r="HHE118" s="225"/>
      <c r="HHF118" s="225"/>
      <c r="HHG118" s="225"/>
      <c r="HHH118" s="225"/>
      <c r="HHI118" s="225"/>
      <c r="HHJ118" s="225"/>
      <c r="HHK118" s="225"/>
      <c r="HHL118" s="225"/>
      <c r="HHM118" s="225"/>
      <c r="HHN118" s="225"/>
      <c r="HHO118" s="225"/>
      <c r="HHP118" s="225"/>
      <c r="HHQ118" s="225"/>
      <c r="HHR118" s="225"/>
      <c r="HHS118" s="225"/>
      <c r="HHT118" s="225"/>
      <c r="HHU118" s="225"/>
      <c r="HHV118" s="225"/>
      <c r="HHW118" s="225"/>
      <c r="HHX118" s="225"/>
      <c r="HHY118" s="225"/>
      <c r="HHZ118" s="225"/>
      <c r="HIA118" s="225"/>
      <c r="HIB118" s="225"/>
      <c r="HIC118" s="225"/>
      <c r="HID118" s="225"/>
      <c r="HIE118" s="225"/>
      <c r="HIF118" s="225"/>
      <c r="HIG118" s="225"/>
      <c r="HIH118" s="225"/>
      <c r="HII118" s="225"/>
      <c r="HIJ118" s="225"/>
      <c r="HIK118" s="225"/>
      <c r="HIL118" s="225"/>
      <c r="HIM118" s="225"/>
      <c r="HIN118" s="225"/>
      <c r="HIO118" s="225"/>
      <c r="HIP118" s="225"/>
      <c r="HIQ118" s="225"/>
      <c r="HIR118" s="225"/>
      <c r="HIS118" s="225"/>
      <c r="HIT118" s="225"/>
      <c r="HIU118" s="225"/>
      <c r="HIV118" s="225"/>
      <c r="HIW118" s="225"/>
      <c r="HIX118" s="225"/>
      <c r="HIY118" s="225"/>
      <c r="HIZ118" s="225"/>
      <c r="HJA118" s="225"/>
      <c r="HJB118" s="225"/>
      <c r="HJC118" s="225"/>
      <c r="HJD118" s="225"/>
      <c r="HJE118" s="225"/>
      <c r="HJF118" s="225"/>
      <c r="HJG118" s="225"/>
      <c r="HJH118" s="225"/>
      <c r="HJI118" s="225"/>
      <c r="HJJ118" s="225"/>
      <c r="HJK118" s="225"/>
      <c r="HJL118" s="225"/>
      <c r="HJM118" s="225"/>
      <c r="HJN118" s="225"/>
      <c r="HJO118" s="225"/>
      <c r="HJP118" s="225"/>
      <c r="HJQ118" s="225"/>
      <c r="HJR118" s="225"/>
      <c r="HJS118" s="225"/>
      <c r="HJT118" s="225"/>
      <c r="HJU118" s="225"/>
      <c r="HJV118" s="225"/>
      <c r="HJW118" s="225"/>
      <c r="HJX118" s="225"/>
      <c r="HJY118" s="225"/>
      <c r="HJZ118" s="225"/>
      <c r="HKA118" s="225"/>
      <c r="HKB118" s="225"/>
      <c r="HKC118" s="225"/>
      <c r="HKD118" s="225"/>
      <c r="HKE118" s="225"/>
      <c r="HKF118" s="225"/>
      <c r="HKG118" s="225"/>
      <c r="HKH118" s="225"/>
      <c r="HKI118" s="225"/>
      <c r="HKJ118" s="225"/>
      <c r="HKK118" s="225"/>
      <c r="HKL118" s="225"/>
      <c r="HKM118" s="225"/>
      <c r="HKN118" s="225"/>
      <c r="HKO118" s="225"/>
      <c r="HKP118" s="225"/>
      <c r="HKQ118" s="225"/>
      <c r="HKR118" s="225"/>
      <c r="HKS118" s="225"/>
      <c r="HKT118" s="225"/>
      <c r="HKU118" s="225"/>
      <c r="HKV118" s="225"/>
      <c r="HKW118" s="225"/>
      <c r="HKX118" s="225"/>
      <c r="HKY118" s="225"/>
      <c r="HKZ118" s="225"/>
      <c r="HLA118" s="225"/>
      <c r="HLB118" s="225"/>
      <c r="HLC118" s="225"/>
      <c r="HLD118" s="225"/>
      <c r="HLE118" s="225"/>
      <c r="HLF118" s="225"/>
      <c r="HLG118" s="225"/>
      <c r="HLH118" s="225"/>
      <c r="HLI118" s="225"/>
      <c r="HLJ118" s="225"/>
      <c r="HLK118" s="225"/>
      <c r="HLL118" s="225"/>
      <c r="HLM118" s="225"/>
      <c r="HLN118" s="225"/>
      <c r="HLO118" s="225"/>
      <c r="HLP118" s="225"/>
      <c r="HLQ118" s="225"/>
      <c r="HLR118" s="225"/>
      <c r="HLS118" s="225"/>
      <c r="HLT118" s="225"/>
      <c r="HLU118" s="225"/>
      <c r="HLV118" s="225"/>
      <c r="HLW118" s="225"/>
      <c r="HLX118" s="225"/>
      <c r="HLY118" s="225"/>
      <c r="HLZ118" s="225"/>
      <c r="HMA118" s="225"/>
      <c r="HMB118" s="225"/>
      <c r="HMC118" s="225"/>
      <c r="HMD118" s="225"/>
      <c r="HME118" s="225"/>
      <c r="HMF118" s="225"/>
      <c r="HMG118" s="225"/>
      <c r="HMH118" s="225"/>
      <c r="HMI118" s="225"/>
      <c r="HMJ118" s="225"/>
      <c r="HMK118" s="225"/>
      <c r="HML118" s="225"/>
      <c r="HMM118" s="225"/>
      <c r="HMN118" s="225"/>
      <c r="HMO118" s="225"/>
      <c r="HMP118" s="225"/>
      <c r="HMQ118" s="225"/>
      <c r="HMR118" s="225"/>
      <c r="HMS118" s="225"/>
      <c r="HMT118" s="225"/>
      <c r="HMU118" s="225"/>
      <c r="HMV118" s="225"/>
      <c r="HMW118" s="225"/>
      <c r="HMX118" s="225"/>
      <c r="HMY118" s="225"/>
      <c r="HMZ118" s="225"/>
      <c r="HNA118" s="225"/>
      <c r="HNB118" s="225"/>
      <c r="HNC118" s="225"/>
      <c r="HND118" s="225"/>
      <c r="HNE118" s="225"/>
      <c r="HNF118" s="225"/>
      <c r="HNG118" s="225"/>
      <c r="HNH118" s="225"/>
      <c r="HNI118" s="225"/>
      <c r="HNJ118" s="225"/>
      <c r="HNK118" s="225"/>
      <c r="HNL118" s="225"/>
      <c r="HNM118" s="225"/>
      <c r="HNN118" s="225"/>
      <c r="HNO118" s="225"/>
      <c r="HNP118" s="225"/>
      <c r="HNQ118" s="225"/>
      <c r="HNR118" s="225"/>
      <c r="HNS118" s="225"/>
      <c r="HNT118" s="225"/>
      <c r="HNU118" s="225"/>
      <c r="HNV118" s="225"/>
      <c r="HNW118" s="225"/>
      <c r="HNX118" s="225"/>
      <c r="HNY118" s="225"/>
      <c r="HNZ118" s="225"/>
      <c r="HOA118" s="225"/>
      <c r="HOB118" s="225"/>
      <c r="HOC118" s="225"/>
      <c r="HOD118" s="225"/>
      <c r="HOE118" s="225"/>
      <c r="HOF118" s="225"/>
      <c r="HOG118" s="225"/>
      <c r="HOH118" s="225"/>
      <c r="HOI118" s="225"/>
      <c r="HOJ118" s="225"/>
      <c r="HOK118" s="225"/>
      <c r="HOL118" s="225"/>
      <c r="HOM118" s="225"/>
      <c r="HON118" s="225"/>
      <c r="HOO118" s="225"/>
      <c r="HOP118" s="225"/>
      <c r="HOQ118" s="225"/>
      <c r="HOR118" s="225"/>
      <c r="HOS118" s="225"/>
      <c r="HOT118" s="225"/>
      <c r="HOU118" s="225"/>
      <c r="HOV118" s="225"/>
      <c r="HOW118" s="225"/>
      <c r="HOX118" s="225"/>
      <c r="HOY118" s="225"/>
      <c r="HOZ118" s="225"/>
      <c r="HPA118" s="225"/>
      <c r="HPB118" s="225"/>
      <c r="HPC118" s="225"/>
      <c r="HPD118" s="225"/>
      <c r="HPE118" s="225"/>
      <c r="HPF118" s="225"/>
      <c r="HPG118" s="225"/>
      <c r="HPH118" s="225"/>
      <c r="HPI118" s="225"/>
      <c r="HPJ118" s="225"/>
      <c r="HPK118" s="225"/>
      <c r="HPL118" s="225"/>
      <c r="HPM118" s="225"/>
      <c r="HPN118" s="225"/>
      <c r="HPO118" s="225"/>
      <c r="HPP118" s="225"/>
      <c r="HPQ118" s="225"/>
      <c r="HPR118" s="225"/>
      <c r="HPS118" s="225"/>
      <c r="HPT118" s="225"/>
      <c r="HPU118" s="225"/>
      <c r="HPV118" s="225"/>
      <c r="HPW118" s="225"/>
      <c r="HPX118" s="225"/>
      <c r="HPY118" s="225"/>
      <c r="HPZ118" s="225"/>
      <c r="HQA118" s="225"/>
      <c r="HQB118" s="225"/>
      <c r="HQC118" s="225"/>
      <c r="HQD118" s="225"/>
      <c r="HQE118" s="225"/>
      <c r="HQF118" s="225"/>
      <c r="HQG118" s="225"/>
      <c r="HQH118" s="225"/>
      <c r="HQI118" s="225"/>
      <c r="HQJ118" s="225"/>
      <c r="HQK118" s="225"/>
      <c r="HQL118" s="225"/>
      <c r="HQM118" s="225"/>
      <c r="HQN118" s="225"/>
      <c r="HQO118" s="225"/>
      <c r="HQP118" s="225"/>
      <c r="HQQ118" s="225"/>
      <c r="HQR118" s="225"/>
      <c r="HQS118" s="225"/>
      <c r="HQT118" s="225"/>
      <c r="HQU118" s="225"/>
      <c r="HQV118" s="225"/>
      <c r="HQW118" s="225"/>
      <c r="HQX118" s="225"/>
      <c r="HQY118" s="225"/>
      <c r="HQZ118" s="225"/>
      <c r="HRA118" s="225"/>
      <c r="HRB118" s="225"/>
      <c r="HRC118" s="225"/>
      <c r="HRD118" s="225"/>
      <c r="HRE118" s="225"/>
      <c r="HRF118" s="225"/>
      <c r="HRG118" s="225"/>
      <c r="HRH118" s="225"/>
      <c r="HRI118" s="225"/>
      <c r="HRJ118" s="225"/>
      <c r="HRK118" s="225"/>
      <c r="HRL118" s="225"/>
      <c r="HRM118" s="225"/>
      <c r="HRN118" s="225"/>
      <c r="HRO118" s="225"/>
      <c r="HRP118" s="225"/>
      <c r="HRQ118" s="225"/>
      <c r="HRR118" s="225"/>
      <c r="HRS118" s="225"/>
      <c r="HRT118" s="225"/>
      <c r="HRU118" s="225"/>
      <c r="HRV118" s="225"/>
      <c r="HRW118" s="225"/>
      <c r="HRX118" s="225"/>
      <c r="HRY118" s="225"/>
      <c r="HRZ118" s="225"/>
      <c r="HSA118" s="225"/>
      <c r="HSB118" s="225"/>
      <c r="HSC118" s="225"/>
      <c r="HSD118" s="225"/>
      <c r="HSE118" s="225"/>
      <c r="HSF118" s="225"/>
      <c r="HSG118" s="225"/>
      <c r="HSH118" s="225"/>
      <c r="HSI118" s="225"/>
      <c r="HSJ118" s="225"/>
      <c r="HSK118" s="225"/>
      <c r="HSL118" s="225"/>
      <c r="HSM118" s="225"/>
      <c r="HSN118" s="225"/>
      <c r="HSO118" s="225"/>
      <c r="HSP118" s="225"/>
      <c r="HSQ118" s="225"/>
      <c r="HSR118" s="225"/>
      <c r="HSS118" s="225"/>
      <c r="HST118" s="225"/>
      <c r="HSU118" s="225"/>
      <c r="HSV118" s="225"/>
      <c r="HSW118" s="225"/>
      <c r="HSX118" s="225"/>
      <c r="HSY118" s="225"/>
      <c r="HSZ118" s="225"/>
      <c r="HTA118" s="225"/>
      <c r="HTB118" s="225"/>
      <c r="HTC118" s="225"/>
      <c r="HTD118" s="225"/>
      <c r="HTE118" s="225"/>
      <c r="HTF118" s="225"/>
      <c r="HTG118" s="225"/>
      <c r="HTH118" s="225"/>
      <c r="HTI118" s="225"/>
      <c r="HTJ118" s="225"/>
      <c r="HTK118" s="225"/>
      <c r="HTL118" s="225"/>
      <c r="HTM118" s="225"/>
      <c r="HTN118" s="225"/>
      <c r="HTO118" s="225"/>
      <c r="HTP118" s="225"/>
      <c r="HTQ118" s="225"/>
      <c r="HTR118" s="225"/>
      <c r="HTS118" s="225"/>
      <c r="HTT118" s="225"/>
      <c r="HTU118" s="225"/>
      <c r="HTV118" s="225"/>
      <c r="HTW118" s="225"/>
      <c r="HTX118" s="225"/>
      <c r="HTY118" s="225"/>
      <c r="HTZ118" s="225"/>
      <c r="HUA118" s="225"/>
      <c r="HUB118" s="225"/>
      <c r="HUC118" s="225"/>
      <c r="HUD118" s="225"/>
      <c r="HUE118" s="225"/>
      <c r="HUF118" s="225"/>
      <c r="HUG118" s="225"/>
      <c r="HUH118" s="225"/>
      <c r="HUI118" s="225"/>
      <c r="HUJ118" s="225"/>
      <c r="HUK118" s="225"/>
      <c r="HUL118" s="225"/>
      <c r="HUM118" s="225"/>
      <c r="HUN118" s="225"/>
      <c r="HUO118" s="225"/>
      <c r="HUP118" s="225"/>
      <c r="HUQ118" s="225"/>
      <c r="HUR118" s="225"/>
      <c r="HUS118" s="225"/>
      <c r="HUT118" s="225"/>
      <c r="HUU118" s="225"/>
      <c r="HUV118" s="225"/>
      <c r="HUW118" s="225"/>
      <c r="HUX118" s="225"/>
      <c r="HUY118" s="225"/>
      <c r="HUZ118" s="225"/>
      <c r="HVA118" s="225"/>
      <c r="HVB118" s="225"/>
      <c r="HVC118" s="225"/>
      <c r="HVD118" s="225"/>
      <c r="HVE118" s="225"/>
      <c r="HVF118" s="225"/>
      <c r="HVG118" s="225"/>
      <c r="HVH118" s="225"/>
      <c r="HVI118" s="225"/>
      <c r="HVJ118" s="225"/>
      <c r="HVK118" s="225"/>
      <c r="HVL118" s="225"/>
      <c r="HVM118" s="225"/>
      <c r="HVN118" s="225"/>
      <c r="HVO118" s="225"/>
      <c r="HVP118" s="225"/>
      <c r="HVQ118" s="225"/>
      <c r="HVR118" s="225"/>
      <c r="HVS118" s="225"/>
      <c r="HVT118" s="225"/>
      <c r="HVU118" s="225"/>
      <c r="HVV118" s="225"/>
      <c r="HVW118" s="225"/>
      <c r="HVX118" s="225"/>
      <c r="HVY118" s="225"/>
      <c r="HVZ118" s="225"/>
      <c r="HWA118" s="225"/>
      <c r="HWB118" s="225"/>
      <c r="HWC118" s="225"/>
      <c r="HWD118" s="225"/>
      <c r="HWE118" s="225"/>
      <c r="HWF118" s="225"/>
      <c r="HWG118" s="225"/>
      <c r="HWH118" s="225"/>
      <c r="HWI118" s="225"/>
      <c r="HWJ118" s="225"/>
      <c r="HWK118" s="225"/>
      <c r="HWL118" s="225"/>
      <c r="HWM118" s="225"/>
      <c r="HWN118" s="225"/>
      <c r="HWO118" s="225"/>
      <c r="HWP118" s="225"/>
      <c r="HWQ118" s="225"/>
      <c r="HWR118" s="225"/>
      <c r="HWS118" s="225"/>
      <c r="HWT118" s="225"/>
      <c r="HWU118" s="225"/>
      <c r="HWV118" s="225"/>
      <c r="HWW118" s="225"/>
      <c r="HWX118" s="225"/>
      <c r="HWY118" s="225"/>
      <c r="HWZ118" s="225"/>
      <c r="HXA118" s="225"/>
      <c r="HXB118" s="225"/>
      <c r="HXC118" s="225"/>
      <c r="HXD118" s="225"/>
      <c r="HXE118" s="225"/>
      <c r="HXF118" s="225"/>
      <c r="HXG118" s="225"/>
      <c r="HXH118" s="225"/>
      <c r="HXI118" s="225"/>
      <c r="HXJ118" s="225"/>
      <c r="HXK118" s="225"/>
      <c r="HXL118" s="225"/>
      <c r="HXM118" s="225"/>
      <c r="HXN118" s="225"/>
      <c r="HXO118" s="225"/>
      <c r="HXP118" s="225"/>
      <c r="HXQ118" s="225"/>
      <c r="HXR118" s="225"/>
      <c r="HXS118" s="225"/>
      <c r="HXT118" s="225"/>
      <c r="HXU118" s="225"/>
      <c r="HXV118" s="225"/>
      <c r="HXW118" s="225"/>
      <c r="HXX118" s="225"/>
      <c r="HXY118" s="225"/>
      <c r="HXZ118" s="225"/>
      <c r="HYA118" s="225"/>
      <c r="HYB118" s="225"/>
      <c r="HYC118" s="225"/>
      <c r="HYD118" s="225"/>
      <c r="HYE118" s="225"/>
      <c r="HYF118" s="225"/>
      <c r="HYG118" s="225"/>
      <c r="HYH118" s="225"/>
      <c r="HYI118" s="225"/>
      <c r="HYJ118" s="225"/>
      <c r="HYK118" s="225"/>
      <c r="HYL118" s="225"/>
      <c r="HYM118" s="225"/>
      <c r="HYN118" s="225"/>
      <c r="HYO118" s="225"/>
      <c r="HYP118" s="225"/>
      <c r="HYQ118" s="225"/>
      <c r="HYR118" s="225"/>
      <c r="HYS118" s="225"/>
      <c r="HYT118" s="225"/>
      <c r="HYU118" s="225"/>
      <c r="HYV118" s="225"/>
      <c r="HYW118" s="225"/>
      <c r="HYX118" s="225"/>
      <c r="HYY118" s="225"/>
      <c r="HYZ118" s="225"/>
      <c r="HZA118" s="225"/>
      <c r="HZB118" s="225"/>
      <c r="HZC118" s="225"/>
      <c r="HZD118" s="225"/>
      <c r="HZE118" s="225"/>
      <c r="HZF118" s="225"/>
      <c r="HZG118" s="225"/>
      <c r="HZH118" s="225"/>
      <c r="HZI118" s="225"/>
      <c r="HZJ118" s="225"/>
      <c r="HZK118" s="225"/>
      <c r="HZL118" s="225"/>
      <c r="HZM118" s="225"/>
      <c r="HZN118" s="225"/>
      <c r="HZO118" s="225"/>
      <c r="HZP118" s="225"/>
      <c r="HZQ118" s="225"/>
      <c r="HZR118" s="225"/>
      <c r="HZS118" s="225"/>
      <c r="HZT118" s="225"/>
      <c r="HZU118" s="225"/>
      <c r="HZV118" s="225"/>
      <c r="HZW118" s="225"/>
      <c r="HZX118" s="225"/>
      <c r="HZY118" s="225"/>
      <c r="HZZ118" s="225"/>
      <c r="IAA118" s="225"/>
      <c r="IAB118" s="225"/>
      <c r="IAC118" s="225"/>
      <c r="IAD118" s="225"/>
      <c r="IAE118" s="225"/>
      <c r="IAF118" s="225"/>
      <c r="IAG118" s="225"/>
      <c r="IAH118" s="225"/>
      <c r="IAI118" s="225"/>
      <c r="IAJ118" s="225"/>
      <c r="IAK118" s="225"/>
      <c r="IAL118" s="225"/>
      <c r="IAM118" s="225"/>
      <c r="IAN118" s="225"/>
      <c r="IAO118" s="225"/>
      <c r="IAP118" s="225"/>
      <c r="IAQ118" s="225"/>
      <c r="IAR118" s="225"/>
      <c r="IAS118" s="225"/>
      <c r="IAT118" s="225"/>
      <c r="IAU118" s="225"/>
      <c r="IAV118" s="225"/>
      <c r="IAW118" s="225"/>
      <c r="IAX118" s="225"/>
      <c r="IAY118" s="225"/>
      <c r="IAZ118" s="225"/>
      <c r="IBA118" s="225"/>
      <c r="IBB118" s="225"/>
      <c r="IBC118" s="225"/>
      <c r="IBD118" s="225"/>
      <c r="IBE118" s="225"/>
      <c r="IBF118" s="225"/>
      <c r="IBG118" s="225"/>
      <c r="IBH118" s="225"/>
      <c r="IBI118" s="225"/>
      <c r="IBJ118" s="225"/>
      <c r="IBK118" s="225"/>
      <c r="IBL118" s="225"/>
      <c r="IBM118" s="225"/>
      <c r="IBN118" s="225"/>
      <c r="IBO118" s="225"/>
      <c r="IBP118" s="225"/>
      <c r="IBQ118" s="225"/>
      <c r="IBR118" s="225"/>
      <c r="IBS118" s="225"/>
      <c r="IBT118" s="225"/>
      <c r="IBU118" s="225"/>
      <c r="IBV118" s="225"/>
      <c r="IBW118" s="225"/>
      <c r="IBX118" s="225"/>
      <c r="IBY118" s="225"/>
      <c r="IBZ118" s="225"/>
      <c r="ICA118" s="225"/>
      <c r="ICB118" s="225"/>
      <c r="ICC118" s="225"/>
      <c r="ICD118" s="225"/>
      <c r="ICE118" s="225"/>
      <c r="ICF118" s="225"/>
      <c r="ICG118" s="225"/>
      <c r="ICH118" s="225"/>
      <c r="ICI118" s="225"/>
      <c r="ICJ118" s="225"/>
      <c r="ICK118" s="225"/>
      <c r="ICL118" s="225"/>
      <c r="ICM118" s="225"/>
      <c r="ICN118" s="225"/>
      <c r="ICO118" s="225"/>
      <c r="ICP118" s="225"/>
      <c r="ICQ118" s="225"/>
      <c r="ICR118" s="225"/>
      <c r="ICS118" s="225"/>
      <c r="ICT118" s="225"/>
      <c r="ICU118" s="225"/>
      <c r="ICV118" s="225"/>
      <c r="ICW118" s="225"/>
      <c r="ICX118" s="225"/>
      <c r="ICY118" s="225"/>
      <c r="ICZ118" s="225"/>
      <c r="IDA118" s="225"/>
      <c r="IDB118" s="225"/>
      <c r="IDC118" s="225"/>
      <c r="IDD118" s="225"/>
      <c r="IDE118" s="225"/>
      <c r="IDF118" s="225"/>
      <c r="IDG118" s="225"/>
      <c r="IDH118" s="225"/>
      <c r="IDI118" s="225"/>
      <c r="IDJ118" s="225"/>
      <c r="IDK118" s="225"/>
      <c r="IDL118" s="225"/>
      <c r="IDM118" s="225"/>
      <c r="IDN118" s="225"/>
      <c r="IDO118" s="225"/>
      <c r="IDP118" s="225"/>
      <c r="IDQ118" s="225"/>
      <c r="IDR118" s="225"/>
      <c r="IDS118" s="225"/>
      <c r="IDT118" s="225"/>
      <c r="IDU118" s="225"/>
      <c r="IDV118" s="225"/>
      <c r="IDW118" s="225"/>
      <c r="IDX118" s="225"/>
      <c r="IDY118" s="225"/>
      <c r="IDZ118" s="225"/>
      <c r="IEA118" s="225"/>
      <c r="IEB118" s="225"/>
      <c r="IEC118" s="225"/>
      <c r="IED118" s="225"/>
      <c r="IEE118" s="225"/>
      <c r="IEF118" s="225"/>
      <c r="IEG118" s="225"/>
      <c r="IEH118" s="225"/>
      <c r="IEI118" s="225"/>
      <c r="IEJ118" s="225"/>
      <c r="IEK118" s="225"/>
      <c r="IEL118" s="225"/>
      <c r="IEM118" s="225"/>
      <c r="IEN118" s="225"/>
      <c r="IEO118" s="225"/>
      <c r="IEP118" s="225"/>
      <c r="IEQ118" s="225"/>
      <c r="IER118" s="225"/>
      <c r="IES118" s="225"/>
      <c r="IET118" s="225"/>
      <c r="IEU118" s="225"/>
      <c r="IEV118" s="225"/>
      <c r="IEW118" s="225"/>
      <c r="IEX118" s="225"/>
      <c r="IEY118" s="225"/>
      <c r="IEZ118" s="225"/>
      <c r="IFA118" s="225"/>
      <c r="IFB118" s="225"/>
      <c r="IFC118" s="225"/>
      <c r="IFD118" s="225"/>
      <c r="IFE118" s="225"/>
      <c r="IFF118" s="225"/>
      <c r="IFG118" s="225"/>
      <c r="IFH118" s="225"/>
      <c r="IFI118" s="225"/>
      <c r="IFJ118" s="225"/>
      <c r="IFK118" s="225"/>
      <c r="IFL118" s="225"/>
      <c r="IFM118" s="225"/>
      <c r="IFN118" s="225"/>
      <c r="IFO118" s="225"/>
      <c r="IFP118" s="225"/>
      <c r="IFQ118" s="225"/>
      <c r="IFR118" s="225"/>
      <c r="IFS118" s="225"/>
      <c r="IFT118" s="225"/>
      <c r="IFU118" s="225"/>
      <c r="IFV118" s="225"/>
      <c r="IFW118" s="225"/>
      <c r="IFX118" s="225"/>
      <c r="IFY118" s="225"/>
      <c r="IFZ118" s="225"/>
      <c r="IGA118" s="225"/>
      <c r="IGB118" s="225"/>
      <c r="IGC118" s="225"/>
      <c r="IGD118" s="225"/>
      <c r="IGE118" s="225"/>
      <c r="IGF118" s="225"/>
      <c r="IGG118" s="225"/>
      <c r="IGH118" s="225"/>
      <c r="IGI118" s="225"/>
      <c r="IGJ118" s="225"/>
      <c r="IGK118" s="225"/>
      <c r="IGL118" s="225"/>
      <c r="IGM118" s="225"/>
      <c r="IGN118" s="225"/>
      <c r="IGO118" s="225"/>
      <c r="IGP118" s="225"/>
      <c r="IGQ118" s="225"/>
      <c r="IGR118" s="225"/>
      <c r="IGS118" s="225"/>
      <c r="IGT118" s="225"/>
      <c r="IGU118" s="225"/>
      <c r="IGV118" s="225"/>
      <c r="IGW118" s="225"/>
      <c r="IGX118" s="225"/>
      <c r="IGY118" s="225"/>
      <c r="IGZ118" s="225"/>
      <c r="IHA118" s="225"/>
      <c r="IHB118" s="225"/>
      <c r="IHC118" s="225"/>
      <c r="IHD118" s="225"/>
      <c r="IHE118" s="225"/>
      <c r="IHF118" s="225"/>
      <c r="IHG118" s="225"/>
      <c r="IHH118" s="225"/>
      <c r="IHI118" s="225"/>
      <c r="IHJ118" s="225"/>
      <c r="IHK118" s="225"/>
      <c r="IHL118" s="225"/>
      <c r="IHM118" s="225"/>
      <c r="IHN118" s="225"/>
      <c r="IHO118" s="225"/>
      <c r="IHP118" s="225"/>
      <c r="IHQ118" s="225"/>
      <c r="IHR118" s="225"/>
      <c r="IHS118" s="225"/>
      <c r="IHT118" s="225"/>
      <c r="IHU118" s="225"/>
      <c r="IHV118" s="225"/>
      <c r="IHW118" s="225"/>
      <c r="IHX118" s="225"/>
      <c r="IHY118" s="225"/>
      <c r="IHZ118" s="225"/>
      <c r="IIA118" s="225"/>
      <c r="IIB118" s="225"/>
      <c r="IIC118" s="225"/>
      <c r="IID118" s="225"/>
      <c r="IIE118" s="225"/>
      <c r="IIF118" s="225"/>
      <c r="IIG118" s="225"/>
      <c r="IIH118" s="225"/>
      <c r="III118" s="225"/>
      <c r="IIJ118" s="225"/>
      <c r="IIK118" s="225"/>
      <c r="IIL118" s="225"/>
      <c r="IIM118" s="225"/>
      <c r="IIN118" s="225"/>
      <c r="IIO118" s="225"/>
      <c r="IIP118" s="225"/>
      <c r="IIQ118" s="225"/>
      <c r="IIR118" s="225"/>
      <c r="IIS118" s="225"/>
      <c r="IIT118" s="225"/>
      <c r="IIU118" s="225"/>
      <c r="IIV118" s="225"/>
      <c r="IIW118" s="225"/>
      <c r="IIX118" s="225"/>
      <c r="IIY118" s="225"/>
      <c r="IIZ118" s="225"/>
      <c r="IJA118" s="225"/>
      <c r="IJB118" s="225"/>
      <c r="IJC118" s="225"/>
      <c r="IJD118" s="225"/>
      <c r="IJE118" s="225"/>
      <c r="IJF118" s="225"/>
      <c r="IJG118" s="225"/>
      <c r="IJH118" s="225"/>
      <c r="IJI118" s="225"/>
      <c r="IJJ118" s="225"/>
      <c r="IJK118" s="225"/>
      <c r="IJL118" s="225"/>
      <c r="IJM118" s="225"/>
      <c r="IJN118" s="225"/>
      <c r="IJO118" s="225"/>
      <c r="IJP118" s="225"/>
      <c r="IJQ118" s="225"/>
      <c r="IJR118" s="225"/>
      <c r="IJS118" s="225"/>
      <c r="IJT118" s="225"/>
      <c r="IJU118" s="225"/>
      <c r="IJV118" s="225"/>
      <c r="IJW118" s="225"/>
      <c r="IJX118" s="225"/>
      <c r="IJY118" s="225"/>
      <c r="IJZ118" s="225"/>
      <c r="IKA118" s="225"/>
      <c r="IKB118" s="225"/>
      <c r="IKC118" s="225"/>
      <c r="IKD118" s="225"/>
      <c r="IKE118" s="225"/>
      <c r="IKF118" s="225"/>
      <c r="IKG118" s="225"/>
      <c r="IKH118" s="225"/>
      <c r="IKI118" s="225"/>
      <c r="IKJ118" s="225"/>
      <c r="IKK118" s="225"/>
      <c r="IKL118" s="225"/>
      <c r="IKM118" s="225"/>
      <c r="IKN118" s="225"/>
      <c r="IKO118" s="225"/>
      <c r="IKP118" s="225"/>
      <c r="IKQ118" s="225"/>
      <c r="IKR118" s="225"/>
      <c r="IKS118" s="225"/>
      <c r="IKT118" s="225"/>
      <c r="IKU118" s="225"/>
      <c r="IKV118" s="225"/>
      <c r="IKW118" s="225"/>
      <c r="IKX118" s="225"/>
      <c r="IKY118" s="225"/>
      <c r="IKZ118" s="225"/>
      <c r="ILA118" s="225"/>
      <c r="ILB118" s="225"/>
      <c r="ILC118" s="225"/>
      <c r="ILD118" s="225"/>
      <c r="ILE118" s="225"/>
      <c r="ILF118" s="225"/>
      <c r="ILG118" s="225"/>
      <c r="ILH118" s="225"/>
      <c r="ILI118" s="225"/>
      <c r="ILJ118" s="225"/>
      <c r="ILK118" s="225"/>
      <c r="ILL118" s="225"/>
      <c r="ILM118" s="225"/>
      <c r="ILN118" s="225"/>
      <c r="ILO118" s="225"/>
      <c r="ILP118" s="225"/>
      <c r="ILQ118" s="225"/>
      <c r="ILR118" s="225"/>
      <c r="ILS118" s="225"/>
      <c r="ILT118" s="225"/>
      <c r="ILU118" s="225"/>
      <c r="ILV118" s="225"/>
      <c r="ILW118" s="225"/>
      <c r="ILX118" s="225"/>
      <c r="ILY118" s="225"/>
      <c r="ILZ118" s="225"/>
      <c r="IMA118" s="225"/>
      <c r="IMB118" s="225"/>
      <c r="IMC118" s="225"/>
      <c r="IMD118" s="225"/>
      <c r="IME118" s="225"/>
      <c r="IMF118" s="225"/>
      <c r="IMG118" s="225"/>
      <c r="IMH118" s="225"/>
      <c r="IMI118" s="225"/>
      <c r="IMJ118" s="225"/>
      <c r="IMK118" s="225"/>
      <c r="IML118" s="225"/>
      <c r="IMM118" s="225"/>
      <c r="IMN118" s="225"/>
      <c r="IMO118" s="225"/>
      <c r="IMP118" s="225"/>
      <c r="IMQ118" s="225"/>
      <c r="IMR118" s="225"/>
      <c r="IMS118" s="225"/>
      <c r="IMT118" s="225"/>
      <c r="IMU118" s="225"/>
      <c r="IMV118" s="225"/>
      <c r="IMW118" s="225"/>
      <c r="IMX118" s="225"/>
      <c r="IMY118" s="225"/>
      <c r="IMZ118" s="225"/>
      <c r="INA118" s="225"/>
      <c r="INB118" s="225"/>
      <c r="INC118" s="225"/>
      <c r="IND118" s="225"/>
      <c r="INE118" s="225"/>
      <c r="INF118" s="225"/>
      <c r="ING118" s="225"/>
      <c r="INH118" s="225"/>
      <c r="INI118" s="225"/>
      <c r="INJ118" s="225"/>
      <c r="INK118" s="225"/>
      <c r="INL118" s="225"/>
      <c r="INM118" s="225"/>
      <c r="INN118" s="225"/>
      <c r="INO118" s="225"/>
      <c r="INP118" s="225"/>
      <c r="INQ118" s="225"/>
      <c r="INR118" s="225"/>
      <c r="INS118" s="225"/>
      <c r="INT118" s="225"/>
      <c r="INU118" s="225"/>
      <c r="INV118" s="225"/>
      <c r="INW118" s="225"/>
      <c r="INX118" s="225"/>
      <c r="INY118" s="225"/>
      <c r="INZ118" s="225"/>
      <c r="IOA118" s="225"/>
      <c r="IOB118" s="225"/>
      <c r="IOC118" s="225"/>
      <c r="IOD118" s="225"/>
      <c r="IOE118" s="225"/>
      <c r="IOF118" s="225"/>
      <c r="IOG118" s="225"/>
      <c r="IOH118" s="225"/>
      <c r="IOI118" s="225"/>
      <c r="IOJ118" s="225"/>
      <c r="IOK118" s="225"/>
      <c r="IOL118" s="225"/>
      <c r="IOM118" s="225"/>
      <c r="ION118" s="225"/>
      <c r="IOO118" s="225"/>
      <c r="IOP118" s="225"/>
      <c r="IOQ118" s="225"/>
      <c r="IOR118" s="225"/>
      <c r="IOS118" s="225"/>
      <c r="IOT118" s="225"/>
      <c r="IOU118" s="225"/>
      <c r="IOV118" s="225"/>
      <c r="IOW118" s="225"/>
      <c r="IOX118" s="225"/>
      <c r="IOY118" s="225"/>
      <c r="IOZ118" s="225"/>
      <c r="IPA118" s="225"/>
      <c r="IPB118" s="225"/>
      <c r="IPC118" s="225"/>
      <c r="IPD118" s="225"/>
      <c r="IPE118" s="225"/>
      <c r="IPF118" s="225"/>
      <c r="IPG118" s="225"/>
      <c r="IPH118" s="225"/>
      <c r="IPI118" s="225"/>
      <c r="IPJ118" s="225"/>
      <c r="IPK118" s="225"/>
      <c r="IPL118" s="225"/>
      <c r="IPM118" s="225"/>
      <c r="IPN118" s="225"/>
      <c r="IPO118" s="225"/>
      <c r="IPP118" s="225"/>
      <c r="IPQ118" s="225"/>
      <c r="IPR118" s="225"/>
      <c r="IPS118" s="225"/>
      <c r="IPT118" s="225"/>
      <c r="IPU118" s="225"/>
      <c r="IPV118" s="225"/>
      <c r="IPW118" s="225"/>
      <c r="IPX118" s="225"/>
      <c r="IPY118" s="225"/>
      <c r="IPZ118" s="225"/>
      <c r="IQA118" s="225"/>
      <c r="IQB118" s="225"/>
      <c r="IQC118" s="225"/>
      <c r="IQD118" s="225"/>
      <c r="IQE118" s="225"/>
      <c r="IQF118" s="225"/>
      <c r="IQG118" s="225"/>
      <c r="IQH118" s="225"/>
      <c r="IQI118" s="225"/>
      <c r="IQJ118" s="225"/>
      <c r="IQK118" s="225"/>
      <c r="IQL118" s="225"/>
      <c r="IQM118" s="225"/>
      <c r="IQN118" s="225"/>
      <c r="IQO118" s="225"/>
      <c r="IQP118" s="225"/>
      <c r="IQQ118" s="225"/>
      <c r="IQR118" s="225"/>
      <c r="IQS118" s="225"/>
      <c r="IQT118" s="225"/>
      <c r="IQU118" s="225"/>
      <c r="IQV118" s="225"/>
      <c r="IQW118" s="225"/>
      <c r="IQX118" s="225"/>
      <c r="IQY118" s="225"/>
      <c r="IQZ118" s="225"/>
      <c r="IRA118" s="225"/>
      <c r="IRB118" s="225"/>
      <c r="IRC118" s="225"/>
      <c r="IRD118" s="225"/>
      <c r="IRE118" s="225"/>
      <c r="IRF118" s="225"/>
      <c r="IRG118" s="225"/>
      <c r="IRH118" s="225"/>
      <c r="IRI118" s="225"/>
      <c r="IRJ118" s="225"/>
      <c r="IRK118" s="225"/>
      <c r="IRL118" s="225"/>
      <c r="IRM118" s="225"/>
      <c r="IRN118" s="225"/>
      <c r="IRO118" s="225"/>
      <c r="IRP118" s="225"/>
      <c r="IRQ118" s="225"/>
      <c r="IRR118" s="225"/>
      <c r="IRS118" s="225"/>
      <c r="IRT118" s="225"/>
      <c r="IRU118" s="225"/>
      <c r="IRV118" s="225"/>
      <c r="IRW118" s="225"/>
      <c r="IRX118" s="225"/>
      <c r="IRY118" s="225"/>
      <c r="IRZ118" s="225"/>
      <c r="ISA118" s="225"/>
      <c r="ISB118" s="225"/>
      <c r="ISC118" s="225"/>
      <c r="ISD118" s="225"/>
      <c r="ISE118" s="225"/>
      <c r="ISF118" s="225"/>
      <c r="ISG118" s="225"/>
      <c r="ISH118" s="225"/>
      <c r="ISI118" s="225"/>
      <c r="ISJ118" s="225"/>
      <c r="ISK118" s="225"/>
      <c r="ISL118" s="225"/>
      <c r="ISM118" s="225"/>
      <c r="ISN118" s="225"/>
      <c r="ISO118" s="225"/>
      <c r="ISP118" s="225"/>
      <c r="ISQ118" s="225"/>
      <c r="ISR118" s="225"/>
      <c r="ISS118" s="225"/>
      <c r="IST118" s="225"/>
      <c r="ISU118" s="225"/>
      <c r="ISV118" s="225"/>
      <c r="ISW118" s="225"/>
      <c r="ISX118" s="225"/>
      <c r="ISY118" s="225"/>
      <c r="ISZ118" s="225"/>
      <c r="ITA118" s="225"/>
      <c r="ITB118" s="225"/>
      <c r="ITC118" s="225"/>
      <c r="ITD118" s="225"/>
      <c r="ITE118" s="225"/>
      <c r="ITF118" s="225"/>
      <c r="ITG118" s="225"/>
      <c r="ITH118" s="225"/>
      <c r="ITI118" s="225"/>
      <c r="ITJ118" s="225"/>
      <c r="ITK118" s="225"/>
      <c r="ITL118" s="225"/>
      <c r="ITM118" s="225"/>
      <c r="ITN118" s="225"/>
      <c r="ITO118" s="225"/>
      <c r="ITP118" s="225"/>
      <c r="ITQ118" s="225"/>
      <c r="ITR118" s="225"/>
      <c r="ITS118" s="225"/>
      <c r="ITT118" s="225"/>
      <c r="ITU118" s="225"/>
      <c r="ITV118" s="225"/>
      <c r="ITW118" s="225"/>
      <c r="ITX118" s="225"/>
      <c r="ITY118" s="225"/>
      <c r="ITZ118" s="225"/>
      <c r="IUA118" s="225"/>
      <c r="IUB118" s="225"/>
      <c r="IUC118" s="225"/>
      <c r="IUD118" s="225"/>
      <c r="IUE118" s="225"/>
      <c r="IUF118" s="225"/>
      <c r="IUG118" s="225"/>
      <c r="IUH118" s="225"/>
      <c r="IUI118" s="225"/>
      <c r="IUJ118" s="225"/>
      <c r="IUK118" s="225"/>
      <c r="IUL118" s="225"/>
      <c r="IUM118" s="225"/>
      <c r="IUN118" s="225"/>
      <c r="IUO118" s="225"/>
      <c r="IUP118" s="225"/>
      <c r="IUQ118" s="225"/>
      <c r="IUR118" s="225"/>
      <c r="IUS118" s="225"/>
      <c r="IUT118" s="225"/>
      <c r="IUU118" s="225"/>
      <c r="IUV118" s="225"/>
      <c r="IUW118" s="225"/>
      <c r="IUX118" s="225"/>
      <c r="IUY118" s="225"/>
      <c r="IUZ118" s="225"/>
      <c r="IVA118" s="225"/>
      <c r="IVB118" s="225"/>
      <c r="IVC118" s="225"/>
      <c r="IVD118" s="225"/>
      <c r="IVE118" s="225"/>
      <c r="IVF118" s="225"/>
      <c r="IVG118" s="225"/>
      <c r="IVH118" s="225"/>
      <c r="IVI118" s="225"/>
      <c r="IVJ118" s="225"/>
      <c r="IVK118" s="225"/>
      <c r="IVL118" s="225"/>
      <c r="IVM118" s="225"/>
      <c r="IVN118" s="225"/>
      <c r="IVO118" s="225"/>
      <c r="IVP118" s="225"/>
      <c r="IVQ118" s="225"/>
      <c r="IVR118" s="225"/>
      <c r="IVS118" s="225"/>
      <c r="IVT118" s="225"/>
      <c r="IVU118" s="225"/>
      <c r="IVV118" s="225"/>
      <c r="IVW118" s="225"/>
      <c r="IVX118" s="225"/>
      <c r="IVY118" s="225"/>
      <c r="IVZ118" s="225"/>
      <c r="IWA118" s="225"/>
      <c r="IWB118" s="225"/>
      <c r="IWC118" s="225"/>
      <c r="IWD118" s="225"/>
      <c r="IWE118" s="225"/>
      <c r="IWF118" s="225"/>
      <c r="IWG118" s="225"/>
      <c r="IWH118" s="225"/>
      <c r="IWI118" s="225"/>
      <c r="IWJ118" s="225"/>
      <c r="IWK118" s="225"/>
      <c r="IWL118" s="225"/>
      <c r="IWM118" s="225"/>
      <c r="IWN118" s="225"/>
      <c r="IWO118" s="225"/>
      <c r="IWP118" s="225"/>
      <c r="IWQ118" s="225"/>
      <c r="IWR118" s="225"/>
      <c r="IWS118" s="225"/>
      <c r="IWT118" s="225"/>
      <c r="IWU118" s="225"/>
      <c r="IWV118" s="225"/>
      <c r="IWW118" s="225"/>
      <c r="IWX118" s="225"/>
      <c r="IWY118" s="225"/>
      <c r="IWZ118" s="225"/>
      <c r="IXA118" s="225"/>
      <c r="IXB118" s="225"/>
      <c r="IXC118" s="225"/>
      <c r="IXD118" s="225"/>
      <c r="IXE118" s="225"/>
      <c r="IXF118" s="225"/>
      <c r="IXG118" s="225"/>
      <c r="IXH118" s="225"/>
      <c r="IXI118" s="225"/>
      <c r="IXJ118" s="225"/>
      <c r="IXK118" s="225"/>
      <c r="IXL118" s="225"/>
      <c r="IXM118" s="225"/>
      <c r="IXN118" s="225"/>
      <c r="IXO118" s="225"/>
      <c r="IXP118" s="225"/>
      <c r="IXQ118" s="225"/>
      <c r="IXR118" s="225"/>
      <c r="IXS118" s="225"/>
      <c r="IXT118" s="225"/>
      <c r="IXU118" s="225"/>
      <c r="IXV118" s="225"/>
      <c r="IXW118" s="225"/>
      <c r="IXX118" s="225"/>
      <c r="IXY118" s="225"/>
      <c r="IXZ118" s="225"/>
      <c r="IYA118" s="225"/>
      <c r="IYB118" s="225"/>
      <c r="IYC118" s="225"/>
      <c r="IYD118" s="225"/>
      <c r="IYE118" s="225"/>
      <c r="IYF118" s="225"/>
      <c r="IYG118" s="225"/>
      <c r="IYH118" s="225"/>
      <c r="IYI118" s="225"/>
      <c r="IYJ118" s="225"/>
      <c r="IYK118" s="225"/>
      <c r="IYL118" s="225"/>
      <c r="IYM118" s="225"/>
      <c r="IYN118" s="225"/>
      <c r="IYO118" s="225"/>
      <c r="IYP118" s="225"/>
      <c r="IYQ118" s="225"/>
      <c r="IYR118" s="225"/>
      <c r="IYS118" s="225"/>
      <c r="IYT118" s="225"/>
      <c r="IYU118" s="225"/>
      <c r="IYV118" s="225"/>
      <c r="IYW118" s="225"/>
      <c r="IYX118" s="225"/>
      <c r="IYY118" s="225"/>
      <c r="IYZ118" s="225"/>
      <c r="IZA118" s="225"/>
      <c r="IZB118" s="225"/>
      <c r="IZC118" s="225"/>
      <c r="IZD118" s="225"/>
      <c r="IZE118" s="225"/>
      <c r="IZF118" s="225"/>
      <c r="IZG118" s="225"/>
      <c r="IZH118" s="225"/>
      <c r="IZI118" s="225"/>
      <c r="IZJ118" s="225"/>
      <c r="IZK118" s="225"/>
      <c r="IZL118" s="225"/>
      <c r="IZM118" s="225"/>
      <c r="IZN118" s="225"/>
      <c r="IZO118" s="225"/>
      <c r="IZP118" s="225"/>
      <c r="IZQ118" s="225"/>
      <c r="IZR118" s="225"/>
      <c r="IZS118" s="225"/>
      <c r="IZT118" s="225"/>
      <c r="IZU118" s="225"/>
      <c r="IZV118" s="225"/>
      <c r="IZW118" s="225"/>
      <c r="IZX118" s="225"/>
      <c r="IZY118" s="225"/>
      <c r="IZZ118" s="225"/>
      <c r="JAA118" s="225"/>
      <c r="JAB118" s="225"/>
      <c r="JAC118" s="225"/>
      <c r="JAD118" s="225"/>
      <c r="JAE118" s="225"/>
      <c r="JAF118" s="225"/>
      <c r="JAG118" s="225"/>
      <c r="JAH118" s="225"/>
      <c r="JAI118" s="225"/>
      <c r="JAJ118" s="225"/>
      <c r="JAK118" s="225"/>
      <c r="JAL118" s="225"/>
      <c r="JAM118" s="225"/>
      <c r="JAN118" s="225"/>
      <c r="JAO118" s="225"/>
      <c r="JAP118" s="225"/>
      <c r="JAQ118" s="225"/>
      <c r="JAR118" s="225"/>
      <c r="JAS118" s="225"/>
      <c r="JAT118" s="225"/>
      <c r="JAU118" s="225"/>
      <c r="JAV118" s="225"/>
      <c r="JAW118" s="225"/>
      <c r="JAX118" s="225"/>
      <c r="JAY118" s="225"/>
      <c r="JAZ118" s="225"/>
      <c r="JBA118" s="225"/>
      <c r="JBB118" s="225"/>
      <c r="JBC118" s="225"/>
      <c r="JBD118" s="225"/>
      <c r="JBE118" s="225"/>
      <c r="JBF118" s="225"/>
      <c r="JBG118" s="225"/>
      <c r="JBH118" s="225"/>
      <c r="JBI118" s="225"/>
      <c r="JBJ118" s="225"/>
      <c r="JBK118" s="225"/>
      <c r="JBL118" s="225"/>
      <c r="JBM118" s="225"/>
      <c r="JBN118" s="225"/>
      <c r="JBO118" s="225"/>
      <c r="JBP118" s="225"/>
      <c r="JBQ118" s="225"/>
      <c r="JBR118" s="225"/>
      <c r="JBS118" s="225"/>
      <c r="JBT118" s="225"/>
      <c r="JBU118" s="225"/>
      <c r="JBV118" s="225"/>
      <c r="JBW118" s="225"/>
      <c r="JBX118" s="225"/>
      <c r="JBY118" s="225"/>
      <c r="JBZ118" s="225"/>
      <c r="JCA118" s="225"/>
      <c r="JCB118" s="225"/>
      <c r="JCC118" s="225"/>
      <c r="JCD118" s="225"/>
      <c r="JCE118" s="225"/>
      <c r="JCF118" s="225"/>
      <c r="JCG118" s="225"/>
      <c r="JCH118" s="225"/>
      <c r="JCI118" s="225"/>
      <c r="JCJ118" s="225"/>
      <c r="JCK118" s="225"/>
      <c r="JCL118" s="225"/>
      <c r="JCM118" s="225"/>
      <c r="JCN118" s="225"/>
      <c r="JCO118" s="225"/>
      <c r="JCP118" s="225"/>
      <c r="JCQ118" s="225"/>
      <c r="JCR118" s="225"/>
      <c r="JCS118" s="225"/>
      <c r="JCT118" s="225"/>
      <c r="JCU118" s="225"/>
      <c r="JCV118" s="225"/>
      <c r="JCW118" s="225"/>
      <c r="JCX118" s="225"/>
      <c r="JCY118" s="225"/>
      <c r="JCZ118" s="225"/>
      <c r="JDA118" s="225"/>
      <c r="JDB118" s="225"/>
      <c r="JDC118" s="225"/>
      <c r="JDD118" s="225"/>
      <c r="JDE118" s="225"/>
      <c r="JDF118" s="225"/>
      <c r="JDG118" s="225"/>
      <c r="JDH118" s="225"/>
      <c r="JDI118" s="225"/>
      <c r="JDJ118" s="225"/>
      <c r="JDK118" s="225"/>
      <c r="JDL118" s="225"/>
      <c r="JDM118" s="225"/>
      <c r="JDN118" s="225"/>
      <c r="JDO118" s="225"/>
      <c r="JDP118" s="225"/>
      <c r="JDQ118" s="225"/>
      <c r="JDR118" s="225"/>
      <c r="JDS118" s="225"/>
      <c r="JDT118" s="225"/>
      <c r="JDU118" s="225"/>
      <c r="JDV118" s="225"/>
      <c r="JDW118" s="225"/>
      <c r="JDX118" s="225"/>
      <c r="JDY118" s="225"/>
      <c r="JDZ118" s="225"/>
      <c r="JEA118" s="225"/>
      <c r="JEB118" s="225"/>
      <c r="JEC118" s="225"/>
      <c r="JED118" s="225"/>
      <c r="JEE118" s="225"/>
      <c r="JEF118" s="225"/>
      <c r="JEG118" s="225"/>
      <c r="JEH118" s="225"/>
      <c r="JEI118" s="225"/>
      <c r="JEJ118" s="225"/>
      <c r="JEK118" s="225"/>
      <c r="JEL118" s="225"/>
      <c r="JEM118" s="225"/>
      <c r="JEN118" s="225"/>
      <c r="JEO118" s="225"/>
      <c r="JEP118" s="225"/>
      <c r="JEQ118" s="225"/>
      <c r="JER118" s="225"/>
      <c r="JES118" s="225"/>
      <c r="JET118" s="225"/>
      <c r="JEU118" s="225"/>
      <c r="JEV118" s="225"/>
      <c r="JEW118" s="225"/>
      <c r="JEX118" s="225"/>
      <c r="JEY118" s="225"/>
      <c r="JEZ118" s="225"/>
      <c r="JFA118" s="225"/>
      <c r="JFB118" s="225"/>
      <c r="JFC118" s="225"/>
      <c r="JFD118" s="225"/>
      <c r="JFE118" s="225"/>
      <c r="JFF118" s="225"/>
      <c r="JFG118" s="225"/>
      <c r="JFH118" s="225"/>
      <c r="JFI118" s="225"/>
      <c r="JFJ118" s="225"/>
      <c r="JFK118" s="225"/>
      <c r="JFL118" s="225"/>
      <c r="JFM118" s="225"/>
      <c r="JFN118" s="225"/>
      <c r="JFO118" s="225"/>
      <c r="JFP118" s="225"/>
      <c r="JFQ118" s="225"/>
      <c r="JFR118" s="225"/>
      <c r="JFS118" s="225"/>
      <c r="JFT118" s="225"/>
      <c r="JFU118" s="225"/>
      <c r="JFV118" s="225"/>
      <c r="JFW118" s="225"/>
      <c r="JFX118" s="225"/>
      <c r="JFY118" s="225"/>
      <c r="JFZ118" s="225"/>
      <c r="JGA118" s="225"/>
      <c r="JGB118" s="225"/>
      <c r="JGC118" s="225"/>
      <c r="JGD118" s="225"/>
      <c r="JGE118" s="225"/>
      <c r="JGF118" s="225"/>
      <c r="JGG118" s="225"/>
      <c r="JGH118" s="225"/>
      <c r="JGI118" s="225"/>
      <c r="JGJ118" s="225"/>
      <c r="JGK118" s="225"/>
      <c r="JGL118" s="225"/>
      <c r="JGM118" s="225"/>
      <c r="JGN118" s="225"/>
      <c r="JGO118" s="225"/>
      <c r="JGP118" s="225"/>
      <c r="JGQ118" s="225"/>
      <c r="JGR118" s="225"/>
      <c r="JGS118" s="225"/>
      <c r="JGT118" s="225"/>
      <c r="JGU118" s="225"/>
      <c r="JGV118" s="225"/>
      <c r="JGW118" s="225"/>
      <c r="JGX118" s="225"/>
      <c r="JGY118" s="225"/>
      <c r="JGZ118" s="225"/>
      <c r="JHA118" s="225"/>
      <c r="JHB118" s="225"/>
      <c r="JHC118" s="225"/>
      <c r="JHD118" s="225"/>
      <c r="JHE118" s="225"/>
      <c r="JHF118" s="225"/>
      <c r="JHG118" s="225"/>
      <c r="JHH118" s="225"/>
      <c r="JHI118" s="225"/>
      <c r="JHJ118" s="225"/>
      <c r="JHK118" s="225"/>
      <c r="JHL118" s="225"/>
      <c r="JHM118" s="225"/>
      <c r="JHN118" s="225"/>
      <c r="JHO118" s="225"/>
      <c r="JHP118" s="225"/>
      <c r="JHQ118" s="225"/>
      <c r="JHR118" s="225"/>
      <c r="JHS118" s="225"/>
      <c r="JHT118" s="225"/>
      <c r="JHU118" s="225"/>
      <c r="JHV118" s="225"/>
      <c r="JHW118" s="225"/>
      <c r="JHX118" s="225"/>
      <c r="JHY118" s="225"/>
      <c r="JHZ118" s="225"/>
      <c r="JIA118" s="225"/>
      <c r="JIB118" s="225"/>
      <c r="JIC118" s="225"/>
      <c r="JID118" s="225"/>
      <c r="JIE118" s="225"/>
      <c r="JIF118" s="225"/>
      <c r="JIG118" s="225"/>
      <c r="JIH118" s="225"/>
      <c r="JII118" s="225"/>
      <c r="JIJ118" s="225"/>
      <c r="JIK118" s="225"/>
      <c r="JIL118" s="225"/>
      <c r="JIM118" s="225"/>
      <c r="JIN118" s="225"/>
      <c r="JIO118" s="225"/>
      <c r="JIP118" s="225"/>
      <c r="JIQ118" s="225"/>
      <c r="JIR118" s="225"/>
      <c r="JIS118" s="225"/>
      <c r="JIT118" s="225"/>
      <c r="JIU118" s="225"/>
      <c r="JIV118" s="225"/>
      <c r="JIW118" s="225"/>
      <c r="JIX118" s="225"/>
      <c r="JIY118" s="225"/>
      <c r="JIZ118" s="225"/>
      <c r="JJA118" s="225"/>
      <c r="JJB118" s="225"/>
      <c r="JJC118" s="225"/>
      <c r="JJD118" s="225"/>
      <c r="JJE118" s="225"/>
      <c r="JJF118" s="225"/>
      <c r="JJG118" s="225"/>
      <c r="JJH118" s="225"/>
      <c r="JJI118" s="225"/>
      <c r="JJJ118" s="225"/>
      <c r="JJK118" s="225"/>
      <c r="JJL118" s="225"/>
      <c r="JJM118" s="225"/>
      <c r="JJN118" s="225"/>
      <c r="JJO118" s="225"/>
      <c r="JJP118" s="225"/>
      <c r="JJQ118" s="225"/>
      <c r="JJR118" s="225"/>
      <c r="JJS118" s="225"/>
      <c r="JJT118" s="225"/>
      <c r="JJU118" s="225"/>
      <c r="JJV118" s="225"/>
      <c r="JJW118" s="225"/>
      <c r="JJX118" s="225"/>
      <c r="JJY118" s="225"/>
      <c r="JJZ118" s="225"/>
      <c r="JKA118" s="225"/>
      <c r="JKB118" s="225"/>
      <c r="JKC118" s="225"/>
      <c r="JKD118" s="225"/>
      <c r="JKE118" s="225"/>
      <c r="JKF118" s="225"/>
      <c r="JKG118" s="225"/>
      <c r="JKH118" s="225"/>
      <c r="JKI118" s="225"/>
      <c r="JKJ118" s="225"/>
      <c r="JKK118" s="225"/>
      <c r="JKL118" s="225"/>
      <c r="JKM118" s="225"/>
      <c r="JKN118" s="225"/>
      <c r="JKO118" s="225"/>
      <c r="JKP118" s="225"/>
      <c r="JKQ118" s="225"/>
      <c r="JKR118" s="225"/>
      <c r="JKS118" s="225"/>
      <c r="JKT118" s="225"/>
      <c r="JKU118" s="225"/>
      <c r="JKV118" s="225"/>
      <c r="JKW118" s="225"/>
      <c r="JKX118" s="225"/>
      <c r="JKY118" s="225"/>
      <c r="JKZ118" s="225"/>
      <c r="JLA118" s="225"/>
      <c r="JLB118" s="225"/>
      <c r="JLC118" s="225"/>
      <c r="JLD118" s="225"/>
      <c r="JLE118" s="225"/>
      <c r="JLF118" s="225"/>
      <c r="JLG118" s="225"/>
      <c r="JLH118" s="225"/>
      <c r="JLI118" s="225"/>
      <c r="JLJ118" s="225"/>
      <c r="JLK118" s="225"/>
      <c r="JLL118" s="225"/>
      <c r="JLM118" s="225"/>
      <c r="JLN118" s="225"/>
      <c r="JLO118" s="225"/>
      <c r="JLP118" s="225"/>
      <c r="JLQ118" s="225"/>
      <c r="JLR118" s="225"/>
      <c r="JLS118" s="225"/>
      <c r="JLT118" s="225"/>
      <c r="JLU118" s="225"/>
      <c r="JLV118" s="225"/>
      <c r="JLW118" s="225"/>
      <c r="JLX118" s="225"/>
      <c r="JLY118" s="225"/>
      <c r="JLZ118" s="225"/>
      <c r="JMA118" s="225"/>
      <c r="JMB118" s="225"/>
      <c r="JMC118" s="225"/>
      <c r="JMD118" s="225"/>
      <c r="JME118" s="225"/>
      <c r="JMF118" s="225"/>
      <c r="JMG118" s="225"/>
      <c r="JMH118" s="225"/>
      <c r="JMI118" s="225"/>
      <c r="JMJ118" s="225"/>
      <c r="JMK118" s="225"/>
      <c r="JML118" s="225"/>
      <c r="JMM118" s="225"/>
      <c r="JMN118" s="225"/>
      <c r="JMO118" s="225"/>
      <c r="JMP118" s="225"/>
      <c r="JMQ118" s="225"/>
      <c r="JMR118" s="225"/>
      <c r="JMS118" s="225"/>
      <c r="JMT118" s="225"/>
      <c r="JMU118" s="225"/>
      <c r="JMV118" s="225"/>
      <c r="JMW118" s="225"/>
      <c r="JMX118" s="225"/>
      <c r="JMY118" s="225"/>
      <c r="JMZ118" s="225"/>
      <c r="JNA118" s="225"/>
      <c r="JNB118" s="225"/>
      <c r="JNC118" s="225"/>
      <c r="JND118" s="225"/>
      <c r="JNE118" s="225"/>
      <c r="JNF118" s="225"/>
      <c r="JNG118" s="225"/>
      <c r="JNH118" s="225"/>
      <c r="JNI118" s="225"/>
      <c r="JNJ118" s="225"/>
      <c r="JNK118" s="225"/>
      <c r="JNL118" s="225"/>
      <c r="JNM118" s="225"/>
      <c r="JNN118" s="225"/>
      <c r="JNO118" s="225"/>
      <c r="JNP118" s="225"/>
      <c r="JNQ118" s="225"/>
      <c r="JNR118" s="225"/>
      <c r="JNS118" s="225"/>
      <c r="JNT118" s="225"/>
      <c r="JNU118" s="225"/>
      <c r="JNV118" s="225"/>
      <c r="JNW118" s="225"/>
      <c r="JNX118" s="225"/>
      <c r="JNY118" s="225"/>
      <c r="JNZ118" s="225"/>
      <c r="JOA118" s="225"/>
      <c r="JOB118" s="225"/>
      <c r="JOC118" s="225"/>
      <c r="JOD118" s="225"/>
      <c r="JOE118" s="225"/>
      <c r="JOF118" s="225"/>
      <c r="JOG118" s="225"/>
      <c r="JOH118" s="225"/>
      <c r="JOI118" s="225"/>
      <c r="JOJ118" s="225"/>
      <c r="JOK118" s="225"/>
      <c r="JOL118" s="225"/>
      <c r="JOM118" s="225"/>
      <c r="JON118" s="225"/>
      <c r="JOO118" s="225"/>
      <c r="JOP118" s="225"/>
      <c r="JOQ118" s="225"/>
      <c r="JOR118" s="225"/>
      <c r="JOS118" s="225"/>
      <c r="JOT118" s="225"/>
      <c r="JOU118" s="225"/>
      <c r="JOV118" s="225"/>
      <c r="JOW118" s="225"/>
      <c r="JOX118" s="225"/>
      <c r="JOY118" s="225"/>
      <c r="JOZ118" s="225"/>
      <c r="JPA118" s="225"/>
      <c r="JPB118" s="225"/>
      <c r="JPC118" s="225"/>
      <c r="JPD118" s="225"/>
      <c r="JPE118" s="225"/>
      <c r="JPF118" s="225"/>
      <c r="JPG118" s="225"/>
      <c r="JPH118" s="225"/>
      <c r="JPI118" s="225"/>
      <c r="JPJ118" s="225"/>
      <c r="JPK118" s="225"/>
      <c r="JPL118" s="225"/>
      <c r="JPM118" s="225"/>
      <c r="JPN118" s="225"/>
      <c r="JPO118" s="225"/>
      <c r="JPP118" s="225"/>
      <c r="JPQ118" s="225"/>
      <c r="JPR118" s="225"/>
      <c r="JPS118" s="225"/>
      <c r="JPT118" s="225"/>
      <c r="JPU118" s="225"/>
      <c r="JPV118" s="225"/>
      <c r="JPW118" s="225"/>
      <c r="JPX118" s="225"/>
      <c r="JPY118" s="225"/>
      <c r="JPZ118" s="225"/>
      <c r="JQA118" s="225"/>
      <c r="JQB118" s="225"/>
      <c r="JQC118" s="225"/>
      <c r="JQD118" s="225"/>
      <c r="JQE118" s="225"/>
      <c r="JQF118" s="225"/>
      <c r="JQG118" s="225"/>
      <c r="JQH118" s="225"/>
      <c r="JQI118" s="225"/>
      <c r="JQJ118" s="225"/>
      <c r="JQK118" s="225"/>
      <c r="JQL118" s="225"/>
      <c r="JQM118" s="225"/>
      <c r="JQN118" s="225"/>
      <c r="JQO118" s="225"/>
      <c r="JQP118" s="225"/>
      <c r="JQQ118" s="225"/>
      <c r="JQR118" s="225"/>
      <c r="JQS118" s="225"/>
      <c r="JQT118" s="225"/>
      <c r="JQU118" s="225"/>
      <c r="JQV118" s="225"/>
      <c r="JQW118" s="225"/>
      <c r="JQX118" s="225"/>
      <c r="JQY118" s="225"/>
      <c r="JQZ118" s="225"/>
      <c r="JRA118" s="225"/>
      <c r="JRB118" s="225"/>
      <c r="JRC118" s="225"/>
      <c r="JRD118" s="225"/>
      <c r="JRE118" s="225"/>
      <c r="JRF118" s="225"/>
      <c r="JRG118" s="225"/>
      <c r="JRH118" s="225"/>
      <c r="JRI118" s="225"/>
      <c r="JRJ118" s="225"/>
      <c r="JRK118" s="225"/>
      <c r="JRL118" s="225"/>
      <c r="JRM118" s="225"/>
      <c r="JRN118" s="225"/>
      <c r="JRO118" s="225"/>
      <c r="JRP118" s="225"/>
      <c r="JRQ118" s="225"/>
      <c r="JRR118" s="225"/>
      <c r="JRS118" s="225"/>
      <c r="JRT118" s="225"/>
      <c r="JRU118" s="225"/>
      <c r="JRV118" s="225"/>
      <c r="JRW118" s="225"/>
      <c r="JRX118" s="225"/>
      <c r="JRY118" s="225"/>
      <c r="JRZ118" s="225"/>
      <c r="JSA118" s="225"/>
      <c r="JSB118" s="225"/>
      <c r="JSC118" s="225"/>
      <c r="JSD118" s="225"/>
      <c r="JSE118" s="225"/>
      <c r="JSF118" s="225"/>
      <c r="JSG118" s="225"/>
      <c r="JSH118" s="225"/>
      <c r="JSI118" s="225"/>
      <c r="JSJ118" s="225"/>
      <c r="JSK118" s="225"/>
      <c r="JSL118" s="225"/>
      <c r="JSM118" s="225"/>
      <c r="JSN118" s="225"/>
      <c r="JSO118" s="225"/>
      <c r="JSP118" s="225"/>
      <c r="JSQ118" s="225"/>
      <c r="JSR118" s="225"/>
      <c r="JSS118" s="225"/>
      <c r="JST118" s="225"/>
      <c r="JSU118" s="225"/>
      <c r="JSV118" s="225"/>
      <c r="JSW118" s="225"/>
      <c r="JSX118" s="225"/>
      <c r="JSY118" s="225"/>
      <c r="JSZ118" s="225"/>
      <c r="JTA118" s="225"/>
      <c r="JTB118" s="225"/>
      <c r="JTC118" s="225"/>
      <c r="JTD118" s="225"/>
      <c r="JTE118" s="225"/>
      <c r="JTF118" s="225"/>
      <c r="JTG118" s="225"/>
      <c r="JTH118" s="225"/>
      <c r="JTI118" s="225"/>
      <c r="JTJ118" s="225"/>
      <c r="JTK118" s="225"/>
      <c r="JTL118" s="225"/>
      <c r="JTM118" s="225"/>
      <c r="JTN118" s="225"/>
      <c r="JTO118" s="225"/>
      <c r="JTP118" s="225"/>
      <c r="JTQ118" s="225"/>
      <c r="JTR118" s="225"/>
      <c r="JTS118" s="225"/>
      <c r="JTT118" s="225"/>
      <c r="JTU118" s="225"/>
      <c r="JTV118" s="225"/>
      <c r="JTW118" s="225"/>
      <c r="JTX118" s="225"/>
      <c r="JTY118" s="225"/>
      <c r="JTZ118" s="225"/>
      <c r="JUA118" s="225"/>
      <c r="JUB118" s="225"/>
      <c r="JUC118" s="225"/>
      <c r="JUD118" s="225"/>
      <c r="JUE118" s="225"/>
      <c r="JUF118" s="225"/>
      <c r="JUG118" s="225"/>
      <c r="JUH118" s="225"/>
      <c r="JUI118" s="225"/>
      <c r="JUJ118" s="225"/>
      <c r="JUK118" s="225"/>
      <c r="JUL118" s="225"/>
      <c r="JUM118" s="225"/>
      <c r="JUN118" s="225"/>
      <c r="JUO118" s="225"/>
      <c r="JUP118" s="225"/>
      <c r="JUQ118" s="225"/>
      <c r="JUR118" s="225"/>
      <c r="JUS118" s="225"/>
      <c r="JUT118" s="225"/>
      <c r="JUU118" s="225"/>
      <c r="JUV118" s="225"/>
      <c r="JUW118" s="225"/>
      <c r="JUX118" s="225"/>
      <c r="JUY118" s="225"/>
      <c r="JUZ118" s="225"/>
      <c r="JVA118" s="225"/>
      <c r="JVB118" s="225"/>
      <c r="JVC118" s="225"/>
      <c r="JVD118" s="225"/>
      <c r="JVE118" s="225"/>
      <c r="JVF118" s="225"/>
      <c r="JVG118" s="225"/>
      <c r="JVH118" s="225"/>
      <c r="JVI118" s="225"/>
      <c r="JVJ118" s="225"/>
      <c r="JVK118" s="225"/>
      <c r="JVL118" s="225"/>
      <c r="JVM118" s="225"/>
      <c r="JVN118" s="225"/>
      <c r="JVO118" s="225"/>
      <c r="JVP118" s="225"/>
      <c r="JVQ118" s="225"/>
      <c r="JVR118" s="225"/>
      <c r="JVS118" s="225"/>
      <c r="JVT118" s="225"/>
      <c r="JVU118" s="225"/>
      <c r="JVV118" s="225"/>
      <c r="JVW118" s="225"/>
      <c r="JVX118" s="225"/>
      <c r="JVY118" s="225"/>
      <c r="JVZ118" s="225"/>
      <c r="JWA118" s="225"/>
      <c r="JWB118" s="225"/>
      <c r="JWC118" s="225"/>
      <c r="JWD118" s="225"/>
      <c r="JWE118" s="225"/>
      <c r="JWF118" s="225"/>
      <c r="JWG118" s="225"/>
      <c r="JWH118" s="225"/>
      <c r="JWI118" s="225"/>
      <c r="JWJ118" s="225"/>
      <c r="JWK118" s="225"/>
      <c r="JWL118" s="225"/>
      <c r="JWM118" s="225"/>
      <c r="JWN118" s="225"/>
      <c r="JWO118" s="225"/>
      <c r="JWP118" s="225"/>
      <c r="JWQ118" s="225"/>
      <c r="JWR118" s="225"/>
      <c r="JWS118" s="225"/>
      <c r="JWT118" s="225"/>
      <c r="JWU118" s="225"/>
      <c r="JWV118" s="225"/>
      <c r="JWW118" s="225"/>
      <c r="JWX118" s="225"/>
      <c r="JWY118" s="225"/>
      <c r="JWZ118" s="225"/>
      <c r="JXA118" s="225"/>
      <c r="JXB118" s="225"/>
      <c r="JXC118" s="225"/>
      <c r="JXD118" s="225"/>
      <c r="JXE118" s="225"/>
      <c r="JXF118" s="225"/>
      <c r="JXG118" s="225"/>
      <c r="JXH118" s="225"/>
      <c r="JXI118" s="225"/>
      <c r="JXJ118" s="225"/>
      <c r="JXK118" s="225"/>
      <c r="JXL118" s="225"/>
      <c r="JXM118" s="225"/>
      <c r="JXN118" s="225"/>
      <c r="JXO118" s="225"/>
      <c r="JXP118" s="225"/>
      <c r="JXQ118" s="225"/>
      <c r="JXR118" s="225"/>
      <c r="JXS118" s="225"/>
      <c r="JXT118" s="225"/>
      <c r="JXU118" s="225"/>
      <c r="JXV118" s="225"/>
      <c r="JXW118" s="225"/>
      <c r="JXX118" s="225"/>
      <c r="JXY118" s="225"/>
      <c r="JXZ118" s="225"/>
      <c r="JYA118" s="225"/>
      <c r="JYB118" s="225"/>
      <c r="JYC118" s="225"/>
      <c r="JYD118" s="225"/>
      <c r="JYE118" s="225"/>
      <c r="JYF118" s="225"/>
      <c r="JYG118" s="225"/>
      <c r="JYH118" s="225"/>
      <c r="JYI118" s="225"/>
      <c r="JYJ118" s="225"/>
      <c r="JYK118" s="225"/>
      <c r="JYL118" s="225"/>
      <c r="JYM118" s="225"/>
      <c r="JYN118" s="225"/>
      <c r="JYO118" s="225"/>
      <c r="JYP118" s="225"/>
      <c r="JYQ118" s="225"/>
      <c r="JYR118" s="225"/>
      <c r="JYS118" s="225"/>
      <c r="JYT118" s="225"/>
      <c r="JYU118" s="225"/>
      <c r="JYV118" s="225"/>
      <c r="JYW118" s="225"/>
      <c r="JYX118" s="225"/>
      <c r="JYY118" s="225"/>
      <c r="JYZ118" s="225"/>
      <c r="JZA118" s="225"/>
      <c r="JZB118" s="225"/>
      <c r="JZC118" s="225"/>
      <c r="JZD118" s="225"/>
      <c r="JZE118" s="225"/>
      <c r="JZF118" s="225"/>
      <c r="JZG118" s="225"/>
      <c r="JZH118" s="225"/>
      <c r="JZI118" s="225"/>
      <c r="JZJ118" s="225"/>
      <c r="JZK118" s="225"/>
      <c r="JZL118" s="225"/>
      <c r="JZM118" s="225"/>
      <c r="JZN118" s="225"/>
      <c r="JZO118" s="225"/>
      <c r="JZP118" s="225"/>
      <c r="JZQ118" s="225"/>
      <c r="JZR118" s="225"/>
      <c r="JZS118" s="225"/>
      <c r="JZT118" s="225"/>
      <c r="JZU118" s="225"/>
      <c r="JZV118" s="225"/>
      <c r="JZW118" s="225"/>
      <c r="JZX118" s="225"/>
      <c r="JZY118" s="225"/>
      <c r="JZZ118" s="225"/>
      <c r="KAA118" s="225"/>
      <c r="KAB118" s="225"/>
      <c r="KAC118" s="225"/>
      <c r="KAD118" s="225"/>
      <c r="KAE118" s="225"/>
      <c r="KAF118" s="225"/>
      <c r="KAG118" s="225"/>
      <c r="KAH118" s="225"/>
      <c r="KAI118" s="225"/>
      <c r="KAJ118" s="225"/>
      <c r="KAK118" s="225"/>
      <c r="KAL118" s="225"/>
      <c r="KAM118" s="225"/>
      <c r="KAN118" s="225"/>
      <c r="KAO118" s="225"/>
      <c r="KAP118" s="225"/>
      <c r="KAQ118" s="225"/>
      <c r="KAR118" s="225"/>
      <c r="KAS118" s="225"/>
      <c r="KAT118" s="225"/>
      <c r="KAU118" s="225"/>
      <c r="KAV118" s="225"/>
      <c r="KAW118" s="225"/>
      <c r="KAX118" s="225"/>
      <c r="KAY118" s="225"/>
      <c r="KAZ118" s="225"/>
      <c r="KBA118" s="225"/>
      <c r="KBB118" s="225"/>
      <c r="KBC118" s="225"/>
      <c r="KBD118" s="225"/>
      <c r="KBE118" s="225"/>
      <c r="KBF118" s="225"/>
      <c r="KBG118" s="225"/>
      <c r="KBH118" s="225"/>
      <c r="KBI118" s="225"/>
      <c r="KBJ118" s="225"/>
      <c r="KBK118" s="225"/>
      <c r="KBL118" s="225"/>
      <c r="KBM118" s="225"/>
      <c r="KBN118" s="225"/>
      <c r="KBO118" s="225"/>
      <c r="KBP118" s="225"/>
      <c r="KBQ118" s="225"/>
      <c r="KBR118" s="225"/>
      <c r="KBS118" s="225"/>
      <c r="KBT118" s="225"/>
      <c r="KBU118" s="225"/>
      <c r="KBV118" s="225"/>
      <c r="KBW118" s="225"/>
      <c r="KBX118" s="225"/>
      <c r="KBY118" s="225"/>
      <c r="KBZ118" s="225"/>
      <c r="KCA118" s="225"/>
      <c r="KCB118" s="225"/>
      <c r="KCC118" s="225"/>
      <c r="KCD118" s="225"/>
      <c r="KCE118" s="225"/>
      <c r="KCF118" s="225"/>
      <c r="KCG118" s="225"/>
      <c r="KCH118" s="225"/>
      <c r="KCI118" s="225"/>
      <c r="KCJ118" s="225"/>
      <c r="KCK118" s="225"/>
      <c r="KCL118" s="225"/>
      <c r="KCM118" s="225"/>
      <c r="KCN118" s="225"/>
      <c r="KCO118" s="225"/>
      <c r="KCP118" s="225"/>
      <c r="KCQ118" s="225"/>
      <c r="KCR118" s="225"/>
      <c r="KCS118" s="225"/>
      <c r="KCT118" s="225"/>
      <c r="KCU118" s="225"/>
      <c r="KCV118" s="225"/>
      <c r="KCW118" s="225"/>
      <c r="KCX118" s="225"/>
      <c r="KCY118" s="225"/>
      <c r="KCZ118" s="225"/>
      <c r="KDA118" s="225"/>
      <c r="KDB118" s="225"/>
      <c r="KDC118" s="225"/>
      <c r="KDD118" s="225"/>
      <c r="KDE118" s="225"/>
      <c r="KDF118" s="225"/>
      <c r="KDG118" s="225"/>
      <c r="KDH118" s="225"/>
      <c r="KDI118" s="225"/>
      <c r="KDJ118" s="225"/>
      <c r="KDK118" s="225"/>
      <c r="KDL118" s="225"/>
      <c r="KDM118" s="225"/>
      <c r="KDN118" s="225"/>
      <c r="KDO118" s="225"/>
      <c r="KDP118" s="225"/>
      <c r="KDQ118" s="225"/>
      <c r="KDR118" s="225"/>
      <c r="KDS118" s="225"/>
      <c r="KDT118" s="225"/>
      <c r="KDU118" s="225"/>
      <c r="KDV118" s="225"/>
      <c r="KDW118" s="225"/>
      <c r="KDX118" s="225"/>
      <c r="KDY118" s="225"/>
      <c r="KDZ118" s="225"/>
      <c r="KEA118" s="225"/>
      <c r="KEB118" s="225"/>
      <c r="KEC118" s="225"/>
      <c r="KED118" s="225"/>
      <c r="KEE118" s="225"/>
      <c r="KEF118" s="225"/>
      <c r="KEG118" s="225"/>
      <c r="KEH118" s="225"/>
      <c r="KEI118" s="225"/>
      <c r="KEJ118" s="225"/>
      <c r="KEK118" s="225"/>
      <c r="KEL118" s="225"/>
      <c r="KEM118" s="225"/>
      <c r="KEN118" s="225"/>
      <c r="KEO118" s="225"/>
      <c r="KEP118" s="225"/>
      <c r="KEQ118" s="225"/>
      <c r="KER118" s="225"/>
      <c r="KES118" s="225"/>
      <c r="KET118" s="225"/>
      <c r="KEU118" s="225"/>
      <c r="KEV118" s="225"/>
      <c r="KEW118" s="225"/>
      <c r="KEX118" s="225"/>
      <c r="KEY118" s="225"/>
      <c r="KEZ118" s="225"/>
      <c r="KFA118" s="225"/>
      <c r="KFB118" s="225"/>
      <c r="KFC118" s="225"/>
      <c r="KFD118" s="225"/>
      <c r="KFE118" s="225"/>
      <c r="KFF118" s="225"/>
      <c r="KFG118" s="225"/>
      <c r="KFH118" s="225"/>
      <c r="KFI118" s="225"/>
      <c r="KFJ118" s="225"/>
      <c r="KFK118" s="225"/>
      <c r="KFL118" s="225"/>
      <c r="KFM118" s="225"/>
      <c r="KFN118" s="225"/>
      <c r="KFO118" s="225"/>
      <c r="KFP118" s="225"/>
      <c r="KFQ118" s="225"/>
      <c r="KFR118" s="225"/>
      <c r="KFS118" s="225"/>
      <c r="KFT118" s="225"/>
      <c r="KFU118" s="225"/>
      <c r="KFV118" s="225"/>
      <c r="KFW118" s="225"/>
      <c r="KFX118" s="225"/>
      <c r="KFY118" s="225"/>
      <c r="KFZ118" s="225"/>
      <c r="KGA118" s="225"/>
      <c r="KGB118" s="225"/>
      <c r="KGC118" s="225"/>
      <c r="KGD118" s="225"/>
      <c r="KGE118" s="225"/>
      <c r="KGF118" s="225"/>
      <c r="KGG118" s="225"/>
      <c r="KGH118" s="225"/>
      <c r="KGI118" s="225"/>
      <c r="KGJ118" s="225"/>
      <c r="KGK118" s="225"/>
      <c r="KGL118" s="225"/>
      <c r="KGM118" s="225"/>
      <c r="KGN118" s="225"/>
      <c r="KGO118" s="225"/>
      <c r="KGP118" s="225"/>
      <c r="KGQ118" s="225"/>
      <c r="KGR118" s="225"/>
      <c r="KGS118" s="225"/>
      <c r="KGT118" s="225"/>
      <c r="KGU118" s="225"/>
      <c r="KGV118" s="225"/>
      <c r="KGW118" s="225"/>
      <c r="KGX118" s="225"/>
      <c r="KGY118" s="225"/>
      <c r="KGZ118" s="225"/>
      <c r="KHA118" s="225"/>
      <c r="KHB118" s="225"/>
      <c r="KHC118" s="225"/>
      <c r="KHD118" s="225"/>
      <c r="KHE118" s="225"/>
      <c r="KHF118" s="225"/>
      <c r="KHG118" s="225"/>
      <c r="KHH118" s="225"/>
      <c r="KHI118" s="225"/>
      <c r="KHJ118" s="225"/>
      <c r="KHK118" s="225"/>
      <c r="KHL118" s="225"/>
      <c r="KHM118" s="225"/>
      <c r="KHN118" s="225"/>
      <c r="KHO118" s="225"/>
      <c r="KHP118" s="225"/>
      <c r="KHQ118" s="225"/>
      <c r="KHR118" s="225"/>
      <c r="KHS118" s="225"/>
      <c r="KHT118" s="225"/>
      <c r="KHU118" s="225"/>
      <c r="KHV118" s="225"/>
      <c r="KHW118" s="225"/>
      <c r="KHX118" s="225"/>
      <c r="KHY118" s="225"/>
      <c r="KHZ118" s="225"/>
      <c r="KIA118" s="225"/>
      <c r="KIB118" s="225"/>
      <c r="KIC118" s="225"/>
      <c r="KID118" s="225"/>
      <c r="KIE118" s="225"/>
      <c r="KIF118" s="225"/>
      <c r="KIG118" s="225"/>
      <c r="KIH118" s="225"/>
      <c r="KII118" s="225"/>
      <c r="KIJ118" s="225"/>
      <c r="KIK118" s="225"/>
      <c r="KIL118" s="225"/>
      <c r="KIM118" s="225"/>
      <c r="KIN118" s="225"/>
      <c r="KIO118" s="225"/>
      <c r="KIP118" s="225"/>
      <c r="KIQ118" s="225"/>
      <c r="KIR118" s="225"/>
      <c r="KIS118" s="225"/>
      <c r="KIT118" s="225"/>
      <c r="KIU118" s="225"/>
      <c r="KIV118" s="225"/>
      <c r="KIW118" s="225"/>
      <c r="KIX118" s="225"/>
      <c r="KIY118" s="225"/>
      <c r="KIZ118" s="225"/>
      <c r="KJA118" s="225"/>
      <c r="KJB118" s="225"/>
      <c r="KJC118" s="225"/>
      <c r="KJD118" s="225"/>
      <c r="KJE118" s="225"/>
      <c r="KJF118" s="225"/>
      <c r="KJG118" s="225"/>
      <c r="KJH118" s="225"/>
      <c r="KJI118" s="225"/>
      <c r="KJJ118" s="225"/>
      <c r="KJK118" s="225"/>
      <c r="KJL118" s="225"/>
      <c r="KJM118" s="225"/>
      <c r="KJN118" s="225"/>
      <c r="KJO118" s="225"/>
      <c r="KJP118" s="225"/>
      <c r="KJQ118" s="225"/>
      <c r="KJR118" s="225"/>
      <c r="KJS118" s="225"/>
      <c r="KJT118" s="225"/>
      <c r="KJU118" s="225"/>
      <c r="KJV118" s="225"/>
      <c r="KJW118" s="225"/>
      <c r="KJX118" s="225"/>
      <c r="KJY118" s="225"/>
      <c r="KJZ118" s="225"/>
      <c r="KKA118" s="225"/>
      <c r="KKB118" s="225"/>
      <c r="KKC118" s="225"/>
      <c r="KKD118" s="225"/>
      <c r="KKE118" s="225"/>
      <c r="KKF118" s="225"/>
      <c r="KKG118" s="225"/>
      <c r="KKH118" s="225"/>
      <c r="KKI118" s="225"/>
      <c r="KKJ118" s="225"/>
      <c r="KKK118" s="225"/>
      <c r="KKL118" s="225"/>
      <c r="KKM118" s="225"/>
      <c r="KKN118" s="225"/>
      <c r="KKO118" s="225"/>
      <c r="KKP118" s="225"/>
      <c r="KKQ118" s="225"/>
      <c r="KKR118" s="225"/>
      <c r="KKS118" s="225"/>
      <c r="KKT118" s="225"/>
      <c r="KKU118" s="225"/>
      <c r="KKV118" s="225"/>
      <c r="KKW118" s="225"/>
      <c r="KKX118" s="225"/>
      <c r="KKY118" s="225"/>
      <c r="KKZ118" s="225"/>
      <c r="KLA118" s="225"/>
      <c r="KLB118" s="225"/>
      <c r="KLC118" s="225"/>
      <c r="KLD118" s="225"/>
      <c r="KLE118" s="225"/>
      <c r="KLF118" s="225"/>
      <c r="KLG118" s="225"/>
      <c r="KLH118" s="225"/>
      <c r="KLI118" s="225"/>
      <c r="KLJ118" s="225"/>
      <c r="KLK118" s="225"/>
      <c r="KLL118" s="225"/>
      <c r="KLM118" s="225"/>
      <c r="KLN118" s="225"/>
      <c r="KLO118" s="225"/>
      <c r="KLP118" s="225"/>
      <c r="KLQ118" s="225"/>
      <c r="KLR118" s="225"/>
      <c r="KLS118" s="225"/>
      <c r="KLT118" s="225"/>
      <c r="KLU118" s="225"/>
      <c r="KLV118" s="225"/>
      <c r="KLW118" s="225"/>
      <c r="KLX118" s="225"/>
      <c r="KLY118" s="225"/>
      <c r="KLZ118" s="225"/>
      <c r="KMA118" s="225"/>
      <c r="KMB118" s="225"/>
      <c r="KMC118" s="225"/>
      <c r="KMD118" s="225"/>
      <c r="KME118" s="225"/>
      <c r="KMF118" s="225"/>
      <c r="KMG118" s="225"/>
      <c r="KMH118" s="225"/>
      <c r="KMI118" s="225"/>
      <c r="KMJ118" s="225"/>
      <c r="KMK118" s="225"/>
      <c r="KML118" s="225"/>
      <c r="KMM118" s="225"/>
      <c r="KMN118" s="225"/>
      <c r="KMO118" s="225"/>
      <c r="KMP118" s="225"/>
      <c r="KMQ118" s="225"/>
      <c r="KMR118" s="225"/>
      <c r="KMS118" s="225"/>
      <c r="KMT118" s="225"/>
      <c r="KMU118" s="225"/>
      <c r="KMV118" s="225"/>
      <c r="KMW118" s="225"/>
      <c r="KMX118" s="225"/>
      <c r="KMY118" s="225"/>
      <c r="KMZ118" s="225"/>
      <c r="KNA118" s="225"/>
      <c r="KNB118" s="225"/>
      <c r="KNC118" s="225"/>
      <c r="KND118" s="225"/>
      <c r="KNE118" s="225"/>
      <c r="KNF118" s="225"/>
      <c r="KNG118" s="225"/>
      <c r="KNH118" s="225"/>
      <c r="KNI118" s="225"/>
      <c r="KNJ118" s="225"/>
      <c r="KNK118" s="225"/>
      <c r="KNL118" s="225"/>
      <c r="KNM118" s="225"/>
      <c r="KNN118" s="225"/>
      <c r="KNO118" s="225"/>
      <c r="KNP118" s="225"/>
      <c r="KNQ118" s="225"/>
      <c r="KNR118" s="225"/>
      <c r="KNS118" s="225"/>
      <c r="KNT118" s="225"/>
      <c r="KNU118" s="225"/>
      <c r="KNV118" s="225"/>
      <c r="KNW118" s="225"/>
      <c r="KNX118" s="225"/>
      <c r="KNY118" s="225"/>
      <c r="KNZ118" s="225"/>
      <c r="KOA118" s="225"/>
      <c r="KOB118" s="225"/>
      <c r="KOC118" s="225"/>
      <c r="KOD118" s="225"/>
      <c r="KOE118" s="225"/>
      <c r="KOF118" s="225"/>
      <c r="KOG118" s="225"/>
      <c r="KOH118" s="225"/>
      <c r="KOI118" s="225"/>
      <c r="KOJ118" s="225"/>
      <c r="KOK118" s="225"/>
      <c r="KOL118" s="225"/>
      <c r="KOM118" s="225"/>
      <c r="KON118" s="225"/>
      <c r="KOO118" s="225"/>
      <c r="KOP118" s="225"/>
      <c r="KOQ118" s="225"/>
      <c r="KOR118" s="225"/>
      <c r="KOS118" s="225"/>
      <c r="KOT118" s="225"/>
      <c r="KOU118" s="225"/>
      <c r="KOV118" s="225"/>
      <c r="KOW118" s="225"/>
      <c r="KOX118" s="225"/>
      <c r="KOY118" s="225"/>
      <c r="KOZ118" s="225"/>
      <c r="KPA118" s="225"/>
      <c r="KPB118" s="225"/>
      <c r="KPC118" s="225"/>
      <c r="KPD118" s="225"/>
      <c r="KPE118" s="225"/>
      <c r="KPF118" s="225"/>
      <c r="KPG118" s="225"/>
      <c r="KPH118" s="225"/>
      <c r="KPI118" s="225"/>
      <c r="KPJ118" s="225"/>
      <c r="KPK118" s="225"/>
      <c r="KPL118" s="225"/>
      <c r="KPM118" s="225"/>
      <c r="KPN118" s="225"/>
      <c r="KPO118" s="225"/>
      <c r="KPP118" s="225"/>
      <c r="KPQ118" s="225"/>
      <c r="KPR118" s="225"/>
      <c r="KPS118" s="225"/>
      <c r="KPT118" s="225"/>
      <c r="KPU118" s="225"/>
      <c r="KPV118" s="225"/>
      <c r="KPW118" s="225"/>
      <c r="KPX118" s="225"/>
      <c r="KPY118" s="225"/>
      <c r="KPZ118" s="225"/>
      <c r="KQA118" s="225"/>
      <c r="KQB118" s="225"/>
      <c r="KQC118" s="225"/>
      <c r="KQD118" s="225"/>
      <c r="KQE118" s="225"/>
      <c r="KQF118" s="225"/>
      <c r="KQG118" s="225"/>
      <c r="KQH118" s="225"/>
      <c r="KQI118" s="225"/>
      <c r="KQJ118" s="225"/>
      <c r="KQK118" s="225"/>
      <c r="KQL118" s="225"/>
      <c r="KQM118" s="225"/>
      <c r="KQN118" s="225"/>
      <c r="KQO118" s="225"/>
      <c r="KQP118" s="225"/>
      <c r="KQQ118" s="225"/>
      <c r="KQR118" s="225"/>
      <c r="KQS118" s="225"/>
      <c r="KQT118" s="225"/>
      <c r="KQU118" s="225"/>
      <c r="KQV118" s="225"/>
      <c r="KQW118" s="225"/>
      <c r="KQX118" s="225"/>
      <c r="KQY118" s="225"/>
      <c r="KQZ118" s="225"/>
      <c r="KRA118" s="225"/>
      <c r="KRB118" s="225"/>
      <c r="KRC118" s="225"/>
      <c r="KRD118" s="225"/>
      <c r="KRE118" s="225"/>
      <c r="KRF118" s="225"/>
      <c r="KRG118" s="225"/>
      <c r="KRH118" s="225"/>
      <c r="KRI118" s="225"/>
      <c r="KRJ118" s="225"/>
      <c r="KRK118" s="225"/>
      <c r="KRL118" s="225"/>
      <c r="KRM118" s="225"/>
      <c r="KRN118" s="225"/>
      <c r="KRO118" s="225"/>
      <c r="KRP118" s="225"/>
      <c r="KRQ118" s="225"/>
      <c r="KRR118" s="225"/>
      <c r="KRS118" s="225"/>
      <c r="KRT118" s="225"/>
      <c r="KRU118" s="225"/>
      <c r="KRV118" s="225"/>
      <c r="KRW118" s="225"/>
      <c r="KRX118" s="225"/>
      <c r="KRY118" s="225"/>
      <c r="KRZ118" s="225"/>
      <c r="KSA118" s="225"/>
      <c r="KSB118" s="225"/>
      <c r="KSC118" s="225"/>
      <c r="KSD118" s="225"/>
      <c r="KSE118" s="225"/>
      <c r="KSF118" s="225"/>
      <c r="KSG118" s="225"/>
      <c r="KSH118" s="225"/>
      <c r="KSI118" s="225"/>
      <c r="KSJ118" s="225"/>
      <c r="KSK118" s="225"/>
      <c r="KSL118" s="225"/>
      <c r="KSM118" s="225"/>
      <c r="KSN118" s="225"/>
      <c r="KSO118" s="225"/>
      <c r="KSP118" s="225"/>
      <c r="KSQ118" s="225"/>
      <c r="KSR118" s="225"/>
      <c r="KSS118" s="225"/>
      <c r="KST118" s="225"/>
      <c r="KSU118" s="225"/>
      <c r="KSV118" s="225"/>
      <c r="KSW118" s="225"/>
      <c r="KSX118" s="225"/>
      <c r="KSY118" s="225"/>
      <c r="KSZ118" s="225"/>
      <c r="KTA118" s="225"/>
      <c r="KTB118" s="225"/>
      <c r="KTC118" s="225"/>
      <c r="KTD118" s="225"/>
      <c r="KTE118" s="225"/>
      <c r="KTF118" s="225"/>
      <c r="KTG118" s="225"/>
      <c r="KTH118" s="225"/>
      <c r="KTI118" s="225"/>
      <c r="KTJ118" s="225"/>
      <c r="KTK118" s="225"/>
      <c r="KTL118" s="225"/>
      <c r="KTM118" s="225"/>
      <c r="KTN118" s="225"/>
      <c r="KTO118" s="225"/>
      <c r="KTP118" s="225"/>
      <c r="KTQ118" s="225"/>
      <c r="KTR118" s="225"/>
      <c r="KTS118" s="225"/>
      <c r="KTT118" s="225"/>
      <c r="KTU118" s="225"/>
      <c r="KTV118" s="225"/>
      <c r="KTW118" s="225"/>
      <c r="KTX118" s="225"/>
      <c r="KTY118" s="225"/>
      <c r="KTZ118" s="225"/>
      <c r="KUA118" s="225"/>
      <c r="KUB118" s="225"/>
      <c r="KUC118" s="225"/>
      <c r="KUD118" s="225"/>
      <c r="KUE118" s="225"/>
      <c r="KUF118" s="225"/>
      <c r="KUG118" s="225"/>
      <c r="KUH118" s="225"/>
      <c r="KUI118" s="225"/>
      <c r="KUJ118" s="225"/>
      <c r="KUK118" s="225"/>
      <c r="KUL118" s="225"/>
      <c r="KUM118" s="225"/>
      <c r="KUN118" s="225"/>
      <c r="KUO118" s="225"/>
      <c r="KUP118" s="225"/>
      <c r="KUQ118" s="225"/>
      <c r="KUR118" s="225"/>
      <c r="KUS118" s="225"/>
      <c r="KUT118" s="225"/>
      <c r="KUU118" s="225"/>
      <c r="KUV118" s="225"/>
      <c r="KUW118" s="225"/>
      <c r="KUX118" s="225"/>
      <c r="KUY118" s="225"/>
      <c r="KUZ118" s="225"/>
      <c r="KVA118" s="225"/>
      <c r="KVB118" s="225"/>
      <c r="KVC118" s="225"/>
      <c r="KVD118" s="225"/>
      <c r="KVE118" s="225"/>
      <c r="KVF118" s="225"/>
      <c r="KVG118" s="225"/>
      <c r="KVH118" s="225"/>
      <c r="KVI118" s="225"/>
      <c r="KVJ118" s="225"/>
      <c r="KVK118" s="225"/>
      <c r="KVL118" s="225"/>
      <c r="KVM118" s="225"/>
      <c r="KVN118" s="225"/>
      <c r="KVO118" s="225"/>
      <c r="KVP118" s="225"/>
      <c r="KVQ118" s="225"/>
      <c r="KVR118" s="225"/>
      <c r="KVS118" s="225"/>
      <c r="KVT118" s="225"/>
      <c r="KVU118" s="225"/>
      <c r="KVV118" s="225"/>
      <c r="KVW118" s="225"/>
      <c r="KVX118" s="225"/>
      <c r="KVY118" s="225"/>
      <c r="KVZ118" s="225"/>
      <c r="KWA118" s="225"/>
      <c r="KWB118" s="225"/>
      <c r="KWC118" s="225"/>
      <c r="KWD118" s="225"/>
      <c r="KWE118" s="225"/>
      <c r="KWF118" s="225"/>
      <c r="KWG118" s="225"/>
      <c r="KWH118" s="225"/>
      <c r="KWI118" s="225"/>
      <c r="KWJ118" s="225"/>
      <c r="KWK118" s="225"/>
      <c r="KWL118" s="225"/>
      <c r="KWM118" s="225"/>
      <c r="KWN118" s="225"/>
      <c r="KWO118" s="225"/>
      <c r="KWP118" s="225"/>
      <c r="KWQ118" s="225"/>
      <c r="KWR118" s="225"/>
      <c r="KWS118" s="225"/>
      <c r="KWT118" s="225"/>
      <c r="KWU118" s="225"/>
      <c r="KWV118" s="225"/>
      <c r="KWW118" s="225"/>
      <c r="KWX118" s="225"/>
      <c r="KWY118" s="225"/>
      <c r="KWZ118" s="225"/>
      <c r="KXA118" s="225"/>
      <c r="KXB118" s="225"/>
      <c r="KXC118" s="225"/>
      <c r="KXD118" s="225"/>
      <c r="KXE118" s="225"/>
      <c r="KXF118" s="225"/>
      <c r="KXG118" s="225"/>
      <c r="KXH118" s="225"/>
      <c r="KXI118" s="225"/>
      <c r="KXJ118" s="225"/>
      <c r="KXK118" s="225"/>
      <c r="KXL118" s="225"/>
      <c r="KXM118" s="225"/>
      <c r="KXN118" s="225"/>
      <c r="KXO118" s="225"/>
      <c r="KXP118" s="225"/>
      <c r="KXQ118" s="225"/>
      <c r="KXR118" s="225"/>
      <c r="KXS118" s="225"/>
      <c r="KXT118" s="225"/>
      <c r="KXU118" s="225"/>
      <c r="KXV118" s="225"/>
      <c r="KXW118" s="225"/>
      <c r="KXX118" s="225"/>
      <c r="KXY118" s="225"/>
      <c r="KXZ118" s="225"/>
      <c r="KYA118" s="225"/>
      <c r="KYB118" s="225"/>
      <c r="KYC118" s="225"/>
      <c r="KYD118" s="225"/>
      <c r="KYE118" s="225"/>
      <c r="KYF118" s="225"/>
      <c r="KYG118" s="225"/>
      <c r="KYH118" s="225"/>
      <c r="KYI118" s="225"/>
      <c r="KYJ118" s="225"/>
      <c r="KYK118" s="225"/>
      <c r="KYL118" s="225"/>
      <c r="KYM118" s="225"/>
      <c r="KYN118" s="225"/>
      <c r="KYO118" s="225"/>
      <c r="KYP118" s="225"/>
      <c r="KYQ118" s="225"/>
      <c r="KYR118" s="225"/>
      <c r="KYS118" s="225"/>
      <c r="KYT118" s="225"/>
      <c r="KYU118" s="225"/>
      <c r="KYV118" s="225"/>
      <c r="KYW118" s="225"/>
      <c r="KYX118" s="225"/>
      <c r="KYY118" s="225"/>
      <c r="KYZ118" s="225"/>
      <c r="KZA118" s="225"/>
      <c r="KZB118" s="225"/>
      <c r="KZC118" s="225"/>
      <c r="KZD118" s="225"/>
      <c r="KZE118" s="225"/>
      <c r="KZF118" s="225"/>
      <c r="KZG118" s="225"/>
      <c r="KZH118" s="225"/>
      <c r="KZI118" s="225"/>
      <c r="KZJ118" s="225"/>
      <c r="KZK118" s="225"/>
      <c r="KZL118" s="225"/>
      <c r="KZM118" s="225"/>
      <c r="KZN118" s="225"/>
      <c r="KZO118" s="225"/>
      <c r="KZP118" s="225"/>
      <c r="KZQ118" s="225"/>
      <c r="KZR118" s="225"/>
      <c r="KZS118" s="225"/>
      <c r="KZT118" s="225"/>
      <c r="KZU118" s="225"/>
      <c r="KZV118" s="225"/>
      <c r="KZW118" s="225"/>
      <c r="KZX118" s="225"/>
      <c r="KZY118" s="225"/>
      <c r="KZZ118" s="225"/>
      <c r="LAA118" s="225"/>
      <c r="LAB118" s="225"/>
      <c r="LAC118" s="225"/>
      <c r="LAD118" s="225"/>
      <c r="LAE118" s="225"/>
      <c r="LAF118" s="225"/>
      <c r="LAG118" s="225"/>
      <c r="LAH118" s="225"/>
      <c r="LAI118" s="225"/>
      <c r="LAJ118" s="225"/>
      <c r="LAK118" s="225"/>
      <c r="LAL118" s="225"/>
      <c r="LAM118" s="225"/>
      <c r="LAN118" s="225"/>
      <c r="LAO118" s="225"/>
      <c r="LAP118" s="225"/>
      <c r="LAQ118" s="225"/>
      <c r="LAR118" s="225"/>
      <c r="LAS118" s="225"/>
      <c r="LAT118" s="225"/>
      <c r="LAU118" s="225"/>
      <c r="LAV118" s="225"/>
      <c r="LAW118" s="225"/>
      <c r="LAX118" s="225"/>
      <c r="LAY118" s="225"/>
      <c r="LAZ118" s="225"/>
      <c r="LBA118" s="225"/>
      <c r="LBB118" s="225"/>
      <c r="LBC118" s="225"/>
      <c r="LBD118" s="225"/>
      <c r="LBE118" s="225"/>
      <c r="LBF118" s="225"/>
      <c r="LBG118" s="225"/>
      <c r="LBH118" s="225"/>
      <c r="LBI118" s="225"/>
      <c r="LBJ118" s="225"/>
      <c r="LBK118" s="225"/>
      <c r="LBL118" s="225"/>
      <c r="LBM118" s="225"/>
      <c r="LBN118" s="225"/>
      <c r="LBO118" s="225"/>
      <c r="LBP118" s="225"/>
      <c r="LBQ118" s="225"/>
      <c r="LBR118" s="225"/>
      <c r="LBS118" s="225"/>
      <c r="LBT118" s="225"/>
      <c r="LBU118" s="225"/>
      <c r="LBV118" s="225"/>
      <c r="LBW118" s="225"/>
      <c r="LBX118" s="225"/>
      <c r="LBY118" s="225"/>
      <c r="LBZ118" s="225"/>
      <c r="LCA118" s="225"/>
      <c r="LCB118" s="225"/>
      <c r="LCC118" s="225"/>
      <c r="LCD118" s="225"/>
      <c r="LCE118" s="225"/>
      <c r="LCF118" s="225"/>
      <c r="LCG118" s="225"/>
      <c r="LCH118" s="225"/>
      <c r="LCI118" s="225"/>
      <c r="LCJ118" s="225"/>
      <c r="LCK118" s="225"/>
      <c r="LCL118" s="225"/>
      <c r="LCM118" s="225"/>
      <c r="LCN118" s="225"/>
      <c r="LCO118" s="225"/>
      <c r="LCP118" s="225"/>
      <c r="LCQ118" s="225"/>
      <c r="LCR118" s="225"/>
      <c r="LCS118" s="225"/>
      <c r="LCT118" s="225"/>
      <c r="LCU118" s="225"/>
      <c r="LCV118" s="225"/>
      <c r="LCW118" s="225"/>
      <c r="LCX118" s="225"/>
      <c r="LCY118" s="225"/>
      <c r="LCZ118" s="225"/>
      <c r="LDA118" s="225"/>
      <c r="LDB118" s="225"/>
      <c r="LDC118" s="225"/>
      <c r="LDD118" s="225"/>
      <c r="LDE118" s="225"/>
      <c r="LDF118" s="225"/>
      <c r="LDG118" s="225"/>
      <c r="LDH118" s="225"/>
      <c r="LDI118" s="225"/>
      <c r="LDJ118" s="225"/>
      <c r="LDK118" s="225"/>
      <c r="LDL118" s="225"/>
      <c r="LDM118" s="225"/>
      <c r="LDN118" s="225"/>
      <c r="LDO118" s="225"/>
      <c r="LDP118" s="225"/>
      <c r="LDQ118" s="225"/>
      <c r="LDR118" s="225"/>
      <c r="LDS118" s="225"/>
      <c r="LDT118" s="225"/>
      <c r="LDU118" s="225"/>
      <c r="LDV118" s="225"/>
      <c r="LDW118" s="225"/>
      <c r="LDX118" s="225"/>
      <c r="LDY118" s="225"/>
      <c r="LDZ118" s="225"/>
      <c r="LEA118" s="225"/>
      <c r="LEB118" s="225"/>
      <c r="LEC118" s="225"/>
      <c r="LED118" s="225"/>
      <c r="LEE118" s="225"/>
      <c r="LEF118" s="225"/>
      <c r="LEG118" s="225"/>
      <c r="LEH118" s="225"/>
      <c r="LEI118" s="225"/>
      <c r="LEJ118" s="225"/>
      <c r="LEK118" s="225"/>
      <c r="LEL118" s="225"/>
      <c r="LEM118" s="225"/>
      <c r="LEN118" s="225"/>
      <c r="LEO118" s="225"/>
      <c r="LEP118" s="225"/>
      <c r="LEQ118" s="225"/>
      <c r="LER118" s="225"/>
      <c r="LES118" s="225"/>
      <c r="LET118" s="225"/>
      <c r="LEU118" s="225"/>
      <c r="LEV118" s="225"/>
      <c r="LEW118" s="225"/>
      <c r="LEX118" s="225"/>
      <c r="LEY118" s="225"/>
      <c r="LEZ118" s="225"/>
      <c r="LFA118" s="225"/>
      <c r="LFB118" s="225"/>
      <c r="LFC118" s="225"/>
      <c r="LFD118" s="225"/>
      <c r="LFE118" s="225"/>
      <c r="LFF118" s="225"/>
      <c r="LFG118" s="225"/>
      <c r="LFH118" s="225"/>
      <c r="LFI118" s="225"/>
      <c r="LFJ118" s="225"/>
      <c r="LFK118" s="225"/>
      <c r="LFL118" s="225"/>
      <c r="LFM118" s="225"/>
      <c r="LFN118" s="225"/>
      <c r="LFO118" s="225"/>
      <c r="LFP118" s="225"/>
      <c r="LFQ118" s="225"/>
      <c r="LFR118" s="225"/>
      <c r="LFS118" s="225"/>
      <c r="LFT118" s="225"/>
      <c r="LFU118" s="225"/>
      <c r="LFV118" s="225"/>
      <c r="LFW118" s="225"/>
      <c r="LFX118" s="225"/>
      <c r="LFY118" s="225"/>
      <c r="LFZ118" s="225"/>
      <c r="LGA118" s="225"/>
      <c r="LGB118" s="225"/>
      <c r="LGC118" s="225"/>
      <c r="LGD118" s="225"/>
      <c r="LGE118" s="225"/>
      <c r="LGF118" s="225"/>
      <c r="LGG118" s="225"/>
      <c r="LGH118" s="225"/>
      <c r="LGI118" s="225"/>
      <c r="LGJ118" s="225"/>
      <c r="LGK118" s="225"/>
      <c r="LGL118" s="225"/>
      <c r="LGM118" s="225"/>
      <c r="LGN118" s="225"/>
      <c r="LGO118" s="225"/>
      <c r="LGP118" s="225"/>
      <c r="LGQ118" s="225"/>
      <c r="LGR118" s="225"/>
      <c r="LGS118" s="225"/>
      <c r="LGT118" s="225"/>
      <c r="LGU118" s="225"/>
      <c r="LGV118" s="225"/>
      <c r="LGW118" s="225"/>
      <c r="LGX118" s="225"/>
      <c r="LGY118" s="225"/>
      <c r="LGZ118" s="225"/>
      <c r="LHA118" s="225"/>
      <c r="LHB118" s="225"/>
      <c r="LHC118" s="225"/>
      <c r="LHD118" s="225"/>
      <c r="LHE118" s="225"/>
      <c r="LHF118" s="225"/>
      <c r="LHG118" s="225"/>
      <c r="LHH118" s="225"/>
      <c r="LHI118" s="225"/>
      <c r="LHJ118" s="225"/>
      <c r="LHK118" s="225"/>
      <c r="LHL118" s="225"/>
      <c r="LHM118" s="225"/>
      <c r="LHN118" s="225"/>
      <c r="LHO118" s="225"/>
      <c r="LHP118" s="225"/>
      <c r="LHQ118" s="225"/>
      <c r="LHR118" s="225"/>
      <c r="LHS118" s="225"/>
      <c r="LHT118" s="225"/>
      <c r="LHU118" s="225"/>
      <c r="LHV118" s="225"/>
      <c r="LHW118" s="225"/>
      <c r="LHX118" s="225"/>
      <c r="LHY118" s="225"/>
      <c r="LHZ118" s="225"/>
      <c r="LIA118" s="225"/>
      <c r="LIB118" s="225"/>
      <c r="LIC118" s="225"/>
      <c r="LID118" s="225"/>
      <c r="LIE118" s="225"/>
      <c r="LIF118" s="225"/>
      <c r="LIG118" s="225"/>
      <c r="LIH118" s="225"/>
      <c r="LII118" s="225"/>
      <c r="LIJ118" s="225"/>
      <c r="LIK118" s="225"/>
      <c r="LIL118" s="225"/>
      <c r="LIM118" s="225"/>
      <c r="LIN118" s="225"/>
      <c r="LIO118" s="225"/>
      <c r="LIP118" s="225"/>
      <c r="LIQ118" s="225"/>
      <c r="LIR118" s="225"/>
      <c r="LIS118" s="225"/>
      <c r="LIT118" s="225"/>
      <c r="LIU118" s="225"/>
      <c r="LIV118" s="225"/>
      <c r="LIW118" s="225"/>
      <c r="LIX118" s="225"/>
      <c r="LIY118" s="225"/>
      <c r="LIZ118" s="225"/>
      <c r="LJA118" s="225"/>
      <c r="LJB118" s="225"/>
      <c r="LJC118" s="225"/>
      <c r="LJD118" s="225"/>
      <c r="LJE118" s="225"/>
      <c r="LJF118" s="225"/>
      <c r="LJG118" s="225"/>
      <c r="LJH118" s="225"/>
      <c r="LJI118" s="225"/>
      <c r="LJJ118" s="225"/>
      <c r="LJK118" s="225"/>
      <c r="LJL118" s="225"/>
      <c r="LJM118" s="225"/>
      <c r="LJN118" s="225"/>
      <c r="LJO118" s="225"/>
      <c r="LJP118" s="225"/>
      <c r="LJQ118" s="225"/>
      <c r="LJR118" s="225"/>
      <c r="LJS118" s="225"/>
      <c r="LJT118" s="225"/>
      <c r="LJU118" s="225"/>
      <c r="LJV118" s="225"/>
      <c r="LJW118" s="225"/>
      <c r="LJX118" s="225"/>
      <c r="LJY118" s="225"/>
      <c r="LJZ118" s="225"/>
      <c r="LKA118" s="225"/>
      <c r="LKB118" s="225"/>
      <c r="LKC118" s="225"/>
      <c r="LKD118" s="225"/>
      <c r="LKE118" s="225"/>
      <c r="LKF118" s="225"/>
      <c r="LKG118" s="225"/>
      <c r="LKH118" s="225"/>
      <c r="LKI118" s="225"/>
      <c r="LKJ118" s="225"/>
      <c r="LKK118" s="225"/>
      <c r="LKL118" s="225"/>
      <c r="LKM118" s="225"/>
      <c r="LKN118" s="225"/>
      <c r="LKO118" s="225"/>
      <c r="LKP118" s="225"/>
      <c r="LKQ118" s="225"/>
      <c r="LKR118" s="225"/>
      <c r="LKS118" s="225"/>
      <c r="LKT118" s="225"/>
      <c r="LKU118" s="225"/>
      <c r="LKV118" s="225"/>
      <c r="LKW118" s="225"/>
      <c r="LKX118" s="225"/>
      <c r="LKY118" s="225"/>
      <c r="LKZ118" s="225"/>
      <c r="LLA118" s="225"/>
      <c r="LLB118" s="225"/>
      <c r="LLC118" s="225"/>
      <c r="LLD118" s="225"/>
      <c r="LLE118" s="225"/>
      <c r="LLF118" s="225"/>
      <c r="LLG118" s="225"/>
      <c r="LLH118" s="225"/>
      <c r="LLI118" s="225"/>
      <c r="LLJ118" s="225"/>
      <c r="LLK118" s="225"/>
      <c r="LLL118" s="225"/>
      <c r="LLM118" s="225"/>
      <c r="LLN118" s="225"/>
      <c r="LLO118" s="225"/>
      <c r="LLP118" s="225"/>
      <c r="LLQ118" s="225"/>
      <c r="LLR118" s="225"/>
      <c r="LLS118" s="225"/>
      <c r="LLT118" s="225"/>
      <c r="LLU118" s="225"/>
      <c r="LLV118" s="225"/>
      <c r="LLW118" s="225"/>
      <c r="LLX118" s="225"/>
      <c r="LLY118" s="225"/>
      <c r="LLZ118" s="225"/>
      <c r="LMA118" s="225"/>
      <c r="LMB118" s="225"/>
      <c r="LMC118" s="225"/>
      <c r="LMD118" s="225"/>
      <c r="LME118" s="225"/>
      <c r="LMF118" s="225"/>
      <c r="LMG118" s="225"/>
      <c r="LMH118" s="225"/>
      <c r="LMI118" s="225"/>
      <c r="LMJ118" s="225"/>
      <c r="LMK118" s="225"/>
      <c r="LML118" s="225"/>
      <c r="LMM118" s="225"/>
      <c r="LMN118" s="225"/>
      <c r="LMO118" s="225"/>
      <c r="LMP118" s="225"/>
      <c r="LMQ118" s="225"/>
      <c r="LMR118" s="225"/>
      <c r="LMS118" s="225"/>
      <c r="LMT118" s="225"/>
      <c r="LMU118" s="225"/>
      <c r="LMV118" s="225"/>
      <c r="LMW118" s="225"/>
      <c r="LMX118" s="225"/>
      <c r="LMY118" s="225"/>
      <c r="LMZ118" s="225"/>
      <c r="LNA118" s="225"/>
      <c r="LNB118" s="225"/>
      <c r="LNC118" s="225"/>
      <c r="LND118" s="225"/>
      <c r="LNE118" s="225"/>
      <c r="LNF118" s="225"/>
      <c r="LNG118" s="225"/>
      <c r="LNH118" s="225"/>
      <c r="LNI118" s="225"/>
      <c r="LNJ118" s="225"/>
      <c r="LNK118" s="225"/>
      <c r="LNL118" s="225"/>
      <c r="LNM118" s="225"/>
      <c r="LNN118" s="225"/>
      <c r="LNO118" s="225"/>
      <c r="LNP118" s="225"/>
      <c r="LNQ118" s="225"/>
      <c r="LNR118" s="225"/>
      <c r="LNS118" s="225"/>
      <c r="LNT118" s="225"/>
      <c r="LNU118" s="225"/>
      <c r="LNV118" s="225"/>
      <c r="LNW118" s="225"/>
      <c r="LNX118" s="225"/>
      <c r="LNY118" s="225"/>
      <c r="LNZ118" s="225"/>
      <c r="LOA118" s="225"/>
      <c r="LOB118" s="225"/>
      <c r="LOC118" s="225"/>
      <c r="LOD118" s="225"/>
      <c r="LOE118" s="225"/>
      <c r="LOF118" s="225"/>
      <c r="LOG118" s="225"/>
      <c r="LOH118" s="225"/>
      <c r="LOI118" s="225"/>
      <c r="LOJ118" s="225"/>
      <c r="LOK118" s="225"/>
      <c r="LOL118" s="225"/>
      <c r="LOM118" s="225"/>
      <c r="LON118" s="225"/>
      <c r="LOO118" s="225"/>
      <c r="LOP118" s="225"/>
      <c r="LOQ118" s="225"/>
      <c r="LOR118" s="225"/>
      <c r="LOS118" s="225"/>
      <c r="LOT118" s="225"/>
      <c r="LOU118" s="225"/>
      <c r="LOV118" s="225"/>
      <c r="LOW118" s="225"/>
      <c r="LOX118" s="225"/>
      <c r="LOY118" s="225"/>
      <c r="LOZ118" s="225"/>
      <c r="LPA118" s="225"/>
      <c r="LPB118" s="225"/>
      <c r="LPC118" s="225"/>
      <c r="LPD118" s="225"/>
      <c r="LPE118" s="225"/>
      <c r="LPF118" s="225"/>
      <c r="LPG118" s="225"/>
      <c r="LPH118" s="225"/>
      <c r="LPI118" s="225"/>
      <c r="LPJ118" s="225"/>
      <c r="LPK118" s="225"/>
      <c r="LPL118" s="225"/>
      <c r="LPM118" s="225"/>
      <c r="LPN118" s="225"/>
      <c r="LPO118" s="225"/>
      <c r="LPP118" s="225"/>
      <c r="LPQ118" s="225"/>
      <c r="LPR118" s="225"/>
      <c r="LPS118" s="225"/>
      <c r="LPT118" s="225"/>
      <c r="LPU118" s="225"/>
      <c r="LPV118" s="225"/>
      <c r="LPW118" s="225"/>
      <c r="LPX118" s="225"/>
      <c r="LPY118" s="225"/>
      <c r="LPZ118" s="225"/>
      <c r="LQA118" s="225"/>
      <c r="LQB118" s="225"/>
      <c r="LQC118" s="225"/>
      <c r="LQD118" s="225"/>
      <c r="LQE118" s="225"/>
      <c r="LQF118" s="225"/>
      <c r="LQG118" s="225"/>
      <c r="LQH118" s="225"/>
      <c r="LQI118" s="225"/>
      <c r="LQJ118" s="225"/>
      <c r="LQK118" s="225"/>
      <c r="LQL118" s="225"/>
      <c r="LQM118" s="225"/>
      <c r="LQN118" s="225"/>
      <c r="LQO118" s="225"/>
      <c r="LQP118" s="225"/>
      <c r="LQQ118" s="225"/>
      <c r="LQR118" s="225"/>
      <c r="LQS118" s="225"/>
      <c r="LQT118" s="225"/>
      <c r="LQU118" s="225"/>
      <c r="LQV118" s="225"/>
      <c r="LQW118" s="225"/>
      <c r="LQX118" s="225"/>
      <c r="LQY118" s="225"/>
      <c r="LQZ118" s="225"/>
      <c r="LRA118" s="225"/>
      <c r="LRB118" s="225"/>
      <c r="LRC118" s="225"/>
      <c r="LRD118" s="225"/>
      <c r="LRE118" s="225"/>
      <c r="LRF118" s="225"/>
      <c r="LRG118" s="225"/>
      <c r="LRH118" s="225"/>
      <c r="LRI118" s="225"/>
      <c r="LRJ118" s="225"/>
      <c r="LRK118" s="225"/>
      <c r="LRL118" s="225"/>
      <c r="LRM118" s="225"/>
      <c r="LRN118" s="225"/>
      <c r="LRO118" s="225"/>
      <c r="LRP118" s="225"/>
      <c r="LRQ118" s="225"/>
      <c r="LRR118" s="225"/>
      <c r="LRS118" s="225"/>
      <c r="LRT118" s="225"/>
      <c r="LRU118" s="225"/>
      <c r="LRV118" s="225"/>
      <c r="LRW118" s="225"/>
      <c r="LRX118" s="225"/>
      <c r="LRY118" s="225"/>
      <c r="LRZ118" s="225"/>
      <c r="LSA118" s="225"/>
      <c r="LSB118" s="225"/>
      <c r="LSC118" s="225"/>
      <c r="LSD118" s="225"/>
      <c r="LSE118" s="225"/>
      <c r="LSF118" s="225"/>
      <c r="LSG118" s="225"/>
      <c r="LSH118" s="225"/>
      <c r="LSI118" s="225"/>
      <c r="LSJ118" s="225"/>
      <c r="LSK118" s="225"/>
      <c r="LSL118" s="225"/>
      <c r="LSM118" s="225"/>
      <c r="LSN118" s="225"/>
      <c r="LSO118" s="225"/>
      <c r="LSP118" s="225"/>
      <c r="LSQ118" s="225"/>
      <c r="LSR118" s="225"/>
      <c r="LSS118" s="225"/>
      <c r="LST118" s="225"/>
      <c r="LSU118" s="225"/>
      <c r="LSV118" s="225"/>
      <c r="LSW118" s="225"/>
      <c r="LSX118" s="225"/>
      <c r="LSY118" s="225"/>
      <c r="LSZ118" s="225"/>
      <c r="LTA118" s="225"/>
      <c r="LTB118" s="225"/>
      <c r="LTC118" s="225"/>
      <c r="LTD118" s="225"/>
      <c r="LTE118" s="225"/>
      <c r="LTF118" s="225"/>
      <c r="LTG118" s="225"/>
      <c r="LTH118" s="225"/>
      <c r="LTI118" s="225"/>
      <c r="LTJ118" s="225"/>
      <c r="LTK118" s="225"/>
      <c r="LTL118" s="225"/>
      <c r="LTM118" s="225"/>
      <c r="LTN118" s="225"/>
      <c r="LTO118" s="225"/>
      <c r="LTP118" s="225"/>
      <c r="LTQ118" s="225"/>
      <c r="LTR118" s="225"/>
      <c r="LTS118" s="225"/>
      <c r="LTT118" s="225"/>
      <c r="LTU118" s="225"/>
      <c r="LTV118" s="225"/>
      <c r="LTW118" s="225"/>
      <c r="LTX118" s="225"/>
      <c r="LTY118" s="225"/>
      <c r="LTZ118" s="225"/>
      <c r="LUA118" s="225"/>
      <c r="LUB118" s="225"/>
      <c r="LUC118" s="225"/>
      <c r="LUD118" s="225"/>
      <c r="LUE118" s="225"/>
      <c r="LUF118" s="225"/>
      <c r="LUG118" s="225"/>
      <c r="LUH118" s="225"/>
      <c r="LUI118" s="225"/>
      <c r="LUJ118" s="225"/>
      <c r="LUK118" s="225"/>
      <c r="LUL118" s="225"/>
      <c r="LUM118" s="225"/>
      <c r="LUN118" s="225"/>
      <c r="LUO118" s="225"/>
      <c r="LUP118" s="225"/>
      <c r="LUQ118" s="225"/>
      <c r="LUR118" s="225"/>
      <c r="LUS118" s="225"/>
      <c r="LUT118" s="225"/>
      <c r="LUU118" s="225"/>
      <c r="LUV118" s="225"/>
      <c r="LUW118" s="225"/>
      <c r="LUX118" s="225"/>
      <c r="LUY118" s="225"/>
      <c r="LUZ118" s="225"/>
      <c r="LVA118" s="225"/>
      <c r="LVB118" s="225"/>
      <c r="LVC118" s="225"/>
      <c r="LVD118" s="225"/>
      <c r="LVE118" s="225"/>
      <c r="LVF118" s="225"/>
      <c r="LVG118" s="225"/>
      <c r="LVH118" s="225"/>
      <c r="LVI118" s="225"/>
      <c r="LVJ118" s="225"/>
      <c r="LVK118" s="225"/>
      <c r="LVL118" s="225"/>
      <c r="LVM118" s="225"/>
      <c r="LVN118" s="225"/>
      <c r="LVO118" s="225"/>
      <c r="LVP118" s="225"/>
      <c r="LVQ118" s="225"/>
      <c r="LVR118" s="225"/>
      <c r="LVS118" s="225"/>
      <c r="LVT118" s="225"/>
      <c r="LVU118" s="225"/>
      <c r="LVV118" s="225"/>
      <c r="LVW118" s="225"/>
      <c r="LVX118" s="225"/>
      <c r="LVY118" s="225"/>
      <c r="LVZ118" s="225"/>
      <c r="LWA118" s="225"/>
      <c r="LWB118" s="225"/>
      <c r="LWC118" s="225"/>
      <c r="LWD118" s="225"/>
      <c r="LWE118" s="225"/>
      <c r="LWF118" s="225"/>
      <c r="LWG118" s="225"/>
      <c r="LWH118" s="225"/>
      <c r="LWI118" s="225"/>
      <c r="LWJ118" s="225"/>
      <c r="LWK118" s="225"/>
      <c r="LWL118" s="225"/>
      <c r="LWM118" s="225"/>
      <c r="LWN118" s="225"/>
      <c r="LWO118" s="225"/>
      <c r="LWP118" s="225"/>
      <c r="LWQ118" s="225"/>
      <c r="LWR118" s="225"/>
      <c r="LWS118" s="225"/>
      <c r="LWT118" s="225"/>
      <c r="LWU118" s="225"/>
      <c r="LWV118" s="225"/>
      <c r="LWW118" s="225"/>
      <c r="LWX118" s="225"/>
      <c r="LWY118" s="225"/>
      <c r="LWZ118" s="225"/>
      <c r="LXA118" s="225"/>
      <c r="LXB118" s="225"/>
      <c r="LXC118" s="225"/>
      <c r="LXD118" s="225"/>
      <c r="LXE118" s="225"/>
      <c r="LXF118" s="225"/>
      <c r="LXG118" s="225"/>
      <c r="LXH118" s="225"/>
      <c r="LXI118" s="225"/>
      <c r="LXJ118" s="225"/>
      <c r="LXK118" s="225"/>
      <c r="LXL118" s="225"/>
      <c r="LXM118" s="225"/>
      <c r="LXN118" s="225"/>
      <c r="LXO118" s="225"/>
      <c r="LXP118" s="225"/>
      <c r="LXQ118" s="225"/>
      <c r="LXR118" s="225"/>
      <c r="LXS118" s="225"/>
      <c r="LXT118" s="225"/>
      <c r="LXU118" s="225"/>
      <c r="LXV118" s="225"/>
      <c r="LXW118" s="225"/>
      <c r="LXX118" s="225"/>
      <c r="LXY118" s="225"/>
      <c r="LXZ118" s="225"/>
      <c r="LYA118" s="225"/>
      <c r="LYB118" s="225"/>
      <c r="LYC118" s="225"/>
      <c r="LYD118" s="225"/>
      <c r="LYE118" s="225"/>
      <c r="LYF118" s="225"/>
      <c r="LYG118" s="225"/>
      <c r="LYH118" s="225"/>
      <c r="LYI118" s="225"/>
      <c r="LYJ118" s="225"/>
      <c r="LYK118" s="225"/>
      <c r="LYL118" s="225"/>
      <c r="LYM118" s="225"/>
      <c r="LYN118" s="225"/>
      <c r="LYO118" s="225"/>
      <c r="LYP118" s="225"/>
      <c r="LYQ118" s="225"/>
      <c r="LYR118" s="225"/>
      <c r="LYS118" s="225"/>
      <c r="LYT118" s="225"/>
      <c r="LYU118" s="225"/>
      <c r="LYV118" s="225"/>
      <c r="LYW118" s="225"/>
      <c r="LYX118" s="225"/>
      <c r="LYY118" s="225"/>
      <c r="LYZ118" s="225"/>
      <c r="LZA118" s="225"/>
      <c r="LZB118" s="225"/>
      <c r="LZC118" s="225"/>
      <c r="LZD118" s="225"/>
      <c r="LZE118" s="225"/>
      <c r="LZF118" s="225"/>
      <c r="LZG118" s="225"/>
      <c r="LZH118" s="225"/>
      <c r="LZI118" s="225"/>
      <c r="LZJ118" s="225"/>
      <c r="LZK118" s="225"/>
      <c r="LZL118" s="225"/>
      <c r="LZM118" s="225"/>
      <c r="LZN118" s="225"/>
      <c r="LZO118" s="225"/>
      <c r="LZP118" s="225"/>
      <c r="LZQ118" s="225"/>
      <c r="LZR118" s="225"/>
      <c r="LZS118" s="225"/>
      <c r="LZT118" s="225"/>
      <c r="LZU118" s="225"/>
      <c r="LZV118" s="225"/>
      <c r="LZW118" s="225"/>
      <c r="LZX118" s="225"/>
      <c r="LZY118" s="225"/>
      <c r="LZZ118" s="225"/>
      <c r="MAA118" s="225"/>
      <c r="MAB118" s="225"/>
      <c r="MAC118" s="225"/>
      <c r="MAD118" s="225"/>
      <c r="MAE118" s="225"/>
      <c r="MAF118" s="225"/>
      <c r="MAG118" s="225"/>
      <c r="MAH118" s="225"/>
      <c r="MAI118" s="225"/>
      <c r="MAJ118" s="225"/>
      <c r="MAK118" s="225"/>
      <c r="MAL118" s="225"/>
      <c r="MAM118" s="225"/>
      <c r="MAN118" s="225"/>
      <c r="MAO118" s="225"/>
      <c r="MAP118" s="225"/>
      <c r="MAQ118" s="225"/>
      <c r="MAR118" s="225"/>
      <c r="MAS118" s="225"/>
      <c r="MAT118" s="225"/>
      <c r="MAU118" s="225"/>
      <c r="MAV118" s="225"/>
      <c r="MAW118" s="225"/>
      <c r="MAX118" s="225"/>
      <c r="MAY118" s="225"/>
      <c r="MAZ118" s="225"/>
      <c r="MBA118" s="225"/>
      <c r="MBB118" s="225"/>
      <c r="MBC118" s="225"/>
      <c r="MBD118" s="225"/>
      <c r="MBE118" s="225"/>
      <c r="MBF118" s="225"/>
      <c r="MBG118" s="225"/>
      <c r="MBH118" s="225"/>
      <c r="MBI118" s="225"/>
      <c r="MBJ118" s="225"/>
      <c r="MBK118" s="225"/>
      <c r="MBL118" s="225"/>
      <c r="MBM118" s="225"/>
      <c r="MBN118" s="225"/>
      <c r="MBO118" s="225"/>
      <c r="MBP118" s="225"/>
      <c r="MBQ118" s="225"/>
      <c r="MBR118" s="225"/>
      <c r="MBS118" s="225"/>
      <c r="MBT118" s="225"/>
      <c r="MBU118" s="225"/>
      <c r="MBV118" s="225"/>
      <c r="MBW118" s="225"/>
      <c r="MBX118" s="225"/>
      <c r="MBY118" s="225"/>
      <c r="MBZ118" s="225"/>
      <c r="MCA118" s="225"/>
      <c r="MCB118" s="225"/>
      <c r="MCC118" s="225"/>
      <c r="MCD118" s="225"/>
      <c r="MCE118" s="225"/>
      <c r="MCF118" s="225"/>
      <c r="MCG118" s="225"/>
      <c r="MCH118" s="225"/>
      <c r="MCI118" s="225"/>
      <c r="MCJ118" s="225"/>
      <c r="MCK118" s="225"/>
      <c r="MCL118" s="225"/>
      <c r="MCM118" s="225"/>
      <c r="MCN118" s="225"/>
      <c r="MCO118" s="225"/>
      <c r="MCP118" s="225"/>
      <c r="MCQ118" s="225"/>
      <c r="MCR118" s="225"/>
      <c r="MCS118" s="225"/>
      <c r="MCT118" s="225"/>
      <c r="MCU118" s="225"/>
      <c r="MCV118" s="225"/>
      <c r="MCW118" s="225"/>
      <c r="MCX118" s="225"/>
      <c r="MCY118" s="225"/>
      <c r="MCZ118" s="225"/>
      <c r="MDA118" s="225"/>
      <c r="MDB118" s="225"/>
      <c r="MDC118" s="225"/>
      <c r="MDD118" s="225"/>
      <c r="MDE118" s="225"/>
      <c r="MDF118" s="225"/>
      <c r="MDG118" s="225"/>
      <c r="MDH118" s="225"/>
      <c r="MDI118" s="225"/>
      <c r="MDJ118" s="225"/>
      <c r="MDK118" s="225"/>
      <c r="MDL118" s="225"/>
      <c r="MDM118" s="225"/>
      <c r="MDN118" s="225"/>
      <c r="MDO118" s="225"/>
      <c r="MDP118" s="225"/>
      <c r="MDQ118" s="225"/>
      <c r="MDR118" s="225"/>
      <c r="MDS118" s="225"/>
      <c r="MDT118" s="225"/>
      <c r="MDU118" s="225"/>
      <c r="MDV118" s="225"/>
      <c r="MDW118" s="225"/>
      <c r="MDX118" s="225"/>
      <c r="MDY118" s="225"/>
      <c r="MDZ118" s="225"/>
      <c r="MEA118" s="225"/>
      <c r="MEB118" s="225"/>
      <c r="MEC118" s="225"/>
      <c r="MED118" s="225"/>
      <c r="MEE118" s="225"/>
      <c r="MEF118" s="225"/>
      <c r="MEG118" s="225"/>
      <c r="MEH118" s="225"/>
      <c r="MEI118" s="225"/>
      <c r="MEJ118" s="225"/>
      <c r="MEK118" s="225"/>
      <c r="MEL118" s="225"/>
      <c r="MEM118" s="225"/>
      <c r="MEN118" s="225"/>
      <c r="MEO118" s="225"/>
      <c r="MEP118" s="225"/>
      <c r="MEQ118" s="225"/>
      <c r="MER118" s="225"/>
      <c r="MES118" s="225"/>
      <c r="MET118" s="225"/>
      <c r="MEU118" s="225"/>
      <c r="MEV118" s="225"/>
      <c r="MEW118" s="225"/>
      <c r="MEX118" s="225"/>
      <c r="MEY118" s="225"/>
      <c r="MEZ118" s="225"/>
      <c r="MFA118" s="225"/>
      <c r="MFB118" s="225"/>
      <c r="MFC118" s="225"/>
      <c r="MFD118" s="225"/>
      <c r="MFE118" s="225"/>
      <c r="MFF118" s="225"/>
      <c r="MFG118" s="225"/>
      <c r="MFH118" s="225"/>
      <c r="MFI118" s="225"/>
      <c r="MFJ118" s="225"/>
      <c r="MFK118" s="225"/>
      <c r="MFL118" s="225"/>
      <c r="MFM118" s="225"/>
      <c r="MFN118" s="225"/>
      <c r="MFO118" s="225"/>
      <c r="MFP118" s="225"/>
      <c r="MFQ118" s="225"/>
      <c r="MFR118" s="225"/>
      <c r="MFS118" s="225"/>
      <c r="MFT118" s="225"/>
      <c r="MFU118" s="225"/>
      <c r="MFV118" s="225"/>
      <c r="MFW118" s="225"/>
      <c r="MFX118" s="225"/>
      <c r="MFY118" s="225"/>
      <c r="MFZ118" s="225"/>
      <c r="MGA118" s="225"/>
      <c r="MGB118" s="225"/>
      <c r="MGC118" s="225"/>
      <c r="MGD118" s="225"/>
      <c r="MGE118" s="225"/>
      <c r="MGF118" s="225"/>
      <c r="MGG118" s="225"/>
      <c r="MGH118" s="225"/>
      <c r="MGI118" s="225"/>
      <c r="MGJ118" s="225"/>
      <c r="MGK118" s="225"/>
      <c r="MGL118" s="225"/>
      <c r="MGM118" s="225"/>
      <c r="MGN118" s="225"/>
      <c r="MGO118" s="225"/>
      <c r="MGP118" s="225"/>
      <c r="MGQ118" s="225"/>
      <c r="MGR118" s="225"/>
      <c r="MGS118" s="225"/>
      <c r="MGT118" s="225"/>
      <c r="MGU118" s="225"/>
      <c r="MGV118" s="225"/>
      <c r="MGW118" s="225"/>
      <c r="MGX118" s="225"/>
      <c r="MGY118" s="225"/>
      <c r="MGZ118" s="225"/>
      <c r="MHA118" s="225"/>
      <c r="MHB118" s="225"/>
      <c r="MHC118" s="225"/>
      <c r="MHD118" s="225"/>
      <c r="MHE118" s="225"/>
      <c r="MHF118" s="225"/>
      <c r="MHG118" s="225"/>
      <c r="MHH118" s="225"/>
      <c r="MHI118" s="225"/>
      <c r="MHJ118" s="225"/>
      <c r="MHK118" s="225"/>
      <c r="MHL118" s="225"/>
      <c r="MHM118" s="225"/>
      <c r="MHN118" s="225"/>
      <c r="MHO118" s="225"/>
      <c r="MHP118" s="225"/>
      <c r="MHQ118" s="225"/>
      <c r="MHR118" s="225"/>
      <c r="MHS118" s="225"/>
      <c r="MHT118" s="225"/>
      <c r="MHU118" s="225"/>
      <c r="MHV118" s="225"/>
      <c r="MHW118" s="225"/>
      <c r="MHX118" s="225"/>
      <c r="MHY118" s="225"/>
      <c r="MHZ118" s="225"/>
      <c r="MIA118" s="225"/>
      <c r="MIB118" s="225"/>
      <c r="MIC118" s="225"/>
      <c r="MID118" s="225"/>
      <c r="MIE118" s="225"/>
      <c r="MIF118" s="225"/>
      <c r="MIG118" s="225"/>
      <c r="MIH118" s="225"/>
      <c r="MII118" s="225"/>
      <c r="MIJ118" s="225"/>
      <c r="MIK118" s="225"/>
      <c r="MIL118" s="225"/>
      <c r="MIM118" s="225"/>
      <c r="MIN118" s="225"/>
      <c r="MIO118" s="225"/>
      <c r="MIP118" s="225"/>
      <c r="MIQ118" s="225"/>
      <c r="MIR118" s="225"/>
      <c r="MIS118" s="225"/>
      <c r="MIT118" s="225"/>
      <c r="MIU118" s="225"/>
      <c r="MIV118" s="225"/>
      <c r="MIW118" s="225"/>
      <c r="MIX118" s="225"/>
      <c r="MIY118" s="225"/>
      <c r="MIZ118" s="225"/>
      <c r="MJA118" s="225"/>
      <c r="MJB118" s="225"/>
      <c r="MJC118" s="225"/>
      <c r="MJD118" s="225"/>
      <c r="MJE118" s="225"/>
      <c r="MJF118" s="225"/>
      <c r="MJG118" s="225"/>
      <c r="MJH118" s="225"/>
      <c r="MJI118" s="225"/>
      <c r="MJJ118" s="225"/>
      <c r="MJK118" s="225"/>
      <c r="MJL118" s="225"/>
      <c r="MJM118" s="225"/>
      <c r="MJN118" s="225"/>
      <c r="MJO118" s="225"/>
      <c r="MJP118" s="225"/>
      <c r="MJQ118" s="225"/>
      <c r="MJR118" s="225"/>
      <c r="MJS118" s="225"/>
      <c r="MJT118" s="225"/>
      <c r="MJU118" s="225"/>
      <c r="MJV118" s="225"/>
      <c r="MJW118" s="225"/>
      <c r="MJX118" s="225"/>
      <c r="MJY118" s="225"/>
      <c r="MJZ118" s="225"/>
      <c r="MKA118" s="225"/>
      <c r="MKB118" s="225"/>
      <c r="MKC118" s="225"/>
      <c r="MKD118" s="225"/>
      <c r="MKE118" s="225"/>
      <c r="MKF118" s="225"/>
      <c r="MKG118" s="225"/>
      <c r="MKH118" s="225"/>
      <c r="MKI118" s="225"/>
      <c r="MKJ118" s="225"/>
      <c r="MKK118" s="225"/>
      <c r="MKL118" s="225"/>
      <c r="MKM118" s="225"/>
      <c r="MKN118" s="225"/>
      <c r="MKO118" s="225"/>
      <c r="MKP118" s="225"/>
      <c r="MKQ118" s="225"/>
      <c r="MKR118" s="225"/>
      <c r="MKS118" s="225"/>
      <c r="MKT118" s="225"/>
      <c r="MKU118" s="225"/>
      <c r="MKV118" s="225"/>
      <c r="MKW118" s="225"/>
      <c r="MKX118" s="225"/>
      <c r="MKY118" s="225"/>
      <c r="MKZ118" s="225"/>
      <c r="MLA118" s="225"/>
      <c r="MLB118" s="225"/>
      <c r="MLC118" s="225"/>
      <c r="MLD118" s="225"/>
      <c r="MLE118" s="225"/>
      <c r="MLF118" s="225"/>
      <c r="MLG118" s="225"/>
      <c r="MLH118" s="225"/>
      <c r="MLI118" s="225"/>
      <c r="MLJ118" s="225"/>
      <c r="MLK118" s="225"/>
      <c r="MLL118" s="225"/>
      <c r="MLM118" s="225"/>
      <c r="MLN118" s="225"/>
      <c r="MLO118" s="225"/>
      <c r="MLP118" s="225"/>
      <c r="MLQ118" s="225"/>
      <c r="MLR118" s="225"/>
      <c r="MLS118" s="225"/>
      <c r="MLT118" s="225"/>
      <c r="MLU118" s="225"/>
      <c r="MLV118" s="225"/>
      <c r="MLW118" s="225"/>
      <c r="MLX118" s="225"/>
      <c r="MLY118" s="225"/>
      <c r="MLZ118" s="225"/>
      <c r="MMA118" s="225"/>
      <c r="MMB118" s="225"/>
      <c r="MMC118" s="225"/>
      <c r="MMD118" s="225"/>
      <c r="MME118" s="225"/>
      <c r="MMF118" s="225"/>
      <c r="MMG118" s="225"/>
      <c r="MMH118" s="225"/>
      <c r="MMI118" s="225"/>
      <c r="MMJ118" s="225"/>
      <c r="MMK118" s="225"/>
      <c r="MML118" s="225"/>
      <c r="MMM118" s="225"/>
      <c r="MMN118" s="225"/>
      <c r="MMO118" s="225"/>
      <c r="MMP118" s="225"/>
      <c r="MMQ118" s="225"/>
      <c r="MMR118" s="225"/>
      <c r="MMS118" s="225"/>
      <c r="MMT118" s="225"/>
      <c r="MMU118" s="225"/>
      <c r="MMV118" s="225"/>
      <c r="MMW118" s="225"/>
      <c r="MMX118" s="225"/>
      <c r="MMY118" s="225"/>
      <c r="MMZ118" s="225"/>
      <c r="MNA118" s="225"/>
      <c r="MNB118" s="225"/>
      <c r="MNC118" s="225"/>
      <c r="MND118" s="225"/>
      <c r="MNE118" s="225"/>
      <c r="MNF118" s="225"/>
      <c r="MNG118" s="225"/>
      <c r="MNH118" s="225"/>
      <c r="MNI118" s="225"/>
      <c r="MNJ118" s="225"/>
      <c r="MNK118" s="225"/>
      <c r="MNL118" s="225"/>
      <c r="MNM118" s="225"/>
      <c r="MNN118" s="225"/>
      <c r="MNO118" s="225"/>
      <c r="MNP118" s="225"/>
      <c r="MNQ118" s="225"/>
      <c r="MNR118" s="225"/>
      <c r="MNS118" s="225"/>
      <c r="MNT118" s="225"/>
      <c r="MNU118" s="225"/>
      <c r="MNV118" s="225"/>
      <c r="MNW118" s="225"/>
      <c r="MNX118" s="225"/>
      <c r="MNY118" s="225"/>
      <c r="MNZ118" s="225"/>
      <c r="MOA118" s="225"/>
      <c r="MOB118" s="225"/>
      <c r="MOC118" s="225"/>
      <c r="MOD118" s="225"/>
      <c r="MOE118" s="225"/>
      <c r="MOF118" s="225"/>
      <c r="MOG118" s="225"/>
      <c r="MOH118" s="225"/>
      <c r="MOI118" s="225"/>
      <c r="MOJ118" s="225"/>
      <c r="MOK118" s="225"/>
      <c r="MOL118" s="225"/>
      <c r="MOM118" s="225"/>
      <c r="MON118" s="225"/>
      <c r="MOO118" s="225"/>
      <c r="MOP118" s="225"/>
      <c r="MOQ118" s="225"/>
      <c r="MOR118" s="225"/>
      <c r="MOS118" s="225"/>
      <c r="MOT118" s="225"/>
      <c r="MOU118" s="225"/>
      <c r="MOV118" s="225"/>
      <c r="MOW118" s="225"/>
      <c r="MOX118" s="225"/>
      <c r="MOY118" s="225"/>
      <c r="MOZ118" s="225"/>
      <c r="MPA118" s="225"/>
      <c r="MPB118" s="225"/>
      <c r="MPC118" s="225"/>
      <c r="MPD118" s="225"/>
      <c r="MPE118" s="225"/>
      <c r="MPF118" s="225"/>
      <c r="MPG118" s="225"/>
      <c r="MPH118" s="225"/>
      <c r="MPI118" s="225"/>
      <c r="MPJ118" s="225"/>
      <c r="MPK118" s="225"/>
      <c r="MPL118" s="225"/>
      <c r="MPM118" s="225"/>
      <c r="MPN118" s="225"/>
      <c r="MPO118" s="225"/>
      <c r="MPP118" s="225"/>
      <c r="MPQ118" s="225"/>
      <c r="MPR118" s="225"/>
      <c r="MPS118" s="225"/>
      <c r="MPT118" s="225"/>
      <c r="MPU118" s="225"/>
      <c r="MPV118" s="225"/>
      <c r="MPW118" s="225"/>
      <c r="MPX118" s="225"/>
      <c r="MPY118" s="225"/>
      <c r="MPZ118" s="225"/>
      <c r="MQA118" s="225"/>
      <c r="MQB118" s="225"/>
      <c r="MQC118" s="225"/>
      <c r="MQD118" s="225"/>
      <c r="MQE118" s="225"/>
      <c r="MQF118" s="225"/>
      <c r="MQG118" s="225"/>
      <c r="MQH118" s="225"/>
      <c r="MQI118" s="225"/>
      <c r="MQJ118" s="225"/>
      <c r="MQK118" s="225"/>
      <c r="MQL118" s="225"/>
      <c r="MQM118" s="225"/>
      <c r="MQN118" s="225"/>
      <c r="MQO118" s="225"/>
      <c r="MQP118" s="225"/>
      <c r="MQQ118" s="225"/>
      <c r="MQR118" s="225"/>
      <c r="MQS118" s="225"/>
      <c r="MQT118" s="225"/>
      <c r="MQU118" s="225"/>
      <c r="MQV118" s="225"/>
      <c r="MQW118" s="225"/>
      <c r="MQX118" s="225"/>
      <c r="MQY118" s="225"/>
      <c r="MQZ118" s="225"/>
      <c r="MRA118" s="225"/>
      <c r="MRB118" s="225"/>
      <c r="MRC118" s="225"/>
      <c r="MRD118" s="225"/>
      <c r="MRE118" s="225"/>
      <c r="MRF118" s="225"/>
      <c r="MRG118" s="225"/>
      <c r="MRH118" s="225"/>
      <c r="MRI118" s="225"/>
      <c r="MRJ118" s="225"/>
      <c r="MRK118" s="225"/>
      <c r="MRL118" s="225"/>
      <c r="MRM118" s="225"/>
      <c r="MRN118" s="225"/>
      <c r="MRO118" s="225"/>
      <c r="MRP118" s="225"/>
      <c r="MRQ118" s="225"/>
      <c r="MRR118" s="225"/>
      <c r="MRS118" s="225"/>
      <c r="MRT118" s="225"/>
      <c r="MRU118" s="225"/>
      <c r="MRV118" s="225"/>
      <c r="MRW118" s="225"/>
      <c r="MRX118" s="225"/>
      <c r="MRY118" s="225"/>
      <c r="MRZ118" s="225"/>
      <c r="MSA118" s="225"/>
      <c r="MSB118" s="225"/>
      <c r="MSC118" s="225"/>
      <c r="MSD118" s="225"/>
      <c r="MSE118" s="225"/>
      <c r="MSF118" s="225"/>
      <c r="MSG118" s="225"/>
      <c r="MSH118" s="225"/>
      <c r="MSI118" s="225"/>
      <c r="MSJ118" s="225"/>
      <c r="MSK118" s="225"/>
      <c r="MSL118" s="225"/>
      <c r="MSM118" s="225"/>
      <c r="MSN118" s="225"/>
      <c r="MSO118" s="225"/>
      <c r="MSP118" s="225"/>
      <c r="MSQ118" s="225"/>
      <c r="MSR118" s="225"/>
      <c r="MSS118" s="225"/>
      <c r="MST118" s="225"/>
      <c r="MSU118" s="225"/>
      <c r="MSV118" s="225"/>
      <c r="MSW118" s="225"/>
      <c r="MSX118" s="225"/>
      <c r="MSY118" s="225"/>
      <c r="MSZ118" s="225"/>
      <c r="MTA118" s="225"/>
      <c r="MTB118" s="225"/>
      <c r="MTC118" s="225"/>
      <c r="MTD118" s="225"/>
      <c r="MTE118" s="225"/>
      <c r="MTF118" s="225"/>
      <c r="MTG118" s="225"/>
      <c r="MTH118" s="225"/>
      <c r="MTI118" s="225"/>
      <c r="MTJ118" s="225"/>
      <c r="MTK118" s="225"/>
      <c r="MTL118" s="225"/>
      <c r="MTM118" s="225"/>
      <c r="MTN118" s="225"/>
      <c r="MTO118" s="225"/>
      <c r="MTP118" s="225"/>
      <c r="MTQ118" s="225"/>
      <c r="MTR118" s="225"/>
      <c r="MTS118" s="225"/>
      <c r="MTT118" s="225"/>
      <c r="MTU118" s="225"/>
      <c r="MTV118" s="225"/>
      <c r="MTW118" s="225"/>
      <c r="MTX118" s="225"/>
      <c r="MTY118" s="225"/>
      <c r="MTZ118" s="225"/>
      <c r="MUA118" s="225"/>
      <c r="MUB118" s="225"/>
      <c r="MUC118" s="225"/>
      <c r="MUD118" s="225"/>
      <c r="MUE118" s="225"/>
      <c r="MUF118" s="225"/>
      <c r="MUG118" s="225"/>
      <c r="MUH118" s="225"/>
      <c r="MUI118" s="225"/>
      <c r="MUJ118" s="225"/>
      <c r="MUK118" s="225"/>
      <c r="MUL118" s="225"/>
      <c r="MUM118" s="225"/>
      <c r="MUN118" s="225"/>
      <c r="MUO118" s="225"/>
      <c r="MUP118" s="225"/>
      <c r="MUQ118" s="225"/>
      <c r="MUR118" s="225"/>
      <c r="MUS118" s="225"/>
      <c r="MUT118" s="225"/>
      <c r="MUU118" s="225"/>
      <c r="MUV118" s="225"/>
      <c r="MUW118" s="225"/>
      <c r="MUX118" s="225"/>
      <c r="MUY118" s="225"/>
      <c r="MUZ118" s="225"/>
      <c r="MVA118" s="225"/>
      <c r="MVB118" s="225"/>
      <c r="MVC118" s="225"/>
      <c r="MVD118" s="225"/>
      <c r="MVE118" s="225"/>
      <c r="MVF118" s="225"/>
      <c r="MVG118" s="225"/>
      <c r="MVH118" s="225"/>
      <c r="MVI118" s="225"/>
      <c r="MVJ118" s="225"/>
      <c r="MVK118" s="225"/>
      <c r="MVL118" s="225"/>
      <c r="MVM118" s="225"/>
      <c r="MVN118" s="225"/>
      <c r="MVO118" s="225"/>
      <c r="MVP118" s="225"/>
      <c r="MVQ118" s="225"/>
      <c r="MVR118" s="225"/>
      <c r="MVS118" s="225"/>
      <c r="MVT118" s="225"/>
      <c r="MVU118" s="225"/>
      <c r="MVV118" s="225"/>
      <c r="MVW118" s="225"/>
      <c r="MVX118" s="225"/>
      <c r="MVY118" s="225"/>
      <c r="MVZ118" s="225"/>
      <c r="MWA118" s="225"/>
      <c r="MWB118" s="225"/>
      <c r="MWC118" s="225"/>
      <c r="MWD118" s="225"/>
      <c r="MWE118" s="225"/>
      <c r="MWF118" s="225"/>
      <c r="MWG118" s="225"/>
      <c r="MWH118" s="225"/>
      <c r="MWI118" s="225"/>
      <c r="MWJ118" s="225"/>
      <c r="MWK118" s="225"/>
      <c r="MWL118" s="225"/>
      <c r="MWM118" s="225"/>
      <c r="MWN118" s="225"/>
      <c r="MWO118" s="225"/>
      <c r="MWP118" s="225"/>
      <c r="MWQ118" s="225"/>
      <c r="MWR118" s="225"/>
      <c r="MWS118" s="225"/>
      <c r="MWT118" s="225"/>
      <c r="MWU118" s="225"/>
      <c r="MWV118" s="225"/>
      <c r="MWW118" s="225"/>
      <c r="MWX118" s="225"/>
      <c r="MWY118" s="225"/>
      <c r="MWZ118" s="225"/>
      <c r="MXA118" s="225"/>
      <c r="MXB118" s="225"/>
      <c r="MXC118" s="225"/>
      <c r="MXD118" s="225"/>
      <c r="MXE118" s="225"/>
      <c r="MXF118" s="225"/>
      <c r="MXG118" s="225"/>
      <c r="MXH118" s="225"/>
      <c r="MXI118" s="225"/>
      <c r="MXJ118" s="225"/>
      <c r="MXK118" s="225"/>
      <c r="MXL118" s="225"/>
      <c r="MXM118" s="225"/>
      <c r="MXN118" s="225"/>
      <c r="MXO118" s="225"/>
      <c r="MXP118" s="225"/>
      <c r="MXQ118" s="225"/>
      <c r="MXR118" s="225"/>
      <c r="MXS118" s="225"/>
      <c r="MXT118" s="225"/>
      <c r="MXU118" s="225"/>
      <c r="MXV118" s="225"/>
      <c r="MXW118" s="225"/>
      <c r="MXX118" s="225"/>
      <c r="MXY118" s="225"/>
      <c r="MXZ118" s="225"/>
      <c r="MYA118" s="225"/>
      <c r="MYB118" s="225"/>
      <c r="MYC118" s="225"/>
      <c r="MYD118" s="225"/>
      <c r="MYE118" s="225"/>
      <c r="MYF118" s="225"/>
      <c r="MYG118" s="225"/>
      <c r="MYH118" s="225"/>
      <c r="MYI118" s="225"/>
      <c r="MYJ118" s="225"/>
      <c r="MYK118" s="225"/>
      <c r="MYL118" s="225"/>
      <c r="MYM118" s="225"/>
      <c r="MYN118" s="225"/>
      <c r="MYO118" s="225"/>
      <c r="MYP118" s="225"/>
      <c r="MYQ118" s="225"/>
      <c r="MYR118" s="225"/>
      <c r="MYS118" s="225"/>
      <c r="MYT118" s="225"/>
      <c r="MYU118" s="225"/>
      <c r="MYV118" s="225"/>
      <c r="MYW118" s="225"/>
      <c r="MYX118" s="225"/>
      <c r="MYY118" s="225"/>
      <c r="MYZ118" s="225"/>
      <c r="MZA118" s="225"/>
      <c r="MZB118" s="225"/>
      <c r="MZC118" s="225"/>
      <c r="MZD118" s="225"/>
      <c r="MZE118" s="225"/>
      <c r="MZF118" s="225"/>
      <c r="MZG118" s="225"/>
      <c r="MZH118" s="225"/>
      <c r="MZI118" s="225"/>
      <c r="MZJ118" s="225"/>
      <c r="MZK118" s="225"/>
      <c r="MZL118" s="225"/>
      <c r="MZM118" s="225"/>
      <c r="MZN118" s="225"/>
      <c r="MZO118" s="225"/>
      <c r="MZP118" s="225"/>
      <c r="MZQ118" s="225"/>
      <c r="MZR118" s="225"/>
      <c r="MZS118" s="225"/>
      <c r="MZT118" s="225"/>
      <c r="MZU118" s="225"/>
      <c r="MZV118" s="225"/>
      <c r="MZW118" s="225"/>
      <c r="MZX118" s="225"/>
      <c r="MZY118" s="225"/>
      <c r="MZZ118" s="225"/>
      <c r="NAA118" s="225"/>
      <c r="NAB118" s="225"/>
      <c r="NAC118" s="225"/>
      <c r="NAD118" s="225"/>
      <c r="NAE118" s="225"/>
      <c r="NAF118" s="225"/>
      <c r="NAG118" s="225"/>
      <c r="NAH118" s="225"/>
      <c r="NAI118" s="225"/>
      <c r="NAJ118" s="225"/>
      <c r="NAK118" s="225"/>
      <c r="NAL118" s="225"/>
      <c r="NAM118" s="225"/>
      <c r="NAN118" s="225"/>
      <c r="NAO118" s="225"/>
      <c r="NAP118" s="225"/>
      <c r="NAQ118" s="225"/>
      <c r="NAR118" s="225"/>
      <c r="NAS118" s="225"/>
      <c r="NAT118" s="225"/>
      <c r="NAU118" s="225"/>
      <c r="NAV118" s="225"/>
      <c r="NAW118" s="225"/>
      <c r="NAX118" s="225"/>
      <c r="NAY118" s="225"/>
      <c r="NAZ118" s="225"/>
      <c r="NBA118" s="225"/>
      <c r="NBB118" s="225"/>
      <c r="NBC118" s="225"/>
      <c r="NBD118" s="225"/>
      <c r="NBE118" s="225"/>
      <c r="NBF118" s="225"/>
      <c r="NBG118" s="225"/>
      <c r="NBH118" s="225"/>
      <c r="NBI118" s="225"/>
      <c r="NBJ118" s="225"/>
      <c r="NBK118" s="225"/>
      <c r="NBL118" s="225"/>
      <c r="NBM118" s="225"/>
      <c r="NBN118" s="225"/>
      <c r="NBO118" s="225"/>
      <c r="NBP118" s="225"/>
      <c r="NBQ118" s="225"/>
      <c r="NBR118" s="225"/>
      <c r="NBS118" s="225"/>
      <c r="NBT118" s="225"/>
      <c r="NBU118" s="225"/>
      <c r="NBV118" s="225"/>
      <c r="NBW118" s="225"/>
      <c r="NBX118" s="225"/>
      <c r="NBY118" s="225"/>
      <c r="NBZ118" s="225"/>
      <c r="NCA118" s="225"/>
      <c r="NCB118" s="225"/>
      <c r="NCC118" s="225"/>
      <c r="NCD118" s="225"/>
      <c r="NCE118" s="225"/>
      <c r="NCF118" s="225"/>
      <c r="NCG118" s="225"/>
      <c r="NCH118" s="225"/>
      <c r="NCI118" s="225"/>
      <c r="NCJ118" s="225"/>
      <c r="NCK118" s="225"/>
      <c r="NCL118" s="225"/>
      <c r="NCM118" s="225"/>
      <c r="NCN118" s="225"/>
      <c r="NCO118" s="225"/>
      <c r="NCP118" s="225"/>
      <c r="NCQ118" s="225"/>
      <c r="NCR118" s="225"/>
      <c r="NCS118" s="225"/>
      <c r="NCT118" s="225"/>
      <c r="NCU118" s="225"/>
      <c r="NCV118" s="225"/>
      <c r="NCW118" s="225"/>
      <c r="NCX118" s="225"/>
      <c r="NCY118" s="225"/>
      <c r="NCZ118" s="225"/>
      <c r="NDA118" s="225"/>
      <c r="NDB118" s="225"/>
      <c r="NDC118" s="225"/>
      <c r="NDD118" s="225"/>
      <c r="NDE118" s="225"/>
      <c r="NDF118" s="225"/>
      <c r="NDG118" s="225"/>
      <c r="NDH118" s="225"/>
      <c r="NDI118" s="225"/>
      <c r="NDJ118" s="225"/>
      <c r="NDK118" s="225"/>
      <c r="NDL118" s="225"/>
      <c r="NDM118" s="225"/>
      <c r="NDN118" s="225"/>
      <c r="NDO118" s="225"/>
      <c r="NDP118" s="225"/>
      <c r="NDQ118" s="225"/>
      <c r="NDR118" s="225"/>
      <c r="NDS118" s="225"/>
      <c r="NDT118" s="225"/>
      <c r="NDU118" s="225"/>
      <c r="NDV118" s="225"/>
      <c r="NDW118" s="225"/>
      <c r="NDX118" s="225"/>
      <c r="NDY118" s="225"/>
      <c r="NDZ118" s="225"/>
      <c r="NEA118" s="225"/>
      <c r="NEB118" s="225"/>
      <c r="NEC118" s="225"/>
      <c r="NED118" s="225"/>
      <c r="NEE118" s="225"/>
      <c r="NEF118" s="225"/>
      <c r="NEG118" s="225"/>
      <c r="NEH118" s="225"/>
      <c r="NEI118" s="225"/>
      <c r="NEJ118" s="225"/>
      <c r="NEK118" s="225"/>
      <c r="NEL118" s="225"/>
      <c r="NEM118" s="225"/>
      <c r="NEN118" s="225"/>
      <c r="NEO118" s="225"/>
      <c r="NEP118" s="225"/>
      <c r="NEQ118" s="225"/>
      <c r="NER118" s="225"/>
      <c r="NES118" s="225"/>
      <c r="NET118" s="225"/>
      <c r="NEU118" s="225"/>
      <c r="NEV118" s="225"/>
      <c r="NEW118" s="225"/>
      <c r="NEX118" s="225"/>
      <c r="NEY118" s="225"/>
      <c r="NEZ118" s="225"/>
      <c r="NFA118" s="225"/>
      <c r="NFB118" s="225"/>
      <c r="NFC118" s="225"/>
      <c r="NFD118" s="225"/>
      <c r="NFE118" s="225"/>
      <c r="NFF118" s="225"/>
      <c r="NFG118" s="225"/>
      <c r="NFH118" s="225"/>
      <c r="NFI118" s="225"/>
      <c r="NFJ118" s="225"/>
      <c r="NFK118" s="225"/>
      <c r="NFL118" s="225"/>
      <c r="NFM118" s="225"/>
      <c r="NFN118" s="225"/>
      <c r="NFO118" s="225"/>
      <c r="NFP118" s="225"/>
      <c r="NFQ118" s="225"/>
      <c r="NFR118" s="225"/>
      <c r="NFS118" s="225"/>
      <c r="NFT118" s="225"/>
      <c r="NFU118" s="225"/>
      <c r="NFV118" s="225"/>
      <c r="NFW118" s="225"/>
      <c r="NFX118" s="225"/>
      <c r="NFY118" s="225"/>
      <c r="NFZ118" s="225"/>
      <c r="NGA118" s="225"/>
      <c r="NGB118" s="225"/>
      <c r="NGC118" s="225"/>
      <c r="NGD118" s="225"/>
      <c r="NGE118" s="225"/>
      <c r="NGF118" s="225"/>
      <c r="NGG118" s="225"/>
      <c r="NGH118" s="225"/>
      <c r="NGI118" s="225"/>
      <c r="NGJ118" s="225"/>
      <c r="NGK118" s="225"/>
      <c r="NGL118" s="225"/>
      <c r="NGM118" s="225"/>
      <c r="NGN118" s="225"/>
      <c r="NGO118" s="225"/>
      <c r="NGP118" s="225"/>
      <c r="NGQ118" s="225"/>
      <c r="NGR118" s="225"/>
      <c r="NGS118" s="225"/>
      <c r="NGT118" s="225"/>
      <c r="NGU118" s="225"/>
      <c r="NGV118" s="225"/>
      <c r="NGW118" s="225"/>
      <c r="NGX118" s="225"/>
      <c r="NGY118" s="225"/>
      <c r="NGZ118" s="225"/>
      <c r="NHA118" s="225"/>
      <c r="NHB118" s="225"/>
      <c r="NHC118" s="225"/>
      <c r="NHD118" s="225"/>
      <c r="NHE118" s="225"/>
      <c r="NHF118" s="225"/>
      <c r="NHG118" s="225"/>
      <c r="NHH118" s="225"/>
      <c r="NHI118" s="225"/>
      <c r="NHJ118" s="225"/>
      <c r="NHK118" s="225"/>
      <c r="NHL118" s="225"/>
      <c r="NHM118" s="225"/>
      <c r="NHN118" s="225"/>
      <c r="NHO118" s="225"/>
      <c r="NHP118" s="225"/>
      <c r="NHQ118" s="225"/>
      <c r="NHR118" s="225"/>
      <c r="NHS118" s="225"/>
      <c r="NHT118" s="225"/>
      <c r="NHU118" s="225"/>
      <c r="NHV118" s="225"/>
      <c r="NHW118" s="225"/>
      <c r="NHX118" s="225"/>
      <c r="NHY118" s="225"/>
      <c r="NHZ118" s="225"/>
      <c r="NIA118" s="225"/>
      <c r="NIB118" s="225"/>
      <c r="NIC118" s="225"/>
      <c r="NID118" s="225"/>
      <c r="NIE118" s="225"/>
      <c r="NIF118" s="225"/>
      <c r="NIG118" s="225"/>
      <c r="NIH118" s="225"/>
      <c r="NII118" s="225"/>
      <c r="NIJ118" s="225"/>
      <c r="NIK118" s="225"/>
      <c r="NIL118" s="225"/>
      <c r="NIM118" s="225"/>
      <c r="NIN118" s="225"/>
      <c r="NIO118" s="225"/>
      <c r="NIP118" s="225"/>
      <c r="NIQ118" s="225"/>
      <c r="NIR118" s="225"/>
      <c r="NIS118" s="225"/>
      <c r="NIT118" s="225"/>
      <c r="NIU118" s="225"/>
      <c r="NIV118" s="225"/>
      <c r="NIW118" s="225"/>
      <c r="NIX118" s="225"/>
      <c r="NIY118" s="225"/>
      <c r="NIZ118" s="225"/>
      <c r="NJA118" s="225"/>
      <c r="NJB118" s="225"/>
      <c r="NJC118" s="225"/>
      <c r="NJD118" s="225"/>
      <c r="NJE118" s="225"/>
      <c r="NJF118" s="225"/>
      <c r="NJG118" s="225"/>
      <c r="NJH118" s="225"/>
      <c r="NJI118" s="225"/>
      <c r="NJJ118" s="225"/>
      <c r="NJK118" s="225"/>
      <c r="NJL118" s="225"/>
      <c r="NJM118" s="225"/>
      <c r="NJN118" s="225"/>
      <c r="NJO118" s="225"/>
      <c r="NJP118" s="225"/>
      <c r="NJQ118" s="225"/>
      <c r="NJR118" s="225"/>
      <c r="NJS118" s="225"/>
      <c r="NJT118" s="225"/>
      <c r="NJU118" s="225"/>
      <c r="NJV118" s="225"/>
      <c r="NJW118" s="225"/>
      <c r="NJX118" s="225"/>
      <c r="NJY118" s="225"/>
      <c r="NJZ118" s="225"/>
      <c r="NKA118" s="225"/>
      <c r="NKB118" s="225"/>
      <c r="NKC118" s="225"/>
      <c r="NKD118" s="225"/>
      <c r="NKE118" s="225"/>
      <c r="NKF118" s="225"/>
      <c r="NKG118" s="225"/>
      <c r="NKH118" s="225"/>
      <c r="NKI118" s="225"/>
      <c r="NKJ118" s="225"/>
      <c r="NKK118" s="225"/>
      <c r="NKL118" s="225"/>
      <c r="NKM118" s="225"/>
      <c r="NKN118" s="225"/>
      <c r="NKO118" s="225"/>
      <c r="NKP118" s="225"/>
      <c r="NKQ118" s="225"/>
      <c r="NKR118" s="225"/>
      <c r="NKS118" s="225"/>
      <c r="NKT118" s="225"/>
      <c r="NKU118" s="225"/>
      <c r="NKV118" s="225"/>
      <c r="NKW118" s="225"/>
      <c r="NKX118" s="225"/>
      <c r="NKY118" s="225"/>
      <c r="NKZ118" s="225"/>
      <c r="NLA118" s="225"/>
      <c r="NLB118" s="225"/>
      <c r="NLC118" s="225"/>
      <c r="NLD118" s="225"/>
      <c r="NLE118" s="225"/>
      <c r="NLF118" s="225"/>
      <c r="NLG118" s="225"/>
      <c r="NLH118" s="225"/>
      <c r="NLI118" s="225"/>
      <c r="NLJ118" s="225"/>
      <c r="NLK118" s="225"/>
      <c r="NLL118" s="225"/>
      <c r="NLM118" s="225"/>
      <c r="NLN118" s="225"/>
      <c r="NLO118" s="225"/>
      <c r="NLP118" s="225"/>
      <c r="NLQ118" s="225"/>
      <c r="NLR118" s="225"/>
      <c r="NLS118" s="225"/>
      <c r="NLT118" s="225"/>
      <c r="NLU118" s="225"/>
      <c r="NLV118" s="225"/>
      <c r="NLW118" s="225"/>
      <c r="NLX118" s="225"/>
      <c r="NLY118" s="225"/>
      <c r="NLZ118" s="225"/>
      <c r="NMA118" s="225"/>
      <c r="NMB118" s="225"/>
      <c r="NMC118" s="225"/>
      <c r="NMD118" s="225"/>
      <c r="NME118" s="225"/>
      <c r="NMF118" s="225"/>
      <c r="NMG118" s="225"/>
      <c r="NMH118" s="225"/>
      <c r="NMI118" s="225"/>
      <c r="NMJ118" s="225"/>
      <c r="NMK118" s="225"/>
      <c r="NML118" s="225"/>
      <c r="NMM118" s="225"/>
      <c r="NMN118" s="225"/>
      <c r="NMO118" s="225"/>
      <c r="NMP118" s="225"/>
      <c r="NMQ118" s="225"/>
      <c r="NMR118" s="225"/>
      <c r="NMS118" s="225"/>
      <c r="NMT118" s="225"/>
      <c r="NMU118" s="225"/>
      <c r="NMV118" s="225"/>
      <c r="NMW118" s="225"/>
      <c r="NMX118" s="225"/>
      <c r="NMY118" s="225"/>
      <c r="NMZ118" s="225"/>
      <c r="NNA118" s="225"/>
      <c r="NNB118" s="225"/>
      <c r="NNC118" s="225"/>
      <c r="NND118" s="225"/>
      <c r="NNE118" s="225"/>
      <c r="NNF118" s="225"/>
      <c r="NNG118" s="225"/>
      <c r="NNH118" s="225"/>
      <c r="NNI118" s="225"/>
      <c r="NNJ118" s="225"/>
      <c r="NNK118" s="225"/>
      <c r="NNL118" s="225"/>
      <c r="NNM118" s="225"/>
      <c r="NNN118" s="225"/>
      <c r="NNO118" s="225"/>
      <c r="NNP118" s="225"/>
      <c r="NNQ118" s="225"/>
      <c r="NNR118" s="225"/>
      <c r="NNS118" s="225"/>
      <c r="NNT118" s="225"/>
      <c r="NNU118" s="225"/>
      <c r="NNV118" s="225"/>
      <c r="NNW118" s="225"/>
      <c r="NNX118" s="225"/>
      <c r="NNY118" s="225"/>
      <c r="NNZ118" s="225"/>
      <c r="NOA118" s="225"/>
      <c r="NOB118" s="225"/>
      <c r="NOC118" s="225"/>
      <c r="NOD118" s="225"/>
      <c r="NOE118" s="225"/>
      <c r="NOF118" s="225"/>
      <c r="NOG118" s="225"/>
      <c r="NOH118" s="225"/>
      <c r="NOI118" s="225"/>
      <c r="NOJ118" s="225"/>
      <c r="NOK118" s="225"/>
      <c r="NOL118" s="225"/>
      <c r="NOM118" s="225"/>
      <c r="NON118" s="225"/>
      <c r="NOO118" s="225"/>
      <c r="NOP118" s="225"/>
      <c r="NOQ118" s="225"/>
      <c r="NOR118" s="225"/>
      <c r="NOS118" s="225"/>
      <c r="NOT118" s="225"/>
      <c r="NOU118" s="225"/>
      <c r="NOV118" s="225"/>
      <c r="NOW118" s="225"/>
      <c r="NOX118" s="225"/>
      <c r="NOY118" s="225"/>
      <c r="NOZ118" s="225"/>
      <c r="NPA118" s="225"/>
      <c r="NPB118" s="225"/>
      <c r="NPC118" s="225"/>
      <c r="NPD118" s="225"/>
      <c r="NPE118" s="225"/>
      <c r="NPF118" s="225"/>
      <c r="NPG118" s="225"/>
      <c r="NPH118" s="225"/>
      <c r="NPI118" s="225"/>
      <c r="NPJ118" s="225"/>
      <c r="NPK118" s="225"/>
      <c r="NPL118" s="225"/>
      <c r="NPM118" s="225"/>
      <c r="NPN118" s="225"/>
      <c r="NPO118" s="225"/>
      <c r="NPP118" s="225"/>
      <c r="NPQ118" s="225"/>
      <c r="NPR118" s="225"/>
      <c r="NPS118" s="225"/>
      <c r="NPT118" s="225"/>
      <c r="NPU118" s="225"/>
      <c r="NPV118" s="225"/>
      <c r="NPW118" s="225"/>
      <c r="NPX118" s="225"/>
      <c r="NPY118" s="225"/>
      <c r="NPZ118" s="225"/>
      <c r="NQA118" s="225"/>
      <c r="NQB118" s="225"/>
      <c r="NQC118" s="225"/>
      <c r="NQD118" s="225"/>
      <c r="NQE118" s="225"/>
      <c r="NQF118" s="225"/>
      <c r="NQG118" s="225"/>
      <c r="NQH118" s="225"/>
      <c r="NQI118" s="225"/>
      <c r="NQJ118" s="225"/>
      <c r="NQK118" s="225"/>
      <c r="NQL118" s="225"/>
      <c r="NQM118" s="225"/>
      <c r="NQN118" s="225"/>
      <c r="NQO118" s="225"/>
      <c r="NQP118" s="225"/>
      <c r="NQQ118" s="225"/>
      <c r="NQR118" s="225"/>
      <c r="NQS118" s="225"/>
      <c r="NQT118" s="225"/>
      <c r="NQU118" s="225"/>
      <c r="NQV118" s="225"/>
      <c r="NQW118" s="225"/>
      <c r="NQX118" s="225"/>
      <c r="NQY118" s="225"/>
      <c r="NQZ118" s="225"/>
      <c r="NRA118" s="225"/>
      <c r="NRB118" s="225"/>
      <c r="NRC118" s="225"/>
      <c r="NRD118" s="225"/>
      <c r="NRE118" s="225"/>
      <c r="NRF118" s="225"/>
      <c r="NRG118" s="225"/>
      <c r="NRH118" s="225"/>
      <c r="NRI118" s="225"/>
      <c r="NRJ118" s="225"/>
      <c r="NRK118" s="225"/>
      <c r="NRL118" s="225"/>
      <c r="NRM118" s="225"/>
      <c r="NRN118" s="225"/>
      <c r="NRO118" s="225"/>
      <c r="NRP118" s="225"/>
      <c r="NRQ118" s="225"/>
      <c r="NRR118" s="225"/>
      <c r="NRS118" s="225"/>
      <c r="NRT118" s="225"/>
      <c r="NRU118" s="225"/>
      <c r="NRV118" s="225"/>
      <c r="NRW118" s="225"/>
      <c r="NRX118" s="225"/>
      <c r="NRY118" s="225"/>
      <c r="NRZ118" s="225"/>
      <c r="NSA118" s="225"/>
      <c r="NSB118" s="225"/>
      <c r="NSC118" s="225"/>
      <c r="NSD118" s="225"/>
      <c r="NSE118" s="225"/>
      <c r="NSF118" s="225"/>
      <c r="NSG118" s="225"/>
      <c r="NSH118" s="225"/>
      <c r="NSI118" s="225"/>
      <c r="NSJ118" s="225"/>
      <c r="NSK118" s="225"/>
      <c r="NSL118" s="225"/>
      <c r="NSM118" s="225"/>
      <c r="NSN118" s="225"/>
      <c r="NSO118" s="225"/>
      <c r="NSP118" s="225"/>
      <c r="NSQ118" s="225"/>
      <c r="NSR118" s="225"/>
      <c r="NSS118" s="225"/>
      <c r="NST118" s="225"/>
      <c r="NSU118" s="225"/>
      <c r="NSV118" s="225"/>
      <c r="NSW118" s="225"/>
      <c r="NSX118" s="225"/>
      <c r="NSY118" s="225"/>
      <c r="NSZ118" s="225"/>
      <c r="NTA118" s="225"/>
      <c r="NTB118" s="225"/>
      <c r="NTC118" s="225"/>
      <c r="NTD118" s="225"/>
      <c r="NTE118" s="225"/>
      <c r="NTF118" s="225"/>
      <c r="NTG118" s="225"/>
      <c r="NTH118" s="225"/>
      <c r="NTI118" s="225"/>
      <c r="NTJ118" s="225"/>
      <c r="NTK118" s="225"/>
      <c r="NTL118" s="225"/>
      <c r="NTM118" s="225"/>
      <c r="NTN118" s="225"/>
      <c r="NTO118" s="225"/>
      <c r="NTP118" s="225"/>
      <c r="NTQ118" s="225"/>
      <c r="NTR118" s="225"/>
      <c r="NTS118" s="225"/>
      <c r="NTT118" s="225"/>
      <c r="NTU118" s="225"/>
      <c r="NTV118" s="225"/>
      <c r="NTW118" s="225"/>
      <c r="NTX118" s="225"/>
      <c r="NTY118" s="225"/>
      <c r="NTZ118" s="225"/>
      <c r="NUA118" s="225"/>
      <c r="NUB118" s="225"/>
      <c r="NUC118" s="225"/>
      <c r="NUD118" s="225"/>
      <c r="NUE118" s="225"/>
      <c r="NUF118" s="225"/>
      <c r="NUG118" s="225"/>
      <c r="NUH118" s="225"/>
      <c r="NUI118" s="225"/>
      <c r="NUJ118" s="225"/>
      <c r="NUK118" s="225"/>
      <c r="NUL118" s="225"/>
      <c r="NUM118" s="225"/>
      <c r="NUN118" s="225"/>
      <c r="NUO118" s="225"/>
      <c r="NUP118" s="225"/>
      <c r="NUQ118" s="225"/>
      <c r="NUR118" s="225"/>
      <c r="NUS118" s="225"/>
      <c r="NUT118" s="225"/>
      <c r="NUU118" s="225"/>
      <c r="NUV118" s="225"/>
      <c r="NUW118" s="225"/>
      <c r="NUX118" s="225"/>
      <c r="NUY118" s="225"/>
      <c r="NUZ118" s="225"/>
      <c r="NVA118" s="225"/>
      <c r="NVB118" s="225"/>
      <c r="NVC118" s="225"/>
      <c r="NVD118" s="225"/>
      <c r="NVE118" s="225"/>
      <c r="NVF118" s="225"/>
      <c r="NVG118" s="225"/>
      <c r="NVH118" s="225"/>
      <c r="NVI118" s="225"/>
      <c r="NVJ118" s="225"/>
      <c r="NVK118" s="225"/>
      <c r="NVL118" s="225"/>
      <c r="NVM118" s="225"/>
      <c r="NVN118" s="225"/>
      <c r="NVO118" s="225"/>
      <c r="NVP118" s="225"/>
      <c r="NVQ118" s="225"/>
      <c r="NVR118" s="225"/>
      <c r="NVS118" s="225"/>
      <c r="NVT118" s="225"/>
      <c r="NVU118" s="225"/>
      <c r="NVV118" s="225"/>
      <c r="NVW118" s="225"/>
      <c r="NVX118" s="225"/>
      <c r="NVY118" s="225"/>
      <c r="NVZ118" s="225"/>
      <c r="NWA118" s="225"/>
      <c r="NWB118" s="225"/>
      <c r="NWC118" s="225"/>
      <c r="NWD118" s="225"/>
      <c r="NWE118" s="225"/>
      <c r="NWF118" s="225"/>
      <c r="NWG118" s="225"/>
      <c r="NWH118" s="225"/>
      <c r="NWI118" s="225"/>
      <c r="NWJ118" s="225"/>
      <c r="NWK118" s="225"/>
      <c r="NWL118" s="225"/>
      <c r="NWM118" s="225"/>
      <c r="NWN118" s="225"/>
      <c r="NWO118" s="225"/>
      <c r="NWP118" s="225"/>
      <c r="NWQ118" s="225"/>
      <c r="NWR118" s="225"/>
      <c r="NWS118" s="225"/>
      <c r="NWT118" s="225"/>
      <c r="NWU118" s="225"/>
      <c r="NWV118" s="225"/>
      <c r="NWW118" s="225"/>
      <c r="NWX118" s="225"/>
      <c r="NWY118" s="225"/>
      <c r="NWZ118" s="225"/>
      <c r="NXA118" s="225"/>
      <c r="NXB118" s="225"/>
      <c r="NXC118" s="225"/>
      <c r="NXD118" s="225"/>
      <c r="NXE118" s="225"/>
      <c r="NXF118" s="225"/>
      <c r="NXG118" s="225"/>
      <c r="NXH118" s="225"/>
      <c r="NXI118" s="225"/>
      <c r="NXJ118" s="225"/>
      <c r="NXK118" s="225"/>
      <c r="NXL118" s="225"/>
      <c r="NXM118" s="225"/>
      <c r="NXN118" s="225"/>
      <c r="NXO118" s="225"/>
      <c r="NXP118" s="225"/>
      <c r="NXQ118" s="225"/>
      <c r="NXR118" s="225"/>
      <c r="NXS118" s="225"/>
      <c r="NXT118" s="225"/>
      <c r="NXU118" s="225"/>
      <c r="NXV118" s="225"/>
      <c r="NXW118" s="225"/>
      <c r="NXX118" s="225"/>
      <c r="NXY118" s="225"/>
      <c r="NXZ118" s="225"/>
      <c r="NYA118" s="225"/>
      <c r="NYB118" s="225"/>
      <c r="NYC118" s="225"/>
      <c r="NYD118" s="225"/>
      <c r="NYE118" s="225"/>
      <c r="NYF118" s="225"/>
      <c r="NYG118" s="225"/>
      <c r="NYH118" s="225"/>
      <c r="NYI118" s="225"/>
      <c r="NYJ118" s="225"/>
      <c r="NYK118" s="225"/>
      <c r="NYL118" s="225"/>
      <c r="NYM118" s="225"/>
      <c r="NYN118" s="225"/>
      <c r="NYO118" s="225"/>
      <c r="NYP118" s="225"/>
      <c r="NYQ118" s="225"/>
      <c r="NYR118" s="225"/>
      <c r="NYS118" s="225"/>
      <c r="NYT118" s="225"/>
      <c r="NYU118" s="225"/>
      <c r="NYV118" s="225"/>
      <c r="NYW118" s="225"/>
      <c r="NYX118" s="225"/>
      <c r="NYY118" s="225"/>
      <c r="NYZ118" s="225"/>
      <c r="NZA118" s="225"/>
      <c r="NZB118" s="225"/>
      <c r="NZC118" s="225"/>
      <c r="NZD118" s="225"/>
      <c r="NZE118" s="225"/>
      <c r="NZF118" s="225"/>
      <c r="NZG118" s="225"/>
      <c r="NZH118" s="225"/>
      <c r="NZI118" s="225"/>
      <c r="NZJ118" s="225"/>
      <c r="NZK118" s="225"/>
      <c r="NZL118" s="225"/>
      <c r="NZM118" s="225"/>
      <c r="NZN118" s="225"/>
      <c r="NZO118" s="225"/>
      <c r="NZP118" s="225"/>
      <c r="NZQ118" s="225"/>
      <c r="NZR118" s="225"/>
      <c r="NZS118" s="225"/>
      <c r="NZT118" s="225"/>
      <c r="NZU118" s="225"/>
      <c r="NZV118" s="225"/>
      <c r="NZW118" s="225"/>
      <c r="NZX118" s="225"/>
      <c r="NZY118" s="225"/>
      <c r="NZZ118" s="225"/>
      <c r="OAA118" s="225"/>
      <c r="OAB118" s="225"/>
      <c r="OAC118" s="225"/>
      <c r="OAD118" s="225"/>
      <c r="OAE118" s="225"/>
      <c r="OAF118" s="225"/>
      <c r="OAG118" s="225"/>
      <c r="OAH118" s="225"/>
      <c r="OAI118" s="225"/>
      <c r="OAJ118" s="225"/>
      <c r="OAK118" s="225"/>
      <c r="OAL118" s="225"/>
      <c r="OAM118" s="225"/>
      <c r="OAN118" s="225"/>
      <c r="OAO118" s="225"/>
      <c r="OAP118" s="225"/>
      <c r="OAQ118" s="225"/>
      <c r="OAR118" s="225"/>
      <c r="OAS118" s="225"/>
      <c r="OAT118" s="225"/>
      <c r="OAU118" s="225"/>
      <c r="OAV118" s="225"/>
      <c r="OAW118" s="225"/>
      <c r="OAX118" s="225"/>
      <c r="OAY118" s="225"/>
      <c r="OAZ118" s="225"/>
      <c r="OBA118" s="225"/>
      <c r="OBB118" s="225"/>
      <c r="OBC118" s="225"/>
      <c r="OBD118" s="225"/>
      <c r="OBE118" s="225"/>
      <c r="OBF118" s="225"/>
      <c r="OBG118" s="225"/>
      <c r="OBH118" s="225"/>
      <c r="OBI118" s="225"/>
      <c r="OBJ118" s="225"/>
      <c r="OBK118" s="225"/>
      <c r="OBL118" s="225"/>
      <c r="OBM118" s="225"/>
      <c r="OBN118" s="225"/>
      <c r="OBO118" s="225"/>
      <c r="OBP118" s="225"/>
      <c r="OBQ118" s="225"/>
      <c r="OBR118" s="225"/>
      <c r="OBS118" s="225"/>
      <c r="OBT118" s="225"/>
      <c r="OBU118" s="225"/>
      <c r="OBV118" s="225"/>
      <c r="OBW118" s="225"/>
      <c r="OBX118" s="225"/>
      <c r="OBY118" s="225"/>
      <c r="OBZ118" s="225"/>
      <c r="OCA118" s="225"/>
      <c r="OCB118" s="225"/>
      <c r="OCC118" s="225"/>
      <c r="OCD118" s="225"/>
      <c r="OCE118" s="225"/>
      <c r="OCF118" s="225"/>
      <c r="OCG118" s="225"/>
      <c r="OCH118" s="225"/>
      <c r="OCI118" s="225"/>
      <c r="OCJ118" s="225"/>
      <c r="OCK118" s="225"/>
      <c r="OCL118" s="225"/>
      <c r="OCM118" s="225"/>
      <c r="OCN118" s="225"/>
      <c r="OCO118" s="225"/>
      <c r="OCP118" s="225"/>
      <c r="OCQ118" s="225"/>
      <c r="OCR118" s="225"/>
      <c r="OCS118" s="225"/>
      <c r="OCT118" s="225"/>
      <c r="OCU118" s="225"/>
      <c r="OCV118" s="225"/>
      <c r="OCW118" s="225"/>
      <c r="OCX118" s="225"/>
      <c r="OCY118" s="225"/>
      <c r="OCZ118" s="225"/>
      <c r="ODA118" s="225"/>
      <c r="ODB118" s="225"/>
      <c r="ODC118" s="225"/>
      <c r="ODD118" s="225"/>
      <c r="ODE118" s="225"/>
      <c r="ODF118" s="225"/>
      <c r="ODG118" s="225"/>
      <c r="ODH118" s="225"/>
      <c r="ODI118" s="225"/>
      <c r="ODJ118" s="225"/>
      <c r="ODK118" s="225"/>
      <c r="ODL118" s="225"/>
      <c r="ODM118" s="225"/>
      <c r="ODN118" s="225"/>
      <c r="ODO118" s="225"/>
      <c r="ODP118" s="225"/>
      <c r="ODQ118" s="225"/>
      <c r="ODR118" s="225"/>
      <c r="ODS118" s="225"/>
      <c r="ODT118" s="225"/>
      <c r="ODU118" s="225"/>
      <c r="ODV118" s="225"/>
      <c r="ODW118" s="225"/>
      <c r="ODX118" s="225"/>
      <c r="ODY118" s="225"/>
      <c r="ODZ118" s="225"/>
      <c r="OEA118" s="225"/>
      <c r="OEB118" s="225"/>
      <c r="OEC118" s="225"/>
      <c r="OED118" s="225"/>
      <c r="OEE118" s="225"/>
      <c r="OEF118" s="225"/>
      <c r="OEG118" s="225"/>
      <c r="OEH118" s="225"/>
      <c r="OEI118" s="225"/>
      <c r="OEJ118" s="225"/>
      <c r="OEK118" s="225"/>
      <c r="OEL118" s="225"/>
      <c r="OEM118" s="225"/>
      <c r="OEN118" s="225"/>
      <c r="OEO118" s="225"/>
      <c r="OEP118" s="225"/>
      <c r="OEQ118" s="225"/>
      <c r="OER118" s="225"/>
      <c r="OES118" s="225"/>
      <c r="OET118" s="225"/>
      <c r="OEU118" s="225"/>
      <c r="OEV118" s="225"/>
      <c r="OEW118" s="225"/>
      <c r="OEX118" s="225"/>
      <c r="OEY118" s="225"/>
      <c r="OEZ118" s="225"/>
      <c r="OFA118" s="225"/>
      <c r="OFB118" s="225"/>
      <c r="OFC118" s="225"/>
      <c r="OFD118" s="225"/>
      <c r="OFE118" s="225"/>
      <c r="OFF118" s="225"/>
      <c r="OFG118" s="225"/>
      <c r="OFH118" s="225"/>
      <c r="OFI118" s="225"/>
      <c r="OFJ118" s="225"/>
      <c r="OFK118" s="225"/>
      <c r="OFL118" s="225"/>
      <c r="OFM118" s="225"/>
      <c r="OFN118" s="225"/>
      <c r="OFO118" s="225"/>
      <c r="OFP118" s="225"/>
      <c r="OFQ118" s="225"/>
      <c r="OFR118" s="225"/>
      <c r="OFS118" s="225"/>
      <c r="OFT118" s="225"/>
      <c r="OFU118" s="225"/>
      <c r="OFV118" s="225"/>
      <c r="OFW118" s="225"/>
      <c r="OFX118" s="225"/>
      <c r="OFY118" s="225"/>
      <c r="OFZ118" s="225"/>
      <c r="OGA118" s="225"/>
      <c r="OGB118" s="225"/>
      <c r="OGC118" s="225"/>
      <c r="OGD118" s="225"/>
      <c r="OGE118" s="225"/>
      <c r="OGF118" s="225"/>
      <c r="OGG118" s="225"/>
      <c r="OGH118" s="225"/>
      <c r="OGI118" s="225"/>
      <c r="OGJ118" s="225"/>
      <c r="OGK118" s="225"/>
      <c r="OGL118" s="225"/>
      <c r="OGM118" s="225"/>
      <c r="OGN118" s="225"/>
      <c r="OGO118" s="225"/>
      <c r="OGP118" s="225"/>
      <c r="OGQ118" s="225"/>
      <c r="OGR118" s="225"/>
      <c r="OGS118" s="225"/>
      <c r="OGT118" s="225"/>
      <c r="OGU118" s="225"/>
      <c r="OGV118" s="225"/>
      <c r="OGW118" s="225"/>
      <c r="OGX118" s="225"/>
      <c r="OGY118" s="225"/>
      <c r="OGZ118" s="225"/>
      <c r="OHA118" s="225"/>
      <c r="OHB118" s="225"/>
      <c r="OHC118" s="225"/>
      <c r="OHD118" s="225"/>
      <c r="OHE118" s="225"/>
      <c r="OHF118" s="225"/>
      <c r="OHG118" s="225"/>
      <c r="OHH118" s="225"/>
      <c r="OHI118" s="225"/>
      <c r="OHJ118" s="225"/>
      <c r="OHK118" s="225"/>
      <c r="OHL118" s="225"/>
      <c r="OHM118" s="225"/>
      <c r="OHN118" s="225"/>
      <c r="OHO118" s="225"/>
      <c r="OHP118" s="225"/>
      <c r="OHQ118" s="225"/>
      <c r="OHR118" s="225"/>
      <c r="OHS118" s="225"/>
      <c r="OHT118" s="225"/>
      <c r="OHU118" s="225"/>
      <c r="OHV118" s="225"/>
      <c r="OHW118" s="225"/>
      <c r="OHX118" s="225"/>
      <c r="OHY118" s="225"/>
      <c r="OHZ118" s="225"/>
      <c r="OIA118" s="225"/>
      <c r="OIB118" s="225"/>
      <c r="OIC118" s="225"/>
      <c r="OID118" s="225"/>
      <c r="OIE118" s="225"/>
      <c r="OIF118" s="225"/>
      <c r="OIG118" s="225"/>
      <c r="OIH118" s="225"/>
      <c r="OII118" s="225"/>
      <c r="OIJ118" s="225"/>
      <c r="OIK118" s="225"/>
      <c r="OIL118" s="225"/>
      <c r="OIM118" s="225"/>
      <c r="OIN118" s="225"/>
      <c r="OIO118" s="225"/>
      <c r="OIP118" s="225"/>
      <c r="OIQ118" s="225"/>
      <c r="OIR118" s="225"/>
      <c r="OIS118" s="225"/>
      <c r="OIT118" s="225"/>
      <c r="OIU118" s="225"/>
      <c r="OIV118" s="225"/>
      <c r="OIW118" s="225"/>
      <c r="OIX118" s="225"/>
      <c r="OIY118" s="225"/>
      <c r="OIZ118" s="225"/>
      <c r="OJA118" s="225"/>
      <c r="OJB118" s="225"/>
      <c r="OJC118" s="225"/>
      <c r="OJD118" s="225"/>
      <c r="OJE118" s="225"/>
      <c r="OJF118" s="225"/>
      <c r="OJG118" s="225"/>
      <c r="OJH118" s="225"/>
      <c r="OJI118" s="225"/>
      <c r="OJJ118" s="225"/>
      <c r="OJK118" s="225"/>
      <c r="OJL118" s="225"/>
      <c r="OJM118" s="225"/>
      <c r="OJN118" s="225"/>
      <c r="OJO118" s="225"/>
      <c r="OJP118" s="225"/>
      <c r="OJQ118" s="225"/>
      <c r="OJR118" s="225"/>
      <c r="OJS118" s="225"/>
      <c r="OJT118" s="225"/>
      <c r="OJU118" s="225"/>
      <c r="OJV118" s="225"/>
      <c r="OJW118" s="225"/>
      <c r="OJX118" s="225"/>
      <c r="OJY118" s="225"/>
      <c r="OJZ118" s="225"/>
      <c r="OKA118" s="225"/>
      <c r="OKB118" s="225"/>
      <c r="OKC118" s="225"/>
      <c r="OKD118" s="225"/>
      <c r="OKE118" s="225"/>
      <c r="OKF118" s="225"/>
      <c r="OKG118" s="225"/>
      <c r="OKH118" s="225"/>
      <c r="OKI118" s="225"/>
      <c r="OKJ118" s="225"/>
      <c r="OKK118" s="225"/>
      <c r="OKL118" s="225"/>
      <c r="OKM118" s="225"/>
      <c r="OKN118" s="225"/>
      <c r="OKO118" s="225"/>
      <c r="OKP118" s="225"/>
      <c r="OKQ118" s="225"/>
      <c r="OKR118" s="225"/>
      <c r="OKS118" s="225"/>
      <c r="OKT118" s="225"/>
      <c r="OKU118" s="225"/>
      <c r="OKV118" s="225"/>
      <c r="OKW118" s="225"/>
      <c r="OKX118" s="225"/>
      <c r="OKY118" s="225"/>
      <c r="OKZ118" s="225"/>
      <c r="OLA118" s="225"/>
      <c r="OLB118" s="225"/>
      <c r="OLC118" s="225"/>
      <c r="OLD118" s="225"/>
      <c r="OLE118" s="225"/>
      <c r="OLF118" s="225"/>
      <c r="OLG118" s="225"/>
      <c r="OLH118" s="225"/>
      <c r="OLI118" s="225"/>
      <c r="OLJ118" s="225"/>
      <c r="OLK118" s="225"/>
      <c r="OLL118" s="225"/>
      <c r="OLM118" s="225"/>
      <c r="OLN118" s="225"/>
      <c r="OLO118" s="225"/>
      <c r="OLP118" s="225"/>
      <c r="OLQ118" s="225"/>
      <c r="OLR118" s="225"/>
      <c r="OLS118" s="225"/>
      <c r="OLT118" s="225"/>
      <c r="OLU118" s="225"/>
      <c r="OLV118" s="225"/>
      <c r="OLW118" s="225"/>
      <c r="OLX118" s="225"/>
      <c r="OLY118" s="225"/>
      <c r="OLZ118" s="225"/>
      <c r="OMA118" s="225"/>
      <c r="OMB118" s="225"/>
      <c r="OMC118" s="225"/>
      <c r="OMD118" s="225"/>
      <c r="OME118" s="225"/>
      <c r="OMF118" s="225"/>
      <c r="OMG118" s="225"/>
      <c r="OMH118" s="225"/>
      <c r="OMI118" s="225"/>
      <c r="OMJ118" s="225"/>
      <c r="OMK118" s="225"/>
      <c r="OML118" s="225"/>
      <c r="OMM118" s="225"/>
      <c r="OMN118" s="225"/>
      <c r="OMO118" s="225"/>
      <c r="OMP118" s="225"/>
      <c r="OMQ118" s="225"/>
      <c r="OMR118" s="225"/>
      <c r="OMS118" s="225"/>
      <c r="OMT118" s="225"/>
      <c r="OMU118" s="225"/>
      <c r="OMV118" s="225"/>
      <c r="OMW118" s="225"/>
      <c r="OMX118" s="225"/>
      <c r="OMY118" s="225"/>
      <c r="OMZ118" s="225"/>
      <c r="ONA118" s="225"/>
      <c r="ONB118" s="225"/>
      <c r="ONC118" s="225"/>
      <c r="OND118" s="225"/>
      <c r="ONE118" s="225"/>
      <c r="ONF118" s="225"/>
      <c r="ONG118" s="225"/>
      <c r="ONH118" s="225"/>
      <c r="ONI118" s="225"/>
      <c r="ONJ118" s="225"/>
      <c r="ONK118" s="225"/>
      <c r="ONL118" s="225"/>
      <c r="ONM118" s="225"/>
      <c r="ONN118" s="225"/>
      <c r="ONO118" s="225"/>
      <c r="ONP118" s="225"/>
      <c r="ONQ118" s="225"/>
      <c r="ONR118" s="225"/>
      <c r="ONS118" s="225"/>
      <c r="ONT118" s="225"/>
      <c r="ONU118" s="225"/>
      <c r="ONV118" s="225"/>
      <c r="ONW118" s="225"/>
      <c r="ONX118" s="225"/>
      <c r="ONY118" s="225"/>
      <c r="ONZ118" s="225"/>
      <c r="OOA118" s="225"/>
      <c r="OOB118" s="225"/>
      <c r="OOC118" s="225"/>
      <c r="OOD118" s="225"/>
      <c r="OOE118" s="225"/>
      <c r="OOF118" s="225"/>
      <c r="OOG118" s="225"/>
      <c r="OOH118" s="225"/>
      <c r="OOI118" s="225"/>
      <c r="OOJ118" s="225"/>
      <c r="OOK118" s="225"/>
      <c r="OOL118" s="225"/>
      <c r="OOM118" s="225"/>
      <c r="OON118" s="225"/>
      <c r="OOO118" s="225"/>
      <c r="OOP118" s="225"/>
      <c r="OOQ118" s="225"/>
      <c r="OOR118" s="225"/>
      <c r="OOS118" s="225"/>
      <c r="OOT118" s="225"/>
      <c r="OOU118" s="225"/>
      <c r="OOV118" s="225"/>
      <c r="OOW118" s="225"/>
      <c r="OOX118" s="225"/>
      <c r="OOY118" s="225"/>
      <c r="OOZ118" s="225"/>
      <c r="OPA118" s="225"/>
      <c r="OPB118" s="225"/>
      <c r="OPC118" s="225"/>
      <c r="OPD118" s="225"/>
      <c r="OPE118" s="225"/>
      <c r="OPF118" s="225"/>
      <c r="OPG118" s="225"/>
      <c r="OPH118" s="225"/>
      <c r="OPI118" s="225"/>
      <c r="OPJ118" s="225"/>
      <c r="OPK118" s="225"/>
      <c r="OPL118" s="225"/>
      <c r="OPM118" s="225"/>
      <c r="OPN118" s="225"/>
      <c r="OPO118" s="225"/>
      <c r="OPP118" s="225"/>
      <c r="OPQ118" s="225"/>
      <c r="OPR118" s="225"/>
      <c r="OPS118" s="225"/>
      <c r="OPT118" s="225"/>
      <c r="OPU118" s="225"/>
      <c r="OPV118" s="225"/>
      <c r="OPW118" s="225"/>
      <c r="OPX118" s="225"/>
      <c r="OPY118" s="225"/>
      <c r="OPZ118" s="225"/>
      <c r="OQA118" s="225"/>
      <c r="OQB118" s="225"/>
      <c r="OQC118" s="225"/>
      <c r="OQD118" s="225"/>
      <c r="OQE118" s="225"/>
      <c r="OQF118" s="225"/>
      <c r="OQG118" s="225"/>
      <c r="OQH118" s="225"/>
      <c r="OQI118" s="225"/>
      <c r="OQJ118" s="225"/>
      <c r="OQK118" s="225"/>
      <c r="OQL118" s="225"/>
      <c r="OQM118" s="225"/>
      <c r="OQN118" s="225"/>
      <c r="OQO118" s="225"/>
      <c r="OQP118" s="225"/>
      <c r="OQQ118" s="225"/>
      <c r="OQR118" s="225"/>
      <c r="OQS118" s="225"/>
      <c r="OQT118" s="225"/>
      <c r="OQU118" s="225"/>
      <c r="OQV118" s="225"/>
      <c r="OQW118" s="225"/>
      <c r="OQX118" s="225"/>
      <c r="OQY118" s="225"/>
      <c r="OQZ118" s="225"/>
      <c r="ORA118" s="225"/>
      <c r="ORB118" s="225"/>
      <c r="ORC118" s="225"/>
      <c r="ORD118" s="225"/>
      <c r="ORE118" s="225"/>
      <c r="ORF118" s="225"/>
      <c r="ORG118" s="225"/>
      <c r="ORH118" s="225"/>
      <c r="ORI118" s="225"/>
      <c r="ORJ118" s="225"/>
      <c r="ORK118" s="225"/>
      <c r="ORL118" s="225"/>
      <c r="ORM118" s="225"/>
      <c r="ORN118" s="225"/>
      <c r="ORO118" s="225"/>
      <c r="ORP118" s="225"/>
      <c r="ORQ118" s="225"/>
      <c r="ORR118" s="225"/>
      <c r="ORS118" s="225"/>
      <c r="ORT118" s="225"/>
      <c r="ORU118" s="225"/>
      <c r="ORV118" s="225"/>
      <c r="ORW118" s="225"/>
      <c r="ORX118" s="225"/>
      <c r="ORY118" s="225"/>
      <c r="ORZ118" s="225"/>
      <c r="OSA118" s="225"/>
      <c r="OSB118" s="225"/>
      <c r="OSC118" s="225"/>
      <c r="OSD118" s="225"/>
      <c r="OSE118" s="225"/>
      <c r="OSF118" s="225"/>
      <c r="OSG118" s="225"/>
      <c r="OSH118" s="225"/>
      <c r="OSI118" s="225"/>
      <c r="OSJ118" s="225"/>
      <c r="OSK118" s="225"/>
      <c r="OSL118" s="225"/>
      <c r="OSM118" s="225"/>
      <c r="OSN118" s="225"/>
      <c r="OSO118" s="225"/>
      <c r="OSP118" s="225"/>
      <c r="OSQ118" s="225"/>
      <c r="OSR118" s="225"/>
      <c r="OSS118" s="225"/>
      <c r="OST118" s="225"/>
      <c r="OSU118" s="225"/>
      <c r="OSV118" s="225"/>
      <c r="OSW118" s="225"/>
      <c r="OSX118" s="225"/>
      <c r="OSY118" s="225"/>
      <c r="OSZ118" s="225"/>
      <c r="OTA118" s="225"/>
      <c r="OTB118" s="225"/>
      <c r="OTC118" s="225"/>
      <c r="OTD118" s="225"/>
      <c r="OTE118" s="225"/>
      <c r="OTF118" s="225"/>
      <c r="OTG118" s="225"/>
      <c r="OTH118" s="225"/>
      <c r="OTI118" s="225"/>
      <c r="OTJ118" s="225"/>
      <c r="OTK118" s="225"/>
      <c r="OTL118" s="225"/>
      <c r="OTM118" s="225"/>
      <c r="OTN118" s="225"/>
      <c r="OTO118" s="225"/>
      <c r="OTP118" s="225"/>
      <c r="OTQ118" s="225"/>
      <c r="OTR118" s="225"/>
      <c r="OTS118" s="225"/>
      <c r="OTT118" s="225"/>
      <c r="OTU118" s="225"/>
      <c r="OTV118" s="225"/>
      <c r="OTW118" s="225"/>
      <c r="OTX118" s="225"/>
      <c r="OTY118" s="225"/>
      <c r="OTZ118" s="225"/>
      <c r="OUA118" s="225"/>
      <c r="OUB118" s="225"/>
      <c r="OUC118" s="225"/>
      <c r="OUD118" s="225"/>
      <c r="OUE118" s="225"/>
      <c r="OUF118" s="225"/>
      <c r="OUG118" s="225"/>
      <c r="OUH118" s="225"/>
      <c r="OUI118" s="225"/>
      <c r="OUJ118" s="225"/>
      <c r="OUK118" s="225"/>
      <c r="OUL118" s="225"/>
      <c r="OUM118" s="225"/>
      <c r="OUN118" s="225"/>
      <c r="OUO118" s="225"/>
      <c r="OUP118" s="225"/>
      <c r="OUQ118" s="225"/>
      <c r="OUR118" s="225"/>
      <c r="OUS118" s="225"/>
      <c r="OUT118" s="225"/>
      <c r="OUU118" s="225"/>
      <c r="OUV118" s="225"/>
      <c r="OUW118" s="225"/>
      <c r="OUX118" s="225"/>
      <c r="OUY118" s="225"/>
      <c r="OUZ118" s="225"/>
      <c r="OVA118" s="225"/>
      <c r="OVB118" s="225"/>
      <c r="OVC118" s="225"/>
      <c r="OVD118" s="225"/>
      <c r="OVE118" s="225"/>
      <c r="OVF118" s="225"/>
      <c r="OVG118" s="225"/>
      <c r="OVH118" s="225"/>
      <c r="OVI118" s="225"/>
      <c r="OVJ118" s="225"/>
      <c r="OVK118" s="225"/>
      <c r="OVL118" s="225"/>
      <c r="OVM118" s="225"/>
      <c r="OVN118" s="225"/>
      <c r="OVO118" s="225"/>
      <c r="OVP118" s="225"/>
      <c r="OVQ118" s="225"/>
      <c r="OVR118" s="225"/>
      <c r="OVS118" s="225"/>
      <c r="OVT118" s="225"/>
      <c r="OVU118" s="225"/>
      <c r="OVV118" s="225"/>
      <c r="OVW118" s="225"/>
      <c r="OVX118" s="225"/>
      <c r="OVY118" s="225"/>
      <c r="OVZ118" s="225"/>
      <c r="OWA118" s="225"/>
      <c r="OWB118" s="225"/>
      <c r="OWC118" s="225"/>
      <c r="OWD118" s="225"/>
      <c r="OWE118" s="225"/>
      <c r="OWF118" s="225"/>
      <c r="OWG118" s="225"/>
      <c r="OWH118" s="225"/>
      <c r="OWI118" s="225"/>
      <c r="OWJ118" s="225"/>
      <c r="OWK118" s="225"/>
      <c r="OWL118" s="225"/>
      <c r="OWM118" s="225"/>
      <c r="OWN118" s="225"/>
      <c r="OWO118" s="225"/>
      <c r="OWP118" s="225"/>
      <c r="OWQ118" s="225"/>
      <c r="OWR118" s="225"/>
      <c r="OWS118" s="225"/>
      <c r="OWT118" s="225"/>
      <c r="OWU118" s="225"/>
      <c r="OWV118" s="225"/>
      <c r="OWW118" s="225"/>
      <c r="OWX118" s="225"/>
      <c r="OWY118" s="225"/>
      <c r="OWZ118" s="225"/>
      <c r="OXA118" s="225"/>
      <c r="OXB118" s="225"/>
      <c r="OXC118" s="225"/>
      <c r="OXD118" s="225"/>
      <c r="OXE118" s="225"/>
      <c r="OXF118" s="225"/>
      <c r="OXG118" s="225"/>
      <c r="OXH118" s="225"/>
      <c r="OXI118" s="225"/>
      <c r="OXJ118" s="225"/>
      <c r="OXK118" s="225"/>
      <c r="OXL118" s="225"/>
      <c r="OXM118" s="225"/>
      <c r="OXN118" s="225"/>
      <c r="OXO118" s="225"/>
      <c r="OXP118" s="225"/>
      <c r="OXQ118" s="225"/>
      <c r="OXR118" s="225"/>
      <c r="OXS118" s="225"/>
      <c r="OXT118" s="225"/>
      <c r="OXU118" s="225"/>
      <c r="OXV118" s="225"/>
      <c r="OXW118" s="225"/>
      <c r="OXX118" s="225"/>
      <c r="OXY118" s="225"/>
      <c r="OXZ118" s="225"/>
      <c r="OYA118" s="225"/>
      <c r="OYB118" s="225"/>
      <c r="OYC118" s="225"/>
      <c r="OYD118" s="225"/>
      <c r="OYE118" s="225"/>
      <c r="OYF118" s="225"/>
      <c r="OYG118" s="225"/>
      <c r="OYH118" s="225"/>
      <c r="OYI118" s="225"/>
      <c r="OYJ118" s="225"/>
      <c r="OYK118" s="225"/>
      <c r="OYL118" s="225"/>
      <c r="OYM118" s="225"/>
      <c r="OYN118" s="225"/>
      <c r="OYO118" s="225"/>
      <c r="OYP118" s="225"/>
      <c r="OYQ118" s="225"/>
      <c r="OYR118" s="225"/>
      <c r="OYS118" s="225"/>
      <c r="OYT118" s="225"/>
      <c r="OYU118" s="225"/>
      <c r="OYV118" s="225"/>
      <c r="OYW118" s="225"/>
      <c r="OYX118" s="225"/>
      <c r="OYY118" s="225"/>
      <c r="OYZ118" s="225"/>
      <c r="OZA118" s="225"/>
      <c r="OZB118" s="225"/>
      <c r="OZC118" s="225"/>
      <c r="OZD118" s="225"/>
      <c r="OZE118" s="225"/>
      <c r="OZF118" s="225"/>
      <c r="OZG118" s="225"/>
      <c r="OZH118" s="225"/>
      <c r="OZI118" s="225"/>
      <c r="OZJ118" s="225"/>
      <c r="OZK118" s="225"/>
      <c r="OZL118" s="225"/>
      <c r="OZM118" s="225"/>
      <c r="OZN118" s="225"/>
      <c r="OZO118" s="225"/>
      <c r="OZP118" s="225"/>
      <c r="OZQ118" s="225"/>
      <c r="OZR118" s="225"/>
      <c r="OZS118" s="225"/>
      <c r="OZT118" s="225"/>
      <c r="OZU118" s="225"/>
      <c r="OZV118" s="225"/>
      <c r="OZW118" s="225"/>
      <c r="OZX118" s="225"/>
      <c r="OZY118" s="225"/>
      <c r="OZZ118" s="225"/>
      <c r="PAA118" s="225"/>
      <c r="PAB118" s="225"/>
      <c r="PAC118" s="225"/>
      <c r="PAD118" s="225"/>
      <c r="PAE118" s="225"/>
      <c r="PAF118" s="225"/>
      <c r="PAG118" s="225"/>
      <c r="PAH118" s="225"/>
      <c r="PAI118" s="225"/>
      <c r="PAJ118" s="225"/>
      <c r="PAK118" s="225"/>
      <c r="PAL118" s="225"/>
      <c r="PAM118" s="225"/>
      <c r="PAN118" s="225"/>
      <c r="PAO118" s="225"/>
      <c r="PAP118" s="225"/>
      <c r="PAQ118" s="225"/>
      <c r="PAR118" s="225"/>
      <c r="PAS118" s="225"/>
      <c r="PAT118" s="225"/>
      <c r="PAU118" s="225"/>
      <c r="PAV118" s="225"/>
      <c r="PAW118" s="225"/>
      <c r="PAX118" s="225"/>
      <c r="PAY118" s="225"/>
      <c r="PAZ118" s="225"/>
      <c r="PBA118" s="225"/>
      <c r="PBB118" s="225"/>
      <c r="PBC118" s="225"/>
      <c r="PBD118" s="225"/>
      <c r="PBE118" s="225"/>
      <c r="PBF118" s="225"/>
      <c r="PBG118" s="225"/>
      <c r="PBH118" s="225"/>
      <c r="PBI118" s="225"/>
      <c r="PBJ118" s="225"/>
      <c r="PBK118" s="225"/>
      <c r="PBL118" s="225"/>
      <c r="PBM118" s="225"/>
      <c r="PBN118" s="225"/>
      <c r="PBO118" s="225"/>
      <c r="PBP118" s="225"/>
      <c r="PBQ118" s="225"/>
      <c r="PBR118" s="225"/>
      <c r="PBS118" s="225"/>
      <c r="PBT118" s="225"/>
      <c r="PBU118" s="225"/>
      <c r="PBV118" s="225"/>
      <c r="PBW118" s="225"/>
      <c r="PBX118" s="225"/>
      <c r="PBY118" s="225"/>
      <c r="PBZ118" s="225"/>
      <c r="PCA118" s="225"/>
      <c r="PCB118" s="225"/>
      <c r="PCC118" s="225"/>
      <c r="PCD118" s="225"/>
      <c r="PCE118" s="225"/>
      <c r="PCF118" s="225"/>
      <c r="PCG118" s="225"/>
      <c r="PCH118" s="225"/>
      <c r="PCI118" s="225"/>
      <c r="PCJ118" s="225"/>
      <c r="PCK118" s="225"/>
      <c r="PCL118" s="225"/>
      <c r="PCM118" s="225"/>
      <c r="PCN118" s="225"/>
      <c r="PCO118" s="225"/>
      <c r="PCP118" s="225"/>
      <c r="PCQ118" s="225"/>
      <c r="PCR118" s="225"/>
      <c r="PCS118" s="225"/>
      <c r="PCT118" s="225"/>
      <c r="PCU118" s="225"/>
      <c r="PCV118" s="225"/>
      <c r="PCW118" s="225"/>
      <c r="PCX118" s="225"/>
      <c r="PCY118" s="225"/>
      <c r="PCZ118" s="225"/>
      <c r="PDA118" s="225"/>
      <c r="PDB118" s="225"/>
      <c r="PDC118" s="225"/>
      <c r="PDD118" s="225"/>
      <c r="PDE118" s="225"/>
      <c r="PDF118" s="225"/>
      <c r="PDG118" s="225"/>
      <c r="PDH118" s="225"/>
      <c r="PDI118" s="225"/>
      <c r="PDJ118" s="225"/>
      <c r="PDK118" s="225"/>
      <c r="PDL118" s="225"/>
      <c r="PDM118" s="225"/>
      <c r="PDN118" s="225"/>
      <c r="PDO118" s="225"/>
      <c r="PDP118" s="225"/>
      <c r="PDQ118" s="225"/>
      <c r="PDR118" s="225"/>
      <c r="PDS118" s="225"/>
      <c r="PDT118" s="225"/>
      <c r="PDU118" s="225"/>
      <c r="PDV118" s="225"/>
      <c r="PDW118" s="225"/>
      <c r="PDX118" s="225"/>
      <c r="PDY118" s="225"/>
      <c r="PDZ118" s="225"/>
      <c r="PEA118" s="225"/>
      <c r="PEB118" s="225"/>
      <c r="PEC118" s="225"/>
      <c r="PED118" s="225"/>
      <c r="PEE118" s="225"/>
      <c r="PEF118" s="225"/>
      <c r="PEG118" s="225"/>
      <c r="PEH118" s="225"/>
      <c r="PEI118" s="225"/>
      <c r="PEJ118" s="225"/>
      <c r="PEK118" s="225"/>
      <c r="PEL118" s="225"/>
      <c r="PEM118" s="225"/>
      <c r="PEN118" s="225"/>
      <c r="PEO118" s="225"/>
      <c r="PEP118" s="225"/>
      <c r="PEQ118" s="225"/>
      <c r="PER118" s="225"/>
      <c r="PES118" s="225"/>
      <c r="PET118" s="225"/>
      <c r="PEU118" s="225"/>
      <c r="PEV118" s="225"/>
      <c r="PEW118" s="225"/>
      <c r="PEX118" s="225"/>
      <c r="PEY118" s="225"/>
      <c r="PEZ118" s="225"/>
      <c r="PFA118" s="225"/>
      <c r="PFB118" s="225"/>
      <c r="PFC118" s="225"/>
      <c r="PFD118" s="225"/>
      <c r="PFE118" s="225"/>
      <c r="PFF118" s="225"/>
      <c r="PFG118" s="225"/>
      <c r="PFH118" s="225"/>
      <c r="PFI118" s="225"/>
      <c r="PFJ118" s="225"/>
      <c r="PFK118" s="225"/>
      <c r="PFL118" s="225"/>
      <c r="PFM118" s="225"/>
      <c r="PFN118" s="225"/>
      <c r="PFO118" s="225"/>
      <c r="PFP118" s="225"/>
      <c r="PFQ118" s="225"/>
      <c r="PFR118" s="225"/>
      <c r="PFS118" s="225"/>
      <c r="PFT118" s="225"/>
      <c r="PFU118" s="225"/>
      <c r="PFV118" s="225"/>
      <c r="PFW118" s="225"/>
      <c r="PFX118" s="225"/>
      <c r="PFY118" s="225"/>
      <c r="PFZ118" s="225"/>
      <c r="PGA118" s="225"/>
      <c r="PGB118" s="225"/>
      <c r="PGC118" s="225"/>
      <c r="PGD118" s="225"/>
      <c r="PGE118" s="225"/>
      <c r="PGF118" s="225"/>
      <c r="PGG118" s="225"/>
      <c r="PGH118" s="225"/>
      <c r="PGI118" s="225"/>
      <c r="PGJ118" s="225"/>
      <c r="PGK118" s="225"/>
      <c r="PGL118" s="225"/>
      <c r="PGM118" s="225"/>
      <c r="PGN118" s="225"/>
      <c r="PGO118" s="225"/>
      <c r="PGP118" s="225"/>
      <c r="PGQ118" s="225"/>
      <c r="PGR118" s="225"/>
      <c r="PGS118" s="225"/>
      <c r="PGT118" s="225"/>
      <c r="PGU118" s="225"/>
      <c r="PGV118" s="225"/>
      <c r="PGW118" s="225"/>
      <c r="PGX118" s="225"/>
      <c r="PGY118" s="225"/>
      <c r="PGZ118" s="225"/>
      <c r="PHA118" s="225"/>
      <c r="PHB118" s="225"/>
      <c r="PHC118" s="225"/>
      <c r="PHD118" s="225"/>
      <c r="PHE118" s="225"/>
      <c r="PHF118" s="225"/>
      <c r="PHG118" s="225"/>
      <c r="PHH118" s="225"/>
      <c r="PHI118" s="225"/>
      <c r="PHJ118" s="225"/>
      <c r="PHK118" s="225"/>
      <c r="PHL118" s="225"/>
      <c r="PHM118" s="225"/>
      <c r="PHN118" s="225"/>
      <c r="PHO118" s="225"/>
      <c r="PHP118" s="225"/>
      <c r="PHQ118" s="225"/>
      <c r="PHR118" s="225"/>
      <c r="PHS118" s="225"/>
      <c r="PHT118" s="225"/>
      <c r="PHU118" s="225"/>
      <c r="PHV118" s="225"/>
      <c r="PHW118" s="225"/>
      <c r="PHX118" s="225"/>
      <c r="PHY118" s="225"/>
      <c r="PHZ118" s="225"/>
      <c r="PIA118" s="225"/>
      <c r="PIB118" s="225"/>
      <c r="PIC118" s="225"/>
      <c r="PID118" s="225"/>
      <c r="PIE118" s="225"/>
      <c r="PIF118" s="225"/>
      <c r="PIG118" s="225"/>
      <c r="PIH118" s="225"/>
      <c r="PII118" s="225"/>
      <c r="PIJ118" s="225"/>
      <c r="PIK118" s="225"/>
      <c r="PIL118" s="225"/>
      <c r="PIM118" s="225"/>
      <c r="PIN118" s="225"/>
      <c r="PIO118" s="225"/>
      <c r="PIP118" s="225"/>
      <c r="PIQ118" s="225"/>
      <c r="PIR118" s="225"/>
      <c r="PIS118" s="225"/>
      <c r="PIT118" s="225"/>
      <c r="PIU118" s="225"/>
      <c r="PIV118" s="225"/>
      <c r="PIW118" s="225"/>
      <c r="PIX118" s="225"/>
      <c r="PIY118" s="225"/>
      <c r="PIZ118" s="225"/>
      <c r="PJA118" s="225"/>
      <c r="PJB118" s="225"/>
      <c r="PJC118" s="225"/>
      <c r="PJD118" s="225"/>
      <c r="PJE118" s="225"/>
      <c r="PJF118" s="225"/>
      <c r="PJG118" s="225"/>
      <c r="PJH118" s="225"/>
      <c r="PJI118" s="225"/>
      <c r="PJJ118" s="225"/>
      <c r="PJK118" s="225"/>
      <c r="PJL118" s="225"/>
      <c r="PJM118" s="225"/>
      <c r="PJN118" s="225"/>
      <c r="PJO118" s="225"/>
      <c r="PJP118" s="225"/>
      <c r="PJQ118" s="225"/>
      <c r="PJR118" s="225"/>
      <c r="PJS118" s="225"/>
      <c r="PJT118" s="225"/>
      <c r="PJU118" s="225"/>
      <c r="PJV118" s="225"/>
      <c r="PJW118" s="225"/>
      <c r="PJX118" s="225"/>
      <c r="PJY118" s="225"/>
      <c r="PJZ118" s="225"/>
      <c r="PKA118" s="225"/>
      <c r="PKB118" s="225"/>
      <c r="PKC118" s="225"/>
      <c r="PKD118" s="225"/>
      <c r="PKE118" s="225"/>
      <c r="PKF118" s="225"/>
      <c r="PKG118" s="225"/>
      <c r="PKH118" s="225"/>
      <c r="PKI118" s="225"/>
      <c r="PKJ118" s="225"/>
      <c r="PKK118" s="225"/>
      <c r="PKL118" s="225"/>
      <c r="PKM118" s="225"/>
      <c r="PKN118" s="225"/>
      <c r="PKO118" s="225"/>
      <c r="PKP118" s="225"/>
      <c r="PKQ118" s="225"/>
      <c r="PKR118" s="225"/>
      <c r="PKS118" s="225"/>
      <c r="PKT118" s="225"/>
      <c r="PKU118" s="225"/>
      <c r="PKV118" s="225"/>
      <c r="PKW118" s="225"/>
      <c r="PKX118" s="225"/>
      <c r="PKY118" s="225"/>
      <c r="PKZ118" s="225"/>
      <c r="PLA118" s="225"/>
      <c r="PLB118" s="225"/>
      <c r="PLC118" s="225"/>
      <c r="PLD118" s="225"/>
      <c r="PLE118" s="225"/>
      <c r="PLF118" s="225"/>
      <c r="PLG118" s="225"/>
      <c r="PLH118" s="225"/>
      <c r="PLI118" s="225"/>
      <c r="PLJ118" s="225"/>
      <c r="PLK118" s="225"/>
      <c r="PLL118" s="225"/>
      <c r="PLM118" s="225"/>
      <c r="PLN118" s="225"/>
      <c r="PLO118" s="225"/>
      <c r="PLP118" s="225"/>
      <c r="PLQ118" s="225"/>
      <c r="PLR118" s="225"/>
      <c r="PLS118" s="225"/>
      <c r="PLT118" s="225"/>
      <c r="PLU118" s="225"/>
      <c r="PLV118" s="225"/>
      <c r="PLW118" s="225"/>
      <c r="PLX118" s="225"/>
      <c r="PLY118" s="225"/>
      <c r="PLZ118" s="225"/>
      <c r="PMA118" s="225"/>
      <c r="PMB118" s="225"/>
      <c r="PMC118" s="225"/>
      <c r="PMD118" s="225"/>
      <c r="PME118" s="225"/>
      <c r="PMF118" s="225"/>
      <c r="PMG118" s="225"/>
      <c r="PMH118" s="225"/>
      <c r="PMI118" s="225"/>
      <c r="PMJ118" s="225"/>
      <c r="PMK118" s="225"/>
      <c r="PML118" s="225"/>
      <c r="PMM118" s="225"/>
      <c r="PMN118" s="225"/>
      <c r="PMO118" s="225"/>
      <c r="PMP118" s="225"/>
      <c r="PMQ118" s="225"/>
      <c r="PMR118" s="225"/>
      <c r="PMS118" s="225"/>
      <c r="PMT118" s="225"/>
      <c r="PMU118" s="225"/>
      <c r="PMV118" s="225"/>
      <c r="PMW118" s="225"/>
      <c r="PMX118" s="225"/>
      <c r="PMY118" s="225"/>
      <c r="PMZ118" s="225"/>
      <c r="PNA118" s="225"/>
      <c r="PNB118" s="225"/>
      <c r="PNC118" s="225"/>
      <c r="PND118" s="225"/>
      <c r="PNE118" s="225"/>
      <c r="PNF118" s="225"/>
      <c r="PNG118" s="225"/>
      <c r="PNH118" s="225"/>
      <c r="PNI118" s="225"/>
      <c r="PNJ118" s="225"/>
      <c r="PNK118" s="225"/>
      <c r="PNL118" s="225"/>
      <c r="PNM118" s="225"/>
      <c r="PNN118" s="225"/>
      <c r="PNO118" s="225"/>
      <c r="PNP118" s="225"/>
      <c r="PNQ118" s="225"/>
      <c r="PNR118" s="225"/>
      <c r="PNS118" s="225"/>
      <c r="PNT118" s="225"/>
      <c r="PNU118" s="225"/>
      <c r="PNV118" s="225"/>
      <c r="PNW118" s="225"/>
      <c r="PNX118" s="225"/>
      <c r="PNY118" s="225"/>
      <c r="PNZ118" s="225"/>
      <c r="POA118" s="225"/>
      <c r="POB118" s="225"/>
      <c r="POC118" s="225"/>
      <c r="POD118" s="225"/>
      <c r="POE118" s="225"/>
      <c r="POF118" s="225"/>
      <c r="POG118" s="225"/>
      <c r="POH118" s="225"/>
      <c r="POI118" s="225"/>
      <c r="POJ118" s="225"/>
      <c r="POK118" s="225"/>
      <c r="POL118" s="225"/>
      <c r="POM118" s="225"/>
      <c r="PON118" s="225"/>
      <c r="POO118" s="225"/>
      <c r="POP118" s="225"/>
      <c r="POQ118" s="225"/>
      <c r="POR118" s="225"/>
      <c r="POS118" s="225"/>
      <c r="POT118" s="225"/>
      <c r="POU118" s="225"/>
      <c r="POV118" s="225"/>
      <c r="POW118" s="225"/>
      <c r="POX118" s="225"/>
      <c r="POY118" s="225"/>
      <c r="POZ118" s="225"/>
      <c r="PPA118" s="225"/>
      <c r="PPB118" s="225"/>
      <c r="PPC118" s="225"/>
      <c r="PPD118" s="225"/>
      <c r="PPE118" s="225"/>
      <c r="PPF118" s="225"/>
      <c r="PPG118" s="225"/>
      <c r="PPH118" s="225"/>
      <c r="PPI118" s="225"/>
      <c r="PPJ118" s="225"/>
      <c r="PPK118" s="225"/>
      <c r="PPL118" s="225"/>
      <c r="PPM118" s="225"/>
      <c r="PPN118" s="225"/>
      <c r="PPO118" s="225"/>
      <c r="PPP118" s="225"/>
      <c r="PPQ118" s="225"/>
      <c r="PPR118" s="225"/>
      <c r="PPS118" s="225"/>
      <c r="PPT118" s="225"/>
      <c r="PPU118" s="225"/>
      <c r="PPV118" s="225"/>
      <c r="PPW118" s="225"/>
      <c r="PPX118" s="225"/>
      <c r="PPY118" s="225"/>
      <c r="PPZ118" s="225"/>
      <c r="PQA118" s="225"/>
      <c r="PQB118" s="225"/>
      <c r="PQC118" s="225"/>
      <c r="PQD118" s="225"/>
      <c r="PQE118" s="225"/>
      <c r="PQF118" s="225"/>
      <c r="PQG118" s="225"/>
      <c r="PQH118" s="225"/>
      <c r="PQI118" s="225"/>
      <c r="PQJ118" s="225"/>
      <c r="PQK118" s="225"/>
      <c r="PQL118" s="225"/>
      <c r="PQM118" s="225"/>
      <c r="PQN118" s="225"/>
      <c r="PQO118" s="225"/>
      <c r="PQP118" s="225"/>
      <c r="PQQ118" s="225"/>
      <c r="PQR118" s="225"/>
      <c r="PQS118" s="225"/>
      <c r="PQT118" s="225"/>
      <c r="PQU118" s="225"/>
      <c r="PQV118" s="225"/>
      <c r="PQW118" s="225"/>
      <c r="PQX118" s="225"/>
      <c r="PQY118" s="225"/>
      <c r="PQZ118" s="225"/>
      <c r="PRA118" s="225"/>
      <c r="PRB118" s="225"/>
      <c r="PRC118" s="225"/>
      <c r="PRD118" s="225"/>
      <c r="PRE118" s="225"/>
      <c r="PRF118" s="225"/>
      <c r="PRG118" s="225"/>
      <c r="PRH118" s="225"/>
      <c r="PRI118" s="225"/>
      <c r="PRJ118" s="225"/>
      <c r="PRK118" s="225"/>
      <c r="PRL118" s="225"/>
      <c r="PRM118" s="225"/>
      <c r="PRN118" s="225"/>
      <c r="PRO118" s="225"/>
      <c r="PRP118" s="225"/>
      <c r="PRQ118" s="225"/>
      <c r="PRR118" s="225"/>
      <c r="PRS118" s="225"/>
      <c r="PRT118" s="225"/>
      <c r="PRU118" s="225"/>
      <c r="PRV118" s="225"/>
      <c r="PRW118" s="225"/>
      <c r="PRX118" s="225"/>
      <c r="PRY118" s="225"/>
      <c r="PRZ118" s="225"/>
      <c r="PSA118" s="225"/>
      <c r="PSB118" s="225"/>
      <c r="PSC118" s="225"/>
      <c r="PSD118" s="225"/>
      <c r="PSE118" s="225"/>
      <c r="PSF118" s="225"/>
      <c r="PSG118" s="225"/>
      <c r="PSH118" s="225"/>
      <c r="PSI118" s="225"/>
      <c r="PSJ118" s="225"/>
      <c r="PSK118" s="225"/>
      <c r="PSL118" s="225"/>
      <c r="PSM118" s="225"/>
      <c r="PSN118" s="225"/>
      <c r="PSO118" s="225"/>
      <c r="PSP118" s="225"/>
      <c r="PSQ118" s="225"/>
      <c r="PSR118" s="225"/>
      <c r="PSS118" s="225"/>
      <c r="PST118" s="225"/>
      <c r="PSU118" s="225"/>
      <c r="PSV118" s="225"/>
      <c r="PSW118" s="225"/>
      <c r="PSX118" s="225"/>
      <c r="PSY118" s="225"/>
      <c r="PSZ118" s="225"/>
      <c r="PTA118" s="225"/>
      <c r="PTB118" s="225"/>
      <c r="PTC118" s="225"/>
      <c r="PTD118" s="225"/>
      <c r="PTE118" s="225"/>
      <c r="PTF118" s="225"/>
      <c r="PTG118" s="225"/>
      <c r="PTH118" s="225"/>
      <c r="PTI118" s="225"/>
      <c r="PTJ118" s="225"/>
      <c r="PTK118" s="225"/>
      <c r="PTL118" s="225"/>
      <c r="PTM118" s="225"/>
      <c r="PTN118" s="225"/>
      <c r="PTO118" s="225"/>
      <c r="PTP118" s="225"/>
      <c r="PTQ118" s="225"/>
      <c r="PTR118" s="225"/>
      <c r="PTS118" s="225"/>
      <c r="PTT118" s="225"/>
      <c r="PTU118" s="225"/>
      <c r="PTV118" s="225"/>
      <c r="PTW118" s="225"/>
      <c r="PTX118" s="225"/>
      <c r="PTY118" s="225"/>
      <c r="PTZ118" s="225"/>
      <c r="PUA118" s="225"/>
      <c r="PUB118" s="225"/>
      <c r="PUC118" s="225"/>
      <c r="PUD118" s="225"/>
      <c r="PUE118" s="225"/>
      <c r="PUF118" s="225"/>
      <c r="PUG118" s="225"/>
      <c r="PUH118" s="225"/>
      <c r="PUI118" s="225"/>
      <c r="PUJ118" s="225"/>
      <c r="PUK118" s="225"/>
      <c r="PUL118" s="225"/>
      <c r="PUM118" s="225"/>
      <c r="PUN118" s="225"/>
      <c r="PUO118" s="225"/>
      <c r="PUP118" s="225"/>
      <c r="PUQ118" s="225"/>
      <c r="PUR118" s="225"/>
      <c r="PUS118" s="225"/>
      <c r="PUT118" s="225"/>
      <c r="PUU118" s="225"/>
      <c r="PUV118" s="225"/>
      <c r="PUW118" s="225"/>
      <c r="PUX118" s="225"/>
      <c r="PUY118" s="225"/>
      <c r="PUZ118" s="225"/>
      <c r="PVA118" s="225"/>
      <c r="PVB118" s="225"/>
      <c r="PVC118" s="225"/>
      <c r="PVD118" s="225"/>
      <c r="PVE118" s="225"/>
      <c r="PVF118" s="225"/>
      <c r="PVG118" s="225"/>
      <c r="PVH118" s="225"/>
      <c r="PVI118" s="225"/>
      <c r="PVJ118" s="225"/>
      <c r="PVK118" s="225"/>
      <c r="PVL118" s="225"/>
      <c r="PVM118" s="225"/>
      <c r="PVN118" s="225"/>
      <c r="PVO118" s="225"/>
      <c r="PVP118" s="225"/>
      <c r="PVQ118" s="225"/>
      <c r="PVR118" s="225"/>
      <c r="PVS118" s="225"/>
      <c r="PVT118" s="225"/>
      <c r="PVU118" s="225"/>
      <c r="PVV118" s="225"/>
      <c r="PVW118" s="225"/>
      <c r="PVX118" s="225"/>
      <c r="PVY118" s="225"/>
      <c r="PVZ118" s="225"/>
      <c r="PWA118" s="225"/>
      <c r="PWB118" s="225"/>
      <c r="PWC118" s="225"/>
      <c r="PWD118" s="225"/>
      <c r="PWE118" s="225"/>
      <c r="PWF118" s="225"/>
      <c r="PWG118" s="225"/>
      <c r="PWH118" s="225"/>
      <c r="PWI118" s="225"/>
      <c r="PWJ118" s="225"/>
      <c r="PWK118" s="225"/>
      <c r="PWL118" s="225"/>
      <c r="PWM118" s="225"/>
      <c r="PWN118" s="225"/>
      <c r="PWO118" s="225"/>
      <c r="PWP118" s="225"/>
      <c r="PWQ118" s="225"/>
      <c r="PWR118" s="225"/>
      <c r="PWS118" s="225"/>
      <c r="PWT118" s="225"/>
      <c r="PWU118" s="225"/>
      <c r="PWV118" s="225"/>
      <c r="PWW118" s="225"/>
      <c r="PWX118" s="225"/>
      <c r="PWY118" s="225"/>
      <c r="PWZ118" s="225"/>
      <c r="PXA118" s="225"/>
      <c r="PXB118" s="225"/>
      <c r="PXC118" s="225"/>
      <c r="PXD118" s="225"/>
      <c r="PXE118" s="225"/>
      <c r="PXF118" s="225"/>
      <c r="PXG118" s="225"/>
      <c r="PXH118" s="225"/>
      <c r="PXI118" s="225"/>
      <c r="PXJ118" s="225"/>
      <c r="PXK118" s="225"/>
      <c r="PXL118" s="225"/>
      <c r="PXM118" s="225"/>
      <c r="PXN118" s="225"/>
      <c r="PXO118" s="225"/>
      <c r="PXP118" s="225"/>
      <c r="PXQ118" s="225"/>
      <c r="PXR118" s="225"/>
      <c r="PXS118" s="225"/>
      <c r="PXT118" s="225"/>
      <c r="PXU118" s="225"/>
      <c r="PXV118" s="225"/>
      <c r="PXW118" s="225"/>
      <c r="PXX118" s="225"/>
      <c r="PXY118" s="225"/>
      <c r="PXZ118" s="225"/>
      <c r="PYA118" s="225"/>
      <c r="PYB118" s="225"/>
      <c r="PYC118" s="225"/>
      <c r="PYD118" s="225"/>
      <c r="PYE118" s="225"/>
      <c r="PYF118" s="225"/>
      <c r="PYG118" s="225"/>
      <c r="PYH118" s="225"/>
      <c r="PYI118" s="225"/>
      <c r="PYJ118" s="225"/>
      <c r="PYK118" s="225"/>
      <c r="PYL118" s="225"/>
      <c r="PYM118" s="225"/>
      <c r="PYN118" s="225"/>
      <c r="PYO118" s="225"/>
      <c r="PYP118" s="225"/>
      <c r="PYQ118" s="225"/>
      <c r="PYR118" s="225"/>
      <c r="PYS118" s="225"/>
      <c r="PYT118" s="225"/>
      <c r="PYU118" s="225"/>
      <c r="PYV118" s="225"/>
      <c r="PYW118" s="225"/>
      <c r="PYX118" s="225"/>
      <c r="PYY118" s="225"/>
      <c r="PYZ118" s="225"/>
      <c r="PZA118" s="225"/>
      <c r="PZB118" s="225"/>
      <c r="PZC118" s="225"/>
      <c r="PZD118" s="225"/>
      <c r="PZE118" s="225"/>
      <c r="PZF118" s="225"/>
      <c r="PZG118" s="225"/>
      <c r="PZH118" s="225"/>
      <c r="PZI118" s="225"/>
      <c r="PZJ118" s="225"/>
      <c r="PZK118" s="225"/>
      <c r="PZL118" s="225"/>
      <c r="PZM118" s="225"/>
      <c r="PZN118" s="225"/>
      <c r="PZO118" s="225"/>
      <c r="PZP118" s="225"/>
      <c r="PZQ118" s="225"/>
      <c r="PZR118" s="225"/>
      <c r="PZS118" s="225"/>
      <c r="PZT118" s="225"/>
      <c r="PZU118" s="225"/>
      <c r="PZV118" s="225"/>
      <c r="PZW118" s="225"/>
      <c r="PZX118" s="225"/>
      <c r="PZY118" s="225"/>
      <c r="PZZ118" s="225"/>
      <c r="QAA118" s="225"/>
      <c r="QAB118" s="225"/>
      <c r="QAC118" s="225"/>
      <c r="QAD118" s="225"/>
      <c r="QAE118" s="225"/>
      <c r="QAF118" s="225"/>
      <c r="QAG118" s="225"/>
      <c r="QAH118" s="225"/>
      <c r="QAI118" s="225"/>
      <c r="QAJ118" s="225"/>
      <c r="QAK118" s="225"/>
      <c r="QAL118" s="225"/>
      <c r="QAM118" s="225"/>
      <c r="QAN118" s="225"/>
      <c r="QAO118" s="225"/>
      <c r="QAP118" s="225"/>
      <c r="QAQ118" s="225"/>
      <c r="QAR118" s="225"/>
      <c r="QAS118" s="225"/>
      <c r="QAT118" s="225"/>
      <c r="QAU118" s="225"/>
      <c r="QAV118" s="225"/>
      <c r="QAW118" s="225"/>
      <c r="QAX118" s="225"/>
      <c r="QAY118" s="225"/>
      <c r="QAZ118" s="225"/>
      <c r="QBA118" s="225"/>
      <c r="QBB118" s="225"/>
      <c r="QBC118" s="225"/>
      <c r="QBD118" s="225"/>
      <c r="QBE118" s="225"/>
      <c r="QBF118" s="225"/>
      <c r="QBG118" s="225"/>
      <c r="QBH118" s="225"/>
      <c r="QBI118" s="225"/>
      <c r="QBJ118" s="225"/>
      <c r="QBK118" s="225"/>
      <c r="QBL118" s="225"/>
      <c r="QBM118" s="225"/>
      <c r="QBN118" s="225"/>
      <c r="QBO118" s="225"/>
      <c r="QBP118" s="225"/>
      <c r="QBQ118" s="225"/>
      <c r="QBR118" s="225"/>
      <c r="QBS118" s="225"/>
      <c r="QBT118" s="225"/>
      <c r="QBU118" s="225"/>
      <c r="QBV118" s="225"/>
      <c r="QBW118" s="225"/>
      <c r="QBX118" s="225"/>
      <c r="QBY118" s="225"/>
      <c r="QBZ118" s="225"/>
      <c r="QCA118" s="225"/>
      <c r="QCB118" s="225"/>
      <c r="QCC118" s="225"/>
      <c r="QCD118" s="225"/>
      <c r="QCE118" s="225"/>
      <c r="QCF118" s="225"/>
      <c r="QCG118" s="225"/>
      <c r="QCH118" s="225"/>
      <c r="QCI118" s="225"/>
      <c r="QCJ118" s="225"/>
      <c r="QCK118" s="225"/>
      <c r="QCL118" s="225"/>
      <c r="QCM118" s="225"/>
      <c r="QCN118" s="225"/>
      <c r="QCO118" s="225"/>
      <c r="QCP118" s="225"/>
      <c r="QCQ118" s="225"/>
      <c r="QCR118" s="225"/>
      <c r="QCS118" s="225"/>
      <c r="QCT118" s="225"/>
      <c r="QCU118" s="225"/>
      <c r="QCV118" s="225"/>
      <c r="QCW118" s="225"/>
      <c r="QCX118" s="225"/>
      <c r="QCY118" s="225"/>
      <c r="QCZ118" s="225"/>
      <c r="QDA118" s="225"/>
      <c r="QDB118" s="225"/>
      <c r="QDC118" s="225"/>
      <c r="QDD118" s="225"/>
      <c r="QDE118" s="225"/>
      <c r="QDF118" s="225"/>
      <c r="QDG118" s="225"/>
      <c r="QDH118" s="225"/>
      <c r="QDI118" s="225"/>
      <c r="QDJ118" s="225"/>
      <c r="QDK118" s="225"/>
      <c r="QDL118" s="225"/>
      <c r="QDM118" s="225"/>
      <c r="QDN118" s="225"/>
      <c r="QDO118" s="225"/>
      <c r="QDP118" s="225"/>
      <c r="QDQ118" s="225"/>
      <c r="QDR118" s="225"/>
      <c r="QDS118" s="225"/>
      <c r="QDT118" s="225"/>
      <c r="QDU118" s="225"/>
      <c r="QDV118" s="225"/>
      <c r="QDW118" s="225"/>
      <c r="QDX118" s="225"/>
      <c r="QDY118" s="225"/>
      <c r="QDZ118" s="225"/>
      <c r="QEA118" s="225"/>
      <c r="QEB118" s="225"/>
      <c r="QEC118" s="225"/>
      <c r="QED118" s="225"/>
      <c r="QEE118" s="225"/>
      <c r="QEF118" s="225"/>
      <c r="QEG118" s="225"/>
      <c r="QEH118" s="225"/>
      <c r="QEI118" s="225"/>
      <c r="QEJ118" s="225"/>
      <c r="QEK118" s="225"/>
      <c r="QEL118" s="225"/>
      <c r="QEM118" s="225"/>
      <c r="QEN118" s="225"/>
      <c r="QEO118" s="225"/>
      <c r="QEP118" s="225"/>
      <c r="QEQ118" s="225"/>
      <c r="QER118" s="225"/>
      <c r="QES118" s="225"/>
      <c r="QET118" s="225"/>
      <c r="QEU118" s="225"/>
      <c r="QEV118" s="225"/>
      <c r="QEW118" s="225"/>
      <c r="QEX118" s="225"/>
      <c r="QEY118" s="225"/>
      <c r="QEZ118" s="225"/>
      <c r="QFA118" s="225"/>
      <c r="QFB118" s="225"/>
      <c r="QFC118" s="225"/>
      <c r="QFD118" s="225"/>
      <c r="QFE118" s="225"/>
      <c r="QFF118" s="225"/>
      <c r="QFG118" s="225"/>
      <c r="QFH118" s="225"/>
      <c r="QFI118" s="225"/>
      <c r="QFJ118" s="225"/>
      <c r="QFK118" s="225"/>
      <c r="QFL118" s="225"/>
      <c r="QFM118" s="225"/>
      <c r="QFN118" s="225"/>
      <c r="QFO118" s="225"/>
      <c r="QFP118" s="225"/>
      <c r="QFQ118" s="225"/>
      <c r="QFR118" s="225"/>
      <c r="QFS118" s="225"/>
      <c r="QFT118" s="225"/>
      <c r="QFU118" s="225"/>
      <c r="QFV118" s="225"/>
      <c r="QFW118" s="225"/>
      <c r="QFX118" s="225"/>
      <c r="QFY118" s="225"/>
      <c r="QFZ118" s="225"/>
      <c r="QGA118" s="225"/>
      <c r="QGB118" s="225"/>
      <c r="QGC118" s="225"/>
      <c r="QGD118" s="225"/>
      <c r="QGE118" s="225"/>
      <c r="QGF118" s="225"/>
      <c r="QGG118" s="225"/>
      <c r="QGH118" s="225"/>
      <c r="QGI118" s="225"/>
      <c r="QGJ118" s="225"/>
      <c r="QGK118" s="225"/>
      <c r="QGL118" s="225"/>
      <c r="QGM118" s="225"/>
      <c r="QGN118" s="225"/>
      <c r="QGO118" s="225"/>
      <c r="QGP118" s="225"/>
      <c r="QGQ118" s="225"/>
      <c r="QGR118" s="225"/>
      <c r="QGS118" s="225"/>
      <c r="QGT118" s="225"/>
      <c r="QGU118" s="225"/>
      <c r="QGV118" s="225"/>
      <c r="QGW118" s="225"/>
      <c r="QGX118" s="225"/>
      <c r="QGY118" s="225"/>
      <c r="QGZ118" s="225"/>
      <c r="QHA118" s="225"/>
      <c r="QHB118" s="225"/>
      <c r="QHC118" s="225"/>
      <c r="QHD118" s="225"/>
      <c r="QHE118" s="225"/>
      <c r="QHF118" s="225"/>
      <c r="QHG118" s="225"/>
      <c r="QHH118" s="225"/>
      <c r="QHI118" s="225"/>
      <c r="QHJ118" s="225"/>
      <c r="QHK118" s="225"/>
      <c r="QHL118" s="225"/>
      <c r="QHM118" s="225"/>
      <c r="QHN118" s="225"/>
      <c r="QHO118" s="225"/>
      <c r="QHP118" s="225"/>
      <c r="QHQ118" s="225"/>
      <c r="QHR118" s="225"/>
      <c r="QHS118" s="225"/>
      <c r="QHT118" s="225"/>
      <c r="QHU118" s="225"/>
      <c r="QHV118" s="225"/>
      <c r="QHW118" s="225"/>
      <c r="QHX118" s="225"/>
      <c r="QHY118" s="225"/>
      <c r="QHZ118" s="225"/>
      <c r="QIA118" s="225"/>
      <c r="QIB118" s="225"/>
      <c r="QIC118" s="225"/>
      <c r="QID118" s="225"/>
      <c r="QIE118" s="225"/>
      <c r="QIF118" s="225"/>
      <c r="QIG118" s="225"/>
      <c r="QIH118" s="225"/>
      <c r="QII118" s="225"/>
      <c r="QIJ118" s="225"/>
      <c r="QIK118" s="225"/>
      <c r="QIL118" s="225"/>
      <c r="QIM118" s="225"/>
      <c r="QIN118" s="225"/>
      <c r="QIO118" s="225"/>
      <c r="QIP118" s="225"/>
      <c r="QIQ118" s="225"/>
      <c r="QIR118" s="225"/>
      <c r="QIS118" s="225"/>
      <c r="QIT118" s="225"/>
      <c r="QIU118" s="225"/>
      <c r="QIV118" s="225"/>
      <c r="QIW118" s="225"/>
      <c r="QIX118" s="225"/>
      <c r="QIY118" s="225"/>
      <c r="QIZ118" s="225"/>
      <c r="QJA118" s="225"/>
      <c r="QJB118" s="225"/>
      <c r="QJC118" s="225"/>
      <c r="QJD118" s="225"/>
      <c r="QJE118" s="225"/>
      <c r="QJF118" s="225"/>
      <c r="QJG118" s="225"/>
      <c r="QJH118" s="225"/>
      <c r="QJI118" s="225"/>
      <c r="QJJ118" s="225"/>
      <c r="QJK118" s="225"/>
      <c r="QJL118" s="225"/>
      <c r="QJM118" s="225"/>
      <c r="QJN118" s="225"/>
      <c r="QJO118" s="225"/>
      <c r="QJP118" s="225"/>
      <c r="QJQ118" s="225"/>
      <c r="QJR118" s="225"/>
      <c r="QJS118" s="225"/>
      <c r="QJT118" s="225"/>
      <c r="QJU118" s="225"/>
      <c r="QJV118" s="225"/>
      <c r="QJW118" s="225"/>
      <c r="QJX118" s="225"/>
      <c r="QJY118" s="225"/>
      <c r="QJZ118" s="225"/>
      <c r="QKA118" s="225"/>
      <c r="QKB118" s="225"/>
      <c r="QKC118" s="225"/>
      <c r="QKD118" s="225"/>
      <c r="QKE118" s="225"/>
      <c r="QKF118" s="225"/>
      <c r="QKG118" s="225"/>
      <c r="QKH118" s="225"/>
      <c r="QKI118" s="225"/>
      <c r="QKJ118" s="225"/>
      <c r="QKK118" s="225"/>
      <c r="QKL118" s="225"/>
      <c r="QKM118" s="225"/>
      <c r="QKN118" s="225"/>
      <c r="QKO118" s="225"/>
      <c r="QKP118" s="225"/>
      <c r="QKQ118" s="225"/>
      <c r="QKR118" s="225"/>
      <c r="QKS118" s="225"/>
      <c r="QKT118" s="225"/>
      <c r="QKU118" s="225"/>
      <c r="QKV118" s="225"/>
      <c r="QKW118" s="225"/>
      <c r="QKX118" s="225"/>
      <c r="QKY118" s="225"/>
      <c r="QKZ118" s="225"/>
      <c r="QLA118" s="225"/>
      <c r="QLB118" s="225"/>
      <c r="QLC118" s="225"/>
      <c r="QLD118" s="225"/>
      <c r="QLE118" s="225"/>
      <c r="QLF118" s="225"/>
      <c r="QLG118" s="225"/>
      <c r="QLH118" s="225"/>
      <c r="QLI118" s="225"/>
      <c r="QLJ118" s="225"/>
      <c r="QLK118" s="225"/>
      <c r="QLL118" s="225"/>
      <c r="QLM118" s="225"/>
      <c r="QLN118" s="225"/>
      <c r="QLO118" s="225"/>
      <c r="QLP118" s="225"/>
      <c r="QLQ118" s="225"/>
      <c r="QLR118" s="225"/>
      <c r="QLS118" s="225"/>
      <c r="QLT118" s="225"/>
      <c r="QLU118" s="225"/>
      <c r="QLV118" s="225"/>
      <c r="QLW118" s="225"/>
      <c r="QLX118" s="225"/>
      <c r="QLY118" s="225"/>
      <c r="QLZ118" s="225"/>
      <c r="QMA118" s="225"/>
      <c r="QMB118" s="225"/>
      <c r="QMC118" s="225"/>
      <c r="QMD118" s="225"/>
      <c r="QME118" s="225"/>
      <c r="QMF118" s="225"/>
      <c r="QMG118" s="225"/>
      <c r="QMH118" s="225"/>
      <c r="QMI118" s="225"/>
      <c r="QMJ118" s="225"/>
      <c r="QMK118" s="225"/>
      <c r="QML118" s="225"/>
      <c r="QMM118" s="225"/>
      <c r="QMN118" s="225"/>
      <c r="QMO118" s="225"/>
      <c r="QMP118" s="225"/>
      <c r="QMQ118" s="225"/>
      <c r="QMR118" s="225"/>
      <c r="QMS118" s="225"/>
      <c r="QMT118" s="225"/>
      <c r="QMU118" s="225"/>
      <c r="QMV118" s="225"/>
      <c r="QMW118" s="225"/>
      <c r="QMX118" s="225"/>
      <c r="QMY118" s="225"/>
      <c r="QMZ118" s="225"/>
      <c r="QNA118" s="225"/>
      <c r="QNB118" s="225"/>
      <c r="QNC118" s="225"/>
      <c r="QND118" s="225"/>
      <c r="QNE118" s="225"/>
      <c r="QNF118" s="225"/>
      <c r="QNG118" s="225"/>
      <c r="QNH118" s="225"/>
      <c r="QNI118" s="225"/>
      <c r="QNJ118" s="225"/>
      <c r="QNK118" s="225"/>
      <c r="QNL118" s="225"/>
      <c r="QNM118" s="225"/>
      <c r="QNN118" s="225"/>
      <c r="QNO118" s="225"/>
      <c r="QNP118" s="225"/>
      <c r="QNQ118" s="225"/>
      <c r="QNR118" s="225"/>
      <c r="QNS118" s="225"/>
      <c r="QNT118" s="225"/>
      <c r="QNU118" s="225"/>
      <c r="QNV118" s="225"/>
      <c r="QNW118" s="225"/>
      <c r="QNX118" s="225"/>
      <c r="QNY118" s="225"/>
      <c r="QNZ118" s="225"/>
      <c r="QOA118" s="225"/>
      <c r="QOB118" s="225"/>
      <c r="QOC118" s="225"/>
      <c r="QOD118" s="225"/>
      <c r="QOE118" s="225"/>
      <c r="QOF118" s="225"/>
      <c r="QOG118" s="225"/>
      <c r="QOH118" s="225"/>
      <c r="QOI118" s="225"/>
      <c r="QOJ118" s="225"/>
      <c r="QOK118" s="225"/>
      <c r="QOL118" s="225"/>
      <c r="QOM118" s="225"/>
      <c r="QON118" s="225"/>
      <c r="QOO118" s="225"/>
      <c r="QOP118" s="225"/>
      <c r="QOQ118" s="225"/>
      <c r="QOR118" s="225"/>
      <c r="QOS118" s="225"/>
      <c r="QOT118" s="225"/>
      <c r="QOU118" s="225"/>
      <c r="QOV118" s="225"/>
      <c r="QOW118" s="225"/>
      <c r="QOX118" s="225"/>
      <c r="QOY118" s="225"/>
      <c r="QOZ118" s="225"/>
      <c r="QPA118" s="225"/>
      <c r="QPB118" s="225"/>
      <c r="QPC118" s="225"/>
      <c r="QPD118" s="225"/>
      <c r="QPE118" s="225"/>
      <c r="QPF118" s="225"/>
      <c r="QPG118" s="225"/>
      <c r="QPH118" s="225"/>
      <c r="QPI118" s="225"/>
      <c r="QPJ118" s="225"/>
      <c r="QPK118" s="225"/>
      <c r="QPL118" s="225"/>
      <c r="QPM118" s="225"/>
      <c r="QPN118" s="225"/>
      <c r="QPO118" s="225"/>
      <c r="QPP118" s="225"/>
      <c r="QPQ118" s="225"/>
      <c r="QPR118" s="225"/>
      <c r="QPS118" s="225"/>
      <c r="QPT118" s="225"/>
      <c r="QPU118" s="225"/>
      <c r="QPV118" s="225"/>
      <c r="QPW118" s="225"/>
      <c r="QPX118" s="225"/>
      <c r="QPY118" s="225"/>
      <c r="QPZ118" s="225"/>
      <c r="QQA118" s="225"/>
      <c r="QQB118" s="225"/>
      <c r="QQC118" s="225"/>
      <c r="QQD118" s="225"/>
      <c r="QQE118" s="225"/>
      <c r="QQF118" s="225"/>
      <c r="QQG118" s="225"/>
      <c r="QQH118" s="225"/>
      <c r="QQI118" s="225"/>
      <c r="QQJ118" s="225"/>
      <c r="QQK118" s="225"/>
      <c r="QQL118" s="225"/>
      <c r="QQM118" s="225"/>
      <c r="QQN118" s="225"/>
      <c r="QQO118" s="225"/>
      <c r="QQP118" s="225"/>
      <c r="QQQ118" s="225"/>
      <c r="QQR118" s="225"/>
      <c r="QQS118" s="225"/>
      <c r="QQT118" s="225"/>
      <c r="QQU118" s="225"/>
      <c r="QQV118" s="225"/>
      <c r="QQW118" s="225"/>
      <c r="QQX118" s="225"/>
      <c r="QQY118" s="225"/>
      <c r="QQZ118" s="225"/>
      <c r="QRA118" s="225"/>
      <c r="QRB118" s="225"/>
      <c r="QRC118" s="225"/>
      <c r="QRD118" s="225"/>
      <c r="QRE118" s="225"/>
      <c r="QRF118" s="225"/>
      <c r="QRG118" s="225"/>
      <c r="QRH118" s="225"/>
      <c r="QRI118" s="225"/>
      <c r="QRJ118" s="225"/>
      <c r="QRK118" s="225"/>
      <c r="QRL118" s="225"/>
      <c r="QRM118" s="225"/>
      <c r="QRN118" s="225"/>
      <c r="QRO118" s="225"/>
      <c r="QRP118" s="225"/>
      <c r="QRQ118" s="225"/>
      <c r="QRR118" s="225"/>
      <c r="QRS118" s="225"/>
      <c r="QRT118" s="225"/>
      <c r="QRU118" s="225"/>
      <c r="QRV118" s="225"/>
      <c r="QRW118" s="225"/>
      <c r="QRX118" s="225"/>
      <c r="QRY118" s="225"/>
      <c r="QRZ118" s="225"/>
      <c r="QSA118" s="225"/>
      <c r="QSB118" s="225"/>
      <c r="QSC118" s="225"/>
      <c r="QSD118" s="225"/>
      <c r="QSE118" s="225"/>
      <c r="QSF118" s="225"/>
      <c r="QSG118" s="225"/>
      <c r="QSH118" s="225"/>
      <c r="QSI118" s="225"/>
      <c r="QSJ118" s="225"/>
      <c r="QSK118" s="225"/>
      <c r="QSL118" s="225"/>
      <c r="QSM118" s="225"/>
      <c r="QSN118" s="225"/>
      <c r="QSO118" s="225"/>
      <c r="QSP118" s="225"/>
      <c r="QSQ118" s="225"/>
      <c r="QSR118" s="225"/>
      <c r="QSS118" s="225"/>
      <c r="QST118" s="225"/>
      <c r="QSU118" s="225"/>
      <c r="QSV118" s="225"/>
      <c r="QSW118" s="225"/>
      <c r="QSX118" s="225"/>
      <c r="QSY118" s="225"/>
      <c r="QSZ118" s="225"/>
      <c r="QTA118" s="225"/>
      <c r="QTB118" s="225"/>
      <c r="QTC118" s="225"/>
      <c r="QTD118" s="225"/>
      <c r="QTE118" s="225"/>
      <c r="QTF118" s="225"/>
      <c r="QTG118" s="225"/>
      <c r="QTH118" s="225"/>
      <c r="QTI118" s="225"/>
      <c r="QTJ118" s="225"/>
      <c r="QTK118" s="225"/>
      <c r="QTL118" s="225"/>
      <c r="QTM118" s="225"/>
      <c r="QTN118" s="225"/>
      <c r="QTO118" s="225"/>
      <c r="QTP118" s="225"/>
      <c r="QTQ118" s="225"/>
      <c r="QTR118" s="225"/>
      <c r="QTS118" s="225"/>
      <c r="QTT118" s="225"/>
      <c r="QTU118" s="225"/>
      <c r="QTV118" s="225"/>
      <c r="QTW118" s="225"/>
      <c r="QTX118" s="225"/>
      <c r="QTY118" s="225"/>
      <c r="QTZ118" s="225"/>
      <c r="QUA118" s="225"/>
      <c r="QUB118" s="225"/>
      <c r="QUC118" s="225"/>
      <c r="QUD118" s="225"/>
      <c r="QUE118" s="225"/>
      <c r="QUF118" s="225"/>
      <c r="QUG118" s="225"/>
      <c r="QUH118" s="225"/>
      <c r="QUI118" s="225"/>
      <c r="QUJ118" s="225"/>
      <c r="QUK118" s="225"/>
      <c r="QUL118" s="225"/>
      <c r="QUM118" s="225"/>
      <c r="QUN118" s="225"/>
      <c r="QUO118" s="225"/>
      <c r="QUP118" s="225"/>
      <c r="QUQ118" s="225"/>
      <c r="QUR118" s="225"/>
      <c r="QUS118" s="225"/>
      <c r="QUT118" s="225"/>
      <c r="QUU118" s="225"/>
      <c r="QUV118" s="225"/>
      <c r="QUW118" s="225"/>
      <c r="QUX118" s="225"/>
      <c r="QUY118" s="225"/>
      <c r="QUZ118" s="225"/>
      <c r="QVA118" s="225"/>
      <c r="QVB118" s="225"/>
      <c r="QVC118" s="225"/>
      <c r="QVD118" s="225"/>
      <c r="QVE118" s="225"/>
      <c r="QVF118" s="225"/>
      <c r="QVG118" s="225"/>
      <c r="QVH118" s="225"/>
      <c r="QVI118" s="225"/>
      <c r="QVJ118" s="225"/>
      <c r="QVK118" s="225"/>
      <c r="QVL118" s="225"/>
      <c r="QVM118" s="225"/>
      <c r="QVN118" s="225"/>
      <c r="QVO118" s="225"/>
      <c r="QVP118" s="225"/>
      <c r="QVQ118" s="225"/>
      <c r="QVR118" s="225"/>
      <c r="QVS118" s="225"/>
      <c r="QVT118" s="225"/>
      <c r="QVU118" s="225"/>
      <c r="QVV118" s="225"/>
      <c r="QVW118" s="225"/>
      <c r="QVX118" s="225"/>
      <c r="QVY118" s="225"/>
      <c r="QVZ118" s="225"/>
      <c r="QWA118" s="225"/>
      <c r="QWB118" s="225"/>
      <c r="QWC118" s="225"/>
      <c r="QWD118" s="225"/>
      <c r="QWE118" s="225"/>
      <c r="QWF118" s="225"/>
      <c r="QWG118" s="225"/>
      <c r="QWH118" s="225"/>
      <c r="QWI118" s="225"/>
      <c r="QWJ118" s="225"/>
      <c r="QWK118" s="225"/>
      <c r="QWL118" s="225"/>
      <c r="QWM118" s="225"/>
      <c r="QWN118" s="225"/>
      <c r="QWO118" s="225"/>
      <c r="QWP118" s="225"/>
      <c r="QWQ118" s="225"/>
      <c r="QWR118" s="225"/>
      <c r="QWS118" s="225"/>
      <c r="QWT118" s="225"/>
      <c r="QWU118" s="225"/>
      <c r="QWV118" s="225"/>
      <c r="QWW118" s="225"/>
      <c r="QWX118" s="225"/>
      <c r="QWY118" s="225"/>
      <c r="QWZ118" s="225"/>
      <c r="QXA118" s="225"/>
      <c r="QXB118" s="225"/>
      <c r="QXC118" s="225"/>
      <c r="QXD118" s="225"/>
      <c r="QXE118" s="225"/>
      <c r="QXF118" s="225"/>
      <c r="QXG118" s="225"/>
      <c r="QXH118" s="225"/>
      <c r="QXI118" s="225"/>
      <c r="QXJ118" s="225"/>
      <c r="QXK118" s="225"/>
      <c r="QXL118" s="225"/>
      <c r="QXM118" s="225"/>
      <c r="QXN118" s="225"/>
      <c r="QXO118" s="225"/>
      <c r="QXP118" s="225"/>
      <c r="QXQ118" s="225"/>
      <c r="QXR118" s="225"/>
      <c r="QXS118" s="225"/>
      <c r="QXT118" s="225"/>
      <c r="QXU118" s="225"/>
      <c r="QXV118" s="225"/>
      <c r="QXW118" s="225"/>
      <c r="QXX118" s="225"/>
      <c r="QXY118" s="225"/>
      <c r="QXZ118" s="225"/>
      <c r="QYA118" s="225"/>
      <c r="QYB118" s="225"/>
      <c r="QYC118" s="225"/>
      <c r="QYD118" s="225"/>
      <c r="QYE118" s="225"/>
      <c r="QYF118" s="225"/>
      <c r="QYG118" s="225"/>
      <c r="QYH118" s="225"/>
      <c r="QYI118" s="225"/>
      <c r="QYJ118" s="225"/>
      <c r="QYK118" s="225"/>
      <c r="QYL118" s="225"/>
      <c r="QYM118" s="225"/>
      <c r="QYN118" s="225"/>
      <c r="QYO118" s="225"/>
      <c r="QYP118" s="225"/>
      <c r="QYQ118" s="225"/>
      <c r="QYR118" s="225"/>
      <c r="QYS118" s="225"/>
      <c r="QYT118" s="225"/>
      <c r="QYU118" s="225"/>
      <c r="QYV118" s="225"/>
      <c r="QYW118" s="225"/>
      <c r="QYX118" s="225"/>
      <c r="QYY118" s="225"/>
      <c r="QYZ118" s="225"/>
      <c r="QZA118" s="225"/>
      <c r="QZB118" s="225"/>
      <c r="QZC118" s="225"/>
      <c r="QZD118" s="225"/>
      <c r="QZE118" s="225"/>
      <c r="QZF118" s="225"/>
      <c r="QZG118" s="225"/>
      <c r="QZH118" s="225"/>
      <c r="QZI118" s="225"/>
      <c r="QZJ118" s="225"/>
      <c r="QZK118" s="225"/>
      <c r="QZL118" s="225"/>
      <c r="QZM118" s="225"/>
      <c r="QZN118" s="225"/>
      <c r="QZO118" s="225"/>
      <c r="QZP118" s="225"/>
      <c r="QZQ118" s="225"/>
      <c r="QZR118" s="225"/>
      <c r="QZS118" s="225"/>
      <c r="QZT118" s="225"/>
      <c r="QZU118" s="225"/>
      <c r="QZV118" s="225"/>
      <c r="QZW118" s="225"/>
      <c r="QZX118" s="225"/>
      <c r="QZY118" s="225"/>
      <c r="QZZ118" s="225"/>
      <c r="RAA118" s="225"/>
      <c r="RAB118" s="225"/>
      <c r="RAC118" s="225"/>
      <c r="RAD118" s="225"/>
      <c r="RAE118" s="225"/>
      <c r="RAF118" s="225"/>
      <c r="RAG118" s="225"/>
      <c r="RAH118" s="225"/>
      <c r="RAI118" s="225"/>
      <c r="RAJ118" s="225"/>
      <c r="RAK118" s="225"/>
      <c r="RAL118" s="225"/>
      <c r="RAM118" s="225"/>
      <c r="RAN118" s="225"/>
      <c r="RAO118" s="225"/>
      <c r="RAP118" s="225"/>
      <c r="RAQ118" s="225"/>
      <c r="RAR118" s="225"/>
      <c r="RAS118" s="225"/>
      <c r="RAT118" s="225"/>
      <c r="RAU118" s="225"/>
      <c r="RAV118" s="225"/>
      <c r="RAW118" s="225"/>
      <c r="RAX118" s="225"/>
      <c r="RAY118" s="225"/>
      <c r="RAZ118" s="225"/>
      <c r="RBA118" s="225"/>
      <c r="RBB118" s="225"/>
      <c r="RBC118" s="225"/>
      <c r="RBD118" s="225"/>
      <c r="RBE118" s="225"/>
      <c r="RBF118" s="225"/>
      <c r="RBG118" s="225"/>
      <c r="RBH118" s="225"/>
      <c r="RBI118" s="225"/>
      <c r="RBJ118" s="225"/>
      <c r="RBK118" s="225"/>
      <c r="RBL118" s="225"/>
      <c r="RBM118" s="225"/>
      <c r="RBN118" s="225"/>
      <c r="RBO118" s="225"/>
      <c r="RBP118" s="225"/>
      <c r="RBQ118" s="225"/>
      <c r="RBR118" s="225"/>
      <c r="RBS118" s="225"/>
      <c r="RBT118" s="225"/>
      <c r="RBU118" s="225"/>
      <c r="RBV118" s="225"/>
      <c r="RBW118" s="225"/>
      <c r="RBX118" s="225"/>
      <c r="RBY118" s="225"/>
      <c r="RBZ118" s="225"/>
      <c r="RCA118" s="225"/>
      <c r="RCB118" s="225"/>
      <c r="RCC118" s="225"/>
      <c r="RCD118" s="225"/>
      <c r="RCE118" s="225"/>
      <c r="RCF118" s="225"/>
      <c r="RCG118" s="225"/>
      <c r="RCH118" s="225"/>
      <c r="RCI118" s="225"/>
      <c r="RCJ118" s="225"/>
      <c r="RCK118" s="225"/>
      <c r="RCL118" s="225"/>
      <c r="RCM118" s="225"/>
      <c r="RCN118" s="225"/>
      <c r="RCO118" s="225"/>
      <c r="RCP118" s="225"/>
      <c r="RCQ118" s="225"/>
      <c r="RCR118" s="225"/>
      <c r="RCS118" s="225"/>
      <c r="RCT118" s="225"/>
      <c r="RCU118" s="225"/>
      <c r="RCV118" s="225"/>
      <c r="RCW118" s="225"/>
      <c r="RCX118" s="225"/>
      <c r="RCY118" s="225"/>
      <c r="RCZ118" s="225"/>
      <c r="RDA118" s="225"/>
      <c r="RDB118" s="225"/>
      <c r="RDC118" s="225"/>
      <c r="RDD118" s="225"/>
      <c r="RDE118" s="225"/>
      <c r="RDF118" s="225"/>
      <c r="RDG118" s="225"/>
      <c r="RDH118" s="225"/>
      <c r="RDI118" s="225"/>
      <c r="RDJ118" s="225"/>
      <c r="RDK118" s="225"/>
      <c r="RDL118" s="225"/>
      <c r="RDM118" s="225"/>
      <c r="RDN118" s="225"/>
      <c r="RDO118" s="225"/>
      <c r="RDP118" s="225"/>
      <c r="RDQ118" s="225"/>
      <c r="RDR118" s="225"/>
      <c r="RDS118" s="225"/>
      <c r="RDT118" s="225"/>
      <c r="RDU118" s="225"/>
      <c r="RDV118" s="225"/>
      <c r="RDW118" s="225"/>
      <c r="RDX118" s="225"/>
      <c r="RDY118" s="225"/>
      <c r="RDZ118" s="225"/>
      <c r="REA118" s="225"/>
      <c r="REB118" s="225"/>
      <c r="REC118" s="225"/>
      <c r="RED118" s="225"/>
      <c r="REE118" s="225"/>
      <c r="REF118" s="225"/>
      <c r="REG118" s="225"/>
      <c r="REH118" s="225"/>
      <c r="REI118" s="225"/>
      <c r="REJ118" s="225"/>
      <c r="REK118" s="225"/>
      <c r="REL118" s="225"/>
      <c r="REM118" s="225"/>
      <c r="REN118" s="225"/>
      <c r="REO118" s="225"/>
      <c r="REP118" s="225"/>
      <c r="REQ118" s="225"/>
      <c r="RER118" s="225"/>
      <c r="RES118" s="225"/>
      <c r="RET118" s="225"/>
      <c r="REU118" s="225"/>
      <c r="REV118" s="225"/>
      <c r="REW118" s="225"/>
      <c r="REX118" s="225"/>
      <c r="REY118" s="225"/>
      <c r="REZ118" s="225"/>
      <c r="RFA118" s="225"/>
      <c r="RFB118" s="225"/>
      <c r="RFC118" s="225"/>
      <c r="RFD118" s="225"/>
      <c r="RFE118" s="225"/>
      <c r="RFF118" s="225"/>
      <c r="RFG118" s="225"/>
      <c r="RFH118" s="225"/>
      <c r="RFI118" s="225"/>
      <c r="RFJ118" s="225"/>
      <c r="RFK118" s="225"/>
      <c r="RFL118" s="225"/>
      <c r="RFM118" s="225"/>
      <c r="RFN118" s="225"/>
      <c r="RFO118" s="225"/>
      <c r="RFP118" s="225"/>
      <c r="RFQ118" s="225"/>
      <c r="RFR118" s="225"/>
      <c r="RFS118" s="225"/>
      <c r="RFT118" s="225"/>
      <c r="RFU118" s="225"/>
      <c r="RFV118" s="225"/>
      <c r="RFW118" s="225"/>
      <c r="RFX118" s="225"/>
      <c r="RFY118" s="225"/>
      <c r="RFZ118" s="225"/>
      <c r="RGA118" s="225"/>
      <c r="RGB118" s="225"/>
      <c r="RGC118" s="225"/>
      <c r="RGD118" s="225"/>
      <c r="RGE118" s="225"/>
      <c r="RGF118" s="225"/>
      <c r="RGG118" s="225"/>
      <c r="RGH118" s="225"/>
      <c r="RGI118" s="225"/>
      <c r="RGJ118" s="225"/>
      <c r="RGK118" s="225"/>
      <c r="RGL118" s="225"/>
      <c r="RGM118" s="225"/>
      <c r="RGN118" s="225"/>
      <c r="RGO118" s="225"/>
      <c r="RGP118" s="225"/>
      <c r="RGQ118" s="225"/>
      <c r="RGR118" s="225"/>
      <c r="RGS118" s="225"/>
      <c r="RGT118" s="225"/>
      <c r="RGU118" s="225"/>
      <c r="RGV118" s="225"/>
      <c r="RGW118" s="225"/>
      <c r="RGX118" s="225"/>
      <c r="RGY118" s="225"/>
      <c r="RGZ118" s="225"/>
      <c r="RHA118" s="225"/>
      <c r="RHB118" s="225"/>
      <c r="RHC118" s="225"/>
      <c r="RHD118" s="225"/>
      <c r="RHE118" s="225"/>
      <c r="RHF118" s="225"/>
      <c r="RHG118" s="225"/>
      <c r="RHH118" s="225"/>
      <c r="RHI118" s="225"/>
      <c r="RHJ118" s="225"/>
      <c r="RHK118" s="225"/>
      <c r="RHL118" s="225"/>
      <c r="RHM118" s="225"/>
      <c r="RHN118" s="225"/>
      <c r="RHO118" s="225"/>
      <c r="RHP118" s="225"/>
      <c r="RHQ118" s="225"/>
      <c r="RHR118" s="225"/>
      <c r="RHS118" s="225"/>
      <c r="RHT118" s="225"/>
      <c r="RHU118" s="225"/>
      <c r="RHV118" s="225"/>
      <c r="RHW118" s="225"/>
      <c r="RHX118" s="225"/>
      <c r="RHY118" s="225"/>
      <c r="RHZ118" s="225"/>
      <c r="RIA118" s="225"/>
      <c r="RIB118" s="225"/>
      <c r="RIC118" s="225"/>
      <c r="RID118" s="225"/>
      <c r="RIE118" s="225"/>
      <c r="RIF118" s="225"/>
      <c r="RIG118" s="225"/>
      <c r="RIH118" s="225"/>
      <c r="RII118" s="225"/>
      <c r="RIJ118" s="225"/>
      <c r="RIK118" s="225"/>
      <c r="RIL118" s="225"/>
      <c r="RIM118" s="225"/>
      <c r="RIN118" s="225"/>
      <c r="RIO118" s="225"/>
      <c r="RIP118" s="225"/>
      <c r="RIQ118" s="225"/>
      <c r="RIR118" s="225"/>
      <c r="RIS118" s="225"/>
      <c r="RIT118" s="225"/>
      <c r="RIU118" s="225"/>
      <c r="RIV118" s="225"/>
      <c r="RIW118" s="225"/>
      <c r="RIX118" s="225"/>
      <c r="RIY118" s="225"/>
      <c r="RIZ118" s="225"/>
      <c r="RJA118" s="225"/>
      <c r="RJB118" s="225"/>
      <c r="RJC118" s="225"/>
      <c r="RJD118" s="225"/>
      <c r="RJE118" s="225"/>
      <c r="RJF118" s="225"/>
      <c r="RJG118" s="225"/>
      <c r="RJH118" s="225"/>
      <c r="RJI118" s="225"/>
      <c r="RJJ118" s="225"/>
      <c r="RJK118" s="225"/>
      <c r="RJL118" s="225"/>
      <c r="RJM118" s="225"/>
      <c r="RJN118" s="225"/>
      <c r="RJO118" s="225"/>
      <c r="RJP118" s="225"/>
      <c r="RJQ118" s="225"/>
      <c r="RJR118" s="225"/>
      <c r="RJS118" s="225"/>
      <c r="RJT118" s="225"/>
      <c r="RJU118" s="225"/>
      <c r="RJV118" s="225"/>
      <c r="RJW118" s="225"/>
      <c r="RJX118" s="225"/>
      <c r="RJY118" s="225"/>
      <c r="RJZ118" s="225"/>
      <c r="RKA118" s="225"/>
      <c r="RKB118" s="225"/>
      <c r="RKC118" s="225"/>
      <c r="RKD118" s="225"/>
      <c r="RKE118" s="225"/>
      <c r="RKF118" s="225"/>
      <c r="RKG118" s="225"/>
      <c r="RKH118" s="225"/>
      <c r="RKI118" s="225"/>
      <c r="RKJ118" s="225"/>
      <c r="RKK118" s="225"/>
      <c r="RKL118" s="225"/>
      <c r="RKM118" s="225"/>
      <c r="RKN118" s="225"/>
      <c r="RKO118" s="225"/>
      <c r="RKP118" s="225"/>
      <c r="RKQ118" s="225"/>
      <c r="RKR118" s="225"/>
      <c r="RKS118" s="225"/>
      <c r="RKT118" s="225"/>
      <c r="RKU118" s="225"/>
      <c r="RKV118" s="225"/>
      <c r="RKW118" s="225"/>
      <c r="RKX118" s="225"/>
      <c r="RKY118" s="225"/>
      <c r="RKZ118" s="225"/>
      <c r="RLA118" s="225"/>
      <c r="RLB118" s="225"/>
      <c r="RLC118" s="225"/>
      <c r="RLD118" s="225"/>
      <c r="RLE118" s="225"/>
      <c r="RLF118" s="225"/>
      <c r="RLG118" s="225"/>
      <c r="RLH118" s="225"/>
      <c r="RLI118" s="225"/>
      <c r="RLJ118" s="225"/>
      <c r="RLK118" s="225"/>
      <c r="RLL118" s="225"/>
      <c r="RLM118" s="225"/>
      <c r="RLN118" s="225"/>
      <c r="RLO118" s="225"/>
      <c r="RLP118" s="225"/>
      <c r="RLQ118" s="225"/>
      <c r="RLR118" s="225"/>
      <c r="RLS118" s="225"/>
      <c r="RLT118" s="225"/>
      <c r="RLU118" s="225"/>
      <c r="RLV118" s="225"/>
      <c r="RLW118" s="225"/>
      <c r="RLX118" s="225"/>
      <c r="RLY118" s="225"/>
      <c r="RLZ118" s="225"/>
      <c r="RMA118" s="225"/>
      <c r="RMB118" s="225"/>
      <c r="RMC118" s="225"/>
      <c r="RMD118" s="225"/>
      <c r="RME118" s="225"/>
      <c r="RMF118" s="225"/>
      <c r="RMG118" s="225"/>
      <c r="RMH118" s="225"/>
      <c r="RMI118" s="225"/>
      <c r="RMJ118" s="225"/>
      <c r="RMK118" s="225"/>
      <c r="RML118" s="225"/>
      <c r="RMM118" s="225"/>
      <c r="RMN118" s="225"/>
      <c r="RMO118" s="225"/>
      <c r="RMP118" s="225"/>
      <c r="RMQ118" s="225"/>
      <c r="RMR118" s="225"/>
      <c r="RMS118" s="225"/>
      <c r="RMT118" s="225"/>
      <c r="RMU118" s="225"/>
      <c r="RMV118" s="225"/>
      <c r="RMW118" s="225"/>
      <c r="RMX118" s="225"/>
      <c r="RMY118" s="225"/>
      <c r="RMZ118" s="225"/>
      <c r="RNA118" s="225"/>
      <c r="RNB118" s="225"/>
      <c r="RNC118" s="225"/>
      <c r="RND118" s="225"/>
      <c r="RNE118" s="225"/>
      <c r="RNF118" s="225"/>
      <c r="RNG118" s="225"/>
      <c r="RNH118" s="225"/>
      <c r="RNI118" s="225"/>
      <c r="RNJ118" s="225"/>
      <c r="RNK118" s="225"/>
      <c r="RNL118" s="225"/>
      <c r="RNM118" s="225"/>
      <c r="RNN118" s="225"/>
      <c r="RNO118" s="225"/>
      <c r="RNP118" s="225"/>
      <c r="RNQ118" s="225"/>
      <c r="RNR118" s="225"/>
      <c r="RNS118" s="225"/>
      <c r="RNT118" s="225"/>
      <c r="RNU118" s="225"/>
      <c r="RNV118" s="225"/>
      <c r="RNW118" s="225"/>
      <c r="RNX118" s="225"/>
      <c r="RNY118" s="225"/>
      <c r="RNZ118" s="225"/>
      <c r="ROA118" s="225"/>
      <c r="ROB118" s="225"/>
      <c r="ROC118" s="225"/>
      <c r="ROD118" s="225"/>
      <c r="ROE118" s="225"/>
      <c r="ROF118" s="225"/>
      <c r="ROG118" s="225"/>
      <c r="ROH118" s="225"/>
      <c r="ROI118" s="225"/>
      <c r="ROJ118" s="225"/>
      <c r="ROK118" s="225"/>
      <c r="ROL118" s="225"/>
      <c r="ROM118" s="225"/>
      <c r="RON118" s="225"/>
      <c r="ROO118" s="225"/>
      <c r="ROP118" s="225"/>
      <c r="ROQ118" s="225"/>
      <c r="ROR118" s="225"/>
      <c r="ROS118" s="225"/>
      <c r="ROT118" s="225"/>
      <c r="ROU118" s="225"/>
      <c r="ROV118" s="225"/>
      <c r="ROW118" s="225"/>
      <c r="ROX118" s="225"/>
      <c r="ROY118" s="225"/>
      <c r="ROZ118" s="225"/>
      <c r="RPA118" s="225"/>
      <c r="RPB118" s="225"/>
      <c r="RPC118" s="225"/>
      <c r="RPD118" s="225"/>
      <c r="RPE118" s="225"/>
      <c r="RPF118" s="225"/>
      <c r="RPG118" s="225"/>
      <c r="RPH118" s="225"/>
      <c r="RPI118" s="225"/>
      <c r="RPJ118" s="225"/>
      <c r="RPK118" s="225"/>
      <c r="RPL118" s="225"/>
      <c r="RPM118" s="225"/>
      <c r="RPN118" s="225"/>
      <c r="RPO118" s="225"/>
      <c r="RPP118" s="225"/>
      <c r="RPQ118" s="225"/>
      <c r="RPR118" s="225"/>
      <c r="RPS118" s="225"/>
      <c r="RPT118" s="225"/>
      <c r="RPU118" s="225"/>
      <c r="RPV118" s="225"/>
      <c r="RPW118" s="225"/>
      <c r="RPX118" s="225"/>
      <c r="RPY118" s="225"/>
      <c r="RPZ118" s="225"/>
      <c r="RQA118" s="225"/>
      <c r="RQB118" s="225"/>
      <c r="RQC118" s="225"/>
      <c r="RQD118" s="225"/>
      <c r="RQE118" s="225"/>
      <c r="RQF118" s="225"/>
      <c r="RQG118" s="225"/>
      <c r="RQH118" s="225"/>
      <c r="RQI118" s="225"/>
      <c r="RQJ118" s="225"/>
      <c r="RQK118" s="225"/>
      <c r="RQL118" s="225"/>
      <c r="RQM118" s="225"/>
      <c r="RQN118" s="225"/>
      <c r="RQO118" s="225"/>
      <c r="RQP118" s="225"/>
      <c r="RQQ118" s="225"/>
      <c r="RQR118" s="225"/>
      <c r="RQS118" s="225"/>
      <c r="RQT118" s="225"/>
      <c r="RQU118" s="225"/>
      <c r="RQV118" s="225"/>
      <c r="RQW118" s="225"/>
      <c r="RQX118" s="225"/>
      <c r="RQY118" s="225"/>
      <c r="RQZ118" s="225"/>
      <c r="RRA118" s="225"/>
      <c r="RRB118" s="225"/>
      <c r="RRC118" s="225"/>
      <c r="RRD118" s="225"/>
      <c r="RRE118" s="225"/>
      <c r="RRF118" s="225"/>
      <c r="RRG118" s="225"/>
      <c r="RRH118" s="225"/>
      <c r="RRI118" s="225"/>
      <c r="RRJ118" s="225"/>
      <c r="RRK118" s="225"/>
      <c r="RRL118" s="225"/>
      <c r="RRM118" s="225"/>
      <c r="RRN118" s="225"/>
      <c r="RRO118" s="225"/>
      <c r="RRP118" s="225"/>
      <c r="RRQ118" s="225"/>
      <c r="RRR118" s="225"/>
      <c r="RRS118" s="225"/>
      <c r="RRT118" s="225"/>
      <c r="RRU118" s="225"/>
      <c r="RRV118" s="225"/>
      <c r="RRW118" s="225"/>
      <c r="RRX118" s="225"/>
      <c r="RRY118" s="225"/>
      <c r="RRZ118" s="225"/>
      <c r="RSA118" s="225"/>
      <c r="RSB118" s="225"/>
      <c r="RSC118" s="225"/>
      <c r="RSD118" s="225"/>
      <c r="RSE118" s="225"/>
      <c r="RSF118" s="225"/>
      <c r="RSG118" s="225"/>
      <c r="RSH118" s="225"/>
      <c r="RSI118" s="225"/>
      <c r="RSJ118" s="225"/>
      <c r="RSK118" s="225"/>
      <c r="RSL118" s="225"/>
      <c r="RSM118" s="225"/>
      <c r="RSN118" s="225"/>
      <c r="RSO118" s="225"/>
      <c r="RSP118" s="225"/>
      <c r="RSQ118" s="225"/>
      <c r="RSR118" s="225"/>
      <c r="RSS118" s="225"/>
      <c r="RST118" s="225"/>
      <c r="RSU118" s="225"/>
      <c r="RSV118" s="225"/>
      <c r="RSW118" s="225"/>
      <c r="RSX118" s="225"/>
      <c r="RSY118" s="225"/>
      <c r="RSZ118" s="225"/>
      <c r="RTA118" s="225"/>
      <c r="RTB118" s="225"/>
      <c r="RTC118" s="225"/>
      <c r="RTD118" s="225"/>
      <c r="RTE118" s="225"/>
      <c r="RTF118" s="225"/>
      <c r="RTG118" s="225"/>
      <c r="RTH118" s="225"/>
      <c r="RTI118" s="225"/>
      <c r="RTJ118" s="225"/>
      <c r="RTK118" s="225"/>
      <c r="RTL118" s="225"/>
      <c r="RTM118" s="225"/>
      <c r="RTN118" s="225"/>
      <c r="RTO118" s="225"/>
      <c r="RTP118" s="225"/>
      <c r="RTQ118" s="225"/>
      <c r="RTR118" s="225"/>
      <c r="RTS118" s="225"/>
      <c r="RTT118" s="225"/>
      <c r="RTU118" s="225"/>
      <c r="RTV118" s="225"/>
      <c r="RTW118" s="225"/>
      <c r="RTX118" s="225"/>
      <c r="RTY118" s="225"/>
      <c r="RTZ118" s="225"/>
      <c r="RUA118" s="225"/>
      <c r="RUB118" s="225"/>
      <c r="RUC118" s="225"/>
      <c r="RUD118" s="225"/>
      <c r="RUE118" s="225"/>
      <c r="RUF118" s="225"/>
      <c r="RUG118" s="225"/>
      <c r="RUH118" s="225"/>
      <c r="RUI118" s="225"/>
      <c r="RUJ118" s="225"/>
      <c r="RUK118" s="225"/>
      <c r="RUL118" s="225"/>
      <c r="RUM118" s="225"/>
      <c r="RUN118" s="225"/>
      <c r="RUO118" s="225"/>
      <c r="RUP118" s="225"/>
      <c r="RUQ118" s="225"/>
      <c r="RUR118" s="225"/>
      <c r="RUS118" s="225"/>
      <c r="RUT118" s="225"/>
      <c r="RUU118" s="225"/>
      <c r="RUV118" s="225"/>
      <c r="RUW118" s="225"/>
      <c r="RUX118" s="225"/>
      <c r="RUY118" s="225"/>
      <c r="RUZ118" s="225"/>
      <c r="RVA118" s="225"/>
      <c r="RVB118" s="225"/>
      <c r="RVC118" s="225"/>
      <c r="RVD118" s="225"/>
      <c r="RVE118" s="225"/>
      <c r="RVF118" s="225"/>
      <c r="RVG118" s="225"/>
      <c r="RVH118" s="225"/>
      <c r="RVI118" s="225"/>
      <c r="RVJ118" s="225"/>
      <c r="RVK118" s="225"/>
      <c r="RVL118" s="225"/>
      <c r="RVM118" s="225"/>
      <c r="RVN118" s="225"/>
      <c r="RVO118" s="225"/>
      <c r="RVP118" s="225"/>
      <c r="RVQ118" s="225"/>
      <c r="RVR118" s="225"/>
      <c r="RVS118" s="225"/>
      <c r="RVT118" s="225"/>
      <c r="RVU118" s="225"/>
      <c r="RVV118" s="225"/>
      <c r="RVW118" s="225"/>
      <c r="RVX118" s="225"/>
      <c r="RVY118" s="225"/>
      <c r="RVZ118" s="225"/>
      <c r="RWA118" s="225"/>
      <c r="RWB118" s="225"/>
      <c r="RWC118" s="225"/>
      <c r="RWD118" s="225"/>
      <c r="RWE118" s="225"/>
      <c r="RWF118" s="225"/>
      <c r="RWG118" s="225"/>
      <c r="RWH118" s="225"/>
      <c r="RWI118" s="225"/>
      <c r="RWJ118" s="225"/>
      <c r="RWK118" s="225"/>
      <c r="RWL118" s="225"/>
      <c r="RWM118" s="225"/>
      <c r="RWN118" s="225"/>
      <c r="RWO118" s="225"/>
      <c r="RWP118" s="225"/>
      <c r="RWQ118" s="225"/>
      <c r="RWR118" s="225"/>
      <c r="RWS118" s="225"/>
      <c r="RWT118" s="225"/>
      <c r="RWU118" s="225"/>
      <c r="RWV118" s="225"/>
      <c r="RWW118" s="225"/>
      <c r="RWX118" s="225"/>
      <c r="RWY118" s="225"/>
      <c r="RWZ118" s="225"/>
      <c r="RXA118" s="225"/>
      <c r="RXB118" s="225"/>
      <c r="RXC118" s="225"/>
      <c r="RXD118" s="225"/>
      <c r="RXE118" s="225"/>
      <c r="RXF118" s="225"/>
      <c r="RXG118" s="225"/>
      <c r="RXH118" s="225"/>
      <c r="RXI118" s="225"/>
      <c r="RXJ118" s="225"/>
      <c r="RXK118" s="225"/>
      <c r="RXL118" s="225"/>
      <c r="RXM118" s="225"/>
      <c r="RXN118" s="225"/>
      <c r="RXO118" s="225"/>
      <c r="RXP118" s="225"/>
      <c r="RXQ118" s="225"/>
      <c r="RXR118" s="225"/>
      <c r="RXS118" s="225"/>
      <c r="RXT118" s="225"/>
      <c r="RXU118" s="225"/>
      <c r="RXV118" s="225"/>
      <c r="RXW118" s="225"/>
      <c r="RXX118" s="225"/>
      <c r="RXY118" s="225"/>
      <c r="RXZ118" s="225"/>
      <c r="RYA118" s="225"/>
      <c r="RYB118" s="225"/>
      <c r="RYC118" s="225"/>
      <c r="RYD118" s="225"/>
      <c r="RYE118" s="225"/>
      <c r="RYF118" s="225"/>
      <c r="RYG118" s="225"/>
      <c r="RYH118" s="225"/>
      <c r="RYI118" s="225"/>
      <c r="RYJ118" s="225"/>
      <c r="RYK118" s="225"/>
      <c r="RYL118" s="225"/>
      <c r="RYM118" s="225"/>
      <c r="RYN118" s="225"/>
      <c r="RYO118" s="225"/>
      <c r="RYP118" s="225"/>
      <c r="RYQ118" s="225"/>
      <c r="RYR118" s="225"/>
      <c r="RYS118" s="225"/>
      <c r="RYT118" s="225"/>
      <c r="RYU118" s="225"/>
      <c r="RYV118" s="225"/>
      <c r="RYW118" s="225"/>
      <c r="RYX118" s="225"/>
      <c r="RYY118" s="225"/>
      <c r="RYZ118" s="225"/>
      <c r="RZA118" s="225"/>
      <c r="RZB118" s="225"/>
      <c r="RZC118" s="225"/>
      <c r="RZD118" s="225"/>
      <c r="RZE118" s="225"/>
      <c r="RZF118" s="225"/>
      <c r="RZG118" s="225"/>
      <c r="RZH118" s="225"/>
      <c r="RZI118" s="225"/>
      <c r="RZJ118" s="225"/>
      <c r="RZK118" s="225"/>
      <c r="RZL118" s="225"/>
      <c r="RZM118" s="225"/>
      <c r="RZN118" s="225"/>
      <c r="RZO118" s="225"/>
      <c r="RZP118" s="225"/>
      <c r="RZQ118" s="225"/>
      <c r="RZR118" s="225"/>
      <c r="RZS118" s="225"/>
      <c r="RZT118" s="225"/>
      <c r="RZU118" s="225"/>
      <c r="RZV118" s="225"/>
      <c r="RZW118" s="225"/>
      <c r="RZX118" s="225"/>
      <c r="RZY118" s="225"/>
      <c r="RZZ118" s="225"/>
      <c r="SAA118" s="225"/>
      <c r="SAB118" s="225"/>
      <c r="SAC118" s="225"/>
      <c r="SAD118" s="225"/>
      <c r="SAE118" s="225"/>
      <c r="SAF118" s="225"/>
      <c r="SAG118" s="225"/>
      <c r="SAH118" s="225"/>
      <c r="SAI118" s="225"/>
      <c r="SAJ118" s="225"/>
      <c r="SAK118" s="225"/>
      <c r="SAL118" s="225"/>
      <c r="SAM118" s="225"/>
      <c r="SAN118" s="225"/>
      <c r="SAO118" s="225"/>
      <c r="SAP118" s="225"/>
      <c r="SAQ118" s="225"/>
      <c r="SAR118" s="225"/>
      <c r="SAS118" s="225"/>
      <c r="SAT118" s="225"/>
      <c r="SAU118" s="225"/>
      <c r="SAV118" s="225"/>
      <c r="SAW118" s="225"/>
      <c r="SAX118" s="225"/>
      <c r="SAY118" s="225"/>
      <c r="SAZ118" s="225"/>
      <c r="SBA118" s="225"/>
      <c r="SBB118" s="225"/>
      <c r="SBC118" s="225"/>
      <c r="SBD118" s="225"/>
      <c r="SBE118" s="225"/>
      <c r="SBF118" s="225"/>
      <c r="SBG118" s="225"/>
      <c r="SBH118" s="225"/>
      <c r="SBI118" s="225"/>
      <c r="SBJ118" s="225"/>
      <c r="SBK118" s="225"/>
      <c r="SBL118" s="225"/>
      <c r="SBM118" s="225"/>
      <c r="SBN118" s="225"/>
      <c r="SBO118" s="225"/>
      <c r="SBP118" s="225"/>
      <c r="SBQ118" s="225"/>
      <c r="SBR118" s="225"/>
      <c r="SBS118" s="225"/>
      <c r="SBT118" s="225"/>
      <c r="SBU118" s="225"/>
      <c r="SBV118" s="225"/>
      <c r="SBW118" s="225"/>
      <c r="SBX118" s="225"/>
      <c r="SBY118" s="225"/>
      <c r="SBZ118" s="225"/>
      <c r="SCA118" s="225"/>
      <c r="SCB118" s="225"/>
      <c r="SCC118" s="225"/>
      <c r="SCD118" s="225"/>
      <c r="SCE118" s="225"/>
      <c r="SCF118" s="225"/>
      <c r="SCG118" s="225"/>
      <c r="SCH118" s="225"/>
      <c r="SCI118" s="225"/>
      <c r="SCJ118" s="225"/>
      <c r="SCK118" s="225"/>
      <c r="SCL118" s="225"/>
      <c r="SCM118" s="225"/>
      <c r="SCN118" s="225"/>
      <c r="SCO118" s="225"/>
      <c r="SCP118" s="225"/>
      <c r="SCQ118" s="225"/>
      <c r="SCR118" s="225"/>
      <c r="SCS118" s="225"/>
      <c r="SCT118" s="225"/>
      <c r="SCU118" s="225"/>
      <c r="SCV118" s="225"/>
      <c r="SCW118" s="225"/>
      <c r="SCX118" s="225"/>
      <c r="SCY118" s="225"/>
      <c r="SCZ118" s="225"/>
      <c r="SDA118" s="225"/>
      <c r="SDB118" s="225"/>
      <c r="SDC118" s="225"/>
      <c r="SDD118" s="225"/>
      <c r="SDE118" s="225"/>
      <c r="SDF118" s="225"/>
      <c r="SDG118" s="225"/>
      <c r="SDH118" s="225"/>
      <c r="SDI118" s="225"/>
      <c r="SDJ118" s="225"/>
      <c r="SDK118" s="225"/>
      <c r="SDL118" s="225"/>
      <c r="SDM118" s="225"/>
      <c r="SDN118" s="225"/>
      <c r="SDO118" s="225"/>
      <c r="SDP118" s="225"/>
      <c r="SDQ118" s="225"/>
      <c r="SDR118" s="225"/>
      <c r="SDS118" s="225"/>
      <c r="SDT118" s="225"/>
      <c r="SDU118" s="225"/>
      <c r="SDV118" s="225"/>
      <c r="SDW118" s="225"/>
      <c r="SDX118" s="225"/>
      <c r="SDY118" s="225"/>
      <c r="SDZ118" s="225"/>
      <c r="SEA118" s="225"/>
      <c r="SEB118" s="225"/>
      <c r="SEC118" s="225"/>
      <c r="SED118" s="225"/>
      <c r="SEE118" s="225"/>
      <c r="SEF118" s="225"/>
      <c r="SEG118" s="225"/>
      <c r="SEH118" s="225"/>
      <c r="SEI118" s="225"/>
      <c r="SEJ118" s="225"/>
      <c r="SEK118" s="225"/>
      <c r="SEL118" s="225"/>
      <c r="SEM118" s="225"/>
      <c r="SEN118" s="225"/>
      <c r="SEO118" s="225"/>
      <c r="SEP118" s="225"/>
      <c r="SEQ118" s="225"/>
      <c r="SER118" s="225"/>
      <c r="SES118" s="225"/>
      <c r="SET118" s="225"/>
      <c r="SEU118" s="225"/>
      <c r="SEV118" s="225"/>
      <c r="SEW118" s="225"/>
      <c r="SEX118" s="225"/>
      <c r="SEY118" s="225"/>
      <c r="SEZ118" s="225"/>
      <c r="SFA118" s="225"/>
      <c r="SFB118" s="225"/>
      <c r="SFC118" s="225"/>
      <c r="SFD118" s="225"/>
      <c r="SFE118" s="225"/>
      <c r="SFF118" s="225"/>
      <c r="SFG118" s="225"/>
      <c r="SFH118" s="225"/>
      <c r="SFI118" s="225"/>
      <c r="SFJ118" s="225"/>
      <c r="SFK118" s="225"/>
      <c r="SFL118" s="225"/>
      <c r="SFM118" s="225"/>
      <c r="SFN118" s="225"/>
      <c r="SFO118" s="225"/>
      <c r="SFP118" s="225"/>
      <c r="SFQ118" s="225"/>
      <c r="SFR118" s="225"/>
      <c r="SFS118" s="225"/>
      <c r="SFT118" s="225"/>
      <c r="SFU118" s="225"/>
      <c r="SFV118" s="225"/>
      <c r="SFW118" s="225"/>
      <c r="SFX118" s="225"/>
      <c r="SFY118" s="225"/>
      <c r="SFZ118" s="225"/>
      <c r="SGA118" s="225"/>
      <c r="SGB118" s="225"/>
      <c r="SGC118" s="225"/>
      <c r="SGD118" s="225"/>
      <c r="SGE118" s="225"/>
      <c r="SGF118" s="225"/>
      <c r="SGG118" s="225"/>
      <c r="SGH118" s="225"/>
      <c r="SGI118" s="225"/>
      <c r="SGJ118" s="225"/>
      <c r="SGK118" s="225"/>
      <c r="SGL118" s="225"/>
      <c r="SGM118" s="225"/>
      <c r="SGN118" s="225"/>
      <c r="SGO118" s="225"/>
      <c r="SGP118" s="225"/>
      <c r="SGQ118" s="225"/>
      <c r="SGR118" s="225"/>
      <c r="SGS118" s="225"/>
      <c r="SGT118" s="225"/>
      <c r="SGU118" s="225"/>
      <c r="SGV118" s="225"/>
      <c r="SGW118" s="225"/>
      <c r="SGX118" s="225"/>
      <c r="SGY118" s="225"/>
      <c r="SGZ118" s="225"/>
      <c r="SHA118" s="225"/>
      <c r="SHB118" s="225"/>
      <c r="SHC118" s="225"/>
      <c r="SHD118" s="225"/>
      <c r="SHE118" s="225"/>
      <c r="SHF118" s="225"/>
      <c r="SHG118" s="225"/>
      <c r="SHH118" s="225"/>
      <c r="SHI118" s="225"/>
      <c r="SHJ118" s="225"/>
      <c r="SHK118" s="225"/>
      <c r="SHL118" s="225"/>
      <c r="SHM118" s="225"/>
      <c r="SHN118" s="225"/>
      <c r="SHO118" s="225"/>
      <c r="SHP118" s="225"/>
      <c r="SHQ118" s="225"/>
      <c r="SHR118" s="225"/>
      <c r="SHS118" s="225"/>
      <c r="SHT118" s="225"/>
      <c r="SHU118" s="225"/>
      <c r="SHV118" s="225"/>
      <c r="SHW118" s="225"/>
      <c r="SHX118" s="225"/>
      <c r="SHY118" s="225"/>
      <c r="SHZ118" s="225"/>
      <c r="SIA118" s="225"/>
      <c r="SIB118" s="225"/>
      <c r="SIC118" s="225"/>
      <c r="SID118" s="225"/>
      <c r="SIE118" s="225"/>
      <c r="SIF118" s="225"/>
      <c r="SIG118" s="225"/>
      <c r="SIH118" s="225"/>
      <c r="SII118" s="225"/>
      <c r="SIJ118" s="225"/>
      <c r="SIK118" s="225"/>
      <c r="SIL118" s="225"/>
      <c r="SIM118" s="225"/>
      <c r="SIN118" s="225"/>
      <c r="SIO118" s="225"/>
      <c r="SIP118" s="225"/>
      <c r="SIQ118" s="225"/>
      <c r="SIR118" s="225"/>
      <c r="SIS118" s="225"/>
      <c r="SIT118" s="225"/>
      <c r="SIU118" s="225"/>
      <c r="SIV118" s="225"/>
      <c r="SIW118" s="225"/>
      <c r="SIX118" s="225"/>
      <c r="SIY118" s="225"/>
      <c r="SIZ118" s="225"/>
      <c r="SJA118" s="225"/>
      <c r="SJB118" s="225"/>
      <c r="SJC118" s="225"/>
      <c r="SJD118" s="225"/>
      <c r="SJE118" s="225"/>
      <c r="SJF118" s="225"/>
      <c r="SJG118" s="225"/>
      <c r="SJH118" s="225"/>
      <c r="SJI118" s="225"/>
      <c r="SJJ118" s="225"/>
      <c r="SJK118" s="225"/>
      <c r="SJL118" s="225"/>
      <c r="SJM118" s="225"/>
      <c r="SJN118" s="225"/>
      <c r="SJO118" s="225"/>
      <c r="SJP118" s="225"/>
      <c r="SJQ118" s="225"/>
      <c r="SJR118" s="225"/>
      <c r="SJS118" s="225"/>
      <c r="SJT118" s="225"/>
      <c r="SJU118" s="225"/>
      <c r="SJV118" s="225"/>
      <c r="SJW118" s="225"/>
      <c r="SJX118" s="225"/>
      <c r="SJY118" s="225"/>
      <c r="SJZ118" s="225"/>
      <c r="SKA118" s="225"/>
      <c r="SKB118" s="225"/>
      <c r="SKC118" s="225"/>
      <c r="SKD118" s="225"/>
      <c r="SKE118" s="225"/>
      <c r="SKF118" s="225"/>
      <c r="SKG118" s="225"/>
      <c r="SKH118" s="225"/>
      <c r="SKI118" s="225"/>
      <c r="SKJ118" s="225"/>
      <c r="SKK118" s="225"/>
      <c r="SKL118" s="225"/>
      <c r="SKM118" s="225"/>
      <c r="SKN118" s="225"/>
      <c r="SKO118" s="225"/>
      <c r="SKP118" s="225"/>
      <c r="SKQ118" s="225"/>
      <c r="SKR118" s="225"/>
      <c r="SKS118" s="225"/>
      <c r="SKT118" s="225"/>
      <c r="SKU118" s="225"/>
      <c r="SKV118" s="225"/>
      <c r="SKW118" s="225"/>
      <c r="SKX118" s="225"/>
      <c r="SKY118" s="225"/>
      <c r="SKZ118" s="225"/>
      <c r="SLA118" s="225"/>
      <c r="SLB118" s="225"/>
      <c r="SLC118" s="225"/>
      <c r="SLD118" s="225"/>
      <c r="SLE118" s="225"/>
      <c r="SLF118" s="225"/>
      <c r="SLG118" s="225"/>
      <c r="SLH118" s="225"/>
      <c r="SLI118" s="225"/>
      <c r="SLJ118" s="225"/>
      <c r="SLK118" s="225"/>
      <c r="SLL118" s="225"/>
      <c r="SLM118" s="225"/>
      <c r="SLN118" s="225"/>
      <c r="SLO118" s="225"/>
      <c r="SLP118" s="225"/>
      <c r="SLQ118" s="225"/>
      <c r="SLR118" s="225"/>
      <c r="SLS118" s="225"/>
      <c r="SLT118" s="225"/>
      <c r="SLU118" s="225"/>
      <c r="SLV118" s="225"/>
      <c r="SLW118" s="225"/>
      <c r="SLX118" s="225"/>
      <c r="SLY118" s="225"/>
      <c r="SLZ118" s="225"/>
      <c r="SMA118" s="225"/>
      <c r="SMB118" s="225"/>
      <c r="SMC118" s="225"/>
      <c r="SMD118" s="225"/>
      <c r="SME118" s="225"/>
      <c r="SMF118" s="225"/>
      <c r="SMG118" s="225"/>
      <c r="SMH118" s="225"/>
      <c r="SMI118" s="225"/>
      <c r="SMJ118" s="225"/>
      <c r="SMK118" s="225"/>
      <c r="SML118" s="225"/>
      <c r="SMM118" s="225"/>
      <c r="SMN118" s="225"/>
      <c r="SMO118" s="225"/>
      <c r="SMP118" s="225"/>
      <c r="SMQ118" s="225"/>
      <c r="SMR118" s="225"/>
      <c r="SMS118" s="225"/>
      <c r="SMT118" s="225"/>
      <c r="SMU118" s="225"/>
      <c r="SMV118" s="225"/>
      <c r="SMW118" s="225"/>
      <c r="SMX118" s="225"/>
      <c r="SMY118" s="225"/>
      <c r="SMZ118" s="225"/>
      <c r="SNA118" s="225"/>
      <c r="SNB118" s="225"/>
      <c r="SNC118" s="225"/>
      <c r="SND118" s="225"/>
      <c r="SNE118" s="225"/>
      <c r="SNF118" s="225"/>
      <c r="SNG118" s="225"/>
      <c r="SNH118" s="225"/>
      <c r="SNI118" s="225"/>
      <c r="SNJ118" s="225"/>
      <c r="SNK118" s="225"/>
      <c r="SNL118" s="225"/>
      <c r="SNM118" s="225"/>
      <c r="SNN118" s="225"/>
      <c r="SNO118" s="225"/>
      <c r="SNP118" s="225"/>
      <c r="SNQ118" s="225"/>
      <c r="SNR118" s="225"/>
      <c r="SNS118" s="225"/>
      <c r="SNT118" s="225"/>
      <c r="SNU118" s="225"/>
      <c r="SNV118" s="225"/>
      <c r="SNW118" s="225"/>
      <c r="SNX118" s="225"/>
      <c r="SNY118" s="225"/>
      <c r="SNZ118" s="225"/>
      <c r="SOA118" s="225"/>
      <c r="SOB118" s="225"/>
      <c r="SOC118" s="225"/>
      <c r="SOD118" s="225"/>
      <c r="SOE118" s="225"/>
      <c r="SOF118" s="225"/>
      <c r="SOG118" s="225"/>
      <c r="SOH118" s="225"/>
      <c r="SOI118" s="225"/>
      <c r="SOJ118" s="225"/>
      <c r="SOK118" s="225"/>
      <c r="SOL118" s="225"/>
      <c r="SOM118" s="225"/>
      <c r="SON118" s="225"/>
      <c r="SOO118" s="225"/>
      <c r="SOP118" s="225"/>
      <c r="SOQ118" s="225"/>
      <c r="SOR118" s="225"/>
      <c r="SOS118" s="225"/>
      <c r="SOT118" s="225"/>
      <c r="SOU118" s="225"/>
      <c r="SOV118" s="225"/>
      <c r="SOW118" s="225"/>
      <c r="SOX118" s="225"/>
      <c r="SOY118" s="225"/>
      <c r="SOZ118" s="225"/>
      <c r="SPA118" s="225"/>
      <c r="SPB118" s="225"/>
      <c r="SPC118" s="225"/>
      <c r="SPD118" s="225"/>
      <c r="SPE118" s="225"/>
      <c r="SPF118" s="225"/>
      <c r="SPG118" s="225"/>
      <c r="SPH118" s="225"/>
      <c r="SPI118" s="225"/>
      <c r="SPJ118" s="225"/>
      <c r="SPK118" s="225"/>
      <c r="SPL118" s="225"/>
      <c r="SPM118" s="225"/>
      <c r="SPN118" s="225"/>
      <c r="SPO118" s="225"/>
      <c r="SPP118" s="225"/>
      <c r="SPQ118" s="225"/>
      <c r="SPR118" s="225"/>
      <c r="SPS118" s="225"/>
      <c r="SPT118" s="225"/>
      <c r="SPU118" s="225"/>
      <c r="SPV118" s="225"/>
      <c r="SPW118" s="225"/>
      <c r="SPX118" s="225"/>
      <c r="SPY118" s="225"/>
      <c r="SPZ118" s="225"/>
      <c r="SQA118" s="225"/>
      <c r="SQB118" s="225"/>
      <c r="SQC118" s="225"/>
      <c r="SQD118" s="225"/>
      <c r="SQE118" s="225"/>
      <c r="SQF118" s="225"/>
      <c r="SQG118" s="225"/>
      <c r="SQH118" s="225"/>
      <c r="SQI118" s="225"/>
      <c r="SQJ118" s="225"/>
      <c r="SQK118" s="225"/>
      <c r="SQL118" s="225"/>
      <c r="SQM118" s="225"/>
      <c r="SQN118" s="225"/>
      <c r="SQO118" s="225"/>
      <c r="SQP118" s="225"/>
      <c r="SQQ118" s="225"/>
      <c r="SQR118" s="225"/>
      <c r="SQS118" s="225"/>
      <c r="SQT118" s="225"/>
      <c r="SQU118" s="225"/>
      <c r="SQV118" s="225"/>
      <c r="SQW118" s="225"/>
      <c r="SQX118" s="225"/>
      <c r="SQY118" s="225"/>
      <c r="SQZ118" s="225"/>
      <c r="SRA118" s="225"/>
      <c r="SRB118" s="225"/>
      <c r="SRC118" s="225"/>
      <c r="SRD118" s="225"/>
      <c r="SRE118" s="225"/>
      <c r="SRF118" s="225"/>
      <c r="SRG118" s="225"/>
      <c r="SRH118" s="225"/>
      <c r="SRI118" s="225"/>
      <c r="SRJ118" s="225"/>
      <c r="SRK118" s="225"/>
      <c r="SRL118" s="225"/>
      <c r="SRM118" s="225"/>
      <c r="SRN118" s="225"/>
      <c r="SRO118" s="225"/>
      <c r="SRP118" s="225"/>
      <c r="SRQ118" s="225"/>
      <c r="SRR118" s="225"/>
      <c r="SRS118" s="225"/>
      <c r="SRT118" s="225"/>
      <c r="SRU118" s="225"/>
      <c r="SRV118" s="225"/>
      <c r="SRW118" s="225"/>
      <c r="SRX118" s="225"/>
      <c r="SRY118" s="225"/>
      <c r="SRZ118" s="225"/>
      <c r="SSA118" s="225"/>
      <c r="SSB118" s="225"/>
      <c r="SSC118" s="225"/>
      <c r="SSD118" s="225"/>
      <c r="SSE118" s="225"/>
      <c r="SSF118" s="225"/>
      <c r="SSG118" s="225"/>
      <c r="SSH118" s="225"/>
      <c r="SSI118" s="225"/>
      <c r="SSJ118" s="225"/>
      <c r="SSK118" s="225"/>
      <c r="SSL118" s="225"/>
      <c r="SSM118" s="225"/>
      <c r="SSN118" s="225"/>
      <c r="SSO118" s="225"/>
      <c r="SSP118" s="225"/>
      <c r="SSQ118" s="225"/>
      <c r="SSR118" s="225"/>
      <c r="SSS118" s="225"/>
      <c r="SST118" s="225"/>
      <c r="SSU118" s="225"/>
      <c r="SSV118" s="225"/>
      <c r="SSW118" s="225"/>
      <c r="SSX118" s="225"/>
      <c r="SSY118" s="225"/>
      <c r="SSZ118" s="225"/>
      <c r="STA118" s="225"/>
      <c r="STB118" s="225"/>
      <c r="STC118" s="225"/>
      <c r="STD118" s="225"/>
      <c r="STE118" s="225"/>
      <c r="STF118" s="225"/>
      <c r="STG118" s="225"/>
      <c r="STH118" s="225"/>
      <c r="STI118" s="225"/>
      <c r="STJ118" s="225"/>
      <c r="STK118" s="225"/>
      <c r="STL118" s="225"/>
      <c r="STM118" s="225"/>
      <c r="STN118" s="225"/>
      <c r="STO118" s="225"/>
      <c r="STP118" s="225"/>
      <c r="STQ118" s="225"/>
      <c r="STR118" s="225"/>
      <c r="STS118" s="225"/>
      <c r="STT118" s="225"/>
      <c r="STU118" s="225"/>
      <c r="STV118" s="225"/>
      <c r="STW118" s="225"/>
      <c r="STX118" s="225"/>
      <c r="STY118" s="225"/>
      <c r="STZ118" s="225"/>
      <c r="SUA118" s="225"/>
      <c r="SUB118" s="225"/>
      <c r="SUC118" s="225"/>
      <c r="SUD118" s="225"/>
      <c r="SUE118" s="225"/>
      <c r="SUF118" s="225"/>
      <c r="SUG118" s="225"/>
      <c r="SUH118" s="225"/>
      <c r="SUI118" s="225"/>
      <c r="SUJ118" s="225"/>
      <c r="SUK118" s="225"/>
      <c r="SUL118" s="225"/>
      <c r="SUM118" s="225"/>
      <c r="SUN118" s="225"/>
      <c r="SUO118" s="225"/>
      <c r="SUP118" s="225"/>
      <c r="SUQ118" s="225"/>
      <c r="SUR118" s="225"/>
      <c r="SUS118" s="225"/>
      <c r="SUT118" s="225"/>
      <c r="SUU118" s="225"/>
      <c r="SUV118" s="225"/>
      <c r="SUW118" s="225"/>
      <c r="SUX118" s="225"/>
      <c r="SUY118" s="225"/>
      <c r="SUZ118" s="225"/>
      <c r="SVA118" s="225"/>
      <c r="SVB118" s="225"/>
      <c r="SVC118" s="225"/>
      <c r="SVD118" s="225"/>
      <c r="SVE118" s="225"/>
      <c r="SVF118" s="225"/>
      <c r="SVG118" s="225"/>
      <c r="SVH118" s="225"/>
      <c r="SVI118" s="225"/>
      <c r="SVJ118" s="225"/>
      <c r="SVK118" s="225"/>
      <c r="SVL118" s="225"/>
      <c r="SVM118" s="225"/>
      <c r="SVN118" s="225"/>
      <c r="SVO118" s="225"/>
      <c r="SVP118" s="225"/>
      <c r="SVQ118" s="225"/>
      <c r="SVR118" s="225"/>
      <c r="SVS118" s="225"/>
      <c r="SVT118" s="225"/>
      <c r="SVU118" s="225"/>
      <c r="SVV118" s="225"/>
      <c r="SVW118" s="225"/>
      <c r="SVX118" s="225"/>
      <c r="SVY118" s="225"/>
      <c r="SVZ118" s="225"/>
      <c r="SWA118" s="225"/>
      <c r="SWB118" s="225"/>
      <c r="SWC118" s="225"/>
      <c r="SWD118" s="225"/>
      <c r="SWE118" s="225"/>
      <c r="SWF118" s="225"/>
      <c r="SWG118" s="225"/>
      <c r="SWH118" s="225"/>
      <c r="SWI118" s="225"/>
      <c r="SWJ118" s="225"/>
      <c r="SWK118" s="225"/>
      <c r="SWL118" s="225"/>
      <c r="SWM118" s="225"/>
      <c r="SWN118" s="225"/>
      <c r="SWO118" s="225"/>
      <c r="SWP118" s="225"/>
      <c r="SWQ118" s="225"/>
      <c r="SWR118" s="225"/>
      <c r="SWS118" s="225"/>
      <c r="SWT118" s="225"/>
      <c r="SWU118" s="225"/>
      <c r="SWV118" s="225"/>
      <c r="SWW118" s="225"/>
      <c r="SWX118" s="225"/>
      <c r="SWY118" s="225"/>
      <c r="SWZ118" s="225"/>
      <c r="SXA118" s="225"/>
      <c r="SXB118" s="225"/>
      <c r="SXC118" s="225"/>
      <c r="SXD118" s="225"/>
      <c r="SXE118" s="225"/>
      <c r="SXF118" s="225"/>
      <c r="SXG118" s="225"/>
      <c r="SXH118" s="225"/>
      <c r="SXI118" s="225"/>
      <c r="SXJ118" s="225"/>
      <c r="SXK118" s="225"/>
      <c r="SXL118" s="225"/>
      <c r="SXM118" s="225"/>
      <c r="SXN118" s="225"/>
      <c r="SXO118" s="225"/>
      <c r="SXP118" s="225"/>
      <c r="SXQ118" s="225"/>
      <c r="SXR118" s="225"/>
      <c r="SXS118" s="225"/>
      <c r="SXT118" s="225"/>
      <c r="SXU118" s="225"/>
      <c r="SXV118" s="225"/>
      <c r="SXW118" s="225"/>
      <c r="SXX118" s="225"/>
      <c r="SXY118" s="225"/>
      <c r="SXZ118" s="225"/>
      <c r="SYA118" s="225"/>
      <c r="SYB118" s="225"/>
      <c r="SYC118" s="225"/>
      <c r="SYD118" s="225"/>
      <c r="SYE118" s="225"/>
      <c r="SYF118" s="225"/>
      <c r="SYG118" s="225"/>
      <c r="SYH118" s="225"/>
      <c r="SYI118" s="225"/>
      <c r="SYJ118" s="225"/>
      <c r="SYK118" s="225"/>
      <c r="SYL118" s="225"/>
      <c r="SYM118" s="225"/>
      <c r="SYN118" s="225"/>
      <c r="SYO118" s="225"/>
      <c r="SYP118" s="225"/>
      <c r="SYQ118" s="225"/>
      <c r="SYR118" s="225"/>
      <c r="SYS118" s="225"/>
      <c r="SYT118" s="225"/>
      <c r="SYU118" s="225"/>
      <c r="SYV118" s="225"/>
      <c r="SYW118" s="225"/>
      <c r="SYX118" s="225"/>
      <c r="SYY118" s="225"/>
      <c r="SYZ118" s="225"/>
      <c r="SZA118" s="225"/>
      <c r="SZB118" s="225"/>
      <c r="SZC118" s="225"/>
      <c r="SZD118" s="225"/>
      <c r="SZE118" s="225"/>
      <c r="SZF118" s="225"/>
      <c r="SZG118" s="225"/>
      <c r="SZH118" s="225"/>
      <c r="SZI118" s="225"/>
      <c r="SZJ118" s="225"/>
      <c r="SZK118" s="225"/>
      <c r="SZL118" s="225"/>
      <c r="SZM118" s="225"/>
      <c r="SZN118" s="225"/>
      <c r="SZO118" s="225"/>
      <c r="SZP118" s="225"/>
      <c r="SZQ118" s="225"/>
      <c r="SZR118" s="225"/>
      <c r="SZS118" s="225"/>
      <c r="SZT118" s="225"/>
      <c r="SZU118" s="225"/>
      <c r="SZV118" s="225"/>
      <c r="SZW118" s="225"/>
      <c r="SZX118" s="225"/>
      <c r="SZY118" s="225"/>
      <c r="SZZ118" s="225"/>
      <c r="TAA118" s="225"/>
      <c r="TAB118" s="225"/>
      <c r="TAC118" s="225"/>
      <c r="TAD118" s="225"/>
      <c r="TAE118" s="225"/>
      <c r="TAF118" s="225"/>
      <c r="TAG118" s="225"/>
      <c r="TAH118" s="225"/>
      <c r="TAI118" s="225"/>
      <c r="TAJ118" s="225"/>
      <c r="TAK118" s="225"/>
      <c r="TAL118" s="225"/>
      <c r="TAM118" s="225"/>
      <c r="TAN118" s="225"/>
      <c r="TAO118" s="225"/>
      <c r="TAP118" s="225"/>
      <c r="TAQ118" s="225"/>
      <c r="TAR118" s="225"/>
      <c r="TAS118" s="225"/>
      <c r="TAT118" s="225"/>
      <c r="TAU118" s="225"/>
      <c r="TAV118" s="225"/>
      <c r="TAW118" s="225"/>
      <c r="TAX118" s="225"/>
      <c r="TAY118" s="225"/>
      <c r="TAZ118" s="225"/>
      <c r="TBA118" s="225"/>
      <c r="TBB118" s="225"/>
      <c r="TBC118" s="225"/>
      <c r="TBD118" s="225"/>
      <c r="TBE118" s="225"/>
      <c r="TBF118" s="225"/>
      <c r="TBG118" s="225"/>
      <c r="TBH118" s="225"/>
      <c r="TBI118" s="225"/>
      <c r="TBJ118" s="225"/>
      <c r="TBK118" s="225"/>
      <c r="TBL118" s="225"/>
      <c r="TBM118" s="225"/>
      <c r="TBN118" s="225"/>
      <c r="TBO118" s="225"/>
      <c r="TBP118" s="225"/>
      <c r="TBQ118" s="225"/>
      <c r="TBR118" s="225"/>
      <c r="TBS118" s="225"/>
      <c r="TBT118" s="225"/>
      <c r="TBU118" s="225"/>
      <c r="TBV118" s="225"/>
      <c r="TBW118" s="225"/>
      <c r="TBX118" s="225"/>
      <c r="TBY118" s="225"/>
      <c r="TBZ118" s="225"/>
      <c r="TCA118" s="225"/>
      <c r="TCB118" s="225"/>
      <c r="TCC118" s="225"/>
      <c r="TCD118" s="225"/>
      <c r="TCE118" s="225"/>
      <c r="TCF118" s="225"/>
      <c r="TCG118" s="225"/>
      <c r="TCH118" s="225"/>
      <c r="TCI118" s="225"/>
      <c r="TCJ118" s="225"/>
      <c r="TCK118" s="225"/>
      <c r="TCL118" s="225"/>
      <c r="TCM118" s="225"/>
      <c r="TCN118" s="225"/>
      <c r="TCO118" s="225"/>
      <c r="TCP118" s="225"/>
      <c r="TCQ118" s="225"/>
      <c r="TCR118" s="225"/>
      <c r="TCS118" s="225"/>
      <c r="TCT118" s="225"/>
      <c r="TCU118" s="225"/>
      <c r="TCV118" s="225"/>
      <c r="TCW118" s="225"/>
      <c r="TCX118" s="225"/>
      <c r="TCY118" s="225"/>
      <c r="TCZ118" s="225"/>
      <c r="TDA118" s="225"/>
      <c r="TDB118" s="225"/>
      <c r="TDC118" s="225"/>
      <c r="TDD118" s="225"/>
      <c r="TDE118" s="225"/>
      <c r="TDF118" s="225"/>
      <c r="TDG118" s="225"/>
      <c r="TDH118" s="225"/>
      <c r="TDI118" s="225"/>
      <c r="TDJ118" s="225"/>
      <c r="TDK118" s="225"/>
      <c r="TDL118" s="225"/>
      <c r="TDM118" s="225"/>
      <c r="TDN118" s="225"/>
      <c r="TDO118" s="225"/>
      <c r="TDP118" s="225"/>
      <c r="TDQ118" s="225"/>
      <c r="TDR118" s="225"/>
      <c r="TDS118" s="225"/>
      <c r="TDT118" s="225"/>
      <c r="TDU118" s="225"/>
      <c r="TDV118" s="225"/>
      <c r="TDW118" s="225"/>
      <c r="TDX118" s="225"/>
      <c r="TDY118" s="225"/>
      <c r="TDZ118" s="225"/>
      <c r="TEA118" s="225"/>
      <c r="TEB118" s="225"/>
      <c r="TEC118" s="225"/>
      <c r="TED118" s="225"/>
      <c r="TEE118" s="225"/>
      <c r="TEF118" s="225"/>
      <c r="TEG118" s="225"/>
      <c r="TEH118" s="225"/>
      <c r="TEI118" s="225"/>
      <c r="TEJ118" s="225"/>
      <c r="TEK118" s="225"/>
      <c r="TEL118" s="225"/>
      <c r="TEM118" s="225"/>
      <c r="TEN118" s="225"/>
      <c r="TEO118" s="225"/>
      <c r="TEP118" s="225"/>
      <c r="TEQ118" s="225"/>
      <c r="TER118" s="225"/>
      <c r="TES118" s="225"/>
      <c r="TET118" s="225"/>
      <c r="TEU118" s="225"/>
      <c r="TEV118" s="225"/>
      <c r="TEW118" s="225"/>
      <c r="TEX118" s="225"/>
      <c r="TEY118" s="225"/>
      <c r="TEZ118" s="225"/>
      <c r="TFA118" s="225"/>
      <c r="TFB118" s="225"/>
      <c r="TFC118" s="225"/>
      <c r="TFD118" s="225"/>
      <c r="TFE118" s="225"/>
      <c r="TFF118" s="225"/>
      <c r="TFG118" s="225"/>
      <c r="TFH118" s="225"/>
      <c r="TFI118" s="225"/>
      <c r="TFJ118" s="225"/>
      <c r="TFK118" s="225"/>
      <c r="TFL118" s="225"/>
      <c r="TFM118" s="225"/>
      <c r="TFN118" s="225"/>
      <c r="TFO118" s="225"/>
      <c r="TFP118" s="225"/>
      <c r="TFQ118" s="225"/>
      <c r="TFR118" s="225"/>
      <c r="TFS118" s="225"/>
      <c r="TFT118" s="225"/>
      <c r="TFU118" s="225"/>
      <c r="TFV118" s="225"/>
      <c r="TFW118" s="225"/>
      <c r="TFX118" s="225"/>
      <c r="TFY118" s="225"/>
      <c r="TFZ118" s="225"/>
      <c r="TGA118" s="225"/>
      <c r="TGB118" s="225"/>
      <c r="TGC118" s="225"/>
      <c r="TGD118" s="225"/>
      <c r="TGE118" s="225"/>
      <c r="TGF118" s="225"/>
      <c r="TGG118" s="225"/>
      <c r="TGH118" s="225"/>
      <c r="TGI118" s="225"/>
      <c r="TGJ118" s="225"/>
      <c r="TGK118" s="225"/>
      <c r="TGL118" s="225"/>
      <c r="TGM118" s="225"/>
      <c r="TGN118" s="225"/>
      <c r="TGO118" s="225"/>
      <c r="TGP118" s="225"/>
      <c r="TGQ118" s="225"/>
      <c r="TGR118" s="225"/>
      <c r="TGS118" s="225"/>
      <c r="TGT118" s="225"/>
      <c r="TGU118" s="225"/>
      <c r="TGV118" s="225"/>
      <c r="TGW118" s="225"/>
      <c r="TGX118" s="225"/>
      <c r="TGY118" s="225"/>
      <c r="TGZ118" s="225"/>
      <c r="THA118" s="225"/>
      <c r="THB118" s="225"/>
      <c r="THC118" s="225"/>
      <c r="THD118" s="225"/>
      <c r="THE118" s="225"/>
      <c r="THF118" s="225"/>
      <c r="THG118" s="225"/>
      <c r="THH118" s="225"/>
      <c r="THI118" s="225"/>
      <c r="THJ118" s="225"/>
      <c r="THK118" s="225"/>
      <c r="THL118" s="225"/>
      <c r="THM118" s="225"/>
      <c r="THN118" s="225"/>
      <c r="THO118" s="225"/>
      <c r="THP118" s="225"/>
      <c r="THQ118" s="225"/>
      <c r="THR118" s="225"/>
      <c r="THS118" s="225"/>
      <c r="THT118" s="225"/>
      <c r="THU118" s="225"/>
      <c r="THV118" s="225"/>
      <c r="THW118" s="225"/>
      <c r="THX118" s="225"/>
      <c r="THY118" s="225"/>
      <c r="THZ118" s="225"/>
      <c r="TIA118" s="225"/>
      <c r="TIB118" s="225"/>
      <c r="TIC118" s="225"/>
      <c r="TID118" s="225"/>
      <c r="TIE118" s="225"/>
      <c r="TIF118" s="225"/>
      <c r="TIG118" s="225"/>
      <c r="TIH118" s="225"/>
      <c r="TII118" s="225"/>
      <c r="TIJ118" s="225"/>
      <c r="TIK118" s="225"/>
      <c r="TIL118" s="225"/>
      <c r="TIM118" s="225"/>
      <c r="TIN118" s="225"/>
      <c r="TIO118" s="225"/>
      <c r="TIP118" s="225"/>
      <c r="TIQ118" s="225"/>
      <c r="TIR118" s="225"/>
      <c r="TIS118" s="225"/>
      <c r="TIT118" s="225"/>
      <c r="TIU118" s="225"/>
      <c r="TIV118" s="225"/>
      <c r="TIW118" s="225"/>
      <c r="TIX118" s="225"/>
      <c r="TIY118" s="225"/>
      <c r="TIZ118" s="225"/>
      <c r="TJA118" s="225"/>
      <c r="TJB118" s="225"/>
      <c r="TJC118" s="225"/>
      <c r="TJD118" s="225"/>
      <c r="TJE118" s="225"/>
      <c r="TJF118" s="225"/>
      <c r="TJG118" s="225"/>
      <c r="TJH118" s="225"/>
      <c r="TJI118" s="225"/>
      <c r="TJJ118" s="225"/>
      <c r="TJK118" s="225"/>
      <c r="TJL118" s="225"/>
      <c r="TJM118" s="225"/>
      <c r="TJN118" s="225"/>
      <c r="TJO118" s="225"/>
      <c r="TJP118" s="225"/>
      <c r="TJQ118" s="225"/>
      <c r="TJR118" s="225"/>
      <c r="TJS118" s="225"/>
      <c r="TJT118" s="225"/>
      <c r="TJU118" s="225"/>
      <c r="TJV118" s="225"/>
      <c r="TJW118" s="225"/>
      <c r="TJX118" s="225"/>
      <c r="TJY118" s="225"/>
      <c r="TJZ118" s="225"/>
      <c r="TKA118" s="225"/>
      <c r="TKB118" s="225"/>
      <c r="TKC118" s="225"/>
      <c r="TKD118" s="225"/>
      <c r="TKE118" s="225"/>
      <c r="TKF118" s="225"/>
      <c r="TKG118" s="225"/>
      <c r="TKH118" s="225"/>
      <c r="TKI118" s="225"/>
      <c r="TKJ118" s="225"/>
      <c r="TKK118" s="225"/>
      <c r="TKL118" s="225"/>
      <c r="TKM118" s="225"/>
      <c r="TKN118" s="225"/>
      <c r="TKO118" s="225"/>
      <c r="TKP118" s="225"/>
      <c r="TKQ118" s="225"/>
      <c r="TKR118" s="225"/>
      <c r="TKS118" s="225"/>
      <c r="TKT118" s="225"/>
      <c r="TKU118" s="225"/>
      <c r="TKV118" s="225"/>
      <c r="TKW118" s="225"/>
      <c r="TKX118" s="225"/>
      <c r="TKY118" s="225"/>
      <c r="TKZ118" s="225"/>
      <c r="TLA118" s="225"/>
      <c r="TLB118" s="225"/>
      <c r="TLC118" s="225"/>
      <c r="TLD118" s="225"/>
      <c r="TLE118" s="225"/>
      <c r="TLF118" s="225"/>
      <c r="TLG118" s="225"/>
      <c r="TLH118" s="225"/>
      <c r="TLI118" s="225"/>
      <c r="TLJ118" s="225"/>
      <c r="TLK118" s="225"/>
      <c r="TLL118" s="225"/>
      <c r="TLM118" s="225"/>
      <c r="TLN118" s="225"/>
      <c r="TLO118" s="225"/>
      <c r="TLP118" s="225"/>
      <c r="TLQ118" s="225"/>
      <c r="TLR118" s="225"/>
      <c r="TLS118" s="225"/>
      <c r="TLT118" s="225"/>
      <c r="TLU118" s="225"/>
      <c r="TLV118" s="225"/>
      <c r="TLW118" s="225"/>
      <c r="TLX118" s="225"/>
      <c r="TLY118" s="225"/>
      <c r="TLZ118" s="225"/>
      <c r="TMA118" s="225"/>
      <c r="TMB118" s="225"/>
      <c r="TMC118" s="225"/>
      <c r="TMD118" s="225"/>
      <c r="TME118" s="225"/>
      <c r="TMF118" s="225"/>
      <c r="TMG118" s="225"/>
      <c r="TMH118" s="225"/>
      <c r="TMI118" s="225"/>
      <c r="TMJ118" s="225"/>
      <c r="TMK118" s="225"/>
      <c r="TML118" s="225"/>
      <c r="TMM118" s="225"/>
      <c r="TMN118" s="225"/>
      <c r="TMO118" s="225"/>
      <c r="TMP118" s="225"/>
      <c r="TMQ118" s="225"/>
      <c r="TMR118" s="225"/>
      <c r="TMS118" s="225"/>
      <c r="TMT118" s="225"/>
      <c r="TMU118" s="225"/>
      <c r="TMV118" s="225"/>
      <c r="TMW118" s="225"/>
      <c r="TMX118" s="225"/>
      <c r="TMY118" s="225"/>
      <c r="TMZ118" s="225"/>
      <c r="TNA118" s="225"/>
      <c r="TNB118" s="225"/>
      <c r="TNC118" s="225"/>
      <c r="TND118" s="225"/>
      <c r="TNE118" s="225"/>
      <c r="TNF118" s="225"/>
      <c r="TNG118" s="225"/>
      <c r="TNH118" s="225"/>
      <c r="TNI118" s="225"/>
      <c r="TNJ118" s="225"/>
      <c r="TNK118" s="225"/>
      <c r="TNL118" s="225"/>
      <c r="TNM118" s="225"/>
      <c r="TNN118" s="225"/>
      <c r="TNO118" s="225"/>
      <c r="TNP118" s="225"/>
      <c r="TNQ118" s="225"/>
      <c r="TNR118" s="225"/>
      <c r="TNS118" s="225"/>
      <c r="TNT118" s="225"/>
      <c r="TNU118" s="225"/>
      <c r="TNV118" s="225"/>
      <c r="TNW118" s="225"/>
      <c r="TNX118" s="225"/>
      <c r="TNY118" s="225"/>
      <c r="TNZ118" s="225"/>
      <c r="TOA118" s="225"/>
      <c r="TOB118" s="225"/>
      <c r="TOC118" s="225"/>
      <c r="TOD118" s="225"/>
      <c r="TOE118" s="225"/>
      <c r="TOF118" s="225"/>
      <c r="TOG118" s="225"/>
      <c r="TOH118" s="225"/>
      <c r="TOI118" s="225"/>
      <c r="TOJ118" s="225"/>
      <c r="TOK118" s="225"/>
      <c r="TOL118" s="225"/>
      <c r="TOM118" s="225"/>
      <c r="TON118" s="225"/>
      <c r="TOO118" s="225"/>
      <c r="TOP118" s="225"/>
      <c r="TOQ118" s="225"/>
      <c r="TOR118" s="225"/>
      <c r="TOS118" s="225"/>
      <c r="TOT118" s="225"/>
      <c r="TOU118" s="225"/>
      <c r="TOV118" s="225"/>
      <c r="TOW118" s="225"/>
      <c r="TOX118" s="225"/>
      <c r="TOY118" s="225"/>
      <c r="TOZ118" s="225"/>
      <c r="TPA118" s="225"/>
      <c r="TPB118" s="225"/>
      <c r="TPC118" s="225"/>
      <c r="TPD118" s="225"/>
      <c r="TPE118" s="225"/>
      <c r="TPF118" s="225"/>
      <c r="TPG118" s="225"/>
      <c r="TPH118" s="225"/>
      <c r="TPI118" s="225"/>
      <c r="TPJ118" s="225"/>
      <c r="TPK118" s="225"/>
      <c r="TPL118" s="225"/>
      <c r="TPM118" s="225"/>
      <c r="TPN118" s="225"/>
      <c r="TPO118" s="225"/>
      <c r="TPP118" s="225"/>
      <c r="TPQ118" s="225"/>
      <c r="TPR118" s="225"/>
      <c r="TPS118" s="225"/>
      <c r="TPT118" s="225"/>
      <c r="TPU118" s="225"/>
      <c r="TPV118" s="225"/>
      <c r="TPW118" s="225"/>
      <c r="TPX118" s="225"/>
      <c r="TPY118" s="225"/>
      <c r="TPZ118" s="225"/>
      <c r="TQA118" s="225"/>
      <c r="TQB118" s="225"/>
      <c r="TQC118" s="225"/>
      <c r="TQD118" s="225"/>
      <c r="TQE118" s="225"/>
      <c r="TQF118" s="225"/>
      <c r="TQG118" s="225"/>
      <c r="TQH118" s="225"/>
      <c r="TQI118" s="225"/>
      <c r="TQJ118" s="225"/>
      <c r="TQK118" s="225"/>
      <c r="TQL118" s="225"/>
      <c r="TQM118" s="225"/>
      <c r="TQN118" s="225"/>
      <c r="TQO118" s="225"/>
      <c r="TQP118" s="225"/>
      <c r="TQQ118" s="225"/>
      <c r="TQR118" s="225"/>
      <c r="TQS118" s="225"/>
      <c r="TQT118" s="225"/>
      <c r="TQU118" s="225"/>
      <c r="TQV118" s="225"/>
      <c r="TQW118" s="225"/>
      <c r="TQX118" s="225"/>
      <c r="TQY118" s="225"/>
      <c r="TQZ118" s="225"/>
      <c r="TRA118" s="225"/>
      <c r="TRB118" s="225"/>
      <c r="TRC118" s="225"/>
      <c r="TRD118" s="225"/>
      <c r="TRE118" s="225"/>
      <c r="TRF118" s="225"/>
      <c r="TRG118" s="225"/>
      <c r="TRH118" s="225"/>
      <c r="TRI118" s="225"/>
      <c r="TRJ118" s="225"/>
      <c r="TRK118" s="225"/>
      <c r="TRL118" s="225"/>
      <c r="TRM118" s="225"/>
      <c r="TRN118" s="225"/>
      <c r="TRO118" s="225"/>
      <c r="TRP118" s="225"/>
      <c r="TRQ118" s="225"/>
      <c r="TRR118" s="225"/>
      <c r="TRS118" s="225"/>
      <c r="TRT118" s="225"/>
      <c r="TRU118" s="225"/>
      <c r="TRV118" s="225"/>
      <c r="TRW118" s="225"/>
      <c r="TRX118" s="225"/>
      <c r="TRY118" s="225"/>
      <c r="TRZ118" s="225"/>
      <c r="TSA118" s="225"/>
      <c r="TSB118" s="225"/>
      <c r="TSC118" s="225"/>
      <c r="TSD118" s="225"/>
      <c r="TSE118" s="225"/>
      <c r="TSF118" s="225"/>
      <c r="TSG118" s="225"/>
      <c r="TSH118" s="225"/>
      <c r="TSI118" s="225"/>
      <c r="TSJ118" s="225"/>
      <c r="TSK118" s="225"/>
      <c r="TSL118" s="225"/>
      <c r="TSM118" s="225"/>
      <c r="TSN118" s="225"/>
      <c r="TSO118" s="225"/>
      <c r="TSP118" s="225"/>
      <c r="TSQ118" s="225"/>
      <c r="TSR118" s="225"/>
      <c r="TSS118" s="225"/>
      <c r="TST118" s="225"/>
      <c r="TSU118" s="225"/>
      <c r="TSV118" s="225"/>
      <c r="TSW118" s="225"/>
      <c r="TSX118" s="225"/>
      <c r="TSY118" s="225"/>
      <c r="TSZ118" s="225"/>
      <c r="TTA118" s="225"/>
      <c r="TTB118" s="225"/>
      <c r="TTC118" s="225"/>
      <c r="TTD118" s="225"/>
      <c r="TTE118" s="225"/>
      <c r="TTF118" s="225"/>
      <c r="TTG118" s="225"/>
      <c r="TTH118" s="225"/>
      <c r="TTI118" s="225"/>
      <c r="TTJ118" s="225"/>
      <c r="TTK118" s="225"/>
      <c r="TTL118" s="225"/>
      <c r="TTM118" s="225"/>
      <c r="TTN118" s="225"/>
      <c r="TTO118" s="225"/>
      <c r="TTP118" s="225"/>
      <c r="TTQ118" s="225"/>
      <c r="TTR118" s="225"/>
      <c r="TTS118" s="225"/>
      <c r="TTT118" s="225"/>
      <c r="TTU118" s="225"/>
      <c r="TTV118" s="225"/>
      <c r="TTW118" s="225"/>
      <c r="TTX118" s="225"/>
      <c r="TTY118" s="225"/>
      <c r="TTZ118" s="225"/>
      <c r="TUA118" s="225"/>
      <c r="TUB118" s="225"/>
      <c r="TUC118" s="225"/>
      <c r="TUD118" s="225"/>
      <c r="TUE118" s="225"/>
      <c r="TUF118" s="225"/>
      <c r="TUG118" s="225"/>
      <c r="TUH118" s="225"/>
      <c r="TUI118" s="225"/>
      <c r="TUJ118" s="225"/>
      <c r="TUK118" s="225"/>
      <c r="TUL118" s="225"/>
      <c r="TUM118" s="225"/>
      <c r="TUN118" s="225"/>
      <c r="TUO118" s="225"/>
      <c r="TUP118" s="225"/>
      <c r="TUQ118" s="225"/>
      <c r="TUR118" s="225"/>
      <c r="TUS118" s="225"/>
      <c r="TUT118" s="225"/>
      <c r="TUU118" s="225"/>
      <c r="TUV118" s="225"/>
      <c r="TUW118" s="225"/>
      <c r="TUX118" s="225"/>
      <c r="TUY118" s="225"/>
      <c r="TUZ118" s="225"/>
      <c r="TVA118" s="225"/>
      <c r="TVB118" s="225"/>
      <c r="TVC118" s="225"/>
      <c r="TVD118" s="225"/>
      <c r="TVE118" s="225"/>
      <c r="TVF118" s="225"/>
      <c r="TVG118" s="225"/>
      <c r="TVH118" s="225"/>
      <c r="TVI118" s="225"/>
      <c r="TVJ118" s="225"/>
      <c r="TVK118" s="225"/>
      <c r="TVL118" s="225"/>
      <c r="TVM118" s="225"/>
      <c r="TVN118" s="225"/>
      <c r="TVO118" s="225"/>
      <c r="TVP118" s="225"/>
      <c r="TVQ118" s="225"/>
      <c r="TVR118" s="225"/>
      <c r="TVS118" s="225"/>
      <c r="TVT118" s="225"/>
      <c r="TVU118" s="225"/>
      <c r="TVV118" s="225"/>
      <c r="TVW118" s="225"/>
      <c r="TVX118" s="225"/>
      <c r="TVY118" s="225"/>
      <c r="TVZ118" s="225"/>
      <c r="TWA118" s="225"/>
      <c r="TWB118" s="225"/>
      <c r="TWC118" s="225"/>
      <c r="TWD118" s="225"/>
      <c r="TWE118" s="225"/>
      <c r="TWF118" s="225"/>
      <c r="TWG118" s="225"/>
      <c r="TWH118" s="225"/>
      <c r="TWI118" s="225"/>
      <c r="TWJ118" s="225"/>
      <c r="TWK118" s="225"/>
      <c r="TWL118" s="225"/>
      <c r="TWM118" s="225"/>
      <c r="TWN118" s="225"/>
      <c r="TWO118" s="225"/>
      <c r="TWP118" s="225"/>
      <c r="TWQ118" s="225"/>
      <c r="TWR118" s="225"/>
      <c r="TWS118" s="225"/>
      <c r="TWT118" s="225"/>
      <c r="TWU118" s="225"/>
      <c r="TWV118" s="225"/>
      <c r="TWW118" s="225"/>
      <c r="TWX118" s="225"/>
      <c r="TWY118" s="225"/>
      <c r="TWZ118" s="225"/>
      <c r="TXA118" s="225"/>
      <c r="TXB118" s="225"/>
      <c r="TXC118" s="225"/>
      <c r="TXD118" s="225"/>
      <c r="TXE118" s="225"/>
      <c r="TXF118" s="225"/>
      <c r="TXG118" s="225"/>
      <c r="TXH118" s="225"/>
      <c r="TXI118" s="225"/>
      <c r="TXJ118" s="225"/>
      <c r="TXK118" s="225"/>
      <c r="TXL118" s="225"/>
      <c r="TXM118" s="225"/>
      <c r="TXN118" s="225"/>
      <c r="TXO118" s="225"/>
      <c r="TXP118" s="225"/>
      <c r="TXQ118" s="225"/>
      <c r="TXR118" s="225"/>
      <c r="TXS118" s="225"/>
      <c r="TXT118" s="225"/>
      <c r="TXU118" s="225"/>
      <c r="TXV118" s="225"/>
      <c r="TXW118" s="225"/>
      <c r="TXX118" s="225"/>
      <c r="TXY118" s="225"/>
      <c r="TXZ118" s="225"/>
      <c r="TYA118" s="225"/>
      <c r="TYB118" s="225"/>
      <c r="TYC118" s="225"/>
      <c r="TYD118" s="225"/>
      <c r="TYE118" s="225"/>
      <c r="TYF118" s="225"/>
      <c r="TYG118" s="225"/>
      <c r="TYH118" s="225"/>
      <c r="TYI118" s="225"/>
      <c r="TYJ118" s="225"/>
      <c r="TYK118" s="225"/>
      <c r="TYL118" s="225"/>
      <c r="TYM118" s="225"/>
      <c r="TYN118" s="225"/>
      <c r="TYO118" s="225"/>
      <c r="TYP118" s="225"/>
      <c r="TYQ118" s="225"/>
      <c r="TYR118" s="225"/>
      <c r="TYS118" s="225"/>
      <c r="TYT118" s="225"/>
      <c r="TYU118" s="225"/>
      <c r="TYV118" s="225"/>
      <c r="TYW118" s="225"/>
      <c r="TYX118" s="225"/>
      <c r="TYY118" s="225"/>
      <c r="TYZ118" s="225"/>
      <c r="TZA118" s="225"/>
      <c r="TZB118" s="225"/>
      <c r="TZC118" s="225"/>
      <c r="TZD118" s="225"/>
      <c r="TZE118" s="225"/>
      <c r="TZF118" s="225"/>
      <c r="TZG118" s="225"/>
      <c r="TZH118" s="225"/>
      <c r="TZI118" s="225"/>
      <c r="TZJ118" s="225"/>
      <c r="TZK118" s="225"/>
      <c r="TZL118" s="225"/>
      <c r="TZM118" s="225"/>
      <c r="TZN118" s="225"/>
      <c r="TZO118" s="225"/>
      <c r="TZP118" s="225"/>
      <c r="TZQ118" s="225"/>
      <c r="TZR118" s="225"/>
      <c r="TZS118" s="225"/>
      <c r="TZT118" s="225"/>
      <c r="TZU118" s="225"/>
      <c r="TZV118" s="225"/>
      <c r="TZW118" s="225"/>
      <c r="TZX118" s="225"/>
      <c r="TZY118" s="225"/>
      <c r="TZZ118" s="225"/>
      <c r="UAA118" s="225"/>
      <c r="UAB118" s="225"/>
      <c r="UAC118" s="225"/>
      <c r="UAD118" s="225"/>
      <c r="UAE118" s="225"/>
      <c r="UAF118" s="225"/>
      <c r="UAG118" s="225"/>
      <c r="UAH118" s="225"/>
      <c r="UAI118" s="225"/>
      <c r="UAJ118" s="225"/>
      <c r="UAK118" s="225"/>
      <c r="UAL118" s="225"/>
      <c r="UAM118" s="225"/>
      <c r="UAN118" s="225"/>
      <c r="UAO118" s="225"/>
      <c r="UAP118" s="225"/>
      <c r="UAQ118" s="225"/>
      <c r="UAR118" s="225"/>
      <c r="UAS118" s="225"/>
      <c r="UAT118" s="225"/>
      <c r="UAU118" s="225"/>
      <c r="UAV118" s="225"/>
      <c r="UAW118" s="225"/>
      <c r="UAX118" s="225"/>
      <c r="UAY118" s="225"/>
      <c r="UAZ118" s="225"/>
      <c r="UBA118" s="225"/>
      <c r="UBB118" s="225"/>
      <c r="UBC118" s="225"/>
      <c r="UBD118" s="225"/>
      <c r="UBE118" s="225"/>
      <c r="UBF118" s="225"/>
      <c r="UBG118" s="225"/>
      <c r="UBH118" s="225"/>
      <c r="UBI118" s="225"/>
      <c r="UBJ118" s="225"/>
      <c r="UBK118" s="225"/>
      <c r="UBL118" s="225"/>
      <c r="UBM118" s="225"/>
      <c r="UBN118" s="225"/>
      <c r="UBO118" s="225"/>
      <c r="UBP118" s="225"/>
      <c r="UBQ118" s="225"/>
      <c r="UBR118" s="225"/>
      <c r="UBS118" s="225"/>
      <c r="UBT118" s="225"/>
      <c r="UBU118" s="225"/>
      <c r="UBV118" s="225"/>
      <c r="UBW118" s="225"/>
      <c r="UBX118" s="225"/>
      <c r="UBY118" s="225"/>
      <c r="UBZ118" s="225"/>
      <c r="UCA118" s="225"/>
      <c r="UCB118" s="225"/>
      <c r="UCC118" s="225"/>
      <c r="UCD118" s="225"/>
      <c r="UCE118" s="225"/>
      <c r="UCF118" s="225"/>
      <c r="UCG118" s="225"/>
      <c r="UCH118" s="225"/>
      <c r="UCI118" s="225"/>
      <c r="UCJ118" s="225"/>
      <c r="UCK118" s="225"/>
      <c r="UCL118" s="225"/>
      <c r="UCM118" s="225"/>
      <c r="UCN118" s="225"/>
      <c r="UCO118" s="225"/>
      <c r="UCP118" s="225"/>
      <c r="UCQ118" s="225"/>
      <c r="UCR118" s="225"/>
      <c r="UCS118" s="225"/>
      <c r="UCT118" s="225"/>
      <c r="UCU118" s="225"/>
      <c r="UCV118" s="225"/>
      <c r="UCW118" s="225"/>
      <c r="UCX118" s="225"/>
      <c r="UCY118" s="225"/>
      <c r="UCZ118" s="225"/>
      <c r="UDA118" s="225"/>
      <c r="UDB118" s="225"/>
      <c r="UDC118" s="225"/>
      <c r="UDD118" s="225"/>
      <c r="UDE118" s="225"/>
      <c r="UDF118" s="225"/>
      <c r="UDG118" s="225"/>
      <c r="UDH118" s="225"/>
      <c r="UDI118" s="225"/>
      <c r="UDJ118" s="225"/>
      <c r="UDK118" s="225"/>
      <c r="UDL118" s="225"/>
      <c r="UDM118" s="225"/>
      <c r="UDN118" s="225"/>
      <c r="UDO118" s="225"/>
      <c r="UDP118" s="225"/>
      <c r="UDQ118" s="225"/>
      <c r="UDR118" s="225"/>
      <c r="UDS118" s="225"/>
      <c r="UDT118" s="225"/>
      <c r="UDU118" s="225"/>
      <c r="UDV118" s="225"/>
      <c r="UDW118" s="225"/>
      <c r="UDX118" s="225"/>
      <c r="UDY118" s="225"/>
      <c r="UDZ118" s="225"/>
      <c r="UEA118" s="225"/>
      <c r="UEB118" s="225"/>
      <c r="UEC118" s="225"/>
      <c r="UED118" s="225"/>
      <c r="UEE118" s="225"/>
      <c r="UEF118" s="225"/>
      <c r="UEG118" s="225"/>
      <c r="UEH118" s="225"/>
      <c r="UEI118" s="225"/>
      <c r="UEJ118" s="225"/>
      <c r="UEK118" s="225"/>
      <c r="UEL118" s="225"/>
      <c r="UEM118" s="225"/>
      <c r="UEN118" s="225"/>
      <c r="UEO118" s="225"/>
      <c r="UEP118" s="225"/>
      <c r="UEQ118" s="225"/>
      <c r="UER118" s="225"/>
      <c r="UES118" s="225"/>
      <c r="UET118" s="225"/>
      <c r="UEU118" s="225"/>
      <c r="UEV118" s="225"/>
      <c r="UEW118" s="225"/>
      <c r="UEX118" s="225"/>
      <c r="UEY118" s="225"/>
      <c r="UEZ118" s="225"/>
      <c r="UFA118" s="225"/>
      <c r="UFB118" s="225"/>
      <c r="UFC118" s="225"/>
      <c r="UFD118" s="225"/>
      <c r="UFE118" s="225"/>
      <c r="UFF118" s="225"/>
      <c r="UFG118" s="225"/>
      <c r="UFH118" s="225"/>
      <c r="UFI118" s="225"/>
      <c r="UFJ118" s="225"/>
      <c r="UFK118" s="225"/>
      <c r="UFL118" s="225"/>
      <c r="UFM118" s="225"/>
      <c r="UFN118" s="225"/>
      <c r="UFO118" s="225"/>
      <c r="UFP118" s="225"/>
      <c r="UFQ118" s="225"/>
      <c r="UFR118" s="225"/>
      <c r="UFS118" s="225"/>
      <c r="UFT118" s="225"/>
      <c r="UFU118" s="225"/>
      <c r="UFV118" s="225"/>
      <c r="UFW118" s="225"/>
      <c r="UFX118" s="225"/>
      <c r="UFY118" s="225"/>
      <c r="UFZ118" s="225"/>
      <c r="UGA118" s="225"/>
      <c r="UGB118" s="225"/>
      <c r="UGC118" s="225"/>
      <c r="UGD118" s="225"/>
      <c r="UGE118" s="225"/>
      <c r="UGF118" s="225"/>
      <c r="UGG118" s="225"/>
      <c r="UGH118" s="225"/>
      <c r="UGI118" s="225"/>
      <c r="UGJ118" s="225"/>
      <c r="UGK118" s="225"/>
      <c r="UGL118" s="225"/>
      <c r="UGM118" s="225"/>
      <c r="UGN118" s="225"/>
      <c r="UGO118" s="225"/>
      <c r="UGP118" s="225"/>
      <c r="UGQ118" s="225"/>
      <c r="UGR118" s="225"/>
      <c r="UGS118" s="225"/>
      <c r="UGT118" s="225"/>
      <c r="UGU118" s="225"/>
      <c r="UGV118" s="225"/>
      <c r="UGW118" s="225"/>
      <c r="UGX118" s="225"/>
      <c r="UGY118" s="225"/>
      <c r="UGZ118" s="225"/>
      <c r="UHA118" s="225"/>
      <c r="UHB118" s="225"/>
      <c r="UHC118" s="225"/>
      <c r="UHD118" s="225"/>
      <c r="UHE118" s="225"/>
      <c r="UHF118" s="225"/>
      <c r="UHG118" s="225"/>
      <c r="UHH118" s="225"/>
      <c r="UHI118" s="225"/>
      <c r="UHJ118" s="225"/>
      <c r="UHK118" s="225"/>
      <c r="UHL118" s="225"/>
      <c r="UHM118" s="225"/>
      <c r="UHN118" s="225"/>
      <c r="UHO118" s="225"/>
      <c r="UHP118" s="225"/>
      <c r="UHQ118" s="225"/>
      <c r="UHR118" s="225"/>
      <c r="UHS118" s="225"/>
      <c r="UHT118" s="225"/>
      <c r="UHU118" s="225"/>
      <c r="UHV118" s="225"/>
      <c r="UHW118" s="225"/>
      <c r="UHX118" s="225"/>
      <c r="UHY118" s="225"/>
      <c r="UHZ118" s="225"/>
      <c r="UIA118" s="225"/>
      <c r="UIB118" s="225"/>
      <c r="UIC118" s="225"/>
      <c r="UID118" s="225"/>
      <c r="UIE118" s="225"/>
      <c r="UIF118" s="225"/>
      <c r="UIG118" s="225"/>
      <c r="UIH118" s="225"/>
      <c r="UII118" s="225"/>
      <c r="UIJ118" s="225"/>
      <c r="UIK118" s="225"/>
      <c r="UIL118" s="225"/>
      <c r="UIM118" s="225"/>
      <c r="UIN118" s="225"/>
      <c r="UIO118" s="225"/>
      <c r="UIP118" s="225"/>
      <c r="UIQ118" s="225"/>
      <c r="UIR118" s="225"/>
      <c r="UIS118" s="225"/>
      <c r="UIT118" s="225"/>
      <c r="UIU118" s="225"/>
      <c r="UIV118" s="225"/>
      <c r="UIW118" s="225"/>
      <c r="UIX118" s="225"/>
      <c r="UIY118" s="225"/>
      <c r="UIZ118" s="225"/>
      <c r="UJA118" s="225"/>
      <c r="UJB118" s="225"/>
      <c r="UJC118" s="225"/>
      <c r="UJD118" s="225"/>
      <c r="UJE118" s="225"/>
      <c r="UJF118" s="225"/>
      <c r="UJG118" s="225"/>
      <c r="UJH118" s="225"/>
      <c r="UJI118" s="225"/>
      <c r="UJJ118" s="225"/>
      <c r="UJK118" s="225"/>
      <c r="UJL118" s="225"/>
      <c r="UJM118" s="225"/>
      <c r="UJN118" s="225"/>
      <c r="UJO118" s="225"/>
      <c r="UJP118" s="225"/>
      <c r="UJQ118" s="225"/>
      <c r="UJR118" s="225"/>
      <c r="UJS118" s="225"/>
      <c r="UJT118" s="225"/>
      <c r="UJU118" s="225"/>
      <c r="UJV118" s="225"/>
      <c r="UJW118" s="225"/>
      <c r="UJX118" s="225"/>
      <c r="UJY118" s="225"/>
      <c r="UJZ118" s="225"/>
      <c r="UKA118" s="225"/>
      <c r="UKB118" s="225"/>
      <c r="UKC118" s="225"/>
      <c r="UKD118" s="225"/>
      <c r="UKE118" s="225"/>
      <c r="UKF118" s="225"/>
      <c r="UKG118" s="225"/>
      <c r="UKH118" s="225"/>
      <c r="UKI118" s="225"/>
      <c r="UKJ118" s="225"/>
      <c r="UKK118" s="225"/>
      <c r="UKL118" s="225"/>
      <c r="UKM118" s="225"/>
      <c r="UKN118" s="225"/>
      <c r="UKO118" s="225"/>
      <c r="UKP118" s="225"/>
      <c r="UKQ118" s="225"/>
      <c r="UKR118" s="225"/>
      <c r="UKS118" s="225"/>
      <c r="UKT118" s="225"/>
      <c r="UKU118" s="225"/>
      <c r="UKV118" s="225"/>
      <c r="UKW118" s="225"/>
      <c r="UKX118" s="225"/>
      <c r="UKY118" s="225"/>
      <c r="UKZ118" s="225"/>
      <c r="ULA118" s="225"/>
      <c r="ULB118" s="225"/>
      <c r="ULC118" s="225"/>
      <c r="ULD118" s="225"/>
      <c r="ULE118" s="225"/>
      <c r="ULF118" s="225"/>
      <c r="ULG118" s="225"/>
      <c r="ULH118" s="225"/>
      <c r="ULI118" s="225"/>
      <c r="ULJ118" s="225"/>
      <c r="ULK118" s="225"/>
      <c r="ULL118" s="225"/>
      <c r="ULM118" s="225"/>
      <c r="ULN118" s="225"/>
      <c r="ULO118" s="225"/>
      <c r="ULP118" s="225"/>
      <c r="ULQ118" s="225"/>
      <c r="ULR118" s="225"/>
      <c r="ULS118" s="225"/>
      <c r="ULT118" s="225"/>
      <c r="ULU118" s="225"/>
      <c r="ULV118" s="225"/>
      <c r="ULW118" s="225"/>
      <c r="ULX118" s="225"/>
      <c r="ULY118" s="225"/>
      <c r="ULZ118" s="225"/>
      <c r="UMA118" s="225"/>
      <c r="UMB118" s="225"/>
      <c r="UMC118" s="225"/>
      <c r="UMD118" s="225"/>
      <c r="UME118" s="225"/>
      <c r="UMF118" s="225"/>
      <c r="UMG118" s="225"/>
      <c r="UMH118" s="225"/>
      <c r="UMI118" s="225"/>
      <c r="UMJ118" s="225"/>
      <c r="UMK118" s="225"/>
      <c r="UML118" s="225"/>
      <c r="UMM118" s="225"/>
      <c r="UMN118" s="225"/>
      <c r="UMO118" s="225"/>
      <c r="UMP118" s="225"/>
      <c r="UMQ118" s="225"/>
      <c r="UMR118" s="225"/>
      <c r="UMS118" s="225"/>
      <c r="UMT118" s="225"/>
      <c r="UMU118" s="225"/>
      <c r="UMV118" s="225"/>
      <c r="UMW118" s="225"/>
      <c r="UMX118" s="225"/>
      <c r="UMY118" s="225"/>
      <c r="UMZ118" s="225"/>
      <c r="UNA118" s="225"/>
      <c r="UNB118" s="225"/>
      <c r="UNC118" s="225"/>
      <c r="UND118" s="225"/>
      <c r="UNE118" s="225"/>
      <c r="UNF118" s="225"/>
      <c r="UNG118" s="225"/>
      <c r="UNH118" s="225"/>
      <c r="UNI118" s="225"/>
      <c r="UNJ118" s="225"/>
      <c r="UNK118" s="225"/>
      <c r="UNL118" s="225"/>
      <c r="UNM118" s="225"/>
      <c r="UNN118" s="225"/>
      <c r="UNO118" s="225"/>
      <c r="UNP118" s="225"/>
      <c r="UNQ118" s="225"/>
      <c r="UNR118" s="225"/>
      <c r="UNS118" s="225"/>
      <c r="UNT118" s="225"/>
      <c r="UNU118" s="225"/>
      <c r="UNV118" s="225"/>
      <c r="UNW118" s="225"/>
      <c r="UNX118" s="225"/>
      <c r="UNY118" s="225"/>
      <c r="UNZ118" s="225"/>
      <c r="UOA118" s="225"/>
      <c r="UOB118" s="225"/>
      <c r="UOC118" s="225"/>
      <c r="UOD118" s="225"/>
      <c r="UOE118" s="225"/>
      <c r="UOF118" s="225"/>
      <c r="UOG118" s="225"/>
      <c r="UOH118" s="225"/>
      <c r="UOI118" s="225"/>
      <c r="UOJ118" s="225"/>
      <c r="UOK118" s="225"/>
      <c r="UOL118" s="225"/>
      <c r="UOM118" s="225"/>
      <c r="UON118" s="225"/>
      <c r="UOO118" s="225"/>
      <c r="UOP118" s="225"/>
      <c r="UOQ118" s="225"/>
      <c r="UOR118" s="225"/>
      <c r="UOS118" s="225"/>
      <c r="UOT118" s="225"/>
      <c r="UOU118" s="225"/>
      <c r="UOV118" s="225"/>
      <c r="UOW118" s="225"/>
      <c r="UOX118" s="225"/>
      <c r="UOY118" s="225"/>
      <c r="UOZ118" s="225"/>
      <c r="UPA118" s="225"/>
      <c r="UPB118" s="225"/>
      <c r="UPC118" s="225"/>
      <c r="UPD118" s="225"/>
      <c r="UPE118" s="225"/>
      <c r="UPF118" s="225"/>
      <c r="UPG118" s="225"/>
      <c r="UPH118" s="225"/>
      <c r="UPI118" s="225"/>
      <c r="UPJ118" s="225"/>
      <c r="UPK118" s="225"/>
      <c r="UPL118" s="225"/>
      <c r="UPM118" s="225"/>
      <c r="UPN118" s="225"/>
      <c r="UPO118" s="225"/>
      <c r="UPP118" s="225"/>
      <c r="UPQ118" s="225"/>
      <c r="UPR118" s="225"/>
      <c r="UPS118" s="225"/>
      <c r="UPT118" s="225"/>
      <c r="UPU118" s="225"/>
      <c r="UPV118" s="225"/>
      <c r="UPW118" s="225"/>
      <c r="UPX118" s="225"/>
      <c r="UPY118" s="225"/>
      <c r="UPZ118" s="225"/>
      <c r="UQA118" s="225"/>
      <c r="UQB118" s="225"/>
      <c r="UQC118" s="225"/>
      <c r="UQD118" s="225"/>
      <c r="UQE118" s="225"/>
      <c r="UQF118" s="225"/>
      <c r="UQG118" s="225"/>
      <c r="UQH118" s="225"/>
      <c r="UQI118" s="225"/>
      <c r="UQJ118" s="225"/>
      <c r="UQK118" s="225"/>
      <c r="UQL118" s="225"/>
      <c r="UQM118" s="225"/>
      <c r="UQN118" s="225"/>
      <c r="UQO118" s="225"/>
      <c r="UQP118" s="225"/>
      <c r="UQQ118" s="225"/>
      <c r="UQR118" s="225"/>
      <c r="UQS118" s="225"/>
      <c r="UQT118" s="225"/>
      <c r="UQU118" s="225"/>
      <c r="UQV118" s="225"/>
      <c r="UQW118" s="225"/>
      <c r="UQX118" s="225"/>
      <c r="UQY118" s="225"/>
      <c r="UQZ118" s="225"/>
      <c r="URA118" s="225"/>
      <c r="URB118" s="225"/>
      <c r="URC118" s="225"/>
      <c r="URD118" s="225"/>
      <c r="URE118" s="225"/>
      <c r="URF118" s="225"/>
      <c r="URG118" s="225"/>
      <c r="URH118" s="225"/>
      <c r="URI118" s="225"/>
      <c r="URJ118" s="225"/>
      <c r="URK118" s="225"/>
      <c r="URL118" s="225"/>
      <c r="URM118" s="225"/>
      <c r="URN118" s="225"/>
      <c r="URO118" s="225"/>
      <c r="URP118" s="225"/>
      <c r="URQ118" s="225"/>
      <c r="URR118" s="225"/>
      <c r="URS118" s="225"/>
      <c r="URT118" s="225"/>
      <c r="URU118" s="225"/>
      <c r="URV118" s="225"/>
      <c r="URW118" s="225"/>
      <c r="URX118" s="225"/>
      <c r="URY118" s="225"/>
      <c r="URZ118" s="225"/>
      <c r="USA118" s="225"/>
      <c r="USB118" s="225"/>
      <c r="USC118" s="225"/>
      <c r="USD118" s="225"/>
      <c r="USE118" s="225"/>
      <c r="USF118" s="225"/>
      <c r="USG118" s="225"/>
      <c r="USH118" s="225"/>
      <c r="USI118" s="225"/>
      <c r="USJ118" s="225"/>
      <c r="USK118" s="225"/>
      <c r="USL118" s="225"/>
      <c r="USM118" s="225"/>
      <c r="USN118" s="225"/>
      <c r="USO118" s="225"/>
      <c r="USP118" s="225"/>
      <c r="USQ118" s="225"/>
      <c r="USR118" s="225"/>
      <c r="USS118" s="225"/>
      <c r="UST118" s="225"/>
      <c r="USU118" s="225"/>
      <c r="USV118" s="225"/>
      <c r="USW118" s="225"/>
      <c r="USX118" s="225"/>
      <c r="USY118" s="225"/>
      <c r="USZ118" s="225"/>
      <c r="UTA118" s="225"/>
      <c r="UTB118" s="225"/>
      <c r="UTC118" s="225"/>
      <c r="UTD118" s="225"/>
      <c r="UTE118" s="225"/>
      <c r="UTF118" s="225"/>
      <c r="UTG118" s="225"/>
      <c r="UTH118" s="225"/>
      <c r="UTI118" s="225"/>
      <c r="UTJ118" s="225"/>
      <c r="UTK118" s="225"/>
      <c r="UTL118" s="225"/>
      <c r="UTM118" s="225"/>
      <c r="UTN118" s="225"/>
      <c r="UTO118" s="225"/>
      <c r="UTP118" s="225"/>
      <c r="UTQ118" s="225"/>
      <c r="UTR118" s="225"/>
      <c r="UTS118" s="225"/>
      <c r="UTT118" s="225"/>
      <c r="UTU118" s="225"/>
      <c r="UTV118" s="225"/>
      <c r="UTW118" s="225"/>
      <c r="UTX118" s="225"/>
      <c r="UTY118" s="225"/>
      <c r="UTZ118" s="225"/>
      <c r="UUA118" s="225"/>
      <c r="UUB118" s="225"/>
      <c r="UUC118" s="225"/>
      <c r="UUD118" s="225"/>
      <c r="UUE118" s="225"/>
      <c r="UUF118" s="225"/>
      <c r="UUG118" s="225"/>
      <c r="UUH118" s="225"/>
      <c r="UUI118" s="225"/>
      <c r="UUJ118" s="225"/>
      <c r="UUK118" s="225"/>
      <c r="UUL118" s="225"/>
      <c r="UUM118" s="225"/>
      <c r="UUN118" s="225"/>
      <c r="UUO118" s="225"/>
      <c r="UUP118" s="225"/>
      <c r="UUQ118" s="225"/>
      <c r="UUR118" s="225"/>
      <c r="UUS118" s="225"/>
      <c r="UUT118" s="225"/>
      <c r="UUU118" s="225"/>
      <c r="UUV118" s="225"/>
      <c r="UUW118" s="225"/>
      <c r="UUX118" s="225"/>
      <c r="UUY118" s="225"/>
      <c r="UUZ118" s="225"/>
      <c r="UVA118" s="225"/>
      <c r="UVB118" s="225"/>
      <c r="UVC118" s="225"/>
      <c r="UVD118" s="225"/>
      <c r="UVE118" s="225"/>
      <c r="UVF118" s="225"/>
      <c r="UVG118" s="225"/>
      <c r="UVH118" s="225"/>
      <c r="UVI118" s="225"/>
      <c r="UVJ118" s="225"/>
      <c r="UVK118" s="225"/>
      <c r="UVL118" s="225"/>
      <c r="UVM118" s="225"/>
      <c r="UVN118" s="225"/>
      <c r="UVO118" s="225"/>
      <c r="UVP118" s="225"/>
      <c r="UVQ118" s="225"/>
      <c r="UVR118" s="225"/>
      <c r="UVS118" s="225"/>
      <c r="UVT118" s="225"/>
      <c r="UVU118" s="225"/>
      <c r="UVV118" s="225"/>
      <c r="UVW118" s="225"/>
      <c r="UVX118" s="225"/>
      <c r="UVY118" s="225"/>
      <c r="UVZ118" s="225"/>
      <c r="UWA118" s="225"/>
      <c r="UWB118" s="225"/>
      <c r="UWC118" s="225"/>
      <c r="UWD118" s="225"/>
      <c r="UWE118" s="225"/>
      <c r="UWF118" s="225"/>
      <c r="UWG118" s="225"/>
      <c r="UWH118" s="225"/>
      <c r="UWI118" s="225"/>
      <c r="UWJ118" s="225"/>
      <c r="UWK118" s="225"/>
      <c r="UWL118" s="225"/>
      <c r="UWM118" s="225"/>
      <c r="UWN118" s="225"/>
      <c r="UWO118" s="225"/>
      <c r="UWP118" s="225"/>
      <c r="UWQ118" s="225"/>
      <c r="UWR118" s="225"/>
      <c r="UWS118" s="225"/>
      <c r="UWT118" s="225"/>
      <c r="UWU118" s="225"/>
      <c r="UWV118" s="225"/>
      <c r="UWW118" s="225"/>
      <c r="UWX118" s="225"/>
      <c r="UWY118" s="225"/>
      <c r="UWZ118" s="225"/>
      <c r="UXA118" s="225"/>
      <c r="UXB118" s="225"/>
      <c r="UXC118" s="225"/>
      <c r="UXD118" s="225"/>
      <c r="UXE118" s="225"/>
      <c r="UXF118" s="225"/>
      <c r="UXG118" s="225"/>
      <c r="UXH118" s="225"/>
      <c r="UXI118" s="225"/>
      <c r="UXJ118" s="225"/>
      <c r="UXK118" s="225"/>
      <c r="UXL118" s="225"/>
      <c r="UXM118" s="225"/>
      <c r="UXN118" s="225"/>
      <c r="UXO118" s="225"/>
      <c r="UXP118" s="225"/>
      <c r="UXQ118" s="225"/>
      <c r="UXR118" s="225"/>
      <c r="UXS118" s="225"/>
      <c r="UXT118" s="225"/>
      <c r="UXU118" s="225"/>
      <c r="UXV118" s="225"/>
      <c r="UXW118" s="225"/>
      <c r="UXX118" s="225"/>
      <c r="UXY118" s="225"/>
      <c r="UXZ118" s="225"/>
      <c r="UYA118" s="225"/>
      <c r="UYB118" s="225"/>
      <c r="UYC118" s="225"/>
      <c r="UYD118" s="225"/>
      <c r="UYE118" s="225"/>
      <c r="UYF118" s="225"/>
      <c r="UYG118" s="225"/>
      <c r="UYH118" s="225"/>
      <c r="UYI118" s="225"/>
      <c r="UYJ118" s="225"/>
      <c r="UYK118" s="225"/>
      <c r="UYL118" s="225"/>
      <c r="UYM118" s="225"/>
      <c r="UYN118" s="225"/>
      <c r="UYO118" s="225"/>
      <c r="UYP118" s="225"/>
      <c r="UYQ118" s="225"/>
      <c r="UYR118" s="225"/>
      <c r="UYS118" s="225"/>
      <c r="UYT118" s="225"/>
      <c r="UYU118" s="225"/>
      <c r="UYV118" s="225"/>
      <c r="UYW118" s="225"/>
      <c r="UYX118" s="225"/>
      <c r="UYY118" s="225"/>
      <c r="UYZ118" s="225"/>
      <c r="UZA118" s="225"/>
      <c r="UZB118" s="225"/>
      <c r="UZC118" s="225"/>
      <c r="UZD118" s="225"/>
      <c r="UZE118" s="225"/>
      <c r="UZF118" s="225"/>
      <c r="UZG118" s="225"/>
      <c r="UZH118" s="225"/>
      <c r="UZI118" s="225"/>
      <c r="UZJ118" s="225"/>
      <c r="UZK118" s="225"/>
      <c r="UZL118" s="225"/>
      <c r="UZM118" s="225"/>
      <c r="UZN118" s="225"/>
      <c r="UZO118" s="225"/>
      <c r="UZP118" s="225"/>
      <c r="UZQ118" s="225"/>
      <c r="UZR118" s="225"/>
      <c r="UZS118" s="225"/>
      <c r="UZT118" s="225"/>
      <c r="UZU118" s="225"/>
      <c r="UZV118" s="225"/>
      <c r="UZW118" s="225"/>
      <c r="UZX118" s="225"/>
      <c r="UZY118" s="225"/>
      <c r="UZZ118" s="225"/>
      <c r="VAA118" s="225"/>
      <c r="VAB118" s="225"/>
      <c r="VAC118" s="225"/>
      <c r="VAD118" s="225"/>
      <c r="VAE118" s="225"/>
      <c r="VAF118" s="225"/>
      <c r="VAG118" s="225"/>
      <c r="VAH118" s="225"/>
      <c r="VAI118" s="225"/>
      <c r="VAJ118" s="225"/>
      <c r="VAK118" s="225"/>
      <c r="VAL118" s="225"/>
      <c r="VAM118" s="225"/>
      <c r="VAN118" s="225"/>
      <c r="VAO118" s="225"/>
      <c r="VAP118" s="225"/>
      <c r="VAQ118" s="225"/>
      <c r="VAR118" s="225"/>
      <c r="VAS118" s="225"/>
      <c r="VAT118" s="225"/>
      <c r="VAU118" s="225"/>
      <c r="VAV118" s="225"/>
      <c r="VAW118" s="225"/>
      <c r="VAX118" s="225"/>
      <c r="VAY118" s="225"/>
      <c r="VAZ118" s="225"/>
      <c r="VBA118" s="225"/>
      <c r="VBB118" s="225"/>
      <c r="VBC118" s="225"/>
      <c r="VBD118" s="225"/>
      <c r="VBE118" s="225"/>
      <c r="VBF118" s="225"/>
      <c r="VBG118" s="225"/>
      <c r="VBH118" s="225"/>
      <c r="VBI118" s="225"/>
      <c r="VBJ118" s="225"/>
      <c r="VBK118" s="225"/>
      <c r="VBL118" s="225"/>
      <c r="VBM118" s="225"/>
      <c r="VBN118" s="225"/>
      <c r="VBO118" s="225"/>
      <c r="VBP118" s="225"/>
      <c r="VBQ118" s="225"/>
      <c r="VBR118" s="225"/>
      <c r="VBS118" s="225"/>
      <c r="VBT118" s="225"/>
      <c r="VBU118" s="225"/>
      <c r="VBV118" s="225"/>
      <c r="VBW118" s="225"/>
      <c r="VBX118" s="225"/>
      <c r="VBY118" s="225"/>
      <c r="VBZ118" s="225"/>
      <c r="VCA118" s="225"/>
      <c r="VCB118" s="225"/>
      <c r="VCC118" s="225"/>
      <c r="VCD118" s="225"/>
      <c r="VCE118" s="225"/>
      <c r="VCF118" s="225"/>
      <c r="VCG118" s="225"/>
      <c r="VCH118" s="225"/>
      <c r="VCI118" s="225"/>
      <c r="VCJ118" s="225"/>
      <c r="VCK118" s="225"/>
      <c r="VCL118" s="225"/>
      <c r="VCM118" s="225"/>
      <c r="VCN118" s="225"/>
      <c r="VCO118" s="225"/>
      <c r="VCP118" s="225"/>
      <c r="VCQ118" s="225"/>
      <c r="VCR118" s="225"/>
      <c r="VCS118" s="225"/>
      <c r="VCT118" s="225"/>
      <c r="VCU118" s="225"/>
      <c r="VCV118" s="225"/>
      <c r="VCW118" s="225"/>
      <c r="VCX118" s="225"/>
      <c r="VCY118" s="225"/>
      <c r="VCZ118" s="225"/>
      <c r="VDA118" s="225"/>
      <c r="VDB118" s="225"/>
      <c r="VDC118" s="225"/>
      <c r="VDD118" s="225"/>
      <c r="VDE118" s="225"/>
      <c r="VDF118" s="225"/>
      <c r="VDG118" s="225"/>
      <c r="VDH118" s="225"/>
      <c r="VDI118" s="225"/>
      <c r="VDJ118" s="225"/>
      <c r="VDK118" s="225"/>
      <c r="VDL118" s="225"/>
      <c r="VDM118" s="225"/>
      <c r="VDN118" s="225"/>
      <c r="VDO118" s="225"/>
      <c r="VDP118" s="225"/>
      <c r="VDQ118" s="225"/>
      <c r="VDR118" s="225"/>
      <c r="VDS118" s="225"/>
      <c r="VDT118" s="225"/>
      <c r="VDU118" s="225"/>
      <c r="VDV118" s="225"/>
      <c r="VDW118" s="225"/>
      <c r="VDX118" s="225"/>
      <c r="VDY118" s="225"/>
      <c r="VDZ118" s="225"/>
      <c r="VEA118" s="225"/>
      <c r="VEB118" s="225"/>
      <c r="VEC118" s="225"/>
      <c r="VED118" s="225"/>
      <c r="VEE118" s="225"/>
      <c r="VEF118" s="225"/>
      <c r="VEG118" s="225"/>
      <c r="VEH118" s="225"/>
      <c r="VEI118" s="225"/>
      <c r="VEJ118" s="225"/>
      <c r="VEK118" s="225"/>
      <c r="VEL118" s="225"/>
      <c r="VEM118" s="225"/>
      <c r="VEN118" s="225"/>
      <c r="VEO118" s="225"/>
      <c r="VEP118" s="225"/>
      <c r="VEQ118" s="225"/>
      <c r="VER118" s="225"/>
      <c r="VES118" s="225"/>
      <c r="VET118" s="225"/>
      <c r="VEU118" s="225"/>
      <c r="VEV118" s="225"/>
      <c r="VEW118" s="225"/>
      <c r="VEX118" s="225"/>
      <c r="VEY118" s="225"/>
      <c r="VEZ118" s="225"/>
      <c r="VFA118" s="225"/>
      <c r="VFB118" s="225"/>
      <c r="VFC118" s="225"/>
      <c r="VFD118" s="225"/>
      <c r="VFE118" s="225"/>
      <c r="VFF118" s="225"/>
      <c r="VFG118" s="225"/>
      <c r="VFH118" s="225"/>
      <c r="VFI118" s="225"/>
      <c r="VFJ118" s="225"/>
      <c r="VFK118" s="225"/>
      <c r="VFL118" s="225"/>
      <c r="VFM118" s="225"/>
      <c r="VFN118" s="225"/>
      <c r="VFO118" s="225"/>
      <c r="VFP118" s="225"/>
      <c r="VFQ118" s="225"/>
      <c r="VFR118" s="225"/>
      <c r="VFS118" s="225"/>
      <c r="VFT118" s="225"/>
      <c r="VFU118" s="225"/>
      <c r="VFV118" s="225"/>
      <c r="VFW118" s="225"/>
      <c r="VFX118" s="225"/>
      <c r="VFY118" s="225"/>
      <c r="VFZ118" s="225"/>
      <c r="VGA118" s="225"/>
      <c r="VGB118" s="225"/>
      <c r="VGC118" s="225"/>
      <c r="VGD118" s="225"/>
      <c r="VGE118" s="225"/>
      <c r="VGF118" s="225"/>
      <c r="VGG118" s="225"/>
      <c r="VGH118" s="225"/>
      <c r="VGI118" s="225"/>
      <c r="VGJ118" s="225"/>
      <c r="VGK118" s="225"/>
      <c r="VGL118" s="225"/>
      <c r="VGM118" s="225"/>
      <c r="VGN118" s="225"/>
      <c r="VGO118" s="225"/>
      <c r="VGP118" s="225"/>
      <c r="VGQ118" s="225"/>
      <c r="VGR118" s="225"/>
      <c r="VGS118" s="225"/>
      <c r="VGT118" s="225"/>
      <c r="VGU118" s="225"/>
      <c r="VGV118" s="225"/>
      <c r="VGW118" s="225"/>
      <c r="VGX118" s="225"/>
      <c r="VGY118" s="225"/>
      <c r="VGZ118" s="225"/>
      <c r="VHA118" s="225"/>
      <c r="VHB118" s="225"/>
      <c r="VHC118" s="225"/>
      <c r="VHD118" s="225"/>
      <c r="VHE118" s="225"/>
      <c r="VHF118" s="225"/>
      <c r="VHG118" s="225"/>
      <c r="VHH118" s="225"/>
      <c r="VHI118" s="225"/>
      <c r="VHJ118" s="225"/>
      <c r="VHK118" s="225"/>
      <c r="VHL118" s="225"/>
      <c r="VHM118" s="225"/>
      <c r="VHN118" s="225"/>
      <c r="VHO118" s="225"/>
      <c r="VHP118" s="225"/>
      <c r="VHQ118" s="225"/>
      <c r="VHR118" s="225"/>
      <c r="VHS118" s="225"/>
      <c r="VHT118" s="225"/>
      <c r="VHU118" s="225"/>
      <c r="VHV118" s="225"/>
      <c r="VHW118" s="225"/>
      <c r="VHX118" s="225"/>
      <c r="VHY118" s="225"/>
      <c r="VHZ118" s="225"/>
      <c r="VIA118" s="225"/>
      <c r="VIB118" s="225"/>
      <c r="VIC118" s="225"/>
      <c r="VID118" s="225"/>
      <c r="VIE118" s="225"/>
      <c r="VIF118" s="225"/>
      <c r="VIG118" s="225"/>
      <c r="VIH118" s="225"/>
      <c r="VII118" s="225"/>
      <c r="VIJ118" s="225"/>
      <c r="VIK118" s="225"/>
      <c r="VIL118" s="225"/>
      <c r="VIM118" s="225"/>
      <c r="VIN118" s="225"/>
      <c r="VIO118" s="225"/>
      <c r="VIP118" s="225"/>
      <c r="VIQ118" s="225"/>
      <c r="VIR118" s="225"/>
      <c r="VIS118" s="225"/>
      <c r="VIT118" s="225"/>
      <c r="VIU118" s="225"/>
      <c r="VIV118" s="225"/>
      <c r="VIW118" s="225"/>
      <c r="VIX118" s="225"/>
      <c r="VIY118" s="225"/>
      <c r="VIZ118" s="225"/>
      <c r="VJA118" s="225"/>
      <c r="VJB118" s="225"/>
      <c r="VJC118" s="225"/>
      <c r="VJD118" s="225"/>
      <c r="VJE118" s="225"/>
      <c r="VJF118" s="225"/>
      <c r="VJG118" s="225"/>
      <c r="VJH118" s="225"/>
      <c r="VJI118" s="225"/>
      <c r="VJJ118" s="225"/>
      <c r="VJK118" s="225"/>
      <c r="VJL118" s="225"/>
      <c r="VJM118" s="225"/>
      <c r="VJN118" s="225"/>
      <c r="VJO118" s="225"/>
      <c r="VJP118" s="225"/>
      <c r="VJQ118" s="225"/>
      <c r="VJR118" s="225"/>
      <c r="VJS118" s="225"/>
      <c r="VJT118" s="225"/>
      <c r="VJU118" s="225"/>
      <c r="VJV118" s="225"/>
      <c r="VJW118" s="225"/>
      <c r="VJX118" s="225"/>
      <c r="VJY118" s="225"/>
      <c r="VJZ118" s="225"/>
      <c r="VKA118" s="225"/>
      <c r="VKB118" s="225"/>
      <c r="VKC118" s="225"/>
      <c r="VKD118" s="225"/>
      <c r="VKE118" s="225"/>
      <c r="VKF118" s="225"/>
      <c r="VKG118" s="225"/>
      <c r="VKH118" s="225"/>
      <c r="VKI118" s="225"/>
      <c r="VKJ118" s="225"/>
      <c r="VKK118" s="225"/>
      <c r="VKL118" s="225"/>
      <c r="VKM118" s="225"/>
      <c r="VKN118" s="225"/>
      <c r="VKO118" s="225"/>
      <c r="VKP118" s="225"/>
      <c r="VKQ118" s="225"/>
      <c r="VKR118" s="225"/>
      <c r="VKS118" s="225"/>
      <c r="VKT118" s="225"/>
      <c r="VKU118" s="225"/>
      <c r="VKV118" s="225"/>
      <c r="VKW118" s="225"/>
      <c r="VKX118" s="225"/>
      <c r="VKY118" s="225"/>
      <c r="VKZ118" s="225"/>
      <c r="VLA118" s="225"/>
      <c r="VLB118" s="225"/>
      <c r="VLC118" s="225"/>
      <c r="VLD118" s="225"/>
      <c r="VLE118" s="225"/>
      <c r="VLF118" s="225"/>
      <c r="VLG118" s="225"/>
      <c r="VLH118" s="225"/>
      <c r="VLI118" s="225"/>
      <c r="VLJ118" s="225"/>
      <c r="VLK118" s="225"/>
      <c r="VLL118" s="225"/>
      <c r="VLM118" s="225"/>
      <c r="VLN118" s="225"/>
      <c r="VLO118" s="225"/>
      <c r="VLP118" s="225"/>
      <c r="VLQ118" s="225"/>
      <c r="VLR118" s="225"/>
      <c r="VLS118" s="225"/>
      <c r="VLT118" s="225"/>
      <c r="VLU118" s="225"/>
      <c r="VLV118" s="225"/>
      <c r="VLW118" s="225"/>
      <c r="VLX118" s="225"/>
      <c r="VLY118" s="225"/>
      <c r="VLZ118" s="225"/>
      <c r="VMA118" s="225"/>
      <c r="VMB118" s="225"/>
      <c r="VMC118" s="225"/>
      <c r="VMD118" s="225"/>
      <c r="VME118" s="225"/>
      <c r="VMF118" s="225"/>
      <c r="VMG118" s="225"/>
      <c r="VMH118" s="225"/>
      <c r="VMI118" s="225"/>
      <c r="VMJ118" s="225"/>
      <c r="VMK118" s="225"/>
      <c r="VML118" s="225"/>
      <c r="VMM118" s="225"/>
      <c r="VMN118" s="225"/>
      <c r="VMO118" s="225"/>
      <c r="VMP118" s="225"/>
      <c r="VMQ118" s="225"/>
      <c r="VMR118" s="225"/>
      <c r="VMS118" s="225"/>
      <c r="VMT118" s="225"/>
      <c r="VMU118" s="225"/>
      <c r="VMV118" s="225"/>
      <c r="VMW118" s="225"/>
      <c r="VMX118" s="225"/>
      <c r="VMY118" s="225"/>
      <c r="VMZ118" s="225"/>
      <c r="VNA118" s="225"/>
      <c r="VNB118" s="225"/>
      <c r="VNC118" s="225"/>
      <c r="VND118" s="225"/>
      <c r="VNE118" s="225"/>
      <c r="VNF118" s="225"/>
      <c r="VNG118" s="225"/>
      <c r="VNH118" s="225"/>
      <c r="VNI118" s="225"/>
      <c r="VNJ118" s="225"/>
      <c r="VNK118" s="225"/>
      <c r="VNL118" s="225"/>
      <c r="VNM118" s="225"/>
      <c r="VNN118" s="225"/>
      <c r="VNO118" s="225"/>
      <c r="VNP118" s="225"/>
      <c r="VNQ118" s="225"/>
      <c r="VNR118" s="225"/>
      <c r="VNS118" s="225"/>
      <c r="VNT118" s="225"/>
      <c r="VNU118" s="225"/>
      <c r="VNV118" s="225"/>
      <c r="VNW118" s="225"/>
      <c r="VNX118" s="225"/>
      <c r="VNY118" s="225"/>
      <c r="VNZ118" s="225"/>
      <c r="VOA118" s="225"/>
      <c r="VOB118" s="225"/>
      <c r="VOC118" s="225"/>
      <c r="VOD118" s="225"/>
      <c r="VOE118" s="225"/>
      <c r="VOF118" s="225"/>
      <c r="VOG118" s="225"/>
      <c r="VOH118" s="225"/>
      <c r="VOI118" s="225"/>
      <c r="VOJ118" s="225"/>
      <c r="VOK118" s="225"/>
      <c r="VOL118" s="225"/>
      <c r="VOM118" s="225"/>
      <c r="VON118" s="225"/>
      <c r="VOO118" s="225"/>
      <c r="VOP118" s="225"/>
      <c r="VOQ118" s="225"/>
      <c r="VOR118" s="225"/>
      <c r="VOS118" s="225"/>
      <c r="VOT118" s="225"/>
      <c r="VOU118" s="225"/>
      <c r="VOV118" s="225"/>
      <c r="VOW118" s="225"/>
      <c r="VOX118" s="225"/>
      <c r="VOY118" s="225"/>
      <c r="VOZ118" s="225"/>
      <c r="VPA118" s="225"/>
      <c r="VPB118" s="225"/>
      <c r="VPC118" s="225"/>
      <c r="VPD118" s="225"/>
      <c r="VPE118" s="225"/>
      <c r="VPF118" s="225"/>
      <c r="VPG118" s="225"/>
      <c r="VPH118" s="225"/>
      <c r="VPI118" s="225"/>
      <c r="VPJ118" s="225"/>
      <c r="VPK118" s="225"/>
      <c r="VPL118" s="225"/>
      <c r="VPM118" s="225"/>
      <c r="VPN118" s="225"/>
      <c r="VPO118" s="225"/>
      <c r="VPP118" s="225"/>
      <c r="VPQ118" s="225"/>
      <c r="VPR118" s="225"/>
      <c r="VPS118" s="225"/>
      <c r="VPT118" s="225"/>
      <c r="VPU118" s="225"/>
      <c r="VPV118" s="225"/>
      <c r="VPW118" s="225"/>
      <c r="VPX118" s="225"/>
      <c r="VPY118" s="225"/>
      <c r="VPZ118" s="225"/>
      <c r="VQA118" s="225"/>
      <c r="VQB118" s="225"/>
      <c r="VQC118" s="225"/>
      <c r="VQD118" s="225"/>
      <c r="VQE118" s="225"/>
      <c r="VQF118" s="225"/>
      <c r="VQG118" s="225"/>
      <c r="VQH118" s="225"/>
      <c r="VQI118" s="225"/>
      <c r="VQJ118" s="225"/>
      <c r="VQK118" s="225"/>
      <c r="VQL118" s="225"/>
      <c r="VQM118" s="225"/>
      <c r="VQN118" s="225"/>
      <c r="VQO118" s="225"/>
      <c r="VQP118" s="225"/>
      <c r="VQQ118" s="225"/>
      <c r="VQR118" s="225"/>
      <c r="VQS118" s="225"/>
      <c r="VQT118" s="225"/>
      <c r="VQU118" s="225"/>
      <c r="VQV118" s="225"/>
      <c r="VQW118" s="225"/>
      <c r="VQX118" s="225"/>
      <c r="VQY118" s="225"/>
      <c r="VQZ118" s="225"/>
      <c r="VRA118" s="225"/>
      <c r="VRB118" s="225"/>
      <c r="VRC118" s="225"/>
      <c r="VRD118" s="225"/>
      <c r="VRE118" s="225"/>
      <c r="VRF118" s="225"/>
      <c r="VRG118" s="225"/>
      <c r="VRH118" s="225"/>
      <c r="VRI118" s="225"/>
      <c r="VRJ118" s="225"/>
      <c r="VRK118" s="225"/>
      <c r="VRL118" s="225"/>
      <c r="VRM118" s="225"/>
      <c r="VRN118" s="225"/>
      <c r="VRO118" s="225"/>
      <c r="VRP118" s="225"/>
      <c r="VRQ118" s="225"/>
      <c r="VRR118" s="225"/>
      <c r="VRS118" s="225"/>
      <c r="VRT118" s="225"/>
      <c r="VRU118" s="225"/>
      <c r="VRV118" s="225"/>
      <c r="VRW118" s="225"/>
      <c r="VRX118" s="225"/>
      <c r="VRY118" s="225"/>
      <c r="VRZ118" s="225"/>
      <c r="VSA118" s="225"/>
      <c r="VSB118" s="225"/>
      <c r="VSC118" s="225"/>
      <c r="VSD118" s="225"/>
      <c r="VSE118" s="225"/>
      <c r="VSF118" s="225"/>
      <c r="VSG118" s="225"/>
      <c r="VSH118" s="225"/>
      <c r="VSI118" s="225"/>
      <c r="VSJ118" s="225"/>
      <c r="VSK118" s="225"/>
      <c r="VSL118" s="225"/>
      <c r="VSM118" s="225"/>
      <c r="VSN118" s="225"/>
      <c r="VSO118" s="225"/>
      <c r="VSP118" s="225"/>
      <c r="VSQ118" s="225"/>
      <c r="VSR118" s="225"/>
      <c r="VSS118" s="225"/>
      <c r="VST118" s="225"/>
      <c r="VSU118" s="225"/>
      <c r="VSV118" s="225"/>
      <c r="VSW118" s="225"/>
      <c r="VSX118" s="225"/>
      <c r="VSY118" s="225"/>
      <c r="VSZ118" s="225"/>
      <c r="VTA118" s="225"/>
      <c r="VTB118" s="225"/>
      <c r="VTC118" s="225"/>
      <c r="VTD118" s="225"/>
      <c r="VTE118" s="225"/>
      <c r="VTF118" s="225"/>
      <c r="VTG118" s="225"/>
      <c r="VTH118" s="225"/>
      <c r="VTI118" s="225"/>
      <c r="VTJ118" s="225"/>
      <c r="VTK118" s="225"/>
      <c r="VTL118" s="225"/>
      <c r="VTM118" s="225"/>
      <c r="VTN118" s="225"/>
      <c r="VTO118" s="225"/>
      <c r="VTP118" s="225"/>
      <c r="VTQ118" s="225"/>
      <c r="VTR118" s="225"/>
      <c r="VTS118" s="225"/>
      <c r="VTT118" s="225"/>
      <c r="VTU118" s="225"/>
      <c r="VTV118" s="225"/>
      <c r="VTW118" s="225"/>
      <c r="VTX118" s="225"/>
      <c r="VTY118" s="225"/>
      <c r="VTZ118" s="225"/>
      <c r="VUA118" s="225"/>
      <c r="VUB118" s="225"/>
      <c r="VUC118" s="225"/>
      <c r="VUD118" s="225"/>
      <c r="VUE118" s="225"/>
      <c r="VUF118" s="225"/>
      <c r="VUG118" s="225"/>
      <c r="VUH118" s="225"/>
      <c r="VUI118" s="225"/>
      <c r="VUJ118" s="225"/>
      <c r="VUK118" s="225"/>
      <c r="VUL118" s="225"/>
      <c r="VUM118" s="225"/>
      <c r="VUN118" s="225"/>
      <c r="VUO118" s="225"/>
      <c r="VUP118" s="225"/>
      <c r="VUQ118" s="225"/>
      <c r="VUR118" s="225"/>
      <c r="VUS118" s="225"/>
      <c r="VUT118" s="225"/>
      <c r="VUU118" s="225"/>
      <c r="VUV118" s="225"/>
      <c r="VUW118" s="225"/>
      <c r="VUX118" s="225"/>
      <c r="VUY118" s="225"/>
      <c r="VUZ118" s="225"/>
      <c r="VVA118" s="225"/>
      <c r="VVB118" s="225"/>
      <c r="VVC118" s="225"/>
      <c r="VVD118" s="225"/>
      <c r="VVE118" s="225"/>
      <c r="VVF118" s="225"/>
      <c r="VVG118" s="225"/>
      <c r="VVH118" s="225"/>
      <c r="VVI118" s="225"/>
      <c r="VVJ118" s="225"/>
      <c r="VVK118" s="225"/>
      <c r="VVL118" s="225"/>
      <c r="VVM118" s="225"/>
      <c r="VVN118" s="225"/>
      <c r="VVO118" s="225"/>
      <c r="VVP118" s="225"/>
      <c r="VVQ118" s="225"/>
      <c r="VVR118" s="225"/>
      <c r="VVS118" s="225"/>
      <c r="VVT118" s="225"/>
      <c r="VVU118" s="225"/>
      <c r="VVV118" s="225"/>
      <c r="VVW118" s="225"/>
      <c r="VVX118" s="225"/>
      <c r="VVY118" s="225"/>
      <c r="VVZ118" s="225"/>
      <c r="VWA118" s="225"/>
      <c r="VWB118" s="225"/>
      <c r="VWC118" s="225"/>
      <c r="VWD118" s="225"/>
      <c r="VWE118" s="225"/>
      <c r="VWF118" s="225"/>
      <c r="VWG118" s="225"/>
      <c r="VWH118" s="225"/>
      <c r="VWI118" s="225"/>
      <c r="VWJ118" s="225"/>
      <c r="VWK118" s="225"/>
      <c r="VWL118" s="225"/>
      <c r="VWM118" s="225"/>
      <c r="VWN118" s="225"/>
      <c r="VWO118" s="225"/>
      <c r="VWP118" s="225"/>
      <c r="VWQ118" s="225"/>
      <c r="VWR118" s="225"/>
      <c r="VWS118" s="225"/>
      <c r="VWT118" s="225"/>
      <c r="VWU118" s="225"/>
      <c r="VWV118" s="225"/>
      <c r="VWW118" s="225"/>
      <c r="VWX118" s="225"/>
      <c r="VWY118" s="225"/>
      <c r="VWZ118" s="225"/>
      <c r="VXA118" s="225"/>
      <c r="VXB118" s="225"/>
      <c r="VXC118" s="225"/>
      <c r="VXD118" s="225"/>
      <c r="VXE118" s="225"/>
      <c r="VXF118" s="225"/>
      <c r="VXG118" s="225"/>
      <c r="VXH118" s="225"/>
      <c r="VXI118" s="225"/>
      <c r="VXJ118" s="225"/>
      <c r="VXK118" s="225"/>
      <c r="VXL118" s="225"/>
      <c r="VXM118" s="225"/>
      <c r="VXN118" s="225"/>
      <c r="VXO118" s="225"/>
      <c r="VXP118" s="225"/>
      <c r="VXQ118" s="225"/>
      <c r="VXR118" s="225"/>
      <c r="VXS118" s="225"/>
      <c r="VXT118" s="225"/>
      <c r="VXU118" s="225"/>
      <c r="VXV118" s="225"/>
      <c r="VXW118" s="225"/>
      <c r="VXX118" s="225"/>
      <c r="VXY118" s="225"/>
      <c r="VXZ118" s="225"/>
      <c r="VYA118" s="225"/>
      <c r="VYB118" s="225"/>
      <c r="VYC118" s="225"/>
      <c r="VYD118" s="225"/>
      <c r="VYE118" s="225"/>
      <c r="VYF118" s="225"/>
      <c r="VYG118" s="225"/>
      <c r="VYH118" s="225"/>
      <c r="VYI118" s="225"/>
      <c r="VYJ118" s="225"/>
      <c r="VYK118" s="225"/>
      <c r="VYL118" s="225"/>
      <c r="VYM118" s="225"/>
      <c r="VYN118" s="225"/>
      <c r="VYO118" s="225"/>
      <c r="VYP118" s="225"/>
      <c r="VYQ118" s="225"/>
      <c r="VYR118" s="225"/>
      <c r="VYS118" s="225"/>
      <c r="VYT118" s="225"/>
      <c r="VYU118" s="225"/>
      <c r="VYV118" s="225"/>
      <c r="VYW118" s="225"/>
      <c r="VYX118" s="225"/>
      <c r="VYY118" s="225"/>
      <c r="VYZ118" s="225"/>
      <c r="VZA118" s="225"/>
      <c r="VZB118" s="225"/>
      <c r="VZC118" s="225"/>
      <c r="VZD118" s="225"/>
      <c r="VZE118" s="225"/>
      <c r="VZF118" s="225"/>
      <c r="VZG118" s="225"/>
      <c r="VZH118" s="225"/>
      <c r="VZI118" s="225"/>
      <c r="VZJ118" s="225"/>
      <c r="VZK118" s="225"/>
      <c r="VZL118" s="225"/>
      <c r="VZM118" s="225"/>
      <c r="VZN118" s="225"/>
      <c r="VZO118" s="225"/>
      <c r="VZP118" s="225"/>
      <c r="VZQ118" s="225"/>
      <c r="VZR118" s="225"/>
      <c r="VZS118" s="225"/>
      <c r="VZT118" s="225"/>
      <c r="VZU118" s="225"/>
      <c r="VZV118" s="225"/>
      <c r="VZW118" s="225"/>
      <c r="VZX118" s="225"/>
      <c r="VZY118" s="225"/>
      <c r="VZZ118" s="225"/>
      <c r="WAA118" s="225"/>
      <c r="WAB118" s="225"/>
      <c r="WAC118" s="225"/>
      <c r="WAD118" s="225"/>
      <c r="WAE118" s="225"/>
      <c r="WAF118" s="225"/>
      <c r="WAG118" s="225"/>
      <c r="WAH118" s="225"/>
      <c r="WAI118" s="225"/>
      <c r="WAJ118" s="225"/>
      <c r="WAK118" s="225"/>
      <c r="WAL118" s="225"/>
      <c r="WAM118" s="225"/>
      <c r="WAN118" s="225"/>
      <c r="WAO118" s="225"/>
      <c r="WAP118" s="225"/>
      <c r="WAQ118" s="225"/>
      <c r="WAR118" s="225"/>
      <c r="WAS118" s="225"/>
      <c r="WAT118" s="225"/>
      <c r="WAU118" s="225"/>
      <c r="WAV118" s="225"/>
      <c r="WAW118" s="225"/>
      <c r="WAX118" s="225"/>
      <c r="WAY118" s="225"/>
      <c r="WAZ118" s="225"/>
      <c r="WBA118" s="225"/>
      <c r="WBB118" s="225"/>
      <c r="WBC118" s="225"/>
      <c r="WBD118" s="225"/>
      <c r="WBE118" s="225"/>
      <c r="WBF118" s="225"/>
      <c r="WBG118" s="225"/>
      <c r="WBH118" s="225"/>
      <c r="WBI118" s="225"/>
      <c r="WBJ118" s="225"/>
      <c r="WBK118" s="225"/>
      <c r="WBL118" s="225"/>
      <c r="WBM118" s="225"/>
      <c r="WBN118" s="225"/>
      <c r="WBO118" s="225"/>
      <c r="WBP118" s="225"/>
      <c r="WBQ118" s="225"/>
      <c r="WBR118" s="225"/>
      <c r="WBS118" s="225"/>
      <c r="WBT118" s="225"/>
      <c r="WBU118" s="225"/>
      <c r="WBV118" s="225"/>
      <c r="WBW118" s="225"/>
      <c r="WBX118" s="225"/>
      <c r="WBY118" s="225"/>
      <c r="WBZ118" s="225"/>
      <c r="WCA118" s="225"/>
      <c r="WCB118" s="225"/>
      <c r="WCC118" s="225"/>
      <c r="WCD118" s="225"/>
      <c r="WCE118" s="225"/>
      <c r="WCF118" s="225"/>
      <c r="WCG118" s="225"/>
      <c r="WCH118" s="225"/>
      <c r="WCI118" s="225"/>
      <c r="WCJ118" s="225"/>
      <c r="WCK118" s="225"/>
      <c r="WCL118" s="225"/>
      <c r="WCM118" s="225"/>
      <c r="WCN118" s="225"/>
      <c r="WCO118" s="225"/>
      <c r="WCP118" s="225"/>
      <c r="WCQ118" s="225"/>
      <c r="WCR118" s="225"/>
      <c r="WCS118" s="225"/>
      <c r="WCT118" s="225"/>
      <c r="WCU118" s="225"/>
      <c r="WCV118" s="225"/>
      <c r="WCW118" s="225"/>
      <c r="WCX118" s="225"/>
      <c r="WCY118" s="225"/>
      <c r="WCZ118" s="225"/>
      <c r="WDA118" s="225"/>
      <c r="WDB118" s="225"/>
      <c r="WDC118" s="225"/>
      <c r="WDD118" s="225"/>
      <c r="WDE118" s="225"/>
      <c r="WDF118" s="225"/>
      <c r="WDG118" s="225"/>
      <c r="WDH118" s="225"/>
      <c r="WDI118" s="225"/>
      <c r="WDJ118" s="225"/>
      <c r="WDK118" s="225"/>
      <c r="WDL118" s="225"/>
      <c r="WDM118" s="225"/>
      <c r="WDN118" s="225"/>
      <c r="WDO118" s="225"/>
      <c r="WDP118" s="225"/>
      <c r="WDQ118" s="225"/>
      <c r="WDR118" s="225"/>
      <c r="WDS118" s="225"/>
      <c r="WDT118" s="225"/>
      <c r="WDU118" s="225"/>
      <c r="WDV118" s="225"/>
      <c r="WDW118" s="225"/>
      <c r="WDX118" s="225"/>
      <c r="WDY118" s="225"/>
      <c r="WDZ118" s="225"/>
      <c r="WEA118" s="225"/>
      <c r="WEB118" s="225"/>
      <c r="WEC118" s="225"/>
      <c r="WED118" s="225"/>
      <c r="WEE118" s="225"/>
      <c r="WEF118" s="225"/>
      <c r="WEG118" s="225"/>
      <c r="WEH118" s="225"/>
      <c r="WEI118" s="225"/>
      <c r="WEJ118" s="225"/>
      <c r="WEK118" s="225"/>
      <c r="WEL118" s="225"/>
      <c r="WEM118" s="225"/>
      <c r="WEN118" s="225"/>
      <c r="WEO118" s="225"/>
      <c r="WEP118" s="225"/>
      <c r="WEQ118" s="225"/>
      <c r="WER118" s="225"/>
      <c r="WES118" s="225"/>
      <c r="WET118" s="225"/>
      <c r="WEU118" s="225"/>
      <c r="WEV118" s="225"/>
      <c r="WEW118" s="225"/>
      <c r="WEX118" s="225"/>
      <c r="WEY118" s="225"/>
      <c r="WEZ118" s="225"/>
      <c r="WFA118" s="225"/>
      <c r="WFB118" s="225"/>
      <c r="WFC118" s="225"/>
      <c r="WFD118" s="225"/>
      <c r="WFE118" s="225"/>
      <c r="WFF118" s="225"/>
      <c r="WFG118" s="225"/>
      <c r="WFH118" s="225"/>
      <c r="WFI118" s="225"/>
      <c r="WFJ118" s="225"/>
      <c r="WFK118" s="225"/>
      <c r="WFL118" s="225"/>
      <c r="WFM118" s="225"/>
      <c r="WFN118" s="225"/>
      <c r="WFO118" s="225"/>
      <c r="WFP118" s="225"/>
      <c r="WFQ118" s="225"/>
      <c r="WFR118" s="225"/>
      <c r="WFS118" s="225"/>
      <c r="WFT118" s="225"/>
      <c r="WFU118" s="225"/>
      <c r="WFV118" s="225"/>
      <c r="WFW118" s="225"/>
      <c r="WFX118" s="225"/>
      <c r="WFY118" s="225"/>
      <c r="WFZ118" s="225"/>
      <c r="WGA118" s="225"/>
      <c r="WGB118" s="225"/>
      <c r="WGC118" s="225"/>
      <c r="WGD118" s="225"/>
      <c r="WGE118" s="225"/>
      <c r="WGF118" s="225"/>
      <c r="WGG118" s="225"/>
      <c r="WGH118" s="225"/>
      <c r="WGI118" s="225"/>
      <c r="WGJ118" s="225"/>
      <c r="WGK118" s="225"/>
      <c r="WGL118" s="225"/>
      <c r="WGM118" s="225"/>
      <c r="WGN118" s="225"/>
      <c r="WGO118" s="225"/>
      <c r="WGP118" s="225"/>
      <c r="WGQ118" s="225"/>
      <c r="WGR118" s="225"/>
      <c r="WGS118" s="225"/>
      <c r="WGT118" s="225"/>
      <c r="WGU118" s="225"/>
      <c r="WGV118" s="225"/>
      <c r="WGW118" s="225"/>
      <c r="WGX118" s="225"/>
      <c r="WGY118" s="225"/>
      <c r="WGZ118" s="225"/>
      <c r="WHA118" s="225"/>
      <c r="WHB118" s="225"/>
      <c r="WHC118" s="225"/>
      <c r="WHD118" s="225"/>
      <c r="WHE118" s="225"/>
      <c r="WHF118" s="225"/>
      <c r="WHG118" s="225"/>
      <c r="WHH118" s="225"/>
      <c r="WHI118" s="225"/>
      <c r="WHJ118" s="225"/>
      <c r="WHK118" s="225"/>
      <c r="WHL118" s="225"/>
      <c r="WHM118" s="225"/>
      <c r="WHN118" s="225"/>
      <c r="WHO118" s="225"/>
      <c r="WHP118" s="225"/>
      <c r="WHQ118" s="225"/>
      <c r="WHR118" s="225"/>
      <c r="WHS118" s="225"/>
      <c r="WHT118" s="225"/>
      <c r="WHU118" s="225"/>
      <c r="WHV118" s="225"/>
      <c r="WHW118" s="225"/>
      <c r="WHX118" s="225"/>
      <c r="WHY118" s="225"/>
      <c r="WHZ118" s="225"/>
      <c r="WIA118" s="225"/>
      <c r="WIB118" s="225"/>
      <c r="WIC118" s="225"/>
      <c r="WID118" s="225"/>
      <c r="WIE118" s="225"/>
      <c r="WIF118" s="225"/>
      <c r="WIG118" s="225"/>
      <c r="WIH118" s="225"/>
      <c r="WII118" s="225"/>
      <c r="WIJ118" s="225"/>
      <c r="WIK118" s="225"/>
      <c r="WIL118" s="225"/>
      <c r="WIM118" s="225"/>
      <c r="WIN118" s="225"/>
      <c r="WIO118" s="225"/>
      <c r="WIP118" s="225"/>
      <c r="WIQ118" s="225"/>
      <c r="WIR118" s="225"/>
      <c r="WIS118" s="225"/>
      <c r="WIT118" s="225"/>
      <c r="WIU118" s="225"/>
      <c r="WIV118" s="225"/>
      <c r="WIW118" s="225"/>
      <c r="WIX118" s="225"/>
      <c r="WIY118" s="225"/>
      <c r="WIZ118" s="225"/>
      <c r="WJA118" s="225"/>
      <c r="WJB118" s="225"/>
      <c r="WJC118" s="225"/>
      <c r="WJD118" s="225"/>
      <c r="WJE118" s="225"/>
      <c r="WJF118" s="225"/>
      <c r="WJG118" s="225"/>
      <c r="WJH118" s="225"/>
      <c r="WJI118" s="225"/>
      <c r="WJJ118" s="225"/>
      <c r="WJK118" s="225"/>
      <c r="WJL118" s="225"/>
      <c r="WJM118" s="225"/>
      <c r="WJN118" s="225"/>
      <c r="WJO118" s="225"/>
      <c r="WJP118" s="225"/>
      <c r="WJQ118" s="225"/>
      <c r="WJR118" s="225"/>
      <c r="WJS118" s="225"/>
      <c r="WJT118" s="225"/>
      <c r="WJU118" s="225"/>
      <c r="WJV118" s="225"/>
      <c r="WJW118" s="225"/>
      <c r="WJX118" s="225"/>
      <c r="WJY118" s="225"/>
      <c r="WJZ118" s="225"/>
      <c r="WKA118" s="225"/>
      <c r="WKB118" s="225"/>
      <c r="WKC118" s="225"/>
      <c r="WKD118" s="225"/>
      <c r="WKE118" s="225"/>
      <c r="WKF118" s="225"/>
      <c r="WKG118" s="225"/>
      <c r="WKH118" s="225"/>
      <c r="WKI118" s="225"/>
      <c r="WKJ118" s="225"/>
      <c r="WKK118" s="225"/>
      <c r="WKL118" s="225"/>
      <c r="WKM118" s="225"/>
      <c r="WKN118" s="225"/>
      <c r="WKO118" s="225"/>
      <c r="WKP118" s="225"/>
      <c r="WKQ118" s="225"/>
      <c r="WKR118" s="225"/>
      <c r="WKS118" s="225"/>
      <c r="WKT118" s="225"/>
      <c r="WKU118" s="225"/>
      <c r="WKV118" s="225"/>
      <c r="WKW118" s="225"/>
      <c r="WKX118" s="225"/>
      <c r="WKY118" s="225"/>
      <c r="WKZ118" s="225"/>
      <c r="WLA118" s="225"/>
      <c r="WLB118" s="225"/>
      <c r="WLC118" s="225"/>
      <c r="WLD118" s="225"/>
      <c r="WLE118" s="225"/>
      <c r="WLF118" s="225"/>
      <c r="WLG118" s="225"/>
      <c r="WLH118" s="225"/>
      <c r="WLI118" s="225"/>
      <c r="WLJ118" s="225"/>
      <c r="WLK118" s="225"/>
      <c r="WLL118" s="225"/>
      <c r="WLM118" s="225"/>
      <c r="WLN118" s="225"/>
      <c r="WLO118" s="225"/>
      <c r="WLP118" s="225"/>
      <c r="WLQ118" s="225"/>
      <c r="WLR118" s="225"/>
      <c r="WLS118" s="225"/>
      <c r="WLT118" s="225"/>
      <c r="WLU118" s="225"/>
      <c r="WLV118" s="225"/>
      <c r="WLW118" s="225"/>
      <c r="WLX118" s="225"/>
      <c r="WLY118" s="225"/>
      <c r="WLZ118" s="225"/>
      <c r="WMA118" s="225"/>
      <c r="WMB118" s="225"/>
      <c r="WMC118" s="225"/>
      <c r="WMD118" s="225"/>
      <c r="WME118" s="225"/>
      <c r="WMF118" s="225"/>
      <c r="WMG118" s="225"/>
      <c r="WMH118" s="225"/>
      <c r="WMI118" s="225"/>
      <c r="WMJ118" s="225"/>
      <c r="WMK118" s="225"/>
      <c r="WML118" s="225"/>
      <c r="WMM118" s="225"/>
      <c r="WMN118" s="225"/>
      <c r="WMO118" s="225"/>
      <c r="WMP118" s="225"/>
      <c r="WMQ118" s="225"/>
      <c r="WMR118" s="225"/>
      <c r="WMS118" s="225"/>
      <c r="WMT118" s="225"/>
      <c r="WMU118" s="225"/>
      <c r="WMV118" s="225"/>
      <c r="WMW118" s="225"/>
      <c r="WMX118" s="225"/>
      <c r="WMY118" s="225"/>
      <c r="WMZ118" s="225"/>
      <c r="WNA118" s="225"/>
      <c r="WNB118" s="225"/>
      <c r="WNC118" s="225"/>
      <c r="WND118" s="225"/>
      <c r="WNE118" s="225"/>
      <c r="WNF118" s="225"/>
      <c r="WNG118" s="225"/>
      <c r="WNH118" s="225"/>
      <c r="WNI118" s="225"/>
      <c r="WNJ118" s="225"/>
      <c r="WNK118" s="225"/>
      <c r="WNL118" s="225"/>
      <c r="WNM118" s="225"/>
      <c r="WNN118" s="225"/>
      <c r="WNO118" s="225"/>
      <c r="WNP118" s="225"/>
      <c r="WNQ118" s="225"/>
      <c r="WNR118" s="225"/>
      <c r="WNS118" s="225"/>
      <c r="WNT118" s="225"/>
      <c r="WNU118" s="225"/>
      <c r="WNV118" s="225"/>
      <c r="WNW118" s="225"/>
      <c r="WNX118" s="225"/>
      <c r="WNY118" s="225"/>
      <c r="WNZ118" s="225"/>
      <c r="WOA118" s="225"/>
      <c r="WOB118" s="225"/>
      <c r="WOC118" s="225"/>
      <c r="WOD118" s="225"/>
      <c r="WOE118" s="225"/>
      <c r="WOF118" s="225"/>
      <c r="WOG118" s="225"/>
      <c r="WOH118" s="225"/>
      <c r="WOI118" s="225"/>
      <c r="WOJ118" s="225"/>
      <c r="WOK118" s="225"/>
      <c r="WOL118" s="225"/>
      <c r="WOM118" s="225"/>
      <c r="WON118" s="225"/>
      <c r="WOO118" s="225"/>
      <c r="WOP118" s="225"/>
      <c r="WOQ118" s="225"/>
      <c r="WOR118" s="225"/>
      <c r="WOS118" s="225"/>
      <c r="WOT118" s="225"/>
      <c r="WOU118" s="225"/>
      <c r="WOV118" s="225"/>
      <c r="WOW118" s="225"/>
      <c r="WOX118" s="225"/>
      <c r="WOY118" s="225"/>
      <c r="WOZ118" s="225"/>
      <c r="WPA118" s="225"/>
      <c r="WPB118" s="225"/>
      <c r="WPC118" s="225"/>
      <c r="WPD118" s="225"/>
      <c r="WPE118" s="225"/>
      <c r="WPF118" s="225"/>
      <c r="WPG118" s="225"/>
      <c r="WPH118" s="225"/>
      <c r="WPI118" s="225"/>
      <c r="WPJ118" s="225"/>
      <c r="WPK118" s="225"/>
      <c r="WPL118" s="225"/>
      <c r="WPM118" s="225"/>
      <c r="WPN118" s="225"/>
      <c r="WPO118" s="225"/>
      <c r="WPP118" s="225"/>
      <c r="WPQ118" s="225"/>
      <c r="WPR118" s="225"/>
      <c r="WPS118" s="225"/>
      <c r="WPT118" s="225"/>
      <c r="WPU118" s="225"/>
      <c r="WPV118" s="225"/>
      <c r="WPW118" s="225"/>
      <c r="WPX118" s="225"/>
      <c r="WPY118" s="225"/>
      <c r="WPZ118" s="225"/>
      <c r="WQA118" s="225"/>
      <c r="WQB118" s="225"/>
      <c r="WQC118" s="225"/>
      <c r="WQD118" s="225"/>
      <c r="WQE118" s="225"/>
      <c r="WQF118" s="225"/>
      <c r="WQG118" s="225"/>
      <c r="WQH118" s="225"/>
      <c r="WQI118" s="225"/>
      <c r="WQJ118" s="225"/>
      <c r="WQK118" s="225"/>
      <c r="WQL118" s="225"/>
      <c r="WQM118" s="225"/>
      <c r="WQN118" s="225"/>
      <c r="WQO118" s="225"/>
      <c r="WQP118" s="225"/>
      <c r="WQQ118" s="225"/>
      <c r="WQR118" s="225"/>
      <c r="WQS118" s="225"/>
      <c r="WQT118" s="225"/>
      <c r="WQU118" s="225"/>
      <c r="WQV118" s="225"/>
      <c r="WQW118" s="225"/>
      <c r="WQX118" s="225"/>
      <c r="WQY118" s="225"/>
      <c r="WQZ118" s="225"/>
      <c r="WRA118" s="225"/>
      <c r="WRB118" s="225"/>
      <c r="WRC118" s="225"/>
      <c r="WRD118" s="225"/>
      <c r="WRE118" s="225"/>
      <c r="WRF118" s="225"/>
      <c r="WRG118" s="225"/>
      <c r="WRH118" s="225"/>
      <c r="WRI118" s="225"/>
      <c r="WRJ118" s="225"/>
      <c r="WRK118" s="225"/>
      <c r="WRL118" s="225"/>
      <c r="WRM118" s="225"/>
      <c r="WRN118" s="225"/>
      <c r="WRO118" s="225"/>
      <c r="WRP118" s="225"/>
      <c r="WRQ118" s="225"/>
      <c r="WRR118" s="225"/>
      <c r="WRS118" s="225"/>
      <c r="WRT118" s="225"/>
      <c r="WRU118" s="225"/>
      <c r="WRV118" s="225"/>
      <c r="WRW118" s="225"/>
      <c r="WRX118" s="225"/>
      <c r="WRY118" s="225"/>
      <c r="WRZ118" s="225"/>
      <c r="WSA118" s="225"/>
      <c r="WSB118" s="225"/>
      <c r="WSC118" s="225"/>
      <c r="WSD118" s="225"/>
      <c r="WSE118" s="225"/>
      <c r="WSF118" s="225"/>
      <c r="WSG118" s="225"/>
      <c r="WSH118" s="225"/>
      <c r="WSI118" s="225"/>
      <c r="WSJ118" s="225"/>
      <c r="WSK118" s="225"/>
      <c r="WSL118" s="225"/>
      <c r="WSM118" s="225"/>
      <c r="WSN118" s="225"/>
      <c r="WSO118" s="225"/>
      <c r="WSP118" s="225"/>
      <c r="WSQ118" s="225"/>
      <c r="WSR118" s="225"/>
      <c r="WSS118" s="225"/>
      <c r="WST118" s="225"/>
      <c r="WSU118" s="225"/>
      <c r="WSV118" s="225"/>
      <c r="WSW118" s="225"/>
      <c r="WSX118" s="225"/>
      <c r="WSY118" s="225"/>
      <c r="WSZ118" s="225"/>
      <c r="WTA118" s="225"/>
      <c r="WTB118" s="225"/>
      <c r="WTC118" s="225"/>
      <c r="WTD118" s="225"/>
      <c r="WTE118" s="225"/>
      <c r="WTF118" s="225"/>
      <c r="WTG118" s="225"/>
      <c r="WTH118" s="225"/>
      <c r="WTI118" s="225"/>
      <c r="WTJ118" s="225"/>
      <c r="WTK118" s="225"/>
      <c r="WTL118" s="225"/>
      <c r="WTM118" s="225"/>
      <c r="WTN118" s="225"/>
      <c r="WTO118" s="225"/>
      <c r="WTP118" s="225"/>
      <c r="WTQ118" s="225"/>
      <c r="WTR118" s="225"/>
      <c r="WTS118" s="225"/>
      <c r="WTT118" s="225"/>
      <c r="WTU118" s="225"/>
      <c r="WTV118" s="225"/>
      <c r="WTW118" s="225"/>
      <c r="WTX118" s="225"/>
      <c r="WTY118" s="225"/>
      <c r="WTZ118" s="225"/>
      <c r="WUA118" s="225"/>
      <c r="WUB118" s="225"/>
      <c r="WUC118" s="225"/>
      <c r="WUD118" s="225"/>
      <c r="WUE118" s="225"/>
      <c r="WUF118" s="225"/>
      <c r="WUG118" s="225"/>
      <c r="WUH118" s="225"/>
      <c r="WUI118" s="225"/>
      <c r="WUJ118" s="225"/>
      <c r="WUK118" s="225"/>
      <c r="WUL118" s="225"/>
      <c r="WUM118" s="225"/>
      <c r="WUN118" s="225"/>
      <c r="WUO118" s="225"/>
      <c r="WUP118" s="225"/>
      <c r="WUQ118" s="225"/>
      <c r="WUR118" s="225"/>
      <c r="WUS118" s="225"/>
      <c r="WUT118" s="225"/>
      <c r="WUU118" s="225"/>
      <c r="WUV118" s="225"/>
      <c r="WUW118" s="225"/>
      <c r="WUX118" s="225"/>
      <c r="WUY118" s="225"/>
      <c r="WUZ118" s="225"/>
      <c r="WVA118" s="225"/>
      <c r="WVB118" s="225"/>
      <c r="WVC118" s="225"/>
      <c r="WVD118" s="225"/>
      <c r="WVE118" s="225"/>
      <c r="WVF118" s="225"/>
      <c r="WVG118" s="225"/>
      <c r="WVH118" s="225"/>
      <c r="WVI118" s="225"/>
      <c r="WVJ118" s="225"/>
      <c r="WVK118" s="225"/>
      <c r="WVL118" s="225"/>
      <c r="WVM118" s="225"/>
      <c r="WVN118" s="225"/>
      <c r="WVO118" s="225"/>
      <c r="WVP118" s="225"/>
      <c r="WVQ118" s="225"/>
      <c r="WVR118" s="225"/>
      <c r="WVS118" s="225"/>
      <c r="WVT118" s="225"/>
      <c r="WVU118" s="225"/>
      <c r="WVV118" s="225"/>
      <c r="WVW118" s="225"/>
    </row>
    <row r="119" spans="1:16143" s="230" customFormat="1" x14ac:dyDescent="0.2">
      <c r="A119" s="225"/>
      <c r="B119" s="574" t="s">
        <v>477</v>
      </c>
      <c r="C119" s="576" t="str">
        <f t="shared" ref="C119:N119" si="29">+IF(C7&lt;&gt;0,"Ok","")</f>
        <v>Ok</v>
      </c>
      <c r="D119" s="576" t="str">
        <f t="shared" si="29"/>
        <v>Ok</v>
      </c>
      <c r="E119" s="576" t="str">
        <f t="shared" si="29"/>
        <v>Ok</v>
      </c>
      <c r="F119" s="576" t="str">
        <f t="shared" si="29"/>
        <v>Ok</v>
      </c>
      <c r="G119" s="576" t="str">
        <f t="shared" si="29"/>
        <v>Ok</v>
      </c>
      <c r="H119" s="576" t="str">
        <f t="shared" si="29"/>
        <v>Ok</v>
      </c>
      <c r="I119" s="576" t="str">
        <f t="shared" si="29"/>
        <v>Ok</v>
      </c>
      <c r="J119" s="576" t="str">
        <f t="shared" si="29"/>
        <v>Ok</v>
      </c>
      <c r="K119" s="576" t="str">
        <f t="shared" si="29"/>
        <v>Ok</v>
      </c>
      <c r="L119" s="576" t="str">
        <f t="shared" si="29"/>
        <v>Ok</v>
      </c>
      <c r="M119" s="576" t="str">
        <f t="shared" si="29"/>
        <v>Ok</v>
      </c>
      <c r="N119" s="576" t="str">
        <f t="shared" si="29"/>
        <v>Ok</v>
      </c>
      <c r="Q119" s="284"/>
      <c r="R119" s="284"/>
      <c r="S119" s="225"/>
      <c r="T119" s="225"/>
      <c r="U119" s="225"/>
      <c r="V119" s="225"/>
      <c r="W119" s="225"/>
      <c r="X119" s="225"/>
      <c r="Y119" s="225"/>
      <c r="Z119" s="225"/>
      <c r="AA119" s="225"/>
      <c r="AB119" s="225"/>
      <c r="AC119" s="225"/>
      <c r="AD119" s="225"/>
      <c r="AE119" s="225"/>
      <c r="AF119" s="225"/>
      <c r="AG119" s="225"/>
      <c r="AH119" s="225"/>
      <c r="AI119" s="225"/>
      <c r="AJ119" s="225"/>
      <c r="AK119" s="225"/>
      <c r="AL119" s="225"/>
      <c r="AM119" s="225"/>
      <c r="AN119" s="225"/>
      <c r="AO119" s="225"/>
      <c r="AP119" s="225"/>
      <c r="AQ119" s="225"/>
      <c r="AR119" s="225"/>
      <c r="AS119" s="225"/>
      <c r="AT119" s="225"/>
      <c r="AU119" s="225"/>
      <c r="AV119" s="225"/>
      <c r="AW119" s="225"/>
      <c r="AX119" s="225"/>
      <c r="AY119" s="225"/>
      <c r="AZ119" s="225"/>
      <c r="BA119" s="225"/>
      <c r="BB119" s="225"/>
      <c r="BC119" s="225"/>
      <c r="BD119" s="225"/>
      <c r="BE119" s="225"/>
      <c r="BF119" s="225"/>
      <c r="BG119" s="225"/>
      <c r="BH119" s="225"/>
      <c r="BI119" s="225"/>
      <c r="BJ119" s="225"/>
      <c r="BK119" s="225"/>
      <c r="BL119" s="225"/>
      <c r="BM119" s="225"/>
      <c r="BN119" s="225"/>
      <c r="BO119" s="225"/>
      <c r="BP119" s="225"/>
      <c r="BQ119" s="225"/>
      <c r="BR119" s="225"/>
      <c r="BS119" s="225"/>
      <c r="BT119" s="225"/>
      <c r="BU119" s="225"/>
      <c r="BV119" s="225"/>
      <c r="BW119" s="225"/>
      <c r="BX119" s="225"/>
      <c r="BY119" s="225"/>
      <c r="BZ119" s="225"/>
      <c r="CA119" s="225"/>
      <c r="CB119" s="225"/>
      <c r="CC119" s="225"/>
      <c r="CD119" s="225"/>
      <c r="CE119" s="225"/>
      <c r="CF119" s="225"/>
      <c r="CG119" s="225"/>
      <c r="CH119" s="225"/>
      <c r="CI119" s="225"/>
      <c r="CJ119" s="225"/>
      <c r="CK119" s="225"/>
      <c r="CL119" s="225"/>
      <c r="CM119" s="225"/>
      <c r="CN119" s="225"/>
      <c r="CO119" s="225"/>
      <c r="CP119" s="225"/>
      <c r="CQ119" s="225"/>
      <c r="CR119" s="225"/>
      <c r="CS119" s="225"/>
      <c r="CT119" s="225"/>
      <c r="CU119" s="225"/>
      <c r="CV119" s="225"/>
      <c r="CW119" s="225"/>
      <c r="CX119" s="225"/>
      <c r="CY119" s="225"/>
      <c r="CZ119" s="225"/>
      <c r="DA119" s="225"/>
      <c r="DB119" s="225"/>
      <c r="DC119" s="225"/>
      <c r="DD119" s="225"/>
      <c r="DE119" s="225"/>
      <c r="DF119" s="225"/>
      <c r="DG119" s="225"/>
      <c r="DH119" s="225"/>
      <c r="DI119" s="225"/>
      <c r="DJ119" s="225"/>
      <c r="DK119" s="225"/>
      <c r="DL119" s="225"/>
      <c r="DM119" s="225"/>
      <c r="DN119" s="225"/>
      <c r="DO119" s="225"/>
      <c r="DP119" s="225"/>
      <c r="DQ119" s="225"/>
      <c r="DR119" s="225"/>
      <c r="DS119" s="225"/>
      <c r="DT119" s="225"/>
      <c r="DU119" s="225"/>
      <c r="DV119" s="225"/>
      <c r="DW119" s="225"/>
      <c r="DX119" s="225"/>
      <c r="DY119" s="225"/>
      <c r="DZ119" s="225"/>
      <c r="EA119" s="225"/>
      <c r="EB119" s="225"/>
      <c r="EC119" s="225"/>
      <c r="ED119" s="225"/>
      <c r="EE119" s="225"/>
      <c r="EF119" s="225"/>
      <c r="EG119" s="225"/>
      <c r="EH119" s="225"/>
      <c r="EI119" s="225"/>
      <c r="EJ119" s="225"/>
      <c r="EK119" s="225"/>
      <c r="EL119" s="225"/>
      <c r="EM119" s="225"/>
      <c r="EN119" s="225"/>
      <c r="EO119" s="225"/>
      <c r="EP119" s="225"/>
      <c r="EQ119" s="225"/>
      <c r="ER119" s="225"/>
      <c r="ES119" s="225"/>
      <c r="ET119" s="225"/>
      <c r="EU119" s="225"/>
      <c r="EV119" s="225"/>
      <c r="EW119" s="225"/>
      <c r="EX119" s="225"/>
      <c r="EY119" s="225"/>
      <c r="EZ119" s="225"/>
      <c r="FA119" s="225"/>
      <c r="FB119" s="225"/>
      <c r="FC119" s="225"/>
      <c r="FD119" s="225"/>
      <c r="FE119" s="225"/>
      <c r="FF119" s="225"/>
      <c r="FG119" s="225"/>
      <c r="FH119" s="225"/>
      <c r="FI119" s="225"/>
      <c r="FJ119" s="225"/>
      <c r="FK119" s="225"/>
      <c r="FL119" s="225"/>
      <c r="FM119" s="225"/>
      <c r="FN119" s="225"/>
      <c r="FO119" s="225"/>
      <c r="FP119" s="225"/>
      <c r="FQ119" s="225"/>
      <c r="FR119" s="225"/>
      <c r="FS119" s="225"/>
      <c r="FT119" s="225"/>
      <c r="FU119" s="225"/>
      <c r="FV119" s="225"/>
      <c r="FW119" s="225"/>
      <c r="FX119" s="225"/>
      <c r="FY119" s="225"/>
      <c r="FZ119" s="225"/>
      <c r="GA119" s="225"/>
      <c r="GB119" s="225"/>
      <c r="GC119" s="225"/>
      <c r="GD119" s="225"/>
      <c r="GE119" s="225"/>
      <c r="GF119" s="225"/>
      <c r="GG119" s="225"/>
      <c r="GH119" s="225"/>
      <c r="GI119" s="225"/>
      <c r="GJ119" s="225"/>
      <c r="GK119" s="225"/>
      <c r="GL119" s="225"/>
      <c r="GM119" s="225"/>
      <c r="GN119" s="225"/>
      <c r="GO119" s="225"/>
      <c r="GP119" s="225"/>
      <c r="GQ119" s="225"/>
      <c r="GR119" s="225"/>
      <c r="GS119" s="225"/>
      <c r="GT119" s="225"/>
      <c r="GU119" s="225"/>
      <c r="GV119" s="225"/>
      <c r="GW119" s="225"/>
      <c r="GX119" s="225"/>
      <c r="GY119" s="225"/>
      <c r="GZ119" s="225"/>
      <c r="HA119" s="225"/>
      <c r="HB119" s="225"/>
      <c r="HC119" s="225"/>
      <c r="HD119" s="225"/>
      <c r="HE119" s="225"/>
      <c r="HF119" s="225"/>
      <c r="HG119" s="225"/>
      <c r="HH119" s="225"/>
      <c r="HI119" s="225"/>
      <c r="HJ119" s="225"/>
      <c r="HK119" s="225"/>
      <c r="HL119" s="225"/>
      <c r="HM119" s="225"/>
      <c r="HN119" s="225"/>
      <c r="HO119" s="225"/>
      <c r="HP119" s="225"/>
      <c r="HQ119" s="225"/>
      <c r="HR119" s="225"/>
      <c r="HS119" s="225"/>
      <c r="HT119" s="225"/>
      <c r="HU119" s="225"/>
      <c r="HV119" s="225"/>
      <c r="HW119" s="225"/>
      <c r="HX119" s="225"/>
      <c r="HY119" s="225"/>
      <c r="HZ119" s="225"/>
      <c r="IA119" s="225"/>
      <c r="IB119" s="225"/>
      <c r="IC119" s="225"/>
      <c r="ID119" s="225"/>
      <c r="IE119" s="225"/>
      <c r="IF119" s="225"/>
      <c r="IG119" s="225"/>
      <c r="IH119" s="225"/>
      <c r="II119" s="225"/>
      <c r="IJ119" s="225"/>
      <c r="IK119" s="225"/>
      <c r="IL119" s="225"/>
      <c r="IM119" s="225"/>
      <c r="IN119" s="225"/>
      <c r="IO119" s="225"/>
      <c r="IP119" s="225"/>
      <c r="IQ119" s="225"/>
      <c r="IR119" s="225"/>
      <c r="IS119" s="225"/>
      <c r="IT119" s="225"/>
      <c r="IU119" s="225"/>
      <c r="IV119" s="225"/>
      <c r="IW119" s="225"/>
      <c r="IX119" s="225"/>
      <c r="IY119" s="225"/>
      <c r="IZ119" s="225"/>
      <c r="JA119" s="225"/>
      <c r="JB119" s="225"/>
      <c r="JC119" s="225"/>
      <c r="JD119" s="225"/>
      <c r="JE119" s="225"/>
      <c r="JF119" s="225"/>
      <c r="JG119" s="225"/>
      <c r="JH119" s="225"/>
      <c r="JI119" s="225"/>
      <c r="JJ119" s="225"/>
      <c r="JK119" s="225"/>
      <c r="JL119" s="225"/>
      <c r="JM119" s="225"/>
      <c r="JN119" s="225"/>
      <c r="JO119" s="225"/>
      <c r="JP119" s="225"/>
      <c r="JQ119" s="225"/>
      <c r="JR119" s="225"/>
      <c r="JS119" s="225"/>
      <c r="JT119" s="225"/>
      <c r="JU119" s="225"/>
      <c r="JV119" s="225"/>
      <c r="JW119" s="225"/>
      <c r="JX119" s="225"/>
      <c r="JY119" s="225"/>
      <c r="JZ119" s="225"/>
      <c r="KA119" s="225"/>
      <c r="KB119" s="225"/>
      <c r="KC119" s="225"/>
      <c r="KD119" s="225"/>
      <c r="KE119" s="225"/>
      <c r="KF119" s="225"/>
      <c r="KG119" s="225"/>
      <c r="KH119" s="225"/>
      <c r="KI119" s="225"/>
      <c r="KJ119" s="225"/>
      <c r="KK119" s="225"/>
      <c r="KL119" s="225"/>
      <c r="KM119" s="225"/>
      <c r="KN119" s="225"/>
      <c r="KO119" s="225"/>
      <c r="KP119" s="225"/>
      <c r="KQ119" s="225"/>
      <c r="KR119" s="225"/>
      <c r="KS119" s="225"/>
      <c r="KT119" s="225"/>
      <c r="KU119" s="225"/>
      <c r="KV119" s="225"/>
      <c r="KW119" s="225"/>
      <c r="KX119" s="225"/>
      <c r="KY119" s="225"/>
      <c r="KZ119" s="225"/>
      <c r="LA119" s="225"/>
      <c r="LB119" s="225"/>
      <c r="LC119" s="225"/>
      <c r="LD119" s="225"/>
      <c r="LE119" s="225"/>
      <c r="LF119" s="225"/>
      <c r="LG119" s="225"/>
      <c r="LH119" s="225"/>
      <c r="LI119" s="225"/>
      <c r="LJ119" s="225"/>
      <c r="LK119" s="225"/>
      <c r="LL119" s="225"/>
      <c r="LM119" s="225"/>
      <c r="LN119" s="225"/>
      <c r="LO119" s="225"/>
      <c r="LP119" s="225"/>
      <c r="LQ119" s="225"/>
      <c r="LR119" s="225"/>
      <c r="LS119" s="225"/>
      <c r="LT119" s="225"/>
      <c r="LU119" s="225"/>
      <c r="LV119" s="225"/>
      <c r="LW119" s="225"/>
      <c r="LX119" s="225"/>
      <c r="LY119" s="225"/>
      <c r="LZ119" s="225"/>
      <c r="MA119" s="225"/>
      <c r="MB119" s="225"/>
      <c r="MC119" s="225"/>
      <c r="MD119" s="225"/>
      <c r="ME119" s="225"/>
      <c r="MF119" s="225"/>
      <c r="MG119" s="225"/>
      <c r="MH119" s="225"/>
      <c r="MI119" s="225"/>
      <c r="MJ119" s="225"/>
      <c r="MK119" s="225"/>
      <c r="ML119" s="225"/>
      <c r="MM119" s="225"/>
      <c r="MN119" s="225"/>
      <c r="MO119" s="225"/>
      <c r="MP119" s="225"/>
      <c r="MQ119" s="225"/>
      <c r="MR119" s="225"/>
      <c r="MS119" s="225"/>
      <c r="MT119" s="225"/>
      <c r="MU119" s="225"/>
      <c r="MV119" s="225"/>
      <c r="MW119" s="225"/>
      <c r="MX119" s="225"/>
      <c r="MY119" s="225"/>
      <c r="MZ119" s="225"/>
      <c r="NA119" s="225"/>
      <c r="NB119" s="225"/>
      <c r="NC119" s="225"/>
      <c r="ND119" s="225"/>
      <c r="NE119" s="225"/>
      <c r="NF119" s="225"/>
      <c r="NG119" s="225"/>
      <c r="NH119" s="225"/>
      <c r="NI119" s="225"/>
      <c r="NJ119" s="225"/>
      <c r="NK119" s="225"/>
      <c r="NL119" s="225"/>
      <c r="NM119" s="225"/>
      <c r="NN119" s="225"/>
      <c r="NO119" s="225"/>
      <c r="NP119" s="225"/>
      <c r="NQ119" s="225"/>
      <c r="NR119" s="225"/>
      <c r="NS119" s="225"/>
      <c r="NT119" s="225"/>
      <c r="NU119" s="225"/>
      <c r="NV119" s="225"/>
      <c r="NW119" s="225"/>
      <c r="NX119" s="225"/>
      <c r="NY119" s="225"/>
      <c r="NZ119" s="225"/>
      <c r="OA119" s="225"/>
      <c r="OB119" s="225"/>
      <c r="OC119" s="225"/>
      <c r="OD119" s="225"/>
      <c r="OE119" s="225"/>
      <c r="OF119" s="225"/>
      <c r="OG119" s="225"/>
      <c r="OH119" s="225"/>
      <c r="OI119" s="225"/>
      <c r="OJ119" s="225"/>
      <c r="OK119" s="225"/>
      <c r="OL119" s="225"/>
      <c r="OM119" s="225"/>
      <c r="ON119" s="225"/>
      <c r="OO119" s="225"/>
      <c r="OP119" s="225"/>
      <c r="OQ119" s="225"/>
      <c r="OR119" s="225"/>
      <c r="OS119" s="225"/>
      <c r="OT119" s="225"/>
      <c r="OU119" s="225"/>
      <c r="OV119" s="225"/>
      <c r="OW119" s="225"/>
      <c r="OX119" s="225"/>
      <c r="OY119" s="225"/>
      <c r="OZ119" s="225"/>
      <c r="PA119" s="225"/>
      <c r="PB119" s="225"/>
      <c r="PC119" s="225"/>
      <c r="PD119" s="225"/>
      <c r="PE119" s="225"/>
      <c r="PF119" s="225"/>
      <c r="PG119" s="225"/>
      <c r="PH119" s="225"/>
      <c r="PI119" s="225"/>
      <c r="PJ119" s="225"/>
      <c r="PK119" s="225"/>
      <c r="PL119" s="225"/>
      <c r="PM119" s="225"/>
      <c r="PN119" s="225"/>
      <c r="PO119" s="225"/>
      <c r="PP119" s="225"/>
      <c r="PQ119" s="225"/>
      <c r="PR119" s="225"/>
      <c r="PS119" s="225"/>
      <c r="PT119" s="225"/>
      <c r="PU119" s="225"/>
      <c r="PV119" s="225"/>
      <c r="PW119" s="225"/>
      <c r="PX119" s="225"/>
      <c r="PY119" s="225"/>
      <c r="PZ119" s="225"/>
      <c r="QA119" s="225"/>
      <c r="QB119" s="225"/>
      <c r="QC119" s="225"/>
      <c r="QD119" s="225"/>
      <c r="QE119" s="225"/>
      <c r="QF119" s="225"/>
      <c r="QG119" s="225"/>
      <c r="QH119" s="225"/>
      <c r="QI119" s="225"/>
      <c r="QJ119" s="225"/>
      <c r="QK119" s="225"/>
      <c r="QL119" s="225"/>
      <c r="QM119" s="225"/>
      <c r="QN119" s="225"/>
      <c r="QO119" s="225"/>
      <c r="QP119" s="225"/>
      <c r="QQ119" s="225"/>
      <c r="QR119" s="225"/>
      <c r="QS119" s="225"/>
      <c r="QT119" s="225"/>
      <c r="QU119" s="225"/>
      <c r="QV119" s="225"/>
      <c r="QW119" s="225"/>
      <c r="QX119" s="225"/>
      <c r="QY119" s="225"/>
      <c r="QZ119" s="225"/>
      <c r="RA119" s="225"/>
      <c r="RB119" s="225"/>
      <c r="RC119" s="225"/>
      <c r="RD119" s="225"/>
      <c r="RE119" s="225"/>
      <c r="RF119" s="225"/>
      <c r="RG119" s="225"/>
      <c r="RH119" s="225"/>
      <c r="RI119" s="225"/>
      <c r="RJ119" s="225"/>
      <c r="RK119" s="225"/>
      <c r="RL119" s="225"/>
      <c r="RM119" s="225"/>
      <c r="RN119" s="225"/>
      <c r="RO119" s="225"/>
      <c r="RP119" s="225"/>
      <c r="RQ119" s="225"/>
      <c r="RR119" s="225"/>
      <c r="RS119" s="225"/>
      <c r="RT119" s="225"/>
      <c r="RU119" s="225"/>
      <c r="RV119" s="225"/>
      <c r="RW119" s="225"/>
      <c r="RX119" s="225"/>
      <c r="RY119" s="225"/>
      <c r="RZ119" s="225"/>
      <c r="SA119" s="225"/>
      <c r="SB119" s="225"/>
      <c r="SC119" s="225"/>
      <c r="SD119" s="225"/>
      <c r="SE119" s="225"/>
      <c r="SF119" s="225"/>
      <c r="SG119" s="225"/>
      <c r="SH119" s="225"/>
      <c r="SI119" s="225"/>
      <c r="SJ119" s="225"/>
      <c r="SK119" s="225"/>
      <c r="SL119" s="225"/>
      <c r="SM119" s="225"/>
      <c r="SN119" s="225"/>
      <c r="SO119" s="225"/>
      <c r="SP119" s="225"/>
      <c r="SQ119" s="225"/>
      <c r="SR119" s="225"/>
      <c r="SS119" s="225"/>
      <c r="ST119" s="225"/>
      <c r="SU119" s="225"/>
      <c r="SV119" s="225"/>
      <c r="SW119" s="225"/>
      <c r="SX119" s="225"/>
      <c r="SY119" s="225"/>
      <c r="SZ119" s="225"/>
      <c r="TA119" s="225"/>
      <c r="TB119" s="225"/>
      <c r="TC119" s="225"/>
      <c r="TD119" s="225"/>
      <c r="TE119" s="225"/>
      <c r="TF119" s="225"/>
      <c r="TG119" s="225"/>
      <c r="TH119" s="225"/>
      <c r="TI119" s="225"/>
      <c r="TJ119" s="225"/>
      <c r="TK119" s="225"/>
      <c r="TL119" s="225"/>
      <c r="TM119" s="225"/>
      <c r="TN119" s="225"/>
      <c r="TO119" s="225"/>
      <c r="TP119" s="225"/>
      <c r="TQ119" s="225"/>
      <c r="TR119" s="225"/>
      <c r="TS119" s="225"/>
      <c r="TT119" s="225"/>
      <c r="TU119" s="225"/>
      <c r="TV119" s="225"/>
      <c r="TW119" s="225"/>
      <c r="TX119" s="225"/>
      <c r="TY119" s="225"/>
      <c r="TZ119" s="225"/>
      <c r="UA119" s="225"/>
      <c r="UB119" s="225"/>
      <c r="UC119" s="225"/>
      <c r="UD119" s="225"/>
      <c r="UE119" s="225"/>
      <c r="UF119" s="225"/>
      <c r="UG119" s="225"/>
      <c r="UH119" s="225"/>
      <c r="UI119" s="225"/>
      <c r="UJ119" s="225"/>
      <c r="UK119" s="225"/>
      <c r="UL119" s="225"/>
      <c r="UM119" s="225"/>
      <c r="UN119" s="225"/>
      <c r="UO119" s="225"/>
      <c r="UP119" s="225"/>
      <c r="UQ119" s="225"/>
      <c r="UR119" s="225"/>
      <c r="US119" s="225"/>
      <c r="UT119" s="225"/>
      <c r="UU119" s="225"/>
      <c r="UV119" s="225"/>
      <c r="UW119" s="225"/>
      <c r="UX119" s="225"/>
      <c r="UY119" s="225"/>
      <c r="UZ119" s="225"/>
      <c r="VA119" s="225"/>
      <c r="VB119" s="225"/>
      <c r="VC119" s="225"/>
      <c r="VD119" s="225"/>
      <c r="VE119" s="225"/>
      <c r="VF119" s="225"/>
      <c r="VG119" s="225"/>
      <c r="VH119" s="225"/>
      <c r="VI119" s="225"/>
      <c r="VJ119" s="225"/>
      <c r="VK119" s="225"/>
      <c r="VL119" s="225"/>
      <c r="VM119" s="225"/>
      <c r="VN119" s="225"/>
      <c r="VO119" s="225"/>
      <c r="VP119" s="225"/>
      <c r="VQ119" s="225"/>
      <c r="VR119" s="225"/>
      <c r="VS119" s="225"/>
      <c r="VT119" s="225"/>
      <c r="VU119" s="225"/>
      <c r="VV119" s="225"/>
      <c r="VW119" s="225"/>
      <c r="VX119" s="225"/>
      <c r="VY119" s="225"/>
      <c r="VZ119" s="225"/>
      <c r="WA119" s="225"/>
      <c r="WB119" s="225"/>
      <c r="WC119" s="225"/>
      <c r="WD119" s="225"/>
      <c r="WE119" s="225"/>
      <c r="WF119" s="225"/>
      <c r="WG119" s="225"/>
      <c r="WH119" s="225"/>
      <c r="WI119" s="225"/>
      <c r="WJ119" s="225"/>
      <c r="WK119" s="225"/>
      <c r="WL119" s="225"/>
      <c r="WM119" s="225"/>
      <c r="WN119" s="225"/>
      <c r="WO119" s="225"/>
      <c r="WP119" s="225"/>
      <c r="WQ119" s="225"/>
      <c r="WR119" s="225"/>
      <c r="WS119" s="225"/>
      <c r="WT119" s="225"/>
      <c r="WU119" s="225"/>
      <c r="WV119" s="225"/>
      <c r="WW119" s="225"/>
      <c r="WX119" s="225"/>
      <c r="WY119" s="225"/>
      <c r="WZ119" s="225"/>
      <c r="XA119" s="225"/>
      <c r="XB119" s="225"/>
      <c r="XC119" s="225"/>
      <c r="XD119" s="225"/>
      <c r="XE119" s="225"/>
      <c r="XF119" s="225"/>
      <c r="XG119" s="225"/>
      <c r="XH119" s="225"/>
      <c r="XI119" s="225"/>
      <c r="XJ119" s="225"/>
      <c r="XK119" s="225"/>
      <c r="XL119" s="225"/>
      <c r="XM119" s="225"/>
      <c r="XN119" s="225"/>
      <c r="XO119" s="225"/>
      <c r="XP119" s="225"/>
      <c r="XQ119" s="225"/>
      <c r="XR119" s="225"/>
      <c r="XS119" s="225"/>
      <c r="XT119" s="225"/>
      <c r="XU119" s="225"/>
      <c r="XV119" s="225"/>
      <c r="XW119" s="225"/>
      <c r="XX119" s="225"/>
      <c r="XY119" s="225"/>
      <c r="XZ119" s="225"/>
      <c r="YA119" s="225"/>
      <c r="YB119" s="225"/>
      <c r="YC119" s="225"/>
      <c r="YD119" s="225"/>
      <c r="YE119" s="225"/>
      <c r="YF119" s="225"/>
      <c r="YG119" s="225"/>
      <c r="YH119" s="225"/>
      <c r="YI119" s="225"/>
      <c r="YJ119" s="225"/>
      <c r="YK119" s="225"/>
      <c r="YL119" s="225"/>
      <c r="YM119" s="225"/>
      <c r="YN119" s="225"/>
      <c r="YO119" s="225"/>
      <c r="YP119" s="225"/>
      <c r="YQ119" s="225"/>
      <c r="YR119" s="225"/>
      <c r="YS119" s="225"/>
      <c r="YT119" s="225"/>
      <c r="YU119" s="225"/>
      <c r="YV119" s="225"/>
      <c r="YW119" s="225"/>
      <c r="YX119" s="225"/>
      <c r="YY119" s="225"/>
      <c r="YZ119" s="225"/>
      <c r="ZA119" s="225"/>
      <c r="ZB119" s="225"/>
      <c r="ZC119" s="225"/>
      <c r="ZD119" s="225"/>
      <c r="ZE119" s="225"/>
      <c r="ZF119" s="225"/>
      <c r="ZG119" s="225"/>
      <c r="ZH119" s="225"/>
      <c r="ZI119" s="225"/>
      <c r="ZJ119" s="225"/>
      <c r="ZK119" s="225"/>
      <c r="ZL119" s="225"/>
      <c r="ZM119" s="225"/>
      <c r="ZN119" s="225"/>
      <c r="ZO119" s="225"/>
      <c r="ZP119" s="225"/>
      <c r="ZQ119" s="225"/>
      <c r="ZR119" s="225"/>
      <c r="ZS119" s="225"/>
      <c r="ZT119" s="225"/>
      <c r="ZU119" s="225"/>
      <c r="ZV119" s="225"/>
      <c r="ZW119" s="225"/>
      <c r="ZX119" s="225"/>
      <c r="ZY119" s="225"/>
      <c r="ZZ119" s="225"/>
      <c r="AAA119" s="225"/>
      <c r="AAB119" s="225"/>
      <c r="AAC119" s="225"/>
      <c r="AAD119" s="225"/>
      <c r="AAE119" s="225"/>
      <c r="AAF119" s="225"/>
      <c r="AAG119" s="225"/>
      <c r="AAH119" s="225"/>
      <c r="AAI119" s="225"/>
      <c r="AAJ119" s="225"/>
      <c r="AAK119" s="225"/>
      <c r="AAL119" s="225"/>
      <c r="AAM119" s="225"/>
      <c r="AAN119" s="225"/>
      <c r="AAO119" s="225"/>
      <c r="AAP119" s="225"/>
      <c r="AAQ119" s="225"/>
      <c r="AAR119" s="225"/>
      <c r="AAS119" s="225"/>
      <c r="AAT119" s="225"/>
      <c r="AAU119" s="225"/>
      <c r="AAV119" s="225"/>
      <c r="AAW119" s="225"/>
      <c r="AAX119" s="225"/>
      <c r="AAY119" s="225"/>
      <c r="AAZ119" s="225"/>
      <c r="ABA119" s="225"/>
      <c r="ABB119" s="225"/>
      <c r="ABC119" s="225"/>
      <c r="ABD119" s="225"/>
      <c r="ABE119" s="225"/>
      <c r="ABF119" s="225"/>
      <c r="ABG119" s="225"/>
      <c r="ABH119" s="225"/>
      <c r="ABI119" s="225"/>
      <c r="ABJ119" s="225"/>
      <c r="ABK119" s="225"/>
      <c r="ABL119" s="225"/>
      <c r="ABM119" s="225"/>
      <c r="ABN119" s="225"/>
      <c r="ABO119" s="225"/>
      <c r="ABP119" s="225"/>
      <c r="ABQ119" s="225"/>
      <c r="ABR119" s="225"/>
      <c r="ABS119" s="225"/>
      <c r="ABT119" s="225"/>
      <c r="ABU119" s="225"/>
      <c r="ABV119" s="225"/>
      <c r="ABW119" s="225"/>
      <c r="ABX119" s="225"/>
      <c r="ABY119" s="225"/>
      <c r="ABZ119" s="225"/>
      <c r="ACA119" s="225"/>
      <c r="ACB119" s="225"/>
      <c r="ACC119" s="225"/>
      <c r="ACD119" s="225"/>
      <c r="ACE119" s="225"/>
      <c r="ACF119" s="225"/>
      <c r="ACG119" s="225"/>
      <c r="ACH119" s="225"/>
      <c r="ACI119" s="225"/>
      <c r="ACJ119" s="225"/>
      <c r="ACK119" s="225"/>
      <c r="ACL119" s="225"/>
      <c r="ACM119" s="225"/>
      <c r="ACN119" s="225"/>
      <c r="ACO119" s="225"/>
      <c r="ACP119" s="225"/>
      <c r="ACQ119" s="225"/>
      <c r="ACR119" s="225"/>
      <c r="ACS119" s="225"/>
      <c r="ACT119" s="225"/>
      <c r="ACU119" s="225"/>
      <c r="ACV119" s="225"/>
      <c r="ACW119" s="225"/>
      <c r="ACX119" s="225"/>
      <c r="ACY119" s="225"/>
      <c r="ACZ119" s="225"/>
      <c r="ADA119" s="225"/>
      <c r="ADB119" s="225"/>
      <c r="ADC119" s="225"/>
      <c r="ADD119" s="225"/>
      <c r="ADE119" s="225"/>
      <c r="ADF119" s="225"/>
      <c r="ADG119" s="225"/>
      <c r="ADH119" s="225"/>
      <c r="ADI119" s="225"/>
      <c r="ADJ119" s="225"/>
      <c r="ADK119" s="225"/>
      <c r="ADL119" s="225"/>
      <c r="ADM119" s="225"/>
      <c r="ADN119" s="225"/>
      <c r="ADO119" s="225"/>
      <c r="ADP119" s="225"/>
      <c r="ADQ119" s="225"/>
      <c r="ADR119" s="225"/>
      <c r="ADS119" s="225"/>
      <c r="ADT119" s="225"/>
      <c r="ADU119" s="225"/>
      <c r="ADV119" s="225"/>
      <c r="ADW119" s="225"/>
      <c r="ADX119" s="225"/>
      <c r="ADY119" s="225"/>
      <c r="ADZ119" s="225"/>
      <c r="AEA119" s="225"/>
      <c r="AEB119" s="225"/>
      <c r="AEC119" s="225"/>
      <c r="AED119" s="225"/>
      <c r="AEE119" s="225"/>
      <c r="AEF119" s="225"/>
      <c r="AEG119" s="225"/>
      <c r="AEH119" s="225"/>
      <c r="AEI119" s="225"/>
      <c r="AEJ119" s="225"/>
      <c r="AEK119" s="225"/>
      <c r="AEL119" s="225"/>
      <c r="AEM119" s="225"/>
      <c r="AEN119" s="225"/>
      <c r="AEO119" s="225"/>
      <c r="AEP119" s="225"/>
      <c r="AEQ119" s="225"/>
      <c r="AER119" s="225"/>
      <c r="AES119" s="225"/>
      <c r="AET119" s="225"/>
      <c r="AEU119" s="225"/>
      <c r="AEV119" s="225"/>
      <c r="AEW119" s="225"/>
      <c r="AEX119" s="225"/>
      <c r="AEY119" s="225"/>
      <c r="AEZ119" s="225"/>
      <c r="AFA119" s="225"/>
      <c r="AFB119" s="225"/>
      <c r="AFC119" s="225"/>
      <c r="AFD119" s="225"/>
      <c r="AFE119" s="225"/>
      <c r="AFF119" s="225"/>
      <c r="AFG119" s="225"/>
      <c r="AFH119" s="225"/>
      <c r="AFI119" s="225"/>
      <c r="AFJ119" s="225"/>
      <c r="AFK119" s="225"/>
      <c r="AFL119" s="225"/>
      <c r="AFM119" s="225"/>
      <c r="AFN119" s="225"/>
      <c r="AFO119" s="225"/>
      <c r="AFP119" s="225"/>
      <c r="AFQ119" s="225"/>
      <c r="AFR119" s="225"/>
      <c r="AFS119" s="225"/>
      <c r="AFT119" s="225"/>
      <c r="AFU119" s="225"/>
      <c r="AFV119" s="225"/>
      <c r="AFW119" s="225"/>
      <c r="AFX119" s="225"/>
      <c r="AFY119" s="225"/>
      <c r="AFZ119" s="225"/>
      <c r="AGA119" s="225"/>
      <c r="AGB119" s="225"/>
      <c r="AGC119" s="225"/>
      <c r="AGD119" s="225"/>
      <c r="AGE119" s="225"/>
      <c r="AGF119" s="225"/>
      <c r="AGG119" s="225"/>
      <c r="AGH119" s="225"/>
      <c r="AGI119" s="225"/>
      <c r="AGJ119" s="225"/>
      <c r="AGK119" s="225"/>
      <c r="AGL119" s="225"/>
      <c r="AGM119" s="225"/>
      <c r="AGN119" s="225"/>
      <c r="AGO119" s="225"/>
      <c r="AGP119" s="225"/>
      <c r="AGQ119" s="225"/>
      <c r="AGR119" s="225"/>
      <c r="AGS119" s="225"/>
      <c r="AGT119" s="225"/>
      <c r="AGU119" s="225"/>
      <c r="AGV119" s="225"/>
      <c r="AGW119" s="225"/>
      <c r="AGX119" s="225"/>
      <c r="AGY119" s="225"/>
      <c r="AGZ119" s="225"/>
      <c r="AHA119" s="225"/>
      <c r="AHB119" s="225"/>
      <c r="AHC119" s="225"/>
      <c r="AHD119" s="225"/>
      <c r="AHE119" s="225"/>
      <c r="AHF119" s="225"/>
      <c r="AHG119" s="225"/>
      <c r="AHH119" s="225"/>
      <c r="AHI119" s="225"/>
      <c r="AHJ119" s="225"/>
      <c r="AHK119" s="225"/>
      <c r="AHL119" s="225"/>
      <c r="AHM119" s="225"/>
      <c r="AHN119" s="225"/>
      <c r="AHO119" s="225"/>
      <c r="AHP119" s="225"/>
      <c r="AHQ119" s="225"/>
      <c r="AHR119" s="225"/>
      <c r="AHS119" s="225"/>
      <c r="AHT119" s="225"/>
      <c r="AHU119" s="225"/>
      <c r="AHV119" s="225"/>
      <c r="AHW119" s="225"/>
      <c r="AHX119" s="225"/>
      <c r="AHY119" s="225"/>
      <c r="AHZ119" s="225"/>
      <c r="AIA119" s="225"/>
      <c r="AIB119" s="225"/>
      <c r="AIC119" s="225"/>
      <c r="AID119" s="225"/>
      <c r="AIE119" s="225"/>
      <c r="AIF119" s="225"/>
      <c r="AIG119" s="225"/>
      <c r="AIH119" s="225"/>
      <c r="AII119" s="225"/>
      <c r="AIJ119" s="225"/>
      <c r="AIK119" s="225"/>
      <c r="AIL119" s="225"/>
      <c r="AIM119" s="225"/>
      <c r="AIN119" s="225"/>
      <c r="AIO119" s="225"/>
      <c r="AIP119" s="225"/>
      <c r="AIQ119" s="225"/>
      <c r="AIR119" s="225"/>
      <c r="AIS119" s="225"/>
      <c r="AIT119" s="225"/>
      <c r="AIU119" s="225"/>
      <c r="AIV119" s="225"/>
      <c r="AIW119" s="225"/>
      <c r="AIX119" s="225"/>
      <c r="AIY119" s="225"/>
      <c r="AIZ119" s="225"/>
      <c r="AJA119" s="225"/>
      <c r="AJB119" s="225"/>
      <c r="AJC119" s="225"/>
      <c r="AJD119" s="225"/>
      <c r="AJE119" s="225"/>
      <c r="AJF119" s="225"/>
      <c r="AJG119" s="225"/>
      <c r="AJH119" s="225"/>
      <c r="AJI119" s="225"/>
      <c r="AJJ119" s="225"/>
      <c r="AJK119" s="225"/>
      <c r="AJL119" s="225"/>
      <c r="AJM119" s="225"/>
      <c r="AJN119" s="225"/>
      <c r="AJO119" s="225"/>
      <c r="AJP119" s="225"/>
      <c r="AJQ119" s="225"/>
      <c r="AJR119" s="225"/>
      <c r="AJS119" s="225"/>
      <c r="AJT119" s="225"/>
      <c r="AJU119" s="225"/>
      <c r="AJV119" s="225"/>
      <c r="AJW119" s="225"/>
      <c r="AJX119" s="225"/>
      <c r="AJY119" s="225"/>
      <c r="AJZ119" s="225"/>
      <c r="AKA119" s="225"/>
      <c r="AKB119" s="225"/>
      <c r="AKC119" s="225"/>
      <c r="AKD119" s="225"/>
      <c r="AKE119" s="225"/>
      <c r="AKF119" s="225"/>
      <c r="AKG119" s="225"/>
      <c r="AKH119" s="225"/>
      <c r="AKI119" s="225"/>
      <c r="AKJ119" s="225"/>
      <c r="AKK119" s="225"/>
      <c r="AKL119" s="225"/>
      <c r="AKM119" s="225"/>
      <c r="AKN119" s="225"/>
      <c r="AKO119" s="225"/>
      <c r="AKP119" s="225"/>
      <c r="AKQ119" s="225"/>
      <c r="AKR119" s="225"/>
      <c r="AKS119" s="225"/>
      <c r="AKT119" s="225"/>
      <c r="AKU119" s="225"/>
      <c r="AKV119" s="225"/>
      <c r="AKW119" s="225"/>
      <c r="AKX119" s="225"/>
      <c r="AKY119" s="225"/>
      <c r="AKZ119" s="225"/>
      <c r="ALA119" s="225"/>
      <c r="ALB119" s="225"/>
      <c r="ALC119" s="225"/>
      <c r="ALD119" s="225"/>
      <c r="ALE119" s="225"/>
      <c r="ALF119" s="225"/>
      <c r="ALG119" s="225"/>
      <c r="ALH119" s="225"/>
      <c r="ALI119" s="225"/>
      <c r="ALJ119" s="225"/>
      <c r="ALK119" s="225"/>
      <c r="ALL119" s="225"/>
      <c r="ALM119" s="225"/>
      <c r="ALN119" s="225"/>
      <c r="ALO119" s="225"/>
      <c r="ALP119" s="225"/>
      <c r="ALQ119" s="225"/>
      <c r="ALR119" s="225"/>
      <c r="ALS119" s="225"/>
      <c r="ALT119" s="225"/>
      <c r="ALU119" s="225"/>
      <c r="ALV119" s="225"/>
      <c r="ALW119" s="225"/>
      <c r="ALX119" s="225"/>
      <c r="ALY119" s="225"/>
      <c r="ALZ119" s="225"/>
      <c r="AMA119" s="225"/>
      <c r="AMB119" s="225"/>
      <c r="AMC119" s="225"/>
      <c r="AMD119" s="225"/>
      <c r="AME119" s="225"/>
      <c r="AMF119" s="225"/>
      <c r="AMG119" s="225"/>
      <c r="AMH119" s="225"/>
      <c r="AMI119" s="225"/>
      <c r="AMJ119" s="225"/>
      <c r="AMK119" s="225"/>
      <c r="AML119" s="225"/>
      <c r="AMM119" s="225"/>
      <c r="AMN119" s="225"/>
      <c r="AMO119" s="225"/>
      <c r="AMP119" s="225"/>
      <c r="AMQ119" s="225"/>
      <c r="AMR119" s="225"/>
      <c r="AMS119" s="225"/>
      <c r="AMT119" s="225"/>
      <c r="AMU119" s="225"/>
      <c r="AMV119" s="225"/>
      <c r="AMW119" s="225"/>
      <c r="AMX119" s="225"/>
      <c r="AMY119" s="225"/>
      <c r="AMZ119" s="225"/>
      <c r="ANA119" s="225"/>
      <c r="ANB119" s="225"/>
      <c r="ANC119" s="225"/>
      <c r="AND119" s="225"/>
      <c r="ANE119" s="225"/>
      <c r="ANF119" s="225"/>
      <c r="ANG119" s="225"/>
      <c r="ANH119" s="225"/>
      <c r="ANI119" s="225"/>
      <c r="ANJ119" s="225"/>
      <c r="ANK119" s="225"/>
      <c r="ANL119" s="225"/>
      <c r="ANM119" s="225"/>
      <c r="ANN119" s="225"/>
      <c r="ANO119" s="225"/>
      <c r="ANP119" s="225"/>
      <c r="ANQ119" s="225"/>
      <c r="ANR119" s="225"/>
      <c r="ANS119" s="225"/>
      <c r="ANT119" s="225"/>
      <c r="ANU119" s="225"/>
      <c r="ANV119" s="225"/>
      <c r="ANW119" s="225"/>
      <c r="ANX119" s="225"/>
      <c r="ANY119" s="225"/>
      <c r="ANZ119" s="225"/>
      <c r="AOA119" s="225"/>
      <c r="AOB119" s="225"/>
      <c r="AOC119" s="225"/>
      <c r="AOD119" s="225"/>
      <c r="AOE119" s="225"/>
      <c r="AOF119" s="225"/>
      <c r="AOG119" s="225"/>
      <c r="AOH119" s="225"/>
      <c r="AOI119" s="225"/>
      <c r="AOJ119" s="225"/>
      <c r="AOK119" s="225"/>
      <c r="AOL119" s="225"/>
      <c r="AOM119" s="225"/>
      <c r="AON119" s="225"/>
      <c r="AOO119" s="225"/>
      <c r="AOP119" s="225"/>
      <c r="AOQ119" s="225"/>
      <c r="AOR119" s="225"/>
      <c r="AOS119" s="225"/>
      <c r="AOT119" s="225"/>
      <c r="AOU119" s="225"/>
      <c r="AOV119" s="225"/>
      <c r="AOW119" s="225"/>
      <c r="AOX119" s="225"/>
      <c r="AOY119" s="225"/>
      <c r="AOZ119" s="225"/>
      <c r="APA119" s="225"/>
      <c r="APB119" s="225"/>
      <c r="APC119" s="225"/>
      <c r="APD119" s="225"/>
      <c r="APE119" s="225"/>
      <c r="APF119" s="225"/>
      <c r="APG119" s="225"/>
      <c r="APH119" s="225"/>
      <c r="API119" s="225"/>
      <c r="APJ119" s="225"/>
      <c r="APK119" s="225"/>
      <c r="APL119" s="225"/>
      <c r="APM119" s="225"/>
      <c r="APN119" s="225"/>
      <c r="APO119" s="225"/>
      <c r="APP119" s="225"/>
      <c r="APQ119" s="225"/>
      <c r="APR119" s="225"/>
      <c r="APS119" s="225"/>
      <c r="APT119" s="225"/>
      <c r="APU119" s="225"/>
      <c r="APV119" s="225"/>
      <c r="APW119" s="225"/>
      <c r="APX119" s="225"/>
      <c r="APY119" s="225"/>
      <c r="APZ119" s="225"/>
      <c r="AQA119" s="225"/>
      <c r="AQB119" s="225"/>
      <c r="AQC119" s="225"/>
      <c r="AQD119" s="225"/>
      <c r="AQE119" s="225"/>
      <c r="AQF119" s="225"/>
      <c r="AQG119" s="225"/>
      <c r="AQH119" s="225"/>
      <c r="AQI119" s="225"/>
      <c r="AQJ119" s="225"/>
      <c r="AQK119" s="225"/>
      <c r="AQL119" s="225"/>
      <c r="AQM119" s="225"/>
      <c r="AQN119" s="225"/>
      <c r="AQO119" s="225"/>
      <c r="AQP119" s="225"/>
      <c r="AQQ119" s="225"/>
      <c r="AQR119" s="225"/>
      <c r="AQS119" s="225"/>
      <c r="AQT119" s="225"/>
      <c r="AQU119" s="225"/>
      <c r="AQV119" s="225"/>
      <c r="AQW119" s="225"/>
      <c r="AQX119" s="225"/>
      <c r="AQY119" s="225"/>
      <c r="AQZ119" s="225"/>
      <c r="ARA119" s="225"/>
      <c r="ARB119" s="225"/>
      <c r="ARC119" s="225"/>
      <c r="ARD119" s="225"/>
      <c r="ARE119" s="225"/>
      <c r="ARF119" s="225"/>
      <c r="ARG119" s="225"/>
      <c r="ARH119" s="225"/>
      <c r="ARI119" s="225"/>
      <c r="ARJ119" s="225"/>
      <c r="ARK119" s="225"/>
      <c r="ARL119" s="225"/>
      <c r="ARM119" s="225"/>
      <c r="ARN119" s="225"/>
      <c r="ARO119" s="225"/>
      <c r="ARP119" s="225"/>
      <c r="ARQ119" s="225"/>
      <c r="ARR119" s="225"/>
      <c r="ARS119" s="225"/>
      <c r="ART119" s="225"/>
      <c r="ARU119" s="225"/>
      <c r="ARV119" s="225"/>
      <c r="ARW119" s="225"/>
      <c r="ARX119" s="225"/>
      <c r="ARY119" s="225"/>
      <c r="ARZ119" s="225"/>
      <c r="ASA119" s="225"/>
      <c r="ASB119" s="225"/>
      <c r="ASC119" s="225"/>
      <c r="ASD119" s="225"/>
      <c r="ASE119" s="225"/>
      <c r="ASF119" s="225"/>
      <c r="ASG119" s="225"/>
      <c r="ASH119" s="225"/>
      <c r="ASI119" s="225"/>
      <c r="ASJ119" s="225"/>
      <c r="ASK119" s="225"/>
      <c r="ASL119" s="225"/>
      <c r="ASM119" s="225"/>
      <c r="ASN119" s="225"/>
      <c r="ASO119" s="225"/>
      <c r="ASP119" s="225"/>
      <c r="ASQ119" s="225"/>
      <c r="ASR119" s="225"/>
      <c r="ASS119" s="225"/>
      <c r="AST119" s="225"/>
      <c r="ASU119" s="225"/>
      <c r="ASV119" s="225"/>
      <c r="ASW119" s="225"/>
      <c r="ASX119" s="225"/>
      <c r="ASY119" s="225"/>
      <c r="ASZ119" s="225"/>
      <c r="ATA119" s="225"/>
      <c r="ATB119" s="225"/>
      <c r="ATC119" s="225"/>
      <c r="ATD119" s="225"/>
      <c r="ATE119" s="225"/>
      <c r="ATF119" s="225"/>
      <c r="ATG119" s="225"/>
      <c r="ATH119" s="225"/>
      <c r="ATI119" s="225"/>
      <c r="ATJ119" s="225"/>
      <c r="ATK119" s="225"/>
      <c r="ATL119" s="225"/>
      <c r="ATM119" s="225"/>
      <c r="ATN119" s="225"/>
      <c r="ATO119" s="225"/>
      <c r="ATP119" s="225"/>
      <c r="ATQ119" s="225"/>
      <c r="ATR119" s="225"/>
      <c r="ATS119" s="225"/>
      <c r="ATT119" s="225"/>
      <c r="ATU119" s="225"/>
      <c r="ATV119" s="225"/>
      <c r="ATW119" s="225"/>
      <c r="ATX119" s="225"/>
      <c r="ATY119" s="225"/>
      <c r="ATZ119" s="225"/>
      <c r="AUA119" s="225"/>
      <c r="AUB119" s="225"/>
      <c r="AUC119" s="225"/>
      <c r="AUD119" s="225"/>
      <c r="AUE119" s="225"/>
      <c r="AUF119" s="225"/>
      <c r="AUG119" s="225"/>
      <c r="AUH119" s="225"/>
      <c r="AUI119" s="225"/>
      <c r="AUJ119" s="225"/>
      <c r="AUK119" s="225"/>
      <c r="AUL119" s="225"/>
      <c r="AUM119" s="225"/>
      <c r="AUN119" s="225"/>
      <c r="AUO119" s="225"/>
      <c r="AUP119" s="225"/>
      <c r="AUQ119" s="225"/>
      <c r="AUR119" s="225"/>
      <c r="AUS119" s="225"/>
      <c r="AUT119" s="225"/>
      <c r="AUU119" s="225"/>
      <c r="AUV119" s="225"/>
      <c r="AUW119" s="225"/>
      <c r="AUX119" s="225"/>
      <c r="AUY119" s="225"/>
      <c r="AUZ119" s="225"/>
      <c r="AVA119" s="225"/>
      <c r="AVB119" s="225"/>
      <c r="AVC119" s="225"/>
      <c r="AVD119" s="225"/>
      <c r="AVE119" s="225"/>
      <c r="AVF119" s="225"/>
      <c r="AVG119" s="225"/>
      <c r="AVH119" s="225"/>
      <c r="AVI119" s="225"/>
      <c r="AVJ119" s="225"/>
      <c r="AVK119" s="225"/>
      <c r="AVL119" s="225"/>
      <c r="AVM119" s="225"/>
      <c r="AVN119" s="225"/>
      <c r="AVO119" s="225"/>
      <c r="AVP119" s="225"/>
      <c r="AVQ119" s="225"/>
      <c r="AVR119" s="225"/>
      <c r="AVS119" s="225"/>
      <c r="AVT119" s="225"/>
      <c r="AVU119" s="225"/>
      <c r="AVV119" s="225"/>
      <c r="AVW119" s="225"/>
      <c r="AVX119" s="225"/>
      <c r="AVY119" s="225"/>
      <c r="AVZ119" s="225"/>
      <c r="AWA119" s="225"/>
      <c r="AWB119" s="225"/>
      <c r="AWC119" s="225"/>
      <c r="AWD119" s="225"/>
      <c r="AWE119" s="225"/>
      <c r="AWF119" s="225"/>
      <c r="AWG119" s="225"/>
      <c r="AWH119" s="225"/>
      <c r="AWI119" s="225"/>
      <c r="AWJ119" s="225"/>
      <c r="AWK119" s="225"/>
      <c r="AWL119" s="225"/>
      <c r="AWM119" s="225"/>
      <c r="AWN119" s="225"/>
      <c r="AWO119" s="225"/>
      <c r="AWP119" s="225"/>
      <c r="AWQ119" s="225"/>
      <c r="AWR119" s="225"/>
      <c r="AWS119" s="225"/>
      <c r="AWT119" s="225"/>
      <c r="AWU119" s="225"/>
      <c r="AWV119" s="225"/>
      <c r="AWW119" s="225"/>
      <c r="AWX119" s="225"/>
      <c r="AWY119" s="225"/>
      <c r="AWZ119" s="225"/>
      <c r="AXA119" s="225"/>
      <c r="AXB119" s="225"/>
      <c r="AXC119" s="225"/>
      <c r="AXD119" s="225"/>
      <c r="AXE119" s="225"/>
      <c r="AXF119" s="225"/>
      <c r="AXG119" s="225"/>
      <c r="AXH119" s="225"/>
      <c r="AXI119" s="225"/>
      <c r="AXJ119" s="225"/>
      <c r="AXK119" s="225"/>
      <c r="AXL119" s="225"/>
      <c r="AXM119" s="225"/>
      <c r="AXN119" s="225"/>
      <c r="AXO119" s="225"/>
      <c r="AXP119" s="225"/>
      <c r="AXQ119" s="225"/>
      <c r="AXR119" s="225"/>
      <c r="AXS119" s="225"/>
      <c r="AXT119" s="225"/>
      <c r="AXU119" s="225"/>
      <c r="AXV119" s="225"/>
      <c r="AXW119" s="225"/>
      <c r="AXX119" s="225"/>
      <c r="AXY119" s="225"/>
      <c r="AXZ119" s="225"/>
      <c r="AYA119" s="225"/>
      <c r="AYB119" s="225"/>
      <c r="AYC119" s="225"/>
      <c r="AYD119" s="225"/>
      <c r="AYE119" s="225"/>
      <c r="AYF119" s="225"/>
      <c r="AYG119" s="225"/>
      <c r="AYH119" s="225"/>
      <c r="AYI119" s="225"/>
      <c r="AYJ119" s="225"/>
      <c r="AYK119" s="225"/>
      <c r="AYL119" s="225"/>
      <c r="AYM119" s="225"/>
      <c r="AYN119" s="225"/>
      <c r="AYO119" s="225"/>
      <c r="AYP119" s="225"/>
      <c r="AYQ119" s="225"/>
      <c r="AYR119" s="225"/>
      <c r="AYS119" s="225"/>
      <c r="AYT119" s="225"/>
      <c r="AYU119" s="225"/>
      <c r="AYV119" s="225"/>
      <c r="AYW119" s="225"/>
      <c r="AYX119" s="225"/>
      <c r="AYY119" s="225"/>
      <c r="AYZ119" s="225"/>
      <c r="AZA119" s="225"/>
      <c r="AZB119" s="225"/>
      <c r="AZC119" s="225"/>
      <c r="AZD119" s="225"/>
      <c r="AZE119" s="225"/>
      <c r="AZF119" s="225"/>
      <c r="AZG119" s="225"/>
      <c r="AZH119" s="225"/>
      <c r="AZI119" s="225"/>
      <c r="AZJ119" s="225"/>
      <c r="AZK119" s="225"/>
      <c r="AZL119" s="225"/>
      <c r="AZM119" s="225"/>
      <c r="AZN119" s="225"/>
      <c r="AZO119" s="225"/>
      <c r="AZP119" s="225"/>
      <c r="AZQ119" s="225"/>
      <c r="AZR119" s="225"/>
      <c r="AZS119" s="225"/>
      <c r="AZT119" s="225"/>
      <c r="AZU119" s="225"/>
      <c r="AZV119" s="225"/>
      <c r="AZW119" s="225"/>
      <c r="AZX119" s="225"/>
      <c r="AZY119" s="225"/>
      <c r="AZZ119" s="225"/>
      <c r="BAA119" s="225"/>
      <c r="BAB119" s="225"/>
      <c r="BAC119" s="225"/>
      <c r="BAD119" s="225"/>
      <c r="BAE119" s="225"/>
      <c r="BAF119" s="225"/>
      <c r="BAG119" s="225"/>
      <c r="BAH119" s="225"/>
      <c r="BAI119" s="225"/>
      <c r="BAJ119" s="225"/>
      <c r="BAK119" s="225"/>
      <c r="BAL119" s="225"/>
      <c r="BAM119" s="225"/>
      <c r="BAN119" s="225"/>
      <c r="BAO119" s="225"/>
      <c r="BAP119" s="225"/>
      <c r="BAQ119" s="225"/>
      <c r="BAR119" s="225"/>
      <c r="BAS119" s="225"/>
      <c r="BAT119" s="225"/>
      <c r="BAU119" s="225"/>
      <c r="BAV119" s="225"/>
      <c r="BAW119" s="225"/>
      <c r="BAX119" s="225"/>
      <c r="BAY119" s="225"/>
      <c r="BAZ119" s="225"/>
      <c r="BBA119" s="225"/>
      <c r="BBB119" s="225"/>
      <c r="BBC119" s="225"/>
      <c r="BBD119" s="225"/>
      <c r="BBE119" s="225"/>
      <c r="BBF119" s="225"/>
      <c r="BBG119" s="225"/>
      <c r="BBH119" s="225"/>
      <c r="BBI119" s="225"/>
      <c r="BBJ119" s="225"/>
      <c r="BBK119" s="225"/>
      <c r="BBL119" s="225"/>
      <c r="BBM119" s="225"/>
      <c r="BBN119" s="225"/>
      <c r="BBO119" s="225"/>
      <c r="BBP119" s="225"/>
      <c r="BBQ119" s="225"/>
      <c r="BBR119" s="225"/>
      <c r="BBS119" s="225"/>
      <c r="BBT119" s="225"/>
      <c r="BBU119" s="225"/>
      <c r="BBV119" s="225"/>
      <c r="BBW119" s="225"/>
      <c r="BBX119" s="225"/>
      <c r="BBY119" s="225"/>
      <c r="BBZ119" s="225"/>
      <c r="BCA119" s="225"/>
      <c r="BCB119" s="225"/>
      <c r="BCC119" s="225"/>
      <c r="BCD119" s="225"/>
      <c r="BCE119" s="225"/>
      <c r="BCF119" s="225"/>
      <c r="BCG119" s="225"/>
      <c r="BCH119" s="225"/>
      <c r="BCI119" s="225"/>
      <c r="BCJ119" s="225"/>
      <c r="BCK119" s="225"/>
      <c r="BCL119" s="225"/>
      <c r="BCM119" s="225"/>
      <c r="BCN119" s="225"/>
      <c r="BCO119" s="225"/>
      <c r="BCP119" s="225"/>
      <c r="BCQ119" s="225"/>
      <c r="BCR119" s="225"/>
      <c r="BCS119" s="225"/>
      <c r="BCT119" s="225"/>
      <c r="BCU119" s="225"/>
      <c r="BCV119" s="225"/>
      <c r="BCW119" s="225"/>
      <c r="BCX119" s="225"/>
      <c r="BCY119" s="225"/>
      <c r="BCZ119" s="225"/>
      <c r="BDA119" s="225"/>
      <c r="BDB119" s="225"/>
      <c r="BDC119" s="225"/>
      <c r="BDD119" s="225"/>
      <c r="BDE119" s="225"/>
      <c r="BDF119" s="225"/>
      <c r="BDG119" s="225"/>
      <c r="BDH119" s="225"/>
      <c r="BDI119" s="225"/>
      <c r="BDJ119" s="225"/>
      <c r="BDK119" s="225"/>
      <c r="BDL119" s="225"/>
      <c r="BDM119" s="225"/>
      <c r="BDN119" s="225"/>
      <c r="BDO119" s="225"/>
      <c r="BDP119" s="225"/>
      <c r="BDQ119" s="225"/>
      <c r="BDR119" s="225"/>
      <c r="BDS119" s="225"/>
      <c r="BDT119" s="225"/>
      <c r="BDU119" s="225"/>
      <c r="BDV119" s="225"/>
      <c r="BDW119" s="225"/>
      <c r="BDX119" s="225"/>
      <c r="BDY119" s="225"/>
      <c r="BDZ119" s="225"/>
      <c r="BEA119" s="225"/>
      <c r="BEB119" s="225"/>
      <c r="BEC119" s="225"/>
      <c r="BED119" s="225"/>
      <c r="BEE119" s="225"/>
      <c r="BEF119" s="225"/>
      <c r="BEG119" s="225"/>
      <c r="BEH119" s="225"/>
      <c r="BEI119" s="225"/>
      <c r="BEJ119" s="225"/>
      <c r="BEK119" s="225"/>
      <c r="BEL119" s="225"/>
      <c r="BEM119" s="225"/>
      <c r="BEN119" s="225"/>
      <c r="BEO119" s="225"/>
      <c r="BEP119" s="225"/>
      <c r="BEQ119" s="225"/>
      <c r="BER119" s="225"/>
      <c r="BES119" s="225"/>
      <c r="BET119" s="225"/>
      <c r="BEU119" s="225"/>
      <c r="BEV119" s="225"/>
      <c r="BEW119" s="225"/>
      <c r="BEX119" s="225"/>
      <c r="BEY119" s="225"/>
      <c r="BEZ119" s="225"/>
      <c r="BFA119" s="225"/>
      <c r="BFB119" s="225"/>
      <c r="BFC119" s="225"/>
      <c r="BFD119" s="225"/>
      <c r="BFE119" s="225"/>
      <c r="BFF119" s="225"/>
      <c r="BFG119" s="225"/>
      <c r="BFH119" s="225"/>
      <c r="BFI119" s="225"/>
      <c r="BFJ119" s="225"/>
      <c r="BFK119" s="225"/>
      <c r="BFL119" s="225"/>
      <c r="BFM119" s="225"/>
      <c r="BFN119" s="225"/>
      <c r="BFO119" s="225"/>
      <c r="BFP119" s="225"/>
      <c r="BFQ119" s="225"/>
      <c r="BFR119" s="225"/>
      <c r="BFS119" s="225"/>
      <c r="BFT119" s="225"/>
      <c r="BFU119" s="225"/>
      <c r="BFV119" s="225"/>
      <c r="BFW119" s="225"/>
      <c r="BFX119" s="225"/>
      <c r="BFY119" s="225"/>
      <c r="BFZ119" s="225"/>
      <c r="BGA119" s="225"/>
      <c r="BGB119" s="225"/>
      <c r="BGC119" s="225"/>
      <c r="BGD119" s="225"/>
      <c r="BGE119" s="225"/>
      <c r="BGF119" s="225"/>
      <c r="BGG119" s="225"/>
      <c r="BGH119" s="225"/>
      <c r="BGI119" s="225"/>
      <c r="BGJ119" s="225"/>
      <c r="BGK119" s="225"/>
      <c r="BGL119" s="225"/>
      <c r="BGM119" s="225"/>
      <c r="BGN119" s="225"/>
      <c r="BGO119" s="225"/>
      <c r="BGP119" s="225"/>
      <c r="BGQ119" s="225"/>
      <c r="BGR119" s="225"/>
      <c r="BGS119" s="225"/>
      <c r="BGT119" s="225"/>
      <c r="BGU119" s="225"/>
      <c r="BGV119" s="225"/>
      <c r="BGW119" s="225"/>
      <c r="BGX119" s="225"/>
      <c r="BGY119" s="225"/>
      <c r="BGZ119" s="225"/>
      <c r="BHA119" s="225"/>
      <c r="BHB119" s="225"/>
      <c r="BHC119" s="225"/>
      <c r="BHD119" s="225"/>
      <c r="BHE119" s="225"/>
      <c r="BHF119" s="225"/>
      <c r="BHG119" s="225"/>
      <c r="BHH119" s="225"/>
      <c r="BHI119" s="225"/>
      <c r="BHJ119" s="225"/>
      <c r="BHK119" s="225"/>
      <c r="BHL119" s="225"/>
      <c r="BHM119" s="225"/>
      <c r="BHN119" s="225"/>
      <c r="BHO119" s="225"/>
      <c r="BHP119" s="225"/>
      <c r="BHQ119" s="225"/>
      <c r="BHR119" s="225"/>
      <c r="BHS119" s="225"/>
      <c r="BHT119" s="225"/>
      <c r="BHU119" s="225"/>
      <c r="BHV119" s="225"/>
      <c r="BHW119" s="225"/>
      <c r="BHX119" s="225"/>
      <c r="BHY119" s="225"/>
      <c r="BHZ119" s="225"/>
      <c r="BIA119" s="225"/>
      <c r="BIB119" s="225"/>
      <c r="BIC119" s="225"/>
      <c r="BID119" s="225"/>
      <c r="BIE119" s="225"/>
      <c r="BIF119" s="225"/>
      <c r="BIG119" s="225"/>
      <c r="BIH119" s="225"/>
      <c r="BII119" s="225"/>
      <c r="BIJ119" s="225"/>
      <c r="BIK119" s="225"/>
      <c r="BIL119" s="225"/>
      <c r="BIM119" s="225"/>
      <c r="BIN119" s="225"/>
      <c r="BIO119" s="225"/>
      <c r="BIP119" s="225"/>
      <c r="BIQ119" s="225"/>
      <c r="BIR119" s="225"/>
      <c r="BIS119" s="225"/>
      <c r="BIT119" s="225"/>
      <c r="BIU119" s="225"/>
      <c r="BIV119" s="225"/>
      <c r="BIW119" s="225"/>
      <c r="BIX119" s="225"/>
      <c r="BIY119" s="225"/>
      <c r="BIZ119" s="225"/>
      <c r="BJA119" s="225"/>
      <c r="BJB119" s="225"/>
      <c r="BJC119" s="225"/>
      <c r="BJD119" s="225"/>
      <c r="BJE119" s="225"/>
      <c r="BJF119" s="225"/>
      <c r="BJG119" s="225"/>
      <c r="BJH119" s="225"/>
      <c r="BJI119" s="225"/>
      <c r="BJJ119" s="225"/>
      <c r="BJK119" s="225"/>
      <c r="BJL119" s="225"/>
      <c r="BJM119" s="225"/>
      <c r="BJN119" s="225"/>
      <c r="BJO119" s="225"/>
      <c r="BJP119" s="225"/>
      <c r="BJQ119" s="225"/>
      <c r="BJR119" s="225"/>
      <c r="BJS119" s="225"/>
      <c r="BJT119" s="225"/>
      <c r="BJU119" s="225"/>
      <c r="BJV119" s="225"/>
      <c r="BJW119" s="225"/>
      <c r="BJX119" s="225"/>
      <c r="BJY119" s="225"/>
      <c r="BJZ119" s="225"/>
      <c r="BKA119" s="225"/>
      <c r="BKB119" s="225"/>
      <c r="BKC119" s="225"/>
      <c r="BKD119" s="225"/>
      <c r="BKE119" s="225"/>
      <c r="BKF119" s="225"/>
      <c r="BKG119" s="225"/>
      <c r="BKH119" s="225"/>
      <c r="BKI119" s="225"/>
      <c r="BKJ119" s="225"/>
      <c r="BKK119" s="225"/>
      <c r="BKL119" s="225"/>
      <c r="BKM119" s="225"/>
      <c r="BKN119" s="225"/>
      <c r="BKO119" s="225"/>
      <c r="BKP119" s="225"/>
      <c r="BKQ119" s="225"/>
      <c r="BKR119" s="225"/>
      <c r="BKS119" s="225"/>
      <c r="BKT119" s="225"/>
      <c r="BKU119" s="225"/>
      <c r="BKV119" s="225"/>
      <c r="BKW119" s="225"/>
      <c r="BKX119" s="225"/>
      <c r="BKY119" s="225"/>
      <c r="BKZ119" s="225"/>
      <c r="BLA119" s="225"/>
      <c r="BLB119" s="225"/>
      <c r="BLC119" s="225"/>
      <c r="BLD119" s="225"/>
      <c r="BLE119" s="225"/>
      <c r="BLF119" s="225"/>
      <c r="BLG119" s="225"/>
      <c r="BLH119" s="225"/>
      <c r="BLI119" s="225"/>
      <c r="BLJ119" s="225"/>
      <c r="BLK119" s="225"/>
      <c r="BLL119" s="225"/>
      <c r="BLM119" s="225"/>
      <c r="BLN119" s="225"/>
      <c r="BLO119" s="225"/>
      <c r="BLP119" s="225"/>
      <c r="BLQ119" s="225"/>
      <c r="BLR119" s="225"/>
      <c r="BLS119" s="225"/>
      <c r="BLT119" s="225"/>
      <c r="BLU119" s="225"/>
      <c r="BLV119" s="225"/>
      <c r="BLW119" s="225"/>
      <c r="BLX119" s="225"/>
      <c r="BLY119" s="225"/>
      <c r="BLZ119" s="225"/>
      <c r="BMA119" s="225"/>
      <c r="BMB119" s="225"/>
      <c r="BMC119" s="225"/>
      <c r="BMD119" s="225"/>
      <c r="BME119" s="225"/>
      <c r="BMF119" s="225"/>
      <c r="BMG119" s="225"/>
      <c r="BMH119" s="225"/>
      <c r="BMI119" s="225"/>
      <c r="BMJ119" s="225"/>
      <c r="BMK119" s="225"/>
      <c r="BML119" s="225"/>
      <c r="BMM119" s="225"/>
      <c r="BMN119" s="225"/>
      <c r="BMO119" s="225"/>
      <c r="BMP119" s="225"/>
      <c r="BMQ119" s="225"/>
      <c r="BMR119" s="225"/>
      <c r="BMS119" s="225"/>
      <c r="BMT119" s="225"/>
      <c r="BMU119" s="225"/>
      <c r="BMV119" s="225"/>
      <c r="BMW119" s="225"/>
      <c r="BMX119" s="225"/>
      <c r="BMY119" s="225"/>
      <c r="BMZ119" s="225"/>
      <c r="BNA119" s="225"/>
      <c r="BNB119" s="225"/>
      <c r="BNC119" s="225"/>
      <c r="BND119" s="225"/>
      <c r="BNE119" s="225"/>
      <c r="BNF119" s="225"/>
      <c r="BNG119" s="225"/>
      <c r="BNH119" s="225"/>
      <c r="BNI119" s="225"/>
      <c r="BNJ119" s="225"/>
      <c r="BNK119" s="225"/>
      <c r="BNL119" s="225"/>
      <c r="BNM119" s="225"/>
      <c r="BNN119" s="225"/>
      <c r="BNO119" s="225"/>
      <c r="BNP119" s="225"/>
      <c r="BNQ119" s="225"/>
      <c r="BNR119" s="225"/>
      <c r="BNS119" s="225"/>
      <c r="BNT119" s="225"/>
      <c r="BNU119" s="225"/>
      <c r="BNV119" s="225"/>
      <c r="BNW119" s="225"/>
      <c r="BNX119" s="225"/>
      <c r="BNY119" s="225"/>
      <c r="BNZ119" s="225"/>
      <c r="BOA119" s="225"/>
      <c r="BOB119" s="225"/>
      <c r="BOC119" s="225"/>
      <c r="BOD119" s="225"/>
      <c r="BOE119" s="225"/>
      <c r="BOF119" s="225"/>
      <c r="BOG119" s="225"/>
      <c r="BOH119" s="225"/>
      <c r="BOI119" s="225"/>
      <c r="BOJ119" s="225"/>
      <c r="BOK119" s="225"/>
      <c r="BOL119" s="225"/>
      <c r="BOM119" s="225"/>
      <c r="BON119" s="225"/>
      <c r="BOO119" s="225"/>
      <c r="BOP119" s="225"/>
      <c r="BOQ119" s="225"/>
      <c r="BOR119" s="225"/>
      <c r="BOS119" s="225"/>
      <c r="BOT119" s="225"/>
      <c r="BOU119" s="225"/>
      <c r="BOV119" s="225"/>
      <c r="BOW119" s="225"/>
      <c r="BOX119" s="225"/>
      <c r="BOY119" s="225"/>
      <c r="BOZ119" s="225"/>
      <c r="BPA119" s="225"/>
      <c r="BPB119" s="225"/>
      <c r="BPC119" s="225"/>
      <c r="BPD119" s="225"/>
      <c r="BPE119" s="225"/>
      <c r="BPF119" s="225"/>
      <c r="BPG119" s="225"/>
      <c r="BPH119" s="225"/>
      <c r="BPI119" s="225"/>
      <c r="BPJ119" s="225"/>
      <c r="BPK119" s="225"/>
      <c r="BPL119" s="225"/>
      <c r="BPM119" s="225"/>
      <c r="BPN119" s="225"/>
      <c r="BPO119" s="225"/>
      <c r="BPP119" s="225"/>
      <c r="BPQ119" s="225"/>
      <c r="BPR119" s="225"/>
      <c r="BPS119" s="225"/>
      <c r="BPT119" s="225"/>
      <c r="BPU119" s="225"/>
      <c r="BPV119" s="225"/>
      <c r="BPW119" s="225"/>
      <c r="BPX119" s="225"/>
      <c r="BPY119" s="225"/>
      <c r="BPZ119" s="225"/>
      <c r="BQA119" s="225"/>
      <c r="BQB119" s="225"/>
      <c r="BQC119" s="225"/>
      <c r="BQD119" s="225"/>
      <c r="BQE119" s="225"/>
      <c r="BQF119" s="225"/>
      <c r="BQG119" s="225"/>
      <c r="BQH119" s="225"/>
      <c r="BQI119" s="225"/>
      <c r="BQJ119" s="225"/>
      <c r="BQK119" s="225"/>
      <c r="BQL119" s="225"/>
      <c r="BQM119" s="225"/>
      <c r="BQN119" s="225"/>
      <c r="BQO119" s="225"/>
      <c r="BQP119" s="225"/>
      <c r="BQQ119" s="225"/>
      <c r="BQR119" s="225"/>
      <c r="BQS119" s="225"/>
      <c r="BQT119" s="225"/>
      <c r="BQU119" s="225"/>
      <c r="BQV119" s="225"/>
      <c r="BQW119" s="225"/>
      <c r="BQX119" s="225"/>
      <c r="BQY119" s="225"/>
      <c r="BQZ119" s="225"/>
      <c r="BRA119" s="225"/>
      <c r="BRB119" s="225"/>
      <c r="BRC119" s="225"/>
      <c r="BRD119" s="225"/>
      <c r="BRE119" s="225"/>
      <c r="BRF119" s="225"/>
      <c r="BRG119" s="225"/>
      <c r="BRH119" s="225"/>
      <c r="BRI119" s="225"/>
      <c r="BRJ119" s="225"/>
      <c r="BRK119" s="225"/>
      <c r="BRL119" s="225"/>
      <c r="BRM119" s="225"/>
      <c r="BRN119" s="225"/>
      <c r="BRO119" s="225"/>
      <c r="BRP119" s="225"/>
      <c r="BRQ119" s="225"/>
      <c r="BRR119" s="225"/>
      <c r="BRS119" s="225"/>
      <c r="BRT119" s="225"/>
      <c r="BRU119" s="225"/>
      <c r="BRV119" s="225"/>
      <c r="BRW119" s="225"/>
      <c r="BRX119" s="225"/>
      <c r="BRY119" s="225"/>
      <c r="BRZ119" s="225"/>
      <c r="BSA119" s="225"/>
      <c r="BSB119" s="225"/>
      <c r="BSC119" s="225"/>
      <c r="BSD119" s="225"/>
      <c r="BSE119" s="225"/>
      <c r="BSF119" s="225"/>
      <c r="BSG119" s="225"/>
      <c r="BSH119" s="225"/>
      <c r="BSI119" s="225"/>
      <c r="BSJ119" s="225"/>
      <c r="BSK119" s="225"/>
      <c r="BSL119" s="225"/>
      <c r="BSM119" s="225"/>
      <c r="BSN119" s="225"/>
      <c r="BSO119" s="225"/>
      <c r="BSP119" s="225"/>
      <c r="BSQ119" s="225"/>
      <c r="BSR119" s="225"/>
      <c r="BSS119" s="225"/>
      <c r="BST119" s="225"/>
      <c r="BSU119" s="225"/>
      <c r="BSV119" s="225"/>
      <c r="BSW119" s="225"/>
      <c r="BSX119" s="225"/>
      <c r="BSY119" s="225"/>
      <c r="BSZ119" s="225"/>
      <c r="BTA119" s="225"/>
      <c r="BTB119" s="225"/>
      <c r="BTC119" s="225"/>
      <c r="BTD119" s="225"/>
      <c r="BTE119" s="225"/>
      <c r="BTF119" s="225"/>
      <c r="BTG119" s="225"/>
      <c r="BTH119" s="225"/>
      <c r="BTI119" s="225"/>
      <c r="BTJ119" s="225"/>
      <c r="BTK119" s="225"/>
      <c r="BTL119" s="225"/>
      <c r="BTM119" s="225"/>
      <c r="BTN119" s="225"/>
      <c r="BTO119" s="225"/>
      <c r="BTP119" s="225"/>
      <c r="BTQ119" s="225"/>
      <c r="BTR119" s="225"/>
      <c r="BTS119" s="225"/>
      <c r="BTT119" s="225"/>
      <c r="BTU119" s="225"/>
      <c r="BTV119" s="225"/>
      <c r="BTW119" s="225"/>
      <c r="BTX119" s="225"/>
      <c r="BTY119" s="225"/>
      <c r="BTZ119" s="225"/>
      <c r="BUA119" s="225"/>
      <c r="BUB119" s="225"/>
      <c r="BUC119" s="225"/>
      <c r="BUD119" s="225"/>
      <c r="BUE119" s="225"/>
      <c r="BUF119" s="225"/>
      <c r="BUG119" s="225"/>
      <c r="BUH119" s="225"/>
      <c r="BUI119" s="225"/>
      <c r="BUJ119" s="225"/>
      <c r="BUK119" s="225"/>
      <c r="BUL119" s="225"/>
      <c r="BUM119" s="225"/>
      <c r="BUN119" s="225"/>
      <c r="BUO119" s="225"/>
      <c r="BUP119" s="225"/>
      <c r="BUQ119" s="225"/>
      <c r="BUR119" s="225"/>
      <c r="BUS119" s="225"/>
      <c r="BUT119" s="225"/>
      <c r="BUU119" s="225"/>
      <c r="BUV119" s="225"/>
      <c r="BUW119" s="225"/>
      <c r="BUX119" s="225"/>
      <c r="BUY119" s="225"/>
      <c r="BUZ119" s="225"/>
      <c r="BVA119" s="225"/>
      <c r="BVB119" s="225"/>
      <c r="BVC119" s="225"/>
      <c r="BVD119" s="225"/>
      <c r="BVE119" s="225"/>
      <c r="BVF119" s="225"/>
      <c r="BVG119" s="225"/>
      <c r="BVH119" s="225"/>
      <c r="BVI119" s="225"/>
      <c r="BVJ119" s="225"/>
      <c r="BVK119" s="225"/>
      <c r="BVL119" s="225"/>
      <c r="BVM119" s="225"/>
      <c r="BVN119" s="225"/>
      <c r="BVO119" s="225"/>
      <c r="BVP119" s="225"/>
      <c r="BVQ119" s="225"/>
      <c r="BVR119" s="225"/>
      <c r="BVS119" s="225"/>
      <c r="BVT119" s="225"/>
      <c r="BVU119" s="225"/>
      <c r="BVV119" s="225"/>
      <c r="BVW119" s="225"/>
      <c r="BVX119" s="225"/>
      <c r="BVY119" s="225"/>
      <c r="BVZ119" s="225"/>
      <c r="BWA119" s="225"/>
      <c r="BWB119" s="225"/>
      <c r="BWC119" s="225"/>
      <c r="BWD119" s="225"/>
      <c r="BWE119" s="225"/>
      <c r="BWF119" s="225"/>
      <c r="BWG119" s="225"/>
      <c r="BWH119" s="225"/>
      <c r="BWI119" s="225"/>
      <c r="BWJ119" s="225"/>
      <c r="BWK119" s="225"/>
      <c r="BWL119" s="225"/>
      <c r="BWM119" s="225"/>
      <c r="BWN119" s="225"/>
      <c r="BWO119" s="225"/>
      <c r="BWP119" s="225"/>
      <c r="BWQ119" s="225"/>
      <c r="BWR119" s="225"/>
      <c r="BWS119" s="225"/>
      <c r="BWT119" s="225"/>
      <c r="BWU119" s="225"/>
      <c r="BWV119" s="225"/>
      <c r="BWW119" s="225"/>
      <c r="BWX119" s="225"/>
      <c r="BWY119" s="225"/>
      <c r="BWZ119" s="225"/>
      <c r="BXA119" s="225"/>
      <c r="BXB119" s="225"/>
      <c r="BXC119" s="225"/>
      <c r="BXD119" s="225"/>
      <c r="BXE119" s="225"/>
      <c r="BXF119" s="225"/>
      <c r="BXG119" s="225"/>
      <c r="BXH119" s="225"/>
      <c r="BXI119" s="225"/>
      <c r="BXJ119" s="225"/>
      <c r="BXK119" s="225"/>
      <c r="BXL119" s="225"/>
      <c r="BXM119" s="225"/>
      <c r="BXN119" s="225"/>
      <c r="BXO119" s="225"/>
      <c r="BXP119" s="225"/>
      <c r="BXQ119" s="225"/>
      <c r="BXR119" s="225"/>
      <c r="BXS119" s="225"/>
      <c r="BXT119" s="225"/>
      <c r="BXU119" s="225"/>
      <c r="BXV119" s="225"/>
      <c r="BXW119" s="225"/>
      <c r="BXX119" s="225"/>
      <c r="BXY119" s="225"/>
      <c r="BXZ119" s="225"/>
      <c r="BYA119" s="225"/>
      <c r="BYB119" s="225"/>
      <c r="BYC119" s="225"/>
      <c r="BYD119" s="225"/>
      <c r="BYE119" s="225"/>
      <c r="BYF119" s="225"/>
      <c r="BYG119" s="225"/>
      <c r="BYH119" s="225"/>
      <c r="BYI119" s="225"/>
      <c r="BYJ119" s="225"/>
      <c r="BYK119" s="225"/>
      <c r="BYL119" s="225"/>
      <c r="BYM119" s="225"/>
      <c r="BYN119" s="225"/>
      <c r="BYO119" s="225"/>
      <c r="BYP119" s="225"/>
      <c r="BYQ119" s="225"/>
      <c r="BYR119" s="225"/>
      <c r="BYS119" s="225"/>
      <c r="BYT119" s="225"/>
      <c r="BYU119" s="225"/>
      <c r="BYV119" s="225"/>
      <c r="BYW119" s="225"/>
      <c r="BYX119" s="225"/>
      <c r="BYY119" s="225"/>
      <c r="BYZ119" s="225"/>
      <c r="BZA119" s="225"/>
      <c r="BZB119" s="225"/>
      <c r="BZC119" s="225"/>
      <c r="BZD119" s="225"/>
      <c r="BZE119" s="225"/>
      <c r="BZF119" s="225"/>
      <c r="BZG119" s="225"/>
      <c r="BZH119" s="225"/>
      <c r="BZI119" s="225"/>
      <c r="BZJ119" s="225"/>
      <c r="BZK119" s="225"/>
      <c r="BZL119" s="225"/>
      <c r="BZM119" s="225"/>
      <c r="BZN119" s="225"/>
      <c r="BZO119" s="225"/>
      <c r="BZP119" s="225"/>
      <c r="BZQ119" s="225"/>
      <c r="BZR119" s="225"/>
      <c r="BZS119" s="225"/>
      <c r="BZT119" s="225"/>
      <c r="BZU119" s="225"/>
      <c r="BZV119" s="225"/>
      <c r="BZW119" s="225"/>
      <c r="BZX119" s="225"/>
      <c r="BZY119" s="225"/>
      <c r="BZZ119" s="225"/>
      <c r="CAA119" s="225"/>
      <c r="CAB119" s="225"/>
      <c r="CAC119" s="225"/>
      <c r="CAD119" s="225"/>
      <c r="CAE119" s="225"/>
      <c r="CAF119" s="225"/>
      <c r="CAG119" s="225"/>
      <c r="CAH119" s="225"/>
      <c r="CAI119" s="225"/>
      <c r="CAJ119" s="225"/>
      <c r="CAK119" s="225"/>
      <c r="CAL119" s="225"/>
      <c r="CAM119" s="225"/>
      <c r="CAN119" s="225"/>
      <c r="CAO119" s="225"/>
      <c r="CAP119" s="225"/>
      <c r="CAQ119" s="225"/>
      <c r="CAR119" s="225"/>
      <c r="CAS119" s="225"/>
      <c r="CAT119" s="225"/>
      <c r="CAU119" s="225"/>
      <c r="CAV119" s="225"/>
      <c r="CAW119" s="225"/>
      <c r="CAX119" s="225"/>
      <c r="CAY119" s="225"/>
      <c r="CAZ119" s="225"/>
      <c r="CBA119" s="225"/>
      <c r="CBB119" s="225"/>
      <c r="CBC119" s="225"/>
      <c r="CBD119" s="225"/>
      <c r="CBE119" s="225"/>
      <c r="CBF119" s="225"/>
      <c r="CBG119" s="225"/>
      <c r="CBH119" s="225"/>
      <c r="CBI119" s="225"/>
      <c r="CBJ119" s="225"/>
      <c r="CBK119" s="225"/>
      <c r="CBL119" s="225"/>
      <c r="CBM119" s="225"/>
      <c r="CBN119" s="225"/>
      <c r="CBO119" s="225"/>
      <c r="CBP119" s="225"/>
      <c r="CBQ119" s="225"/>
      <c r="CBR119" s="225"/>
      <c r="CBS119" s="225"/>
      <c r="CBT119" s="225"/>
      <c r="CBU119" s="225"/>
      <c r="CBV119" s="225"/>
      <c r="CBW119" s="225"/>
      <c r="CBX119" s="225"/>
      <c r="CBY119" s="225"/>
      <c r="CBZ119" s="225"/>
      <c r="CCA119" s="225"/>
      <c r="CCB119" s="225"/>
      <c r="CCC119" s="225"/>
      <c r="CCD119" s="225"/>
      <c r="CCE119" s="225"/>
      <c r="CCF119" s="225"/>
      <c r="CCG119" s="225"/>
      <c r="CCH119" s="225"/>
      <c r="CCI119" s="225"/>
      <c r="CCJ119" s="225"/>
      <c r="CCK119" s="225"/>
      <c r="CCL119" s="225"/>
      <c r="CCM119" s="225"/>
      <c r="CCN119" s="225"/>
      <c r="CCO119" s="225"/>
      <c r="CCP119" s="225"/>
      <c r="CCQ119" s="225"/>
      <c r="CCR119" s="225"/>
      <c r="CCS119" s="225"/>
      <c r="CCT119" s="225"/>
      <c r="CCU119" s="225"/>
      <c r="CCV119" s="225"/>
      <c r="CCW119" s="225"/>
      <c r="CCX119" s="225"/>
      <c r="CCY119" s="225"/>
      <c r="CCZ119" s="225"/>
      <c r="CDA119" s="225"/>
      <c r="CDB119" s="225"/>
      <c r="CDC119" s="225"/>
      <c r="CDD119" s="225"/>
      <c r="CDE119" s="225"/>
      <c r="CDF119" s="225"/>
      <c r="CDG119" s="225"/>
      <c r="CDH119" s="225"/>
      <c r="CDI119" s="225"/>
      <c r="CDJ119" s="225"/>
      <c r="CDK119" s="225"/>
      <c r="CDL119" s="225"/>
      <c r="CDM119" s="225"/>
      <c r="CDN119" s="225"/>
      <c r="CDO119" s="225"/>
      <c r="CDP119" s="225"/>
      <c r="CDQ119" s="225"/>
      <c r="CDR119" s="225"/>
      <c r="CDS119" s="225"/>
      <c r="CDT119" s="225"/>
      <c r="CDU119" s="225"/>
      <c r="CDV119" s="225"/>
      <c r="CDW119" s="225"/>
      <c r="CDX119" s="225"/>
      <c r="CDY119" s="225"/>
      <c r="CDZ119" s="225"/>
      <c r="CEA119" s="225"/>
      <c r="CEB119" s="225"/>
      <c r="CEC119" s="225"/>
      <c r="CED119" s="225"/>
      <c r="CEE119" s="225"/>
      <c r="CEF119" s="225"/>
      <c r="CEG119" s="225"/>
      <c r="CEH119" s="225"/>
      <c r="CEI119" s="225"/>
      <c r="CEJ119" s="225"/>
      <c r="CEK119" s="225"/>
      <c r="CEL119" s="225"/>
      <c r="CEM119" s="225"/>
      <c r="CEN119" s="225"/>
      <c r="CEO119" s="225"/>
      <c r="CEP119" s="225"/>
      <c r="CEQ119" s="225"/>
      <c r="CER119" s="225"/>
      <c r="CES119" s="225"/>
      <c r="CET119" s="225"/>
      <c r="CEU119" s="225"/>
      <c r="CEV119" s="225"/>
      <c r="CEW119" s="225"/>
      <c r="CEX119" s="225"/>
      <c r="CEY119" s="225"/>
      <c r="CEZ119" s="225"/>
      <c r="CFA119" s="225"/>
      <c r="CFB119" s="225"/>
      <c r="CFC119" s="225"/>
      <c r="CFD119" s="225"/>
      <c r="CFE119" s="225"/>
      <c r="CFF119" s="225"/>
      <c r="CFG119" s="225"/>
      <c r="CFH119" s="225"/>
      <c r="CFI119" s="225"/>
      <c r="CFJ119" s="225"/>
      <c r="CFK119" s="225"/>
      <c r="CFL119" s="225"/>
      <c r="CFM119" s="225"/>
      <c r="CFN119" s="225"/>
      <c r="CFO119" s="225"/>
      <c r="CFP119" s="225"/>
      <c r="CFQ119" s="225"/>
      <c r="CFR119" s="225"/>
      <c r="CFS119" s="225"/>
      <c r="CFT119" s="225"/>
      <c r="CFU119" s="225"/>
      <c r="CFV119" s="225"/>
      <c r="CFW119" s="225"/>
      <c r="CFX119" s="225"/>
      <c r="CFY119" s="225"/>
      <c r="CFZ119" s="225"/>
      <c r="CGA119" s="225"/>
      <c r="CGB119" s="225"/>
      <c r="CGC119" s="225"/>
      <c r="CGD119" s="225"/>
      <c r="CGE119" s="225"/>
      <c r="CGF119" s="225"/>
      <c r="CGG119" s="225"/>
      <c r="CGH119" s="225"/>
      <c r="CGI119" s="225"/>
      <c r="CGJ119" s="225"/>
      <c r="CGK119" s="225"/>
      <c r="CGL119" s="225"/>
      <c r="CGM119" s="225"/>
      <c r="CGN119" s="225"/>
      <c r="CGO119" s="225"/>
      <c r="CGP119" s="225"/>
      <c r="CGQ119" s="225"/>
      <c r="CGR119" s="225"/>
      <c r="CGS119" s="225"/>
      <c r="CGT119" s="225"/>
      <c r="CGU119" s="225"/>
      <c r="CGV119" s="225"/>
      <c r="CGW119" s="225"/>
      <c r="CGX119" s="225"/>
      <c r="CGY119" s="225"/>
      <c r="CGZ119" s="225"/>
      <c r="CHA119" s="225"/>
      <c r="CHB119" s="225"/>
      <c r="CHC119" s="225"/>
      <c r="CHD119" s="225"/>
      <c r="CHE119" s="225"/>
      <c r="CHF119" s="225"/>
      <c r="CHG119" s="225"/>
      <c r="CHH119" s="225"/>
      <c r="CHI119" s="225"/>
      <c r="CHJ119" s="225"/>
      <c r="CHK119" s="225"/>
      <c r="CHL119" s="225"/>
      <c r="CHM119" s="225"/>
      <c r="CHN119" s="225"/>
      <c r="CHO119" s="225"/>
      <c r="CHP119" s="225"/>
      <c r="CHQ119" s="225"/>
      <c r="CHR119" s="225"/>
      <c r="CHS119" s="225"/>
      <c r="CHT119" s="225"/>
      <c r="CHU119" s="225"/>
      <c r="CHV119" s="225"/>
      <c r="CHW119" s="225"/>
      <c r="CHX119" s="225"/>
      <c r="CHY119" s="225"/>
      <c r="CHZ119" s="225"/>
      <c r="CIA119" s="225"/>
      <c r="CIB119" s="225"/>
      <c r="CIC119" s="225"/>
      <c r="CID119" s="225"/>
      <c r="CIE119" s="225"/>
      <c r="CIF119" s="225"/>
      <c r="CIG119" s="225"/>
      <c r="CIH119" s="225"/>
      <c r="CII119" s="225"/>
      <c r="CIJ119" s="225"/>
      <c r="CIK119" s="225"/>
      <c r="CIL119" s="225"/>
      <c r="CIM119" s="225"/>
      <c r="CIN119" s="225"/>
      <c r="CIO119" s="225"/>
      <c r="CIP119" s="225"/>
      <c r="CIQ119" s="225"/>
      <c r="CIR119" s="225"/>
      <c r="CIS119" s="225"/>
      <c r="CIT119" s="225"/>
      <c r="CIU119" s="225"/>
      <c r="CIV119" s="225"/>
      <c r="CIW119" s="225"/>
      <c r="CIX119" s="225"/>
      <c r="CIY119" s="225"/>
      <c r="CIZ119" s="225"/>
      <c r="CJA119" s="225"/>
      <c r="CJB119" s="225"/>
      <c r="CJC119" s="225"/>
      <c r="CJD119" s="225"/>
      <c r="CJE119" s="225"/>
      <c r="CJF119" s="225"/>
      <c r="CJG119" s="225"/>
      <c r="CJH119" s="225"/>
      <c r="CJI119" s="225"/>
      <c r="CJJ119" s="225"/>
      <c r="CJK119" s="225"/>
      <c r="CJL119" s="225"/>
      <c r="CJM119" s="225"/>
      <c r="CJN119" s="225"/>
      <c r="CJO119" s="225"/>
      <c r="CJP119" s="225"/>
      <c r="CJQ119" s="225"/>
      <c r="CJR119" s="225"/>
      <c r="CJS119" s="225"/>
      <c r="CJT119" s="225"/>
      <c r="CJU119" s="225"/>
      <c r="CJV119" s="225"/>
      <c r="CJW119" s="225"/>
      <c r="CJX119" s="225"/>
      <c r="CJY119" s="225"/>
      <c r="CJZ119" s="225"/>
      <c r="CKA119" s="225"/>
      <c r="CKB119" s="225"/>
      <c r="CKC119" s="225"/>
      <c r="CKD119" s="225"/>
      <c r="CKE119" s="225"/>
      <c r="CKF119" s="225"/>
      <c r="CKG119" s="225"/>
      <c r="CKH119" s="225"/>
      <c r="CKI119" s="225"/>
      <c r="CKJ119" s="225"/>
      <c r="CKK119" s="225"/>
      <c r="CKL119" s="225"/>
      <c r="CKM119" s="225"/>
      <c r="CKN119" s="225"/>
      <c r="CKO119" s="225"/>
      <c r="CKP119" s="225"/>
      <c r="CKQ119" s="225"/>
      <c r="CKR119" s="225"/>
      <c r="CKS119" s="225"/>
      <c r="CKT119" s="225"/>
      <c r="CKU119" s="225"/>
      <c r="CKV119" s="225"/>
      <c r="CKW119" s="225"/>
      <c r="CKX119" s="225"/>
      <c r="CKY119" s="225"/>
      <c r="CKZ119" s="225"/>
      <c r="CLA119" s="225"/>
      <c r="CLB119" s="225"/>
      <c r="CLC119" s="225"/>
      <c r="CLD119" s="225"/>
      <c r="CLE119" s="225"/>
      <c r="CLF119" s="225"/>
      <c r="CLG119" s="225"/>
      <c r="CLH119" s="225"/>
      <c r="CLI119" s="225"/>
      <c r="CLJ119" s="225"/>
      <c r="CLK119" s="225"/>
      <c r="CLL119" s="225"/>
      <c r="CLM119" s="225"/>
      <c r="CLN119" s="225"/>
      <c r="CLO119" s="225"/>
      <c r="CLP119" s="225"/>
      <c r="CLQ119" s="225"/>
      <c r="CLR119" s="225"/>
      <c r="CLS119" s="225"/>
      <c r="CLT119" s="225"/>
      <c r="CLU119" s="225"/>
      <c r="CLV119" s="225"/>
      <c r="CLW119" s="225"/>
      <c r="CLX119" s="225"/>
      <c r="CLY119" s="225"/>
      <c r="CLZ119" s="225"/>
      <c r="CMA119" s="225"/>
      <c r="CMB119" s="225"/>
      <c r="CMC119" s="225"/>
      <c r="CMD119" s="225"/>
      <c r="CME119" s="225"/>
      <c r="CMF119" s="225"/>
      <c r="CMG119" s="225"/>
      <c r="CMH119" s="225"/>
      <c r="CMI119" s="225"/>
      <c r="CMJ119" s="225"/>
      <c r="CMK119" s="225"/>
      <c r="CML119" s="225"/>
      <c r="CMM119" s="225"/>
      <c r="CMN119" s="225"/>
      <c r="CMO119" s="225"/>
      <c r="CMP119" s="225"/>
      <c r="CMQ119" s="225"/>
      <c r="CMR119" s="225"/>
      <c r="CMS119" s="225"/>
      <c r="CMT119" s="225"/>
      <c r="CMU119" s="225"/>
      <c r="CMV119" s="225"/>
      <c r="CMW119" s="225"/>
      <c r="CMX119" s="225"/>
      <c r="CMY119" s="225"/>
      <c r="CMZ119" s="225"/>
      <c r="CNA119" s="225"/>
      <c r="CNB119" s="225"/>
      <c r="CNC119" s="225"/>
      <c r="CND119" s="225"/>
      <c r="CNE119" s="225"/>
      <c r="CNF119" s="225"/>
      <c r="CNG119" s="225"/>
      <c r="CNH119" s="225"/>
      <c r="CNI119" s="225"/>
      <c r="CNJ119" s="225"/>
      <c r="CNK119" s="225"/>
      <c r="CNL119" s="225"/>
      <c r="CNM119" s="225"/>
      <c r="CNN119" s="225"/>
      <c r="CNO119" s="225"/>
      <c r="CNP119" s="225"/>
      <c r="CNQ119" s="225"/>
      <c r="CNR119" s="225"/>
      <c r="CNS119" s="225"/>
      <c r="CNT119" s="225"/>
      <c r="CNU119" s="225"/>
      <c r="CNV119" s="225"/>
      <c r="CNW119" s="225"/>
      <c r="CNX119" s="225"/>
      <c r="CNY119" s="225"/>
      <c r="CNZ119" s="225"/>
      <c r="COA119" s="225"/>
      <c r="COB119" s="225"/>
      <c r="COC119" s="225"/>
      <c r="COD119" s="225"/>
      <c r="COE119" s="225"/>
      <c r="COF119" s="225"/>
      <c r="COG119" s="225"/>
      <c r="COH119" s="225"/>
      <c r="COI119" s="225"/>
      <c r="COJ119" s="225"/>
      <c r="COK119" s="225"/>
      <c r="COL119" s="225"/>
      <c r="COM119" s="225"/>
      <c r="CON119" s="225"/>
      <c r="COO119" s="225"/>
      <c r="COP119" s="225"/>
      <c r="COQ119" s="225"/>
      <c r="COR119" s="225"/>
      <c r="COS119" s="225"/>
      <c r="COT119" s="225"/>
      <c r="COU119" s="225"/>
      <c r="COV119" s="225"/>
      <c r="COW119" s="225"/>
      <c r="COX119" s="225"/>
      <c r="COY119" s="225"/>
      <c r="COZ119" s="225"/>
      <c r="CPA119" s="225"/>
      <c r="CPB119" s="225"/>
      <c r="CPC119" s="225"/>
      <c r="CPD119" s="225"/>
      <c r="CPE119" s="225"/>
      <c r="CPF119" s="225"/>
      <c r="CPG119" s="225"/>
      <c r="CPH119" s="225"/>
      <c r="CPI119" s="225"/>
      <c r="CPJ119" s="225"/>
      <c r="CPK119" s="225"/>
      <c r="CPL119" s="225"/>
      <c r="CPM119" s="225"/>
      <c r="CPN119" s="225"/>
      <c r="CPO119" s="225"/>
      <c r="CPP119" s="225"/>
      <c r="CPQ119" s="225"/>
      <c r="CPR119" s="225"/>
      <c r="CPS119" s="225"/>
      <c r="CPT119" s="225"/>
      <c r="CPU119" s="225"/>
      <c r="CPV119" s="225"/>
      <c r="CPW119" s="225"/>
      <c r="CPX119" s="225"/>
      <c r="CPY119" s="225"/>
      <c r="CPZ119" s="225"/>
      <c r="CQA119" s="225"/>
      <c r="CQB119" s="225"/>
      <c r="CQC119" s="225"/>
      <c r="CQD119" s="225"/>
      <c r="CQE119" s="225"/>
      <c r="CQF119" s="225"/>
      <c r="CQG119" s="225"/>
      <c r="CQH119" s="225"/>
      <c r="CQI119" s="225"/>
      <c r="CQJ119" s="225"/>
      <c r="CQK119" s="225"/>
      <c r="CQL119" s="225"/>
      <c r="CQM119" s="225"/>
      <c r="CQN119" s="225"/>
      <c r="CQO119" s="225"/>
      <c r="CQP119" s="225"/>
      <c r="CQQ119" s="225"/>
      <c r="CQR119" s="225"/>
      <c r="CQS119" s="225"/>
      <c r="CQT119" s="225"/>
      <c r="CQU119" s="225"/>
      <c r="CQV119" s="225"/>
      <c r="CQW119" s="225"/>
      <c r="CQX119" s="225"/>
      <c r="CQY119" s="225"/>
      <c r="CQZ119" s="225"/>
      <c r="CRA119" s="225"/>
      <c r="CRB119" s="225"/>
      <c r="CRC119" s="225"/>
      <c r="CRD119" s="225"/>
      <c r="CRE119" s="225"/>
      <c r="CRF119" s="225"/>
      <c r="CRG119" s="225"/>
      <c r="CRH119" s="225"/>
      <c r="CRI119" s="225"/>
      <c r="CRJ119" s="225"/>
      <c r="CRK119" s="225"/>
      <c r="CRL119" s="225"/>
      <c r="CRM119" s="225"/>
      <c r="CRN119" s="225"/>
      <c r="CRO119" s="225"/>
      <c r="CRP119" s="225"/>
      <c r="CRQ119" s="225"/>
      <c r="CRR119" s="225"/>
      <c r="CRS119" s="225"/>
      <c r="CRT119" s="225"/>
      <c r="CRU119" s="225"/>
      <c r="CRV119" s="225"/>
      <c r="CRW119" s="225"/>
      <c r="CRX119" s="225"/>
      <c r="CRY119" s="225"/>
      <c r="CRZ119" s="225"/>
      <c r="CSA119" s="225"/>
      <c r="CSB119" s="225"/>
      <c r="CSC119" s="225"/>
      <c r="CSD119" s="225"/>
      <c r="CSE119" s="225"/>
      <c r="CSF119" s="225"/>
      <c r="CSG119" s="225"/>
      <c r="CSH119" s="225"/>
      <c r="CSI119" s="225"/>
      <c r="CSJ119" s="225"/>
      <c r="CSK119" s="225"/>
      <c r="CSL119" s="225"/>
      <c r="CSM119" s="225"/>
      <c r="CSN119" s="225"/>
      <c r="CSO119" s="225"/>
      <c r="CSP119" s="225"/>
      <c r="CSQ119" s="225"/>
      <c r="CSR119" s="225"/>
      <c r="CSS119" s="225"/>
      <c r="CST119" s="225"/>
      <c r="CSU119" s="225"/>
      <c r="CSV119" s="225"/>
      <c r="CSW119" s="225"/>
      <c r="CSX119" s="225"/>
      <c r="CSY119" s="225"/>
      <c r="CSZ119" s="225"/>
      <c r="CTA119" s="225"/>
      <c r="CTB119" s="225"/>
      <c r="CTC119" s="225"/>
      <c r="CTD119" s="225"/>
      <c r="CTE119" s="225"/>
      <c r="CTF119" s="225"/>
      <c r="CTG119" s="225"/>
      <c r="CTH119" s="225"/>
      <c r="CTI119" s="225"/>
      <c r="CTJ119" s="225"/>
      <c r="CTK119" s="225"/>
      <c r="CTL119" s="225"/>
      <c r="CTM119" s="225"/>
      <c r="CTN119" s="225"/>
      <c r="CTO119" s="225"/>
      <c r="CTP119" s="225"/>
      <c r="CTQ119" s="225"/>
      <c r="CTR119" s="225"/>
      <c r="CTS119" s="225"/>
      <c r="CTT119" s="225"/>
      <c r="CTU119" s="225"/>
      <c r="CTV119" s="225"/>
      <c r="CTW119" s="225"/>
      <c r="CTX119" s="225"/>
      <c r="CTY119" s="225"/>
      <c r="CTZ119" s="225"/>
      <c r="CUA119" s="225"/>
      <c r="CUB119" s="225"/>
      <c r="CUC119" s="225"/>
      <c r="CUD119" s="225"/>
      <c r="CUE119" s="225"/>
      <c r="CUF119" s="225"/>
      <c r="CUG119" s="225"/>
      <c r="CUH119" s="225"/>
      <c r="CUI119" s="225"/>
      <c r="CUJ119" s="225"/>
      <c r="CUK119" s="225"/>
      <c r="CUL119" s="225"/>
      <c r="CUM119" s="225"/>
      <c r="CUN119" s="225"/>
      <c r="CUO119" s="225"/>
      <c r="CUP119" s="225"/>
      <c r="CUQ119" s="225"/>
      <c r="CUR119" s="225"/>
      <c r="CUS119" s="225"/>
      <c r="CUT119" s="225"/>
      <c r="CUU119" s="225"/>
      <c r="CUV119" s="225"/>
      <c r="CUW119" s="225"/>
      <c r="CUX119" s="225"/>
      <c r="CUY119" s="225"/>
      <c r="CUZ119" s="225"/>
      <c r="CVA119" s="225"/>
      <c r="CVB119" s="225"/>
      <c r="CVC119" s="225"/>
      <c r="CVD119" s="225"/>
      <c r="CVE119" s="225"/>
      <c r="CVF119" s="225"/>
      <c r="CVG119" s="225"/>
      <c r="CVH119" s="225"/>
      <c r="CVI119" s="225"/>
      <c r="CVJ119" s="225"/>
      <c r="CVK119" s="225"/>
      <c r="CVL119" s="225"/>
      <c r="CVM119" s="225"/>
      <c r="CVN119" s="225"/>
      <c r="CVO119" s="225"/>
      <c r="CVP119" s="225"/>
      <c r="CVQ119" s="225"/>
      <c r="CVR119" s="225"/>
      <c r="CVS119" s="225"/>
      <c r="CVT119" s="225"/>
      <c r="CVU119" s="225"/>
      <c r="CVV119" s="225"/>
      <c r="CVW119" s="225"/>
      <c r="CVX119" s="225"/>
      <c r="CVY119" s="225"/>
      <c r="CVZ119" s="225"/>
      <c r="CWA119" s="225"/>
      <c r="CWB119" s="225"/>
      <c r="CWC119" s="225"/>
      <c r="CWD119" s="225"/>
      <c r="CWE119" s="225"/>
      <c r="CWF119" s="225"/>
      <c r="CWG119" s="225"/>
      <c r="CWH119" s="225"/>
      <c r="CWI119" s="225"/>
      <c r="CWJ119" s="225"/>
      <c r="CWK119" s="225"/>
      <c r="CWL119" s="225"/>
      <c r="CWM119" s="225"/>
      <c r="CWN119" s="225"/>
      <c r="CWO119" s="225"/>
      <c r="CWP119" s="225"/>
      <c r="CWQ119" s="225"/>
      <c r="CWR119" s="225"/>
      <c r="CWS119" s="225"/>
      <c r="CWT119" s="225"/>
      <c r="CWU119" s="225"/>
      <c r="CWV119" s="225"/>
      <c r="CWW119" s="225"/>
      <c r="CWX119" s="225"/>
      <c r="CWY119" s="225"/>
      <c r="CWZ119" s="225"/>
      <c r="CXA119" s="225"/>
      <c r="CXB119" s="225"/>
      <c r="CXC119" s="225"/>
      <c r="CXD119" s="225"/>
      <c r="CXE119" s="225"/>
      <c r="CXF119" s="225"/>
      <c r="CXG119" s="225"/>
      <c r="CXH119" s="225"/>
      <c r="CXI119" s="225"/>
      <c r="CXJ119" s="225"/>
      <c r="CXK119" s="225"/>
      <c r="CXL119" s="225"/>
      <c r="CXM119" s="225"/>
      <c r="CXN119" s="225"/>
      <c r="CXO119" s="225"/>
      <c r="CXP119" s="225"/>
      <c r="CXQ119" s="225"/>
      <c r="CXR119" s="225"/>
      <c r="CXS119" s="225"/>
      <c r="CXT119" s="225"/>
      <c r="CXU119" s="225"/>
      <c r="CXV119" s="225"/>
      <c r="CXW119" s="225"/>
      <c r="CXX119" s="225"/>
      <c r="CXY119" s="225"/>
      <c r="CXZ119" s="225"/>
      <c r="CYA119" s="225"/>
      <c r="CYB119" s="225"/>
      <c r="CYC119" s="225"/>
      <c r="CYD119" s="225"/>
      <c r="CYE119" s="225"/>
      <c r="CYF119" s="225"/>
      <c r="CYG119" s="225"/>
      <c r="CYH119" s="225"/>
      <c r="CYI119" s="225"/>
      <c r="CYJ119" s="225"/>
      <c r="CYK119" s="225"/>
      <c r="CYL119" s="225"/>
      <c r="CYM119" s="225"/>
      <c r="CYN119" s="225"/>
      <c r="CYO119" s="225"/>
      <c r="CYP119" s="225"/>
      <c r="CYQ119" s="225"/>
      <c r="CYR119" s="225"/>
      <c r="CYS119" s="225"/>
      <c r="CYT119" s="225"/>
      <c r="CYU119" s="225"/>
      <c r="CYV119" s="225"/>
      <c r="CYW119" s="225"/>
      <c r="CYX119" s="225"/>
      <c r="CYY119" s="225"/>
      <c r="CYZ119" s="225"/>
      <c r="CZA119" s="225"/>
      <c r="CZB119" s="225"/>
      <c r="CZC119" s="225"/>
      <c r="CZD119" s="225"/>
      <c r="CZE119" s="225"/>
      <c r="CZF119" s="225"/>
      <c r="CZG119" s="225"/>
      <c r="CZH119" s="225"/>
      <c r="CZI119" s="225"/>
      <c r="CZJ119" s="225"/>
      <c r="CZK119" s="225"/>
      <c r="CZL119" s="225"/>
      <c r="CZM119" s="225"/>
      <c r="CZN119" s="225"/>
      <c r="CZO119" s="225"/>
      <c r="CZP119" s="225"/>
      <c r="CZQ119" s="225"/>
      <c r="CZR119" s="225"/>
      <c r="CZS119" s="225"/>
      <c r="CZT119" s="225"/>
      <c r="CZU119" s="225"/>
      <c r="CZV119" s="225"/>
      <c r="CZW119" s="225"/>
      <c r="CZX119" s="225"/>
      <c r="CZY119" s="225"/>
      <c r="CZZ119" s="225"/>
      <c r="DAA119" s="225"/>
      <c r="DAB119" s="225"/>
      <c r="DAC119" s="225"/>
      <c r="DAD119" s="225"/>
      <c r="DAE119" s="225"/>
      <c r="DAF119" s="225"/>
      <c r="DAG119" s="225"/>
      <c r="DAH119" s="225"/>
      <c r="DAI119" s="225"/>
      <c r="DAJ119" s="225"/>
      <c r="DAK119" s="225"/>
      <c r="DAL119" s="225"/>
      <c r="DAM119" s="225"/>
      <c r="DAN119" s="225"/>
      <c r="DAO119" s="225"/>
      <c r="DAP119" s="225"/>
      <c r="DAQ119" s="225"/>
      <c r="DAR119" s="225"/>
      <c r="DAS119" s="225"/>
      <c r="DAT119" s="225"/>
      <c r="DAU119" s="225"/>
      <c r="DAV119" s="225"/>
      <c r="DAW119" s="225"/>
      <c r="DAX119" s="225"/>
      <c r="DAY119" s="225"/>
      <c r="DAZ119" s="225"/>
      <c r="DBA119" s="225"/>
      <c r="DBB119" s="225"/>
      <c r="DBC119" s="225"/>
      <c r="DBD119" s="225"/>
      <c r="DBE119" s="225"/>
      <c r="DBF119" s="225"/>
      <c r="DBG119" s="225"/>
      <c r="DBH119" s="225"/>
      <c r="DBI119" s="225"/>
      <c r="DBJ119" s="225"/>
      <c r="DBK119" s="225"/>
      <c r="DBL119" s="225"/>
      <c r="DBM119" s="225"/>
      <c r="DBN119" s="225"/>
      <c r="DBO119" s="225"/>
      <c r="DBP119" s="225"/>
      <c r="DBQ119" s="225"/>
      <c r="DBR119" s="225"/>
      <c r="DBS119" s="225"/>
      <c r="DBT119" s="225"/>
      <c r="DBU119" s="225"/>
      <c r="DBV119" s="225"/>
      <c r="DBW119" s="225"/>
      <c r="DBX119" s="225"/>
      <c r="DBY119" s="225"/>
      <c r="DBZ119" s="225"/>
      <c r="DCA119" s="225"/>
      <c r="DCB119" s="225"/>
      <c r="DCC119" s="225"/>
      <c r="DCD119" s="225"/>
      <c r="DCE119" s="225"/>
      <c r="DCF119" s="225"/>
      <c r="DCG119" s="225"/>
      <c r="DCH119" s="225"/>
      <c r="DCI119" s="225"/>
      <c r="DCJ119" s="225"/>
      <c r="DCK119" s="225"/>
      <c r="DCL119" s="225"/>
      <c r="DCM119" s="225"/>
      <c r="DCN119" s="225"/>
      <c r="DCO119" s="225"/>
      <c r="DCP119" s="225"/>
      <c r="DCQ119" s="225"/>
      <c r="DCR119" s="225"/>
      <c r="DCS119" s="225"/>
      <c r="DCT119" s="225"/>
      <c r="DCU119" s="225"/>
      <c r="DCV119" s="225"/>
      <c r="DCW119" s="225"/>
      <c r="DCX119" s="225"/>
      <c r="DCY119" s="225"/>
      <c r="DCZ119" s="225"/>
      <c r="DDA119" s="225"/>
      <c r="DDB119" s="225"/>
      <c r="DDC119" s="225"/>
      <c r="DDD119" s="225"/>
      <c r="DDE119" s="225"/>
      <c r="DDF119" s="225"/>
      <c r="DDG119" s="225"/>
      <c r="DDH119" s="225"/>
      <c r="DDI119" s="225"/>
      <c r="DDJ119" s="225"/>
      <c r="DDK119" s="225"/>
      <c r="DDL119" s="225"/>
      <c r="DDM119" s="225"/>
      <c r="DDN119" s="225"/>
      <c r="DDO119" s="225"/>
      <c r="DDP119" s="225"/>
      <c r="DDQ119" s="225"/>
      <c r="DDR119" s="225"/>
      <c r="DDS119" s="225"/>
      <c r="DDT119" s="225"/>
      <c r="DDU119" s="225"/>
      <c r="DDV119" s="225"/>
      <c r="DDW119" s="225"/>
      <c r="DDX119" s="225"/>
      <c r="DDY119" s="225"/>
      <c r="DDZ119" s="225"/>
      <c r="DEA119" s="225"/>
      <c r="DEB119" s="225"/>
      <c r="DEC119" s="225"/>
      <c r="DED119" s="225"/>
      <c r="DEE119" s="225"/>
      <c r="DEF119" s="225"/>
      <c r="DEG119" s="225"/>
      <c r="DEH119" s="225"/>
      <c r="DEI119" s="225"/>
      <c r="DEJ119" s="225"/>
      <c r="DEK119" s="225"/>
      <c r="DEL119" s="225"/>
      <c r="DEM119" s="225"/>
      <c r="DEN119" s="225"/>
      <c r="DEO119" s="225"/>
      <c r="DEP119" s="225"/>
      <c r="DEQ119" s="225"/>
      <c r="DER119" s="225"/>
      <c r="DES119" s="225"/>
      <c r="DET119" s="225"/>
      <c r="DEU119" s="225"/>
      <c r="DEV119" s="225"/>
      <c r="DEW119" s="225"/>
      <c r="DEX119" s="225"/>
      <c r="DEY119" s="225"/>
      <c r="DEZ119" s="225"/>
      <c r="DFA119" s="225"/>
      <c r="DFB119" s="225"/>
      <c r="DFC119" s="225"/>
      <c r="DFD119" s="225"/>
      <c r="DFE119" s="225"/>
      <c r="DFF119" s="225"/>
      <c r="DFG119" s="225"/>
      <c r="DFH119" s="225"/>
      <c r="DFI119" s="225"/>
      <c r="DFJ119" s="225"/>
      <c r="DFK119" s="225"/>
      <c r="DFL119" s="225"/>
      <c r="DFM119" s="225"/>
      <c r="DFN119" s="225"/>
      <c r="DFO119" s="225"/>
      <c r="DFP119" s="225"/>
      <c r="DFQ119" s="225"/>
      <c r="DFR119" s="225"/>
      <c r="DFS119" s="225"/>
      <c r="DFT119" s="225"/>
      <c r="DFU119" s="225"/>
      <c r="DFV119" s="225"/>
      <c r="DFW119" s="225"/>
      <c r="DFX119" s="225"/>
      <c r="DFY119" s="225"/>
      <c r="DFZ119" s="225"/>
      <c r="DGA119" s="225"/>
      <c r="DGB119" s="225"/>
      <c r="DGC119" s="225"/>
      <c r="DGD119" s="225"/>
      <c r="DGE119" s="225"/>
      <c r="DGF119" s="225"/>
      <c r="DGG119" s="225"/>
      <c r="DGH119" s="225"/>
      <c r="DGI119" s="225"/>
      <c r="DGJ119" s="225"/>
      <c r="DGK119" s="225"/>
      <c r="DGL119" s="225"/>
      <c r="DGM119" s="225"/>
      <c r="DGN119" s="225"/>
      <c r="DGO119" s="225"/>
      <c r="DGP119" s="225"/>
      <c r="DGQ119" s="225"/>
      <c r="DGR119" s="225"/>
      <c r="DGS119" s="225"/>
      <c r="DGT119" s="225"/>
      <c r="DGU119" s="225"/>
      <c r="DGV119" s="225"/>
      <c r="DGW119" s="225"/>
      <c r="DGX119" s="225"/>
      <c r="DGY119" s="225"/>
      <c r="DGZ119" s="225"/>
      <c r="DHA119" s="225"/>
      <c r="DHB119" s="225"/>
      <c r="DHC119" s="225"/>
      <c r="DHD119" s="225"/>
      <c r="DHE119" s="225"/>
      <c r="DHF119" s="225"/>
      <c r="DHG119" s="225"/>
      <c r="DHH119" s="225"/>
      <c r="DHI119" s="225"/>
      <c r="DHJ119" s="225"/>
      <c r="DHK119" s="225"/>
      <c r="DHL119" s="225"/>
      <c r="DHM119" s="225"/>
      <c r="DHN119" s="225"/>
      <c r="DHO119" s="225"/>
      <c r="DHP119" s="225"/>
      <c r="DHQ119" s="225"/>
      <c r="DHR119" s="225"/>
      <c r="DHS119" s="225"/>
      <c r="DHT119" s="225"/>
      <c r="DHU119" s="225"/>
      <c r="DHV119" s="225"/>
      <c r="DHW119" s="225"/>
      <c r="DHX119" s="225"/>
      <c r="DHY119" s="225"/>
      <c r="DHZ119" s="225"/>
      <c r="DIA119" s="225"/>
      <c r="DIB119" s="225"/>
      <c r="DIC119" s="225"/>
      <c r="DID119" s="225"/>
      <c r="DIE119" s="225"/>
      <c r="DIF119" s="225"/>
      <c r="DIG119" s="225"/>
      <c r="DIH119" s="225"/>
      <c r="DII119" s="225"/>
      <c r="DIJ119" s="225"/>
      <c r="DIK119" s="225"/>
      <c r="DIL119" s="225"/>
      <c r="DIM119" s="225"/>
      <c r="DIN119" s="225"/>
      <c r="DIO119" s="225"/>
      <c r="DIP119" s="225"/>
      <c r="DIQ119" s="225"/>
      <c r="DIR119" s="225"/>
      <c r="DIS119" s="225"/>
      <c r="DIT119" s="225"/>
      <c r="DIU119" s="225"/>
      <c r="DIV119" s="225"/>
      <c r="DIW119" s="225"/>
      <c r="DIX119" s="225"/>
      <c r="DIY119" s="225"/>
      <c r="DIZ119" s="225"/>
      <c r="DJA119" s="225"/>
      <c r="DJB119" s="225"/>
      <c r="DJC119" s="225"/>
      <c r="DJD119" s="225"/>
      <c r="DJE119" s="225"/>
      <c r="DJF119" s="225"/>
      <c r="DJG119" s="225"/>
      <c r="DJH119" s="225"/>
      <c r="DJI119" s="225"/>
      <c r="DJJ119" s="225"/>
      <c r="DJK119" s="225"/>
      <c r="DJL119" s="225"/>
      <c r="DJM119" s="225"/>
      <c r="DJN119" s="225"/>
      <c r="DJO119" s="225"/>
      <c r="DJP119" s="225"/>
      <c r="DJQ119" s="225"/>
      <c r="DJR119" s="225"/>
      <c r="DJS119" s="225"/>
      <c r="DJT119" s="225"/>
      <c r="DJU119" s="225"/>
      <c r="DJV119" s="225"/>
      <c r="DJW119" s="225"/>
      <c r="DJX119" s="225"/>
      <c r="DJY119" s="225"/>
      <c r="DJZ119" s="225"/>
      <c r="DKA119" s="225"/>
      <c r="DKB119" s="225"/>
      <c r="DKC119" s="225"/>
      <c r="DKD119" s="225"/>
      <c r="DKE119" s="225"/>
      <c r="DKF119" s="225"/>
      <c r="DKG119" s="225"/>
      <c r="DKH119" s="225"/>
      <c r="DKI119" s="225"/>
      <c r="DKJ119" s="225"/>
      <c r="DKK119" s="225"/>
      <c r="DKL119" s="225"/>
      <c r="DKM119" s="225"/>
      <c r="DKN119" s="225"/>
      <c r="DKO119" s="225"/>
      <c r="DKP119" s="225"/>
      <c r="DKQ119" s="225"/>
      <c r="DKR119" s="225"/>
      <c r="DKS119" s="225"/>
      <c r="DKT119" s="225"/>
      <c r="DKU119" s="225"/>
      <c r="DKV119" s="225"/>
      <c r="DKW119" s="225"/>
      <c r="DKX119" s="225"/>
      <c r="DKY119" s="225"/>
      <c r="DKZ119" s="225"/>
      <c r="DLA119" s="225"/>
      <c r="DLB119" s="225"/>
      <c r="DLC119" s="225"/>
      <c r="DLD119" s="225"/>
      <c r="DLE119" s="225"/>
      <c r="DLF119" s="225"/>
      <c r="DLG119" s="225"/>
      <c r="DLH119" s="225"/>
      <c r="DLI119" s="225"/>
      <c r="DLJ119" s="225"/>
      <c r="DLK119" s="225"/>
      <c r="DLL119" s="225"/>
      <c r="DLM119" s="225"/>
      <c r="DLN119" s="225"/>
      <c r="DLO119" s="225"/>
      <c r="DLP119" s="225"/>
      <c r="DLQ119" s="225"/>
      <c r="DLR119" s="225"/>
      <c r="DLS119" s="225"/>
      <c r="DLT119" s="225"/>
      <c r="DLU119" s="225"/>
      <c r="DLV119" s="225"/>
      <c r="DLW119" s="225"/>
      <c r="DLX119" s="225"/>
      <c r="DLY119" s="225"/>
      <c r="DLZ119" s="225"/>
      <c r="DMA119" s="225"/>
      <c r="DMB119" s="225"/>
      <c r="DMC119" s="225"/>
      <c r="DMD119" s="225"/>
      <c r="DME119" s="225"/>
      <c r="DMF119" s="225"/>
      <c r="DMG119" s="225"/>
      <c r="DMH119" s="225"/>
      <c r="DMI119" s="225"/>
      <c r="DMJ119" s="225"/>
      <c r="DMK119" s="225"/>
      <c r="DML119" s="225"/>
      <c r="DMM119" s="225"/>
      <c r="DMN119" s="225"/>
      <c r="DMO119" s="225"/>
      <c r="DMP119" s="225"/>
      <c r="DMQ119" s="225"/>
      <c r="DMR119" s="225"/>
      <c r="DMS119" s="225"/>
      <c r="DMT119" s="225"/>
      <c r="DMU119" s="225"/>
      <c r="DMV119" s="225"/>
      <c r="DMW119" s="225"/>
      <c r="DMX119" s="225"/>
      <c r="DMY119" s="225"/>
      <c r="DMZ119" s="225"/>
      <c r="DNA119" s="225"/>
      <c r="DNB119" s="225"/>
      <c r="DNC119" s="225"/>
      <c r="DND119" s="225"/>
      <c r="DNE119" s="225"/>
      <c r="DNF119" s="225"/>
      <c r="DNG119" s="225"/>
      <c r="DNH119" s="225"/>
      <c r="DNI119" s="225"/>
      <c r="DNJ119" s="225"/>
      <c r="DNK119" s="225"/>
      <c r="DNL119" s="225"/>
      <c r="DNM119" s="225"/>
      <c r="DNN119" s="225"/>
      <c r="DNO119" s="225"/>
      <c r="DNP119" s="225"/>
      <c r="DNQ119" s="225"/>
      <c r="DNR119" s="225"/>
      <c r="DNS119" s="225"/>
      <c r="DNT119" s="225"/>
      <c r="DNU119" s="225"/>
      <c r="DNV119" s="225"/>
      <c r="DNW119" s="225"/>
      <c r="DNX119" s="225"/>
      <c r="DNY119" s="225"/>
      <c r="DNZ119" s="225"/>
      <c r="DOA119" s="225"/>
      <c r="DOB119" s="225"/>
      <c r="DOC119" s="225"/>
      <c r="DOD119" s="225"/>
      <c r="DOE119" s="225"/>
      <c r="DOF119" s="225"/>
      <c r="DOG119" s="225"/>
      <c r="DOH119" s="225"/>
      <c r="DOI119" s="225"/>
      <c r="DOJ119" s="225"/>
      <c r="DOK119" s="225"/>
      <c r="DOL119" s="225"/>
      <c r="DOM119" s="225"/>
      <c r="DON119" s="225"/>
      <c r="DOO119" s="225"/>
      <c r="DOP119" s="225"/>
      <c r="DOQ119" s="225"/>
      <c r="DOR119" s="225"/>
      <c r="DOS119" s="225"/>
      <c r="DOT119" s="225"/>
      <c r="DOU119" s="225"/>
      <c r="DOV119" s="225"/>
      <c r="DOW119" s="225"/>
      <c r="DOX119" s="225"/>
      <c r="DOY119" s="225"/>
      <c r="DOZ119" s="225"/>
      <c r="DPA119" s="225"/>
      <c r="DPB119" s="225"/>
      <c r="DPC119" s="225"/>
      <c r="DPD119" s="225"/>
      <c r="DPE119" s="225"/>
      <c r="DPF119" s="225"/>
      <c r="DPG119" s="225"/>
      <c r="DPH119" s="225"/>
      <c r="DPI119" s="225"/>
      <c r="DPJ119" s="225"/>
      <c r="DPK119" s="225"/>
      <c r="DPL119" s="225"/>
      <c r="DPM119" s="225"/>
      <c r="DPN119" s="225"/>
      <c r="DPO119" s="225"/>
      <c r="DPP119" s="225"/>
      <c r="DPQ119" s="225"/>
      <c r="DPR119" s="225"/>
      <c r="DPS119" s="225"/>
      <c r="DPT119" s="225"/>
      <c r="DPU119" s="225"/>
      <c r="DPV119" s="225"/>
      <c r="DPW119" s="225"/>
      <c r="DPX119" s="225"/>
      <c r="DPY119" s="225"/>
      <c r="DPZ119" s="225"/>
      <c r="DQA119" s="225"/>
      <c r="DQB119" s="225"/>
      <c r="DQC119" s="225"/>
      <c r="DQD119" s="225"/>
      <c r="DQE119" s="225"/>
      <c r="DQF119" s="225"/>
      <c r="DQG119" s="225"/>
      <c r="DQH119" s="225"/>
      <c r="DQI119" s="225"/>
      <c r="DQJ119" s="225"/>
      <c r="DQK119" s="225"/>
      <c r="DQL119" s="225"/>
      <c r="DQM119" s="225"/>
      <c r="DQN119" s="225"/>
      <c r="DQO119" s="225"/>
      <c r="DQP119" s="225"/>
      <c r="DQQ119" s="225"/>
      <c r="DQR119" s="225"/>
      <c r="DQS119" s="225"/>
      <c r="DQT119" s="225"/>
      <c r="DQU119" s="225"/>
      <c r="DQV119" s="225"/>
      <c r="DQW119" s="225"/>
      <c r="DQX119" s="225"/>
      <c r="DQY119" s="225"/>
      <c r="DQZ119" s="225"/>
      <c r="DRA119" s="225"/>
      <c r="DRB119" s="225"/>
      <c r="DRC119" s="225"/>
      <c r="DRD119" s="225"/>
      <c r="DRE119" s="225"/>
      <c r="DRF119" s="225"/>
      <c r="DRG119" s="225"/>
      <c r="DRH119" s="225"/>
      <c r="DRI119" s="225"/>
      <c r="DRJ119" s="225"/>
      <c r="DRK119" s="225"/>
      <c r="DRL119" s="225"/>
      <c r="DRM119" s="225"/>
      <c r="DRN119" s="225"/>
      <c r="DRO119" s="225"/>
      <c r="DRP119" s="225"/>
      <c r="DRQ119" s="225"/>
      <c r="DRR119" s="225"/>
      <c r="DRS119" s="225"/>
      <c r="DRT119" s="225"/>
      <c r="DRU119" s="225"/>
      <c r="DRV119" s="225"/>
      <c r="DRW119" s="225"/>
      <c r="DRX119" s="225"/>
      <c r="DRY119" s="225"/>
      <c r="DRZ119" s="225"/>
      <c r="DSA119" s="225"/>
      <c r="DSB119" s="225"/>
      <c r="DSC119" s="225"/>
      <c r="DSD119" s="225"/>
      <c r="DSE119" s="225"/>
      <c r="DSF119" s="225"/>
      <c r="DSG119" s="225"/>
      <c r="DSH119" s="225"/>
      <c r="DSI119" s="225"/>
      <c r="DSJ119" s="225"/>
      <c r="DSK119" s="225"/>
      <c r="DSL119" s="225"/>
      <c r="DSM119" s="225"/>
      <c r="DSN119" s="225"/>
      <c r="DSO119" s="225"/>
      <c r="DSP119" s="225"/>
      <c r="DSQ119" s="225"/>
      <c r="DSR119" s="225"/>
      <c r="DSS119" s="225"/>
      <c r="DST119" s="225"/>
      <c r="DSU119" s="225"/>
      <c r="DSV119" s="225"/>
      <c r="DSW119" s="225"/>
      <c r="DSX119" s="225"/>
      <c r="DSY119" s="225"/>
      <c r="DSZ119" s="225"/>
      <c r="DTA119" s="225"/>
      <c r="DTB119" s="225"/>
      <c r="DTC119" s="225"/>
      <c r="DTD119" s="225"/>
      <c r="DTE119" s="225"/>
      <c r="DTF119" s="225"/>
      <c r="DTG119" s="225"/>
      <c r="DTH119" s="225"/>
      <c r="DTI119" s="225"/>
      <c r="DTJ119" s="225"/>
      <c r="DTK119" s="225"/>
      <c r="DTL119" s="225"/>
      <c r="DTM119" s="225"/>
      <c r="DTN119" s="225"/>
      <c r="DTO119" s="225"/>
      <c r="DTP119" s="225"/>
      <c r="DTQ119" s="225"/>
      <c r="DTR119" s="225"/>
      <c r="DTS119" s="225"/>
      <c r="DTT119" s="225"/>
      <c r="DTU119" s="225"/>
      <c r="DTV119" s="225"/>
      <c r="DTW119" s="225"/>
      <c r="DTX119" s="225"/>
      <c r="DTY119" s="225"/>
      <c r="DTZ119" s="225"/>
      <c r="DUA119" s="225"/>
      <c r="DUB119" s="225"/>
      <c r="DUC119" s="225"/>
      <c r="DUD119" s="225"/>
      <c r="DUE119" s="225"/>
      <c r="DUF119" s="225"/>
      <c r="DUG119" s="225"/>
      <c r="DUH119" s="225"/>
      <c r="DUI119" s="225"/>
      <c r="DUJ119" s="225"/>
      <c r="DUK119" s="225"/>
      <c r="DUL119" s="225"/>
      <c r="DUM119" s="225"/>
      <c r="DUN119" s="225"/>
      <c r="DUO119" s="225"/>
      <c r="DUP119" s="225"/>
      <c r="DUQ119" s="225"/>
      <c r="DUR119" s="225"/>
      <c r="DUS119" s="225"/>
      <c r="DUT119" s="225"/>
      <c r="DUU119" s="225"/>
      <c r="DUV119" s="225"/>
      <c r="DUW119" s="225"/>
      <c r="DUX119" s="225"/>
      <c r="DUY119" s="225"/>
      <c r="DUZ119" s="225"/>
      <c r="DVA119" s="225"/>
      <c r="DVB119" s="225"/>
      <c r="DVC119" s="225"/>
      <c r="DVD119" s="225"/>
      <c r="DVE119" s="225"/>
      <c r="DVF119" s="225"/>
      <c r="DVG119" s="225"/>
      <c r="DVH119" s="225"/>
      <c r="DVI119" s="225"/>
      <c r="DVJ119" s="225"/>
      <c r="DVK119" s="225"/>
      <c r="DVL119" s="225"/>
      <c r="DVM119" s="225"/>
      <c r="DVN119" s="225"/>
      <c r="DVO119" s="225"/>
      <c r="DVP119" s="225"/>
      <c r="DVQ119" s="225"/>
      <c r="DVR119" s="225"/>
      <c r="DVS119" s="225"/>
      <c r="DVT119" s="225"/>
      <c r="DVU119" s="225"/>
      <c r="DVV119" s="225"/>
      <c r="DVW119" s="225"/>
      <c r="DVX119" s="225"/>
      <c r="DVY119" s="225"/>
      <c r="DVZ119" s="225"/>
      <c r="DWA119" s="225"/>
      <c r="DWB119" s="225"/>
      <c r="DWC119" s="225"/>
      <c r="DWD119" s="225"/>
      <c r="DWE119" s="225"/>
      <c r="DWF119" s="225"/>
      <c r="DWG119" s="225"/>
      <c r="DWH119" s="225"/>
      <c r="DWI119" s="225"/>
      <c r="DWJ119" s="225"/>
      <c r="DWK119" s="225"/>
      <c r="DWL119" s="225"/>
      <c r="DWM119" s="225"/>
      <c r="DWN119" s="225"/>
      <c r="DWO119" s="225"/>
      <c r="DWP119" s="225"/>
      <c r="DWQ119" s="225"/>
      <c r="DWR119" s="225"/>
      <c r="DWS119" s="225"/>
      <c r="DWT119" s="225"/>
      <c r="DWU119" s="225"/>
      <c r="DWV119" s="225"/>
      <c r="DWW119" s="225"/>
      <c r="DWX119" s="225"/>
      <c r="DWY119" s="225"/>
      <c r="DWZ119" s="225"/>
      <c r="DXA119" s="225"/>
      <c r="DXB119" s="225"/>
      <c r="DXC119" s="225"/>
      <c r="DXD119" s="225"/>
      <c r="DXE119" s="225"/>
      <c r="DXF119" s="225"/>
      <c r="DXG119" s="225"/>
      <c r="DXH119" s="225"/>
      <c r="DXI119" s="225"/>
      <c r="DXJ119" s="225"/>
      <c r="DXK119" s="225"/>
      <c r="DXL119" s="225"/>
      <c r="DXM119" s="225"/>
      <c r="DXN119" s="225"/>
      <c r="DXO119" s="225"/>
      <c r="DXP119" s="225"/>
      <c r="DXQ119" s="225"/>
      <c r="DXR119" s="225"/>
      <c r="DXS119" s="225"/>
      <c r="DXT119" s="225"/>
      <c r="DXU119" s="225"/>
      <c r="DXV119" s="225"/>
      <c r="DXW119" s="225"/>
      <c r="DXX119" s="225"/>
      <c r="DXY119" s="225"/>
      <c r="DXZ119" s="225"/>
      <c r="DYA119" s="225"/>
      <c r="DYB119" s="225"/>
      <c r="DYC119" s="225"/>
      <c r="DYD119" s="225"/>
      <c r="DYE119" s="225"/>
      <c r="DYF119" s="225"/>
      <c r="DYG119" s="225"/>
      <c r="DYH119" s="225"/>
      <c r="DYI119" s="225"/>
      <c r="DYJ119" s="225"/>
      <c r="DYK119" s="225"/>
      <c r="DYL119" s="225"/>
      <c r="DYM119" s="225"/>
      <c r="DYN119" s="225"/>
      <c r="DYO119" s="225"/>
      <c r="DYP119" s="225"/>
      <c r="DYQ119" s="225"/>
      <c r="DYR119" s="225"/>
      <c r="DYS119" s="225"/>
      <c r="DYT119" s="225"/>
      <c r="DYU119" s="225"/>
      <c r="DYV119" s="225"/>
      <c r="DYW119" s="225"/>
      <c r="DYX119" s="225"/>
      <c r="DYY119" s="225"/>
      <c r="DYZ119" s="225"/>
      <c r="DZA119" s="225"/>
      <c r="DZB119" s="225"/>
      <c r="DZC119" s="225"/>
      <c r="DZD119" s="225"/>
      <c r="DZE119" s="225"/>
      <c r="DZF119" s="225"/>
      <c r="DZG119" s="225"/>
      <c r="DZH119" s="225"/>
      <c r="DZI119" s="225"/>
      <c r="DZJ119" s="225"/>
      <c r="DZK119" s="225"/>
      <c r="DZL119" s="225"/>
      <c r="DZM119" s="225"/>
      <c r="DZN119" s="225"/>
      <c r="DZO119" s="225"/>
      <c r="DZP119" s="225"/>
      <c r="DZQ119" s="225"/>
      <c r="DZR119" s="225"/>
      <c r="DZS119" s="225"/>
      <c r="DZT119" s="225"/>
      <c r="DZU119" s="225"/>
      <c r="DZV119" s="225"/>
      <c r="DZW119" s="225"/>
      <c r="DZX119" s="225"/>
      <c r="DZY119" s="225"/>
      <c r="DZZ119" s="225"/>
      <c r="EAA119" s="225"/>
      <c r="EAB119" s="225"/>
      <c r="EAC119" s="225"/>
      <c r="EAD119" s="225"/>
      <c r="EAE119" s="225"/>
      <c r="EAF119" s="225"/>
      <c r="EAG119" s="225"/>
      <c r="EAH119" s="225"/>
      <c r="EAI119" s="225"/>
      <c r="EAJ119" s="225"/>
      <c r="EAK119" s="225"/>
      <c r="EAL119" s="225"/>
      <c r="EAM119" s="225"/>
      <c r="EAN119" s="225"/>
      <c r="EAO119" s="225"/>
      <c r="EAP119" s="225"/>
      <c r="EAQ119" s="225"/>
      <c r="EAR119" s="225"/>
      <c r="EAS119" s="225"/>
      <c r="EAT119" s="225"/>
      <c r="EAU119" s="225"/>
      <c r="EAV119" s="225"/>
      <c r="EAW119" s="225"/>
      <c r="EAX119" s="225"/>
      <c r="EAY119" s="225"/>
      <c r="EAZ119" s="225"/>
      <c r="EBA119" s="225"/>
      <c r="EBB119" s="225"/>
      <c r="EBC119" s="225"/>
      <c r="EBD119" s="225"/>
      <c r="EBE119" s="225"/>
      <c r="EBF119" s="225"/>
      <c r="EBG119" s="225"/>
      <c r="EBH119" s="225"/>
      <c r="EBI119" s="225"/>
      <c r="EBJ119" s="225"/>
      <c r="EBK119" s="225"/>
      <c r="EBL119" s="225"/>
      <c r="EBM119" s="225"/>
      <c r="EBN119" s="225"/>
      <c r="EBO119" s="225"/>
      <c r="EBP119" s="225"/>
      <c r="EBQ119" s="225"/>
      <c r="EBR119" s="225"/>
      <c r="EBS119" s="225"/>
      <c r="EBT119" s="225"/>
      <c r="EBU119" s="225"/>
      <c r="EBV119" s="225"/>
      <c r="EBW119" s="225"/>
      <c r="EBX119" s="225"/>
      <c r="EBY119" s="225"/>
      <c r="EBZ119" s="225"/>
      <c r="ECA119" s="225"/>
      <c r="ECB119" s="225"/>
      <c r="ECC119" s="225"/>
      <c r="ECD119" s="225"/>
      <c r="ECE119" s="225"/>
      <c r="ECF119" s="225"/>
      <c r="ECG119" s="225"/>
      <c r="ECH119" s="225"/>
      <c r="ECI119" s="225"/>
      <c r="ECJ119" s="225"/>
      <c r="ECK119" s="225"/>
      <c r="ECL119" s="225"/>
      <c r="ECM119" s="225"/>
      <c r="ECN119" s="225"/>
      <c r="ECO119" s="225"/>
      <c r="ECP119" s="225"/>
      <c r="ECQ119" s="225"/>
      <c r="ECR119" s="225"/>
      <c r="ECS119" s="225"/>
      <c r="ECT119" s="225"/>
      <c r="ECU119" s="225"/>
      <c r="ECV119" s="225"/>
      <c r="ECW119" s="225"/>
      <c r="ECX119" s="225"/>
      <c r="ECY119" s="225"/>
      <c r="ECZ119" s="225"/>
      <c r="EDA119" s="225"/>
      <c r="EDB119" s="225"/>
      <c r="EDC119" s="225"/>
      <c r="EDD119" s="225"/>
      <c r="EDE119" s="225"/>
      <c r="EDF119" s="225"/>
      <c r="EDG119" s="225"/>
      <c r="EDH119" s="225"/>
      <c r="EDI119" s="225"/>
      <c r="EDJ119" s="225"/>
      <c r="EDK119" s="225"/>
      <c r="EDL119" s="225"/>
      <c r="EDM119" s="225"/>
      <c r="EDN119" s="225"/>
      <c r="EDO119" s="225"/>
      <c r="EDP119" s="225"/>
      <c r="EDQ119" s="225"/>
      <c r="EDR119" s="225"/>
      <c r="EDS119" s="225"/>
      <c r="EDT119" s="225"/>
      <c r="EDU119" s="225"/>
      <c r="EDV119" s="225"/>
      <c r="EDW119" s="225"/>
      <c r="EDX119" s="225"/>
      <c r="EDY119" s="225"/>
      <c r="EDZ119" s="225"/>
      <c r="EEA119" s="225"/>
      <c r="EEB119" s="225"/>
      <c r="EEC119" s="225"/>
      <c r="EED119" s="225"/>
      <c r="EEE119" s="225"/>
      <c r="EEF119" s="225"/>
      <c r="EEG119" s="225"/>
      <c r="EEH119" s="225"/>
      <c r="EEI119" s="225"/>
      <c r="EEJ119" s="225"/>
      <c r="EEK119" s="225"/>
      <c r="EEL119" s="225"/>
      <c r="EEM119" s="225"/>
      <c r="EEN119" s="225"/>
      <c r="EEO119" s="225"/>
      <c r="EEP119" s="225"/>
      <c r="EEQ119" s="225"/>
      <c r="EER119" s="225"/>
      <c r="EES119" s="225"/>
      <c r="EET119" s="225"/>
      <c r="EEU119" s="225"/>
      <c r="EEV119" s="225"/>
      <c r="EEW119" s="225"/>
      <c r="EEX119" s="225"/>
      <c r="EEY119" s="225"/>
      <c r="EEZ119" s="225"/>
      <c r="EFA119" s="225"/>
      <c r="EFB119" s="225"/>
      <c r="EFC119" s="225"/>
      <c r="EFD119" s="225"/>
      <c r="EFE119" s="225"/>
      <c r="EFF119" s="225"/>
      <c r="EFG119" s="225"/>
      <c r="EFH119" s="225"/>
      <c r="EFI119" s="225"/>
      <c r="EFJ119" s="225"/>
      <c r="EFK119" s="225"/>
      <c r="EFL119" s="225"/>
      <c r="EFM119" s="225"/>
      <c r="EFN119" s="225"/>
      <c r="EFO119" s="225"/>
      <c r="EFP119" s="225"/>
      <c r="EFQ119" s="225"/>
      <c r="EFR119" s="225"/>
      <c r="EFS119" s="225"/>
      <c r="EFT119" s="225"/>
      <c r="EFU119" s="225"/>
      <c r="EFV119" s="225"/>
      <c r="EFW119" s="225"/>
      <c r="EFX119" s="225"/>
      <c r="EFY119" s="225"/>
      <c r="EFZ119" s="225"/>
      <c r="EGA119" s="225"/>
      <c r="EGB119" s="225"/>
      <c r="EGC119" s="225"/>
      <c r="EGD119" s="225"/>
      <c r="EGE119" s="225"/>
      <c r="EGF119" s="225"/>
      <c r="EGG119" s="225"/>
      <c r="EGH119" s="225"/>
      <c r="EGI119" s="225"/>
      <c r="EGJ119" s="225"/>
      <c r="EGK119" s="225"/>
      <c r="EGL119" s="225"/>
      <c r="EGM119" s="225"/>
      <c r="EGN119" s="225"/>
      <c r="EGO119" s="225"/>
      <c r="EGP119" s="225"/>
      <c r="EGQ119" s="225"/>
      <c r="EGR119" s="225"/>
      <c r="EGS119" s="225"/>
      <c r="EGT119" s="225"/>
      <c r="EGU119" s="225"/>
      <c r="EGV119" s="225"/>
      <c r="EGW119" s="225"/>
      <c r="EGX119" s="225"/>
      <c r="EGY119" s="225"/>
      <c r="EGZ119" s="225"/>
      <c r="EHA119" s="225"/>
      <c r="EHB119" s="225"/>
      <c r="EHC119" s="225"/>
      <c r="EHD119" s="225"/>
      <c r="EHE119" s="225"/>
      <c r="EHF119" s="225"/>
      <c r="EHG119" s="225"/>
      <c r="EHH119" s="225"/>
      <c r="EHI119" s="225"/>
      <c r="EHJ119" s="225"/>
      <c r="EHK119" s="225"/>
      <c r="EHL119" s="225"/>
      <c r="EHM119" s="225"/>
      <c r="EHN119" s="225"/>
      <c r="EHO119" s="225"/>
      <c r="EHP119" s="225"/>
      <c r="EHQ119" s="225"/>
      <c r="EHR119" s="225"/>
      <c r="EHS119" s="225"/>
      <c r="EHT119" s="225"/>
      <c r="EHU119" s="225"/>
      <c r="EHV119" s="225"/>
      <c r="EHW119" s="225"/>
      <c r="EHX119" s="225"/>
      <c r="EHY119" s="225"/>
      <c r="EHZ119" s="225"/>
      <c r="EIA119" s="225"/>
      <c r="EIB119" s="225"/>
      <c r="EIC119" s="225"/>
      <c r="EID119" s="225"/>
      <c r="EIE119" s="225"/>
      <c r="EIF119" s="225"/>
      <c r="EIG119" s="225"/>
      <c r="EIH119" s="225"/>
      <c r="EII119" s="225"/>
      <c r="EIJ119" s="225"/>
      <c r="EIK119" s="225"/>
      <c r="EIL119" s="225"/>
      <c r="EIM119" s="225"/>
      <c r="EIN119" s="225"/>
      <c r="EIO119" s="225"/>
      <c r="EIP119" s="225"/>
      <c r="EIQ119" s="225"/>
      <c r="EIR119" s="225"/>
      <c r="EIS119" s="225"/>
      <c r="EIT119" s="225"/>
      <c r="EIU119" s="225"/>
      <c r="EIV119" s="225"/>
      <c r="EIW119" s="225"/>
      <c r="EIX119" s="225"/>
      <c r="EIY119" s="225"/>
      <c r="EIZ119" s="225"/>
      <c r="EJA119" s="225"/>
      <c r="EJB119" s="225"/>
      <c r="EJC119" s="225"/>
      <c r="EJD119" s="225"/>
      <c r="EJE119" s="225"/>
      <c r="EJF119" s="225"/>
      <c r="EJG119" s="225"/>
      <c r="EJH119" s="225"/>
      <c r="EJI119" s="225"/>
      <c r="EJJ119" s="225"/>
      <c r="EJK119" s="225"/>
      <c r="EJL119" s="225"/>
      <c r="EJM119" s="225"/>
      <c r="EJN119" s="225"/>
      <c r="EJO119" s="225"/>
      <c r="EJP119" s="225"/>
      <c r="EJQ119" s="225"/>
      <c r="EJR119" s="225"/>
      <c r="EJS119" s="225"/>
      <c r="EJT119" s="225"/>
      <c r="EJU119" s="225"/>
      <c r="EJV119" s="225"/>
      <c r="EJW119" s="225"/>
      <c r="EJX119" s="225"/>
      <c r="EJY119" s="225"/>
      <c r="EJZ119" s="225"/>
      <c r="EKA119" s="225"/>
      <c r="EKB119" s="225"/>
      <c r="EKC119" s="225"/>
      <c r="EKD119" s="225"/>
      <c r="EKE119" s="225"/>
      <c r="EKF119" s="225"/>
      <c r="EKG119" s="225"/>
      <c r="EKH119" s="225"/>
      <c r="EKI119" s="225"/>
      <c r="EKJ119" s="225"/>
      <c r="EKK119" s="225"/>
      <c r="EKL119" s="225"/>
      <c r="EKM119" s="225"/>
      <c r="EKN119" s="225"/>
      <c r="EKO119" s="225"/>
      <c r="EKP119" s="225"/>
      <c r="EKQ119" s="225"/>
      <c r="EKR119" s="225"/>
      <c r="EKS119" s="225"/>
      <c r="EKT119" s="225"/>
      <c r="EKU119" s="225"/>
      <c r="EKV119" s="225"/>
      <c r="EKW119" s="225"/>
      <c r="EKX119" s="225"/>
      <c r="EKY119" s="225"/>
      <c r="EKZ119" s="225"/>
      <c r="ELA119" s="225"/>
      <c r="ELB119" s="225"/>
      <c r="ELC119" s="225"/>
      <c r="ELD119" s="225"/>
      <c r="ELE119" s="225"/>
      <c r="ELF119" s="225"/>
      <c r="ELG119" s="225"/>
      <c r="ELH119" s="225"/>
      <c r="ELI119" s="225"/>
      <c r="ELJ119" s="225"/>
      <c r="ELK119" s="225"/>
      <c r="ELL119" s="225"/>
      <c r="ELM119" s="225"/>
      <c r="ELN119" s="225"/>
      <c r="ELO119" s="225"/>
      <c r="ELP119" s="225"/>
      <c r="ELQ119" s="225"/>
      <c r="ELR119" s="225"/>
      <c r="ELS119" s="225"/>
      <c r="ELT119" s="225"/>
      <c r="ELU119" s="225"/>
      <c r="ELV119" s="225"/>
      <c r="ELW119" s="225"/>
      <c r="ELX119" s="225"/>
      <c r="ELY119" s="225"/>
      <c r="ELZ119" s="225"/>
      <c r="EMA119" s="225"/>
      <c r="EMB119" s="225"/>
      <c r="EMC119" s="225"/>
      <c r="EMD119" s="225"/>
      <c r="EME119" s="225"/>
      <c r="EMF119" s="225"/>
      <c r="EMG119" s="225"/>
      <c r="EMH119" s="225"/>
      <c r="EMI119" s="225"/>
      <c r="EMJ119" s="225"/>
      <c r="EMK119" s="225"/>
      <c r="EML119" s="225"/>
      <c r="EMM119" s="225"/>
      <c r="EMN119" s="225"/>
      <c r="EMO119" s="225"/>
      <c r="EMP119" s="225"/>
      <c r="EMQ119" s="225"/>
      <c r="EMR119" s="225"/>
      <c r="EMS119" s="225"/>
      <c r="EMT119" s="225"/>
      <c r="EMU119" s="225"/>
      <c r="EMV119" s="225"/>
      <c r="EMW119" s="225"/>
      <c r="EMX119" s="225"/>
      <c r="EMY119" s="225"/>
      <c r="EMZ119" s="225"/>
      <c r="ENA119" s="225"/>
      <c r="ENB119" s="225"/>
      <c r="ENC119" s="225"/>
      <c r="END119" s="225"/>
      <c r="ENE119" s="225"/>
      <c r="ENF119" s="225"/>
      <c r="ENG119" s="225"/>
      <c r="ENH119" s="225"/>
      <c r="ENI119" s="225"/>
      <c r="ENJ119" s="225"/>
      <c r="ENK119" s="225"/>
      <c r="ENL119" s="225"/>
      <c r="ENM119" s="225"/>
      <c r="ENN119" s="225"/>
      <c r="ENO119" s="225"/>
      <c r="ENP119" s="225"/>
      <c r="ENQ119" s="225"/>
      <c r="ENR119" s="225"/>
      <c r="ENS119" s="225"/>
      <c r="ENT119" s="225"/>
      <c r="ENU119" s="225"/>
      <c r="ENV119" s="225"/>
      <c r="ENW119" s="225"/>
      <c r="ENX119" s="225"/>
      <c r="ENY119" s="225"/>
      <c r="ENZ119" s="225"/>
      <c r="EOA119" s="225"/>
      <c r="EOB119" s="225"/>
      <c r="EOC119" s="225"/>
      <c r="EOD119" s="225"/>
      <c r="EOE119" s="225"/>
      <c r="EOF119" s="225"/>
      <c r="EOG119" s="225"/>
      <c r="EOH119" s="225"/>
      <c r="EOI119" s="225"/>
      <c r="EOJ119" s="225"/>
      <c r="EOK119" s="225"/>
      <c r="EOL119" s="225"/>
      <c r="EOM119" s="225"/>
      <c r="EON119" s="225"/>
      <c r="EOO119" s="225"/>
      <c r="EOP119" s="225"/>
      <c r="EOQ119" s="225"/>
      <c r="EOR119" s="225"/>
      <c r="EOS119" s="225"/>
      <c r="EOT119" s="225"/>
      <c r="EOU119" s="225"/>
      <c r="EOV119" s="225"/>
      <c r="EOW119" s="225"/>
      <c r="EOX119" s="225"/>
      <c r="EOY119" s="225"/>
      <c r="EOZ119" s="225"/>
      <c r="EPA119" s="225"/>
      <c r="EPB119" s="225"/>
      <c r="EPC119" s="225"/>
      <c r="EPD119" s="225"/>
      <c r="EPE119" s="225"/>
      <c r="EPF119" s="225"/>
      <c r="EPG119" s="225"/>
      <c r="EPH119" s="225"/>
      <c r="EPI119" s="225"/>
      <c r="EPJ119" s="225"/>
      <c r="EPK119" s="225"/>
      <c r="EPL119" s="225"/>
      <c r="EPM119" s="225"/>
      <c r="EPN119" s="225"/>
      <c r="EPO119" s="225"/>
      <c r="EPP119" s="225"/>
      <c r="EPQ119" s="225"/>
      <c r="EPR119" s="225"/>
      <c r="EPS119" s="225"/>
      <c r="EPT119" s="225"/>
      <c r="EPU119" s="225"/>
      <c r="EPV119" s="225"/>
      <c r="EPW119" s="225"/>
      <c r="EPX119" s="225"/>
      <c r="EPY119" s="225"/>
      <c r="EPZ119" s="225"/>
      <c r="EQA119" s="225"/>
      <c r="EQB119" s="225"/>
      <c r="EQC119" s="225"/>
      <c r="EQD119" s="225"/>
      <c r="EQE119" s="225"/>
      <c r="EQF119" s="225"/>
      <c r="EQG119" s="225"/>
      <c r="EQH119" s="225"/>
      <c r="EQI119" s="225"/>
      <c r="EQJ119" s="225"/>
      <c r="EQK119" s="225"/>
      <c r="EQL119" s="225"/>
      <c r="EQM119" s="225"/>
      <c r="EQN119" s="225"/>
      <c r="EQO119" s="225"/>
      <c r="EQP119" s="225"/>
      <c r="EQQ119" s="225"/>
      <c r="EQR119" s="225"/>
      <c r="EQS119" s="225"/>
      <c r="EQT119" s="225"/>
      <c r="EQU119" s="225"/>
      <c r="EQV119" s="225"/>
      <c r="EQW119" s="225"/>
      <c r="EQX119" s="225"/>
      <c r="EQY119" s="225"/>
      <c r="EQZ119" s="225"/>
      <c r="ERA119" s="225"/>
      <c r="ERB119" s="225"/>
      <c r="ERC119" s="225"/>
      <c r="ERD119" s="225"/>
      <c r="ERE119" s="225"/>
      <c r="ERF119" s="225"/>
      <c r="ERG119" s="225"/>
      <c r="ERH119" s="225"/>
      <c r="ERI119" s="225"/>
      <c r="ERJ119" s="225"/>
      <c r="ERK119" s="225"/>
      <c r="ERL119" s="225"/>
      <c r="ERM119" s="225"/>
      <c r="ERN119" s="225"/>
      <c r="ERO119" s="225"/>
      <c r="ERP119" s="225"/>
      <c r="ERQ119" s="225"/>
      <c r="ERR119" s="225"/>
      <c r="ERS119" s="225"/>
      <c r="ERT119" s="225"/>
      <c r="ERU119" s="225"/>
      <c r="ERV119" s="225"/>
      <c r="ERW119" s="225"/>
      <c r="ERX119" s="225"/>
      <c r="ERY119" s="225"/>
      <c r="ERZ119" s="225"/>
      <c r="ESA119" s="225"/>
      <c r="ESB119" s="225"/>
      <c r="ESC119" s="225"/>
      <c r="ESD119" s="225"/>
      <c r="ESE119" s="225"/>
      <c r="ESF119" s="225"/>
      <c r="ESG119" s="225"/>
      <c r="ESH119" s="225"/>
      <c r="ESI119" s="225"/>
      <c r="ESJ119" s="225"/>
      <c r="ESK119" s="225"/>
      <c r="ESL119" s="225"/>
      <c r="ESM119" s="225"/>
      <c r="ESN119" s="225"/>
      <c r="ESO119" s="225"/>
      <c r="ESP119" s="225"/>
      <c r="ESQ119" s="225"/>
      <c r="ESR119" s="225"/>
      <c r="ESS119" s="225"/>
      <c r="EST119" s="225"/>
      <c r="ESU119" s="225"/>
      <c r="ESV119" s="225"/>
      <c r="ESW119" s="225"/>
      <c r="ESX119" s="225"/>
      <c r="ESY119" s="225"/>
      <c r="ESZ119" s="225"/>
      <c r="ETA119" s="225"/>
      <c r="ETB119" s="225"/>
      <c r="ETC119" s="225"/>
      <c r="ETD119" s="225"/>
      <c r="ETE119" s="225"/>
      <c r="ETF119" s="225"/>
      <c r="ETG119" s="225"/>
      <c r="ETH119" s="225"/>
      <c r="ETI119" s="225"/>
      <c r="ETJ119" s="225"/>
      <c r="ETK119" s="225"/>
      <c r="ETL119" s="225"/>
      <c r="ETM119" s="225"/>
      <c r="ETN119" s="225"/>
      <c r="ETO119" s="225"/>
      <c r="ETP119" s="225"/>
      <c r="ETQ119" s="225"/>
      <c r="ETR119" s="225"/>
      <c r="ETS119" s="225"/>
      <c r="ETT119" s="225"/>
      <c r="ETU119" s="225"/>
      <c r="ETV119" s="225"/>
      <c r="ETW119" s="225"/>
      <c r="ETX119" s="225"/>
      <c r="ETY119" s="225"/>
      <c r="ETZ119" s="225"/>
      <c r="EUA119" s="225"/>
      <c r="EUB119" s="225"/>
      <c r="EUC119" s="225"/>
      <c r="EUD119" s="225"/>
      <c r="EUE119" s="225"/>
      <c r="EUF119" s="225"/>
      <c r="EUG119" s="225"/>
      <c r="EUH119" s="225"/>
      <c r="EUI119" s="225"/>
      <c r="EUJ119" s="225"/>
      <c r="EUK119" s="225"/>
      <c r="EUL119" s="225"/>
      <c r="EUM119" s="225"/>
      <c r="EUN119" s="225"/>
      <c r="EUO119" s="225"/>
      <c r="EUP119" s="225"/>
      <c r="EUQ119" s="225"/>
      <c r="EUR119" s="225"/>
      <c r="EUS119" s="225"/>
      <c r="EUT119" s="225"/>
      <c r="EUU119" s="225"/>
      <c r="EUV119" s="225"/>
      <c r="EUW119" s="225"/>
      <c r="EUX119" s="225"/>
      <c r="EUY119" s="225"/>
      <c r="EUZ119" s="225"/>
      <c r="EVA119" s="225"/>
      <c r="EVB119" s="225"/>
      <c r="EVC119" s="225"/>
      <c r="EVD119" s="225"/>
      <c r="EVE119" s="225"/>
      <c r="EVF119" s="225"/>
      <c r="EVG119" s="225"/>
      <c r="EVH119" s="225"/>
      <c r="EVI119" s="225"/>
      <c r="EVJ119" s="225"/>
      <c r="EVK119" s="225"/>
      <c r="EVL119" s="225"/>
      <c r="EVM119" s="225"/>
      <c r="EVN119" s="225"/>
      <c r="EVO119" s="225"/>
      <c r="EVP119" s="225"/>
      <c r="EVQ119" s="225"/>
      <c r="EVR119" s="225"/>
      <c r="EVS119" s="225"/>
      <c r="EVT119" s="225"/>
      <c r="EVU119" s="225"/>
      <c r="EVV119" s="225"/>
      <c r="EVW119" s="225"/>
      <c r="EVX119" s="225"/>
      <c r="EVY119" s="225"/>
      <c r="EVZ119" s="225"/>
      <c r="EWA119" s="225"/>
      <c r="EWB119" s="225"/>
      <c r="EWC119" s="225"/>
      <c r="EWD119" s="225"/>
      <c r="EWE119" s="225"/>
      <c r="EWF119" s="225"/>
      <c r="EWG119" s="225"/>
      <c r="EWH119" s="225"/>
      <c r="EWI119" s="225"/>
      <c r="EWJ119" s="225"/>
      <c r="EWK119" s="225"/>
      <c r="EWL119" s="225"/>
      <c r="EWM119" s="225"/>
      <c r="EWN119" s="225"/>
      <c r="EWO119" s="225"/>
      <c r="EWP119" s="225"/>
      <c r="EWQ119" s="225"/>
      <c r="EWR119" s="225"/>
      <c r="EWS119" s="225"/>
      <c r="EWT119" s="225"/>
      <c r="EWU119" s="225"/>
      <c r="EWV119" s="225"/>
      <c r="EWW119" s="225"/>
      <c r="EWX119" s="225"/>
      <c r="EWY119" s="225"/>
      <c r="EWZ119" s="225"/>
      <c r="EXA119" s="225"/>
      <c r="EXB119" s="225"/>
      <c r="EXC119" s="225"/>
      <c r="EXD119" s="225"/>
      <c r="EXE119" s="225"/>
      <c r="EXF119" s="225"/>
      <c r="EXG119" s="225"/>
      <c r="EXH119" s="225"/>
      <c r="EXI119" s="225"/>
      <c r="EXJ119" s="225"/>
      <c r="EXK119" s="225"/>
      <c r="EXL119" s="225"/>
      <c r="EXM119" s="225"/>
      <c r="EXN119" s="225"/>
      <c r="EXO119" s="225"/>
      <c r="EXP119" s="225"/>
      <c r="EXQ119" s="225"/>
      <c r="EXR119" s="225"/>
      <c r="EXS119" s="225"/>
      <c r="EXT119" s="225"/>
      <c r="EXU119" s="225"/>
      <c r="EXV119" s="225"/>
      <c r="EXW119" s="225"/>
      <c r="EXX119" s="225"/>
      <c r="EXY119" s="225"/>
      <c r="EXZ119" s="225"/>
      <c r="EYA119" s="225"/>
      <c r="EYB119" s="225"/>
      <c r="EYC119" s="225"/>
      <c r="EYD119" s="225"/>
      <c r="EYE119" s="225"/>
      <c r="EYF119" s="225"/>
      <c r="EYG119" s="225"/>
      <c r="EYH119" s="225"/>
      <c r="EYI119" s="225"/>
      <c r="EYJ119" s="225"/>
      <c r="EYK119" s="225"/>
      <c r="EYL119" s="225"/>
      <c r="EYM119" s="225"/>
      <c r="EYN119" s="225"/>
      <c r="EYO119" s="225"/>
      <c r="EYP119" s="225"/>
      <c r="EYQ119" s="225"/>
      <c r="EYR119" s="225"/>
      <c r="EYS119" s="225"/>
      <c r="EYT119" s="225"/>
      <c r="EYU119" s="225"/>
      <c r="EYV119" s="225"/>
      <c r="EYW119" s="225"/>
      <c r="EYX119" s="225"/>
      <c r="EYY119" s="225"/>
      <c r="EYZ119" s="225"/>
      <c r="EZA119" s="225"/>
      <c r="EZB119" s="225"/>
      <c r="EZC119" s="225"/>
      <c r="EZD119" s="225"/>
      <c r="EZE119" s="225"/>
      <c r="EZF119" s="225"/>
      <c r="EZG119" s="225"/>
      <c r="EZH119" s="225"/>
      <c r="EZI119" s="225"/>
      <c r="EZJ119" s="225"/>
      <c r="EZK119" s="225"/>
      <c r="EZL119" s="225"/>
      <c r="EZM119" s="225"/>
      <c r="EZN119" s="225"/>
      <c r="EZO119" s="225"/>
      <c r="EZP119" s="225"/>
      <c r="EZQ119" s="225"/>
      <c r="EZR119" s="225"/>
      <c r="EZS119" s="225"/>
      <c r="EZT119" s="225"/>
      <c r="EZU119" s="225"/>
      <c r="EZV119" s="225"/>
      <c r="EZW119" s="225"/>
      <c r="EZX119" s="225"/>
      <c r="EZY119" s="225"/>
      <c r="EZZ119" s="225"/>
      <c r="FAA119" s="225"/>
      <c r="FAB119" s="225"/>
      <c r="FAC119" s="225"/>
      <c r="FAD119" s="225"/>
      <c r="FAE119" s="225"/>
      <c r="FAF119" s="225"/>
      <c r="FAG119" s="225"/>
      <c r="FAH119" s="225"/>
      <c r="FAI119" s="225"/>
      <c r="FAJ119" s="225"/>
      <c r="FAK119" s="225"/>
      <c r="FAL119" s="225"/>
      <c r="FAM119" s="225"/>
      <c r="FAN119" s="225"/>
      <c r="FAO119" s="225"/>
      <c r="FAP119" s="225"/>
      <c r="FAQ119" s="225"/>
      <c r="FAR119" s="225"/>
      <c r="FAS119" s="225"/>
      <c r="FAT119" s="225"/>
      <c r="FAU119" s="225"/>
      <c r="FAV119" s="225"/>
      <c r="FAW119" s="225"/>
      <c r="FAX119" s="225"/>
      <c r="FAY119" s="225"/>
      <c r="FAZ119" s="225"/>
      <c r="FBA119" s="225"/>
      <c r="FBB119" s="225"/>
      <c r="FBC119" s="225"/>
      <c r="FBD119" s="225"/>
      <c r="FBE119" s="225"/>
      <c r="FBF119" s="225"/>
      <c r="FBG119" s="225"/>
      <c r="FBH119" s="225"/>
      <c r="FBI119" s="225"/>
      <c r="FBJ119" s="225"/>
      <c r="FBK119" s="225"/>
      <c r="FBL119" s="225"/>
      <c r="FBM119" s="225"/>
      <c r="FBN119" s="225"/>
      <c r="FBO119" s="225"/>
      <c r="FBP119" s="225"/>
      <c r="FBQ119" s="225"/>
      <c r="FBR119" s="225"/>
      <c r="FBS119" s="225"/>
      <c r="FBT119" s="225"/>
      <c r="FBU119" s="225"/>
      <c r="FBV119" s="225"/>
      <c r="FBW119" s="225"/>
      <c r="FBX119" s="225"/>
      <c r="FBY119" s="225"/>
      <c r="FBZ119" s="225"/>
      <c r="FCA119" s="225"/>
      <c r="FCB119" s="225"/>
      <c r="FCC119" s="225"/>
      <c r="FCD119" s="225"/>
      <c r="FCE119" s="225"/>
      <c r="FCF119" s="225"/>
      <c r="FCG119" s="225"/>
      <c r="FCH119" s="225"/>
      <c r="FCI119" s="225"/>
      <c r="FCJ119" s="225"/>
      <c r="FCK119" s="225"/>
      <c r="FCL119" s="225"/>
      <c r="FCM119" s="225"/>
      <c r="FCN119" s="225"/>
      <c r="FCO119" s="225"/>
      <c r="FCP119" s="225"/>
      <c r="FCQ119" s="225"/>
      <c r="FCR119" s="225"/>
      <c r="FCS119" s="225"/>
      <c r="FCT119" s="225"/>
      <c r="FCU119" s="225"/>
      <c r="FCV119" s="225"/>
      <c r="FCW119" s="225"/>
      <c r="FCX119" s="225"/>
      <c r="FCY119" s="225"/>
      <c r="FCZ119" s="225"/>
      <c r="FDA119" s="225"/>
      <c r="FDB119" s="225"/>
      <c r="FDC119" s="225"/>
      <c r="FDD119" s="225"/>
      <c r="FDE119" s="225"/>
      <c r="FDF119" s="225"/>
      <c r="FDG119" s="225"/>
      <c r="FDH119" s="225"/>
      <c r="FDI119" s="225"/>
      <c r="FDJ119" s="225"/>
      <c r="FDK119" s="225"/>
      <c r="FDL119" s="225"/>
      <c r="FDM119" s="225"/>
      <c r="FDN119" s="225"/>
      <c r="FDO119" s="225"/>
      <c r="FDP119" s="225"/>
      <c r="FDQ119" s="225"/>
      <c r="FDR119" s="225"/>
      <c r="FDS119" s="225"/>
      <c r="FDT119" s="225"/>
      <c r="FDU119" s="225"/>
      <c r="FDV119" s="225"/>
      <c r="FDW119" s="225"/>
      <c r="FDX119" s="225"/>
      <c r="FDY119" s="225"/>
      <c r="FDZ119" s="225"/>
      <c r="FEA119" s="225"/>
      <c r="FEB119" s="225"/>
      <c r="FEC119" s="225"/>
      <c r="FED119" s="225"/>
      <c r="FEE119" s="225"/>
      <c r="FEF119" s="225"/>
      <c r="FEG119" s="225"/>
      <c r="FEH119" s="225"/>
      <c r="FEI119" s="225"/>
      <c r="FEJ119" s="225"/>
      <c r="FEK119" s="225"/>
      <c r="FEL119" s="225"/>
      <c r="FEM119" s="225"/>
      <c r="FEN119" s="225"/>
      <c r="FEO119" s="225"/>
      <c r="FEP119" s="225"/>
      <c r="FEQ119" s="225"/>
      <c r="FER119" s="225"/>
      <c r="FES119" s="225"/>
      <c r="FET119" s="225"/>
      <c r="FEU119" s="225"/>
      <c r="FEV119" s="225"/>
      <c r="FEW119" s="225"/>
      <c r="FEX119" s="225"/>
      <c r="FEY119" s="225"/>
      <c r="FEZ119" s="225"/>
      <c r="FFA119" s="225"/>
      <c r="FFB119" s="225"/>
      <c r="FFC119" s="225"/>
      <c r="FFD119" s="225"/>
      <c r="FFE119" s="225"/>
      <c r="FFF119" s="225"/>
      <c r="FFG119" s="225"/>
      <c r="FFH119" s="225"/>
      <c r="FFI119" s="225"/>
      <c r="FFJ119" s="225"/>
      <c r="FFK119" s="225"/>
      <c r="FFL119" s="225"/>
      <c r="FFM119" s="225"/>
      <c r="FFN119" s="225"/>
      <c r="FFO119" s="225"/>
      <c r="FFP119" s="225"/>
      <c r="FFQ119" s="225"/>
      <c r="FFR119" s="225"/>
      <c r="FFS119" s="225"/>
      <c r="FFT119" s="225"/>
      <c r="FFU119" s="225"/>
      <c r="FFV119" s="225"/>
      <c r="FFW119" s="225"/>
      <c r="FFX119" s="225"/>
      <c r="FFY119" s="225"/>
      <c r="FFZ119" s="225"/>
      <c r="FGA119" s="225"/>
      <c r="FGB119" s="225"/>
      <c r="FGC119" s="225"/>
      <c r="FGD119" s="225"/>
      <c r="FGE119" s="225"/>
      <c r="FGF119" s="225"/>
      <c r="FGG119" s="225"/>
      <c r="FGH119" s="225"/>
      <c r="FGI119" s="225"/>
      <c r="FGJ119" s="225"/>
      <c r="FGK119" s="225"/>
      <c r="FGL119" s="225"/>
      <c r="FGM119" s="225"/>
      <c r="FGN119" s="225"/>
      <c r="FGO119" s="225"/>
      <c r="FGP119" s="225"/>
      <c r="FGQ119" s="225"/>
      <c r="FGR119" s="225"/>
      <c r="FGS119" s="225"/>
      <c r="FGT119" s="225"/>
      <c r="FGU119" s="225"/>
      <c r="FGV119" s="225"/>
      <c r="FGW119" s="225"/>
      <c r="FGX119" s="225"/>
      <c r="FGY119" s="225"/>
      <c r="FGZ119" s="225"/>
      <c r="FHA119" s="225"/>
      <c r="FHB119" s="225"/>
      <c r="FHC119" s="225"/>
      <c r="FHD119" s="225"/>
      <c r="FHE119" s="225"/>
      <c r="FHF119" s="225"/>
      <c r="FHG119" s="225"/>
      <c r="FHH119" s="225"/>
      <c r="FHI119" s="225"/>
      <c r="FHJ119" s="225"/>
      <c r="FHK119" s="225"/>
      <c r="FHL119" s="225"/>
      <c r="FHM119" s="225"/>
      <c r="FHN119" s="225"/>
      <c r="FHO119" s="225"/>
      <c r="FHP119" s="225"/>
      <c r="FHQ119" s="225"/>
      <c r="FHR119" s="225"/>
      <c r="FHS119" s="225"/>
      <c r="FHT119" s="225"/>
      <c r="FHU119" s="225"/>
      <c r="FHV119" s="225"/>
      <c r="FHW119" s="225"/>
      <c r="FHX119" s="225"/>
      <c r="FHY119" s="225"/>
      <c r="FHZ119" s="225"/>
      <c r="FIA119" s="225"/>
      <c r="FIB119" s="225"/>
      <c r="FIC119" s="225"/>
      <c r="FID119" s="225"/>
      <c r="FIE119" s="225"/>
      <c r="FIF119" s="225"/>
      <c r="FIG119" s="225"/>
      <c r="FIH119" s="225"/>
      <c r="FII119" s="225"/>
      <c r="FIJ119" s="225"/>
      <c r="FIK119" s="225"/>
      <c r="FIL119" s="225"/>
      <c r="FIM119" s="225"/>
      <c r="FIN119" s="225"/>
      <c r="FIO119" s="225"/>
      <c r="FIP119" s="225"/>
      <c r="FIQ119" s="225"/>
      <c r="FIR119" s="225"/>
      <c r="FIS119" s="225"/>
      <c r="FIT119" s="225"/>
      <c r="FIU119" s="225"/>
      <c r="FIV119" s="225"/>
      <c r="FIW119" s="225"/>
      <c r="FIX119" s="225"/>
      <c r="FIY119" s="225"/>
      <c r="FIZ119" s="225"/>
      <c r="FJA119" s="225"/>
      <c r="FJB119" s="225"/>
      <c r="FJC119" s="225"/>
      <c r="FJD119" s="225"/>
      <c r="FJE119" s="225"/>
      <c r="FJF119" s="225"/>
      <c r="FJG119" s="225"/>
      <c r="FJH119" s="225"/>
      <c r="FJI119" s="225"/>
      <c r="FJJ119" s="225"/>
      <c r="FJK119" s="225"/>
      <c r="FJL119" s="225"/>
      <c r="FJM119" s="225"/>
      <c r="FJN119" s="225"/>
      <c r="FJO119" s="225"/>
      <c r="FJP119" s="225"/>
      <c r="FJQ119" s="225"/>
      <c r="FJR119" s="225"/>
      <c r="FJS119" s="225"/>
      <c r="FJT119" s="225"/>
      <c r="FJU119" s="225"/>
      <c r="FJV119" s="225"/>
      <c r="FJW119" s="225"/>
      <c r="FJX119" s="225"/>
      <c r="FJY119" s="225"/>
      <c r="FJZ119" s="225"/>
      <c r="FKA119" s="225"/>
      <c r="FKB119" s="225"/>
      <c r="FKC119" s="225"/>
      <c r="FKD119" s="225"/>
      <c r="FKE119" s="225"/>
      <c r="FKF119" s="225"/>
      <c r="FKG119" s="225"/>
      <c r="FKH119" s="225"/>
      <c r="FKI119" s="225"/>
      <c r="FKJ119" s="225"/>
      <c r="FKK119" s="225"/>
      <c r="FKL119" s="225"/>
      <c r="FKM119" s="225"/>
      <c r="FKN119" s="225"/>
      <c r="FKO119" s="225"/>
      <c r="FKP119" s="225"/>
      <c r="FKQ119" s="225"/>
      <c r="FKR119" s="225"/>
      <c r="FKS119" s="225"/>
      <c r="FKT119" s="225"/>
      <c r="FKU119" s="225"/>
      <c r="FKV119" s="225"/>
      <c r="FKW119" s="225"/>
      <c r="FKX119" s="225"/>
      <c r="FKY119" s="225"/>
      <c r="FKZ119" s="225"/>
      <c r="FLA119" s="225"/>
      <c r="FLB119" s="225"/>
      <c r="FLC119" s="225"/>
      <c r="FLD119" s="225"/>
      <c r="FLE119" s="225"/>
      <c r="FLF119" s="225"/>
      <c r="FLG119" s="225"/>
      <c r="FLH119" s="225"/>
      <c r="FLI119" s="225"/>
      <c r="FLJ119" s="225"/>
      <c r="FLK119" s="225"/>
      <c r="FLL119" s="225"/>
      <c r="FLM119" s="225"/>
      <c r="FLN119" s="225"/>
      <c r="FLO119" s="225"/>
      <c r="FLP119" s="225"/>
      <c r="FLQ119" s="225"/>
      <c r="FLR119" s="225"/>
      <c r="FLS119" s="225"/>
      <c r="FLT119" s="225"/>
      <c r="FLU119" s="225"/>
      <c r="FLV119" s="225"/>
      <c r="FLW119" s="225"/>
      <c r="FLX119" s="225"/>
      <c r="FLY119" s="225"/>
      <c r="FLZ119" s="225"/>
      <c r="FMA119" s="225"/>
      <c r="FMB119" s="225"/>
      <c r="FMC119" s="225"/>
      <c r="FMD119" s="225"/>
      <c r="FME119" s="225"/>
      <c r="FMF119" s="225"/>
      <c r="FMG119" s="225"/>
      <c r="FMH119" s="225"/>
      <c r="FMI119" s="225"/>
      <c r="FMJ119" s="225"/>
      <c r="FMK119" s="225"/>
      <c r="FML119" s="225"/>
      <c r="FMM119" s="225"/>
      <c r="FMN119" s="225"/>
      <c r="FMO119" s="225"/>
      <c r="FMP119" s="225"/>
      <c r="FMQ119" s="225"/>
      <c r="FMR119" s="225"/>
      <c r="FMS119" s="225"/>
      <c r="FMT119" s="225"/>
      <c r="FMU119" s="225"/>
      <c r="FMV119" s="225"/>
      <c r="FMW119" s="225"/>
      <c r="FMX119" s="225"/>
      <c r="FMY119" s="225"/>
      <c r="FMZ119" s="225"/>
      <c r="FNA119" s="225"/>
      <c r="FNB119" s="225"/>
      <c r="FNC119" s="225"/>
      <c r="FND119" s="225"/>
      <c r="FNE119" s="225"/>
      <c r="FNF119" s="225"/>
      <c r="FNG119" s="225"/>
      <c r="FNH119" s="225"/>
      <c r="FNI119" s="225"/>
      <c r="FNJ119" s="225"/>
      <c r="FNK119" s="225"/>
      <c r="FNL119" s="225"/>
      <c r="FNM119" s="225"/>
      <c r="FNN119" s="225"/>
      <c r="FNO119" s="225"/>
      <c r="FNP119" s="225"/>
      <c r="FNQ119" s="225"/>
      <c r="FNR119" s="225"/>
      <c r="FNS119" s="225"/>
      <c r="FNT119" s="225"/>
      <c r="FNU119" s="225"/>
      <c r="FNV119" s="225"/>
      <c r="FNW119" s="225"/>
      <c r="FNX119" s="225"/>
      <c r="FNY119" s="225"/>
      <c r="FNZ119" s="225"/>
      <c r="FOA119" s="225"/>
      <c r="FOB119" s="225"/>
      <c r="FOC119" s="225"/>
      <c r="FOD119" s="225"/>
      <c r="FOE119" s="225"/>
      <c r="FOF119" s="225"/>
      <c r="FOG119" s="225"/>
      <c r="FOH119" s="225"/>
      <c r="FOI119" s="225"/>
      <c r="FOJ119" s="225"/>
      <c r="FOK119" s="225"/>
      <c r="FOL119" s="225"/>
      <c r="FOM119" s="225"/>
      <c r="FON119" s="225"/>
      <c r="FOO119" s="225"/>
      <c r="FOP119" s="225"/>
      <c r="FOQ119" s="225"/>
      <c r="FOR119" s="225"/>
      <c r="FOS119" s="225"/>
      <c r="FOT119" s="225"/>
      <c r="FOU119" s="225"/>
      <c r="FOV119" s="225"/>
      <c r="FOW119" s="225"/>
      <c r="FOX119" s="225"/>
      <c r="FOY119" s="225"/>
      <c r="FOZ119" s="225"/>
      <c r="FPA119" s="225"/>
      <c r="FPB119" s="225"/>
      <c r="FPC119" s="225"/>
      <c r="FPD119" s="225"/>
      <c r="FPE119" s="225"/>
      <c r="FPF119" s="225"/>
      <c r="FPG119" s="225"/>
      <c r="FPH119" s="225"/>
      <c r="FPI119" s="225"/>
      <c r="FPJ119" s="225"/>
      <c r="FPK119" s="225"/>
      <c r="FPL119" s="225"/>
      <c r="FPM119" s="225"/>
      <c r="FPN119" s="225"/>
      <c r="FPO119" s="225"/>
      <c r="FPP119" s="225"/>
      <c r="FPQ119" s="225"/>
      <c r="FPR119" s="225"/>
      <c r="FPS119" s="225"/>
      <c r="FPT119" s="225"/>
      <c r="FPU119" s="225"/>
      <c r="FPV119" s="225"/>
      <c r="FPW119" s="225"/>
      <c r="FPX119" s="225"/>
      <c r="FPY119" s="225"/>
      <c r="FPZ119" s="225"/>
      <c r="FQA119" s="225"/>
      <c r="FQB119" s="225"/>
      <c r="FQC119" s="225"/>
      <c r="FQD119" s="225"/>
      <c r="FQE119" s="225"/>
      <c r="FQF119" s="225"/>
      <c r="FQG119" s="225"/>
      <c r="FQH119" s="225"/>
      <c r="FQI119" s="225"/>
      <c r="FQJ119" s="225"/>
      <c r="FQK119" s="225"/>
      <c r="FQL119" s="225"/>
      <c r="FQM119" s="225"/>
      <c r="FQN119" s="225"/>
      <c r="FQO119" s="225"/>
      <c r="FQP119" s="225"/>
      <c r="FQQ119" s="225"/>
      <c r="FQR119" s="225"/>
      <c r="FQS119" s="225"/>
      <c r="FQT119" s="225"/>
      <c r="FQU119" s="225"/>
      <c r="FQV119" s="225"/>
      <c r="FQW119" s="225"/>
      <c r="FQX119" s="225"/>
      <c r="FQY119" s="225"/>
      <c r="FQZ119" s="225"/>
      <c r="FRA119" s="225"/>
      <c r="FRB119" s="225"/>
      <c r="FRC119" s="225"/>
      <c r="FRD119" s="225"/>
      <c r="FRE119" s="225"/>
      <c r="FRF119" s="225"/>
      <c r="FRG119" s="225"/>
      <c r="FRH119" s="225"/>
      <c r="FRI119" s="225"/>
      <c r="FRJ119" s="225"/>
      <c r="FRK119" s="225"/>
      <c r="FRL119" s="225"/>
      <c r="FRM119" s="225"/>
      <c r="FRN119" s="225"/>
      <c r="FRO119" s="225"/>
      <c r="FRP119" s="225"/>
      <c r="FRQ119" s="225"/>
      <c r="FRR119" s="225"/>
      <c r="FRS119" s="225"/>
      <c r="FRT119" s="225"/>
      <c r="FRU119" s="225"/>
      <c r="FRV119" s="225"/>
      <c r="FRW119" s="225"/>
      <c r="FRX119" s="225"/>
      <c r="FRY119" s="225"/>
      <c r="FRZ119" s="225"/>
      <c r="FSA119" s="225"/>
      <c r="FSB119" s="225"/>
      <c r="FSC119" s="225"/>
      <c r="FSD119" s="225"/>
      <c r="FSE119" s="225"/>
      <c r="FSF119" s="225"/>
      <c r="FSG119" s="225"/>
      <c r="FSH119" s="225"/>
      <c r="FSI119" s="225"/>
      <c r="FSJ119" s="225"/>
      <c r="FSK119" s="225"/>
      <c r="FSL119" s="225"/>
      <c r="FSM119" s="225"/>
      <c r="FSN119" s="225"/>
      <c r="FSO119" s="225"/>
      <c r="FSP119" s="225"/>
      <c r="FSQ119" s="225"/>
      <c r="FSR119" s="225"/>
      <c r="FSS119" s="225"/>
      <c r="FST119" s="225"/>
      <c r="FSU119" s="225"/>
      <c r="FSV119" s="225"/>
      <c r="FSW119" s="225"/>
      <c r="FSX119" s="225"/>
      <c r="FSY119" s="225"/>
      <c r="FSZ119" s="225"/>
      <c r="FTA119" s="225"/>
      <c r="FTB119" s="225"/>
      <c r="FTC119" s="225"/>
      <c r="FTD119" s="225"/>
      <c r="FTE119" s="225"/>
      <c r="FTF119" s="225"/>
      <c r="FTG119" s="225"/>
      <c r="FTH119" s="225"/>
      <c r="FTI119" s="225"/>
      <c r="FTJ119" s="225"/>
      <c r="FTK119" s="225"/>
      <c r="FTL119" s="225"/>
      <c r="FTM119" s="225"/>
      <c r="FTN119" s="225"/>
      <c r="FTO119" s="225"/>
      <c r="FTP119" s="225"/>
      <c r="FTQ119" s="225"/>
      <c r="FTR119" s="225"/>
      <c r="FTS119" s="225"/>
      <c r="FTT119" s="225"/>
      <c r="FTU119" s="225"/>
      <c r="FTV119" s="225"/>
      <c r="FTW119" s="225"/>
      <c r="FTX119" s="225"/>
      <c r="FTY119" s="225"/>
      <c r="FTZ119" s="225"/>
      <c r="FUA119" s="225"/>
      <c r="FUB119" s="225"/>
      <c r="FUC119" s="225"/>
      <c r="FUD119" s="225"/>
      <c r="FUE119" s="225"/>
      <c r="FUF119" s="225"/>
      <c r="FUG119" s="225"/>
      <c r="FUH119" s="225"/>
      <c r="FUI119" s="225"/>
      <c r="FUJ119" s="225"/>
      <c r="FUK119" s="225"/>
      <c r="FUL119" s="225"/>
      <c r="FUM119" s="225"/>
      <c r="FUN119" s="225"/>
      <c r="FUO119" s="225"/>
      <c r="FUP119" s="225"/>
      <c r="FUQ119" s="225"/>
      <c r="FUR119" s="225"/>
      <c r="FUS119" s="225"/>
      <c r="FUT119" s="225"/>
      <c r="FUU119" s="225"/>
      <c r="FUV119" s="225"/>
      <c r="FUW119" s="225"/>
      <c r="FUX119" s="225"/>
      <c r="FUY119" s="225"/>
      <c r="FUZ119" s="225"/>
      <c r="FVA119" s="225"/>
      <c r="FVB119" s="225"/>
      <c r="FVC119" s="225"/>
      <c r="FVD119" s="225"/>
      <c r="FVE119" s="225"/>
      <c r="FVF119" s="225"/>
      <c r="FVG119" s="225"/>
      <c r="FVH119" s="225"/>
      <c r="FVI119" s="225"/>
      <c r="FVJ119" s="225"/>
      <c r="FVK119" s="225"/>
      <c r="FVL119" s="225"/>
      <c r="FVM119" s="225"/>
      <c r="FVN119" s="225"/>
      <c r="FVO119" s="225"/>
      <c r="FVP119" s="225"/>
      <c r="FVQ119" s="225"/>
      <c r="FVR119" s="225"/>
      <c r="FVS119" s="225"/>
      <c r="FVT119" s="225"/>
      <c r="FVU119" s="225"/>
      <c r="FVV119" s="225"/>
      <c r="FVW119" s="225"/>
      <c r="FVX119" s="225"/>
      <c r="FVY119" s="225"/>
      <c r="FVZ119" s="225"/>
      <c r="FWA119" s="225"/>
      <c r="FWB119" s="225"/>
      <c r="FWC119" s="225"/>
      <c r="FWD119" s="225"/>
      <c r="FWE119" s="225"/>
      <c r="FWF119" s="225"/>
      <c r="FWG119" s="225"/>
      <c r="FWH119" s="225"/>
      <c r="FWI119" s="225"/>
      <c r="FWJ119" s="225"/>
      <c r="FWK119" s="225"/>
      <c r="FWL119" s="225"/>
      <c r="FWM119" s="225"/>
      <c r="FWN119" s="225"/>
      <c r="FWO119" s="225"/>
      <c r="FWP119" s="225"/>
      <c r="FWQ119" s="225"/>
      <c r="FWR119" s="225"/>
      <c r="FWS119" s="225"/>
      <c r="FWT119" s="225"/>
      <c r="FWU119" s="225"/>
      <c r="FWV119" s="225"/>
      <c r="FWW119" s="225"/>
      <c r="FWX119" s="225"/>
      <c r="FWY119" s="225"/>
      <c r="FWZ119" s="225"/>
      <c r="FXA119" s="225"/>
      <c r="FXB119" s="225"/>
      <c r="FXC119" s="225"/>
      <c r="FXD119" s="225"/>
      <c r="FXE119" s="225"/>
      <c r="FXF119" s="225"/>
      <c r="FXG119" s="225"/>
      <c r="FXH119" s="225"/>
      <c r="FXI119" s="225"/>
      <c r="FXJ119" s="225"/>
      <c r="FXK119" s="225"/>
      <c r="FXL119" s="225"/>
      <c r="FXM119" s="225"/>
      <c r="FXN119" s="225"/>
      <c r="FXO119" s="225"/>
      <c r="FXP119" s="225"/>
      <c r="FXQ119" s="225"/>
      <c r="FXR119" s="225"/>
      <c r="FXS119" s="225"/>
      <c r="FXT119" s="225"/>
      <c r="FXU119" s="225"/>
      <c r="FXV119" s="225"/>
      <c r="FXW119" s="225"/>
      <c r="FXX119" s="225"/>
      <c r="FXY119" s="225"/>
      <c r="FXZ119" s="225"/>
      <c r="FYA119" s="225"/>
      <c r="FYB119" s="225"/>
      <c r="FYC119" s="225"/>
      <c r="FYD119" s="225"/>
      <c r="FYE119" s="225"/>
      <c r="FYF119" s="225"/>
      <c r="FYG119" s="225"/>
      <c r="FYH119" s="225"/>
      <c r="FYI119" s="225"/>
      <c r="FYJ119" s="225"/>
      <c r="FYK119" s="225"/>
      <c r="FYL119" s="225"/>
      <c r="FYM119" s="225"/>
      <c r="FYN119" s="225"/>
      <c r="FYO119" s="225"/>
      <c r="FYP119" s="225"/>
      <c r="FYQ119" s="225"/>
      <c r="FYR119" s="225"/>
      <c r="FYS119" s="225"/>
      <c r="FYT119" s="225"/>
      <c r="FYU119" s="225"/>
      <c r="FYV119" s="225"/>
      <c r="FYW119" s="225"/>
      <c r="FYX119" s="225"/>
      <c r="FYY119" s="225"/>
      <c r="FYZ119" s="225"/>
      <c r="FZA119" s="225"/>
      <c r="FZB119" s="225"/>
      <c r="FZC119" s="225"/>
      <c r="FZD119" s="225"/>
      <c r="FZE119" s="225"/>
      <c r="FZF119" s="225"/>
      <c r="FZG119" s="225"/>
      <c r="FZH119" s="225"/>
      <c r="FZI119" s="225"/>
      <c r="FZJ119" s="225"/>
      <c r="FZK119" s="225"/>
      <c r="FZL119" s="225"/>
      <c r="FZM119" s="225"/>
      <c r="FZN119" s="225"/>
      <c r="FZO119" s="225"/>
      <c r="FZP119" s="225"/>
      <c r="FZQ119" s="225"/>
      <c r="FZR119" s="225"/>
      <c r="FZS119" s="225"/>
      <c r="FZT119" s="225"/>
      <c r="FZU119" s="225"/>
      <c r="FZV119" s="225"/>
      <c r="FZW119" s="225"/>
      <c r="FZX119" s="225"/>
      <c r="FZY119" s="225"/>
      <c r="FZZ119" s="225"/>
      <c r="GAA119" s="225"/>
      <c r="GAB119" s="225"/>
      <c r="GAC119" s="225"/>
      <c r="GAD119" s="225"/>
      <c r="GAE119" s="225"/>
      <c r="GAF119" s="225"/>
      <c r="GAG119" s="225"/>
      <c r="GAH119" s="225"/>
      <c r="GAI119" s="225"/>
      <c r="GAJ119" s="225"/>
      <c r="GAK119" s="225"/>
      <c r="GAL119" s="225"/>
      <c r="GAM119" s="225"/>
      <c r="GAN119" s="225"/>
      <c r="GAO119" s="225"/>
      <c r="GAP119" s="225"/>
      <c r="GAQ119" s="225"/>
      <c r="GAR119" s="225"/>
      <c r="GAS119" s="225"/>
      <c r="GAT119" s="225"/>
      <c r="GAU119" s="225"/>
      <c r="GAV119" s="225"/>
      <c r="GAW119" s="225"/>
      <c r="GAX119" s="225"/>
      <c r="GAY119" s="225"/>
      <c r="GAZ119" s="225"/>
      <c r="GBA119" s="225"/>
      <c r="GBB119" s="225"/>
      <c r="GBC119" s="225"/>
      <c r="GBD119" s="225"/>
      <c r="GBE119" s="225"/>
      <c r="GBF119" s="225"/>
      <c r="GBG119" s="225"/>
      <c r="GBH119" s="225"/>
      <c r="GBI119" s="225"/>
      <c r="GBJ119" s="225"/>
      <c r="GBK119" s="225"/>
      <c r="GBL119" s="225"/>
      <c r="GBM119" s="225"/>
      <c r="GBN119" s="225"/>
      <c r="GBO119" s="225"/>
      <c r="GBP119" s="225"/>
      <c r="GBQ119" s="225"/>
      <c r="GBR119" s="225"/>
      <c r="GBS119" s="225"/>
      <c r="GBT119" s="225"/>
      <c r="GBU119" s="225"/>
      <c r="GBV119" s="225"/>
      <c r="GBW119" s="225"/>
      <c r="GBX119" s="225"/>
      <c r="GBY119" s="225"/>
      <c r="GBZ119" s="225"/>
      <c r="GCA119" s="225"/>
      <c r="GCB119" s="225"/>
      <c r="GCC119" s="225"/>
      <c r="GCD119" s="225"/>
      <c r="GCE119" s="225"/>
      <c r="GCF119" s="225"/>
      <c r="GCG119" s="225"/>
      <c r="GCH119" s="225"/>
      <c r="GCI119" s="225"/>
      <c r="GCJ119" s="225"/>
      <c r="GCK119" s="225"/>
      <c r="GCL119" s="225"/>
      <c r="GCM119" s="225"/>
      <c r="GCN119" s="225"/>
      <c r="GCO119" s="225"/>
      <c r="GCP119" s="225"/>
      <c r="GCQ119" s="225"/>
      <c r="GCR119" s="225"/>
      <c r="GCS119" s="225"/>
      <c r="GCT119" s="225"/>
      <c r="GCU119" s="225"/>
      <c r="GCV119" s="225"/>
      <c r="GCW119" s="225"/>
      <c r="GCX119" s="225"/>
      <c r="GCY119" s="225"/>
      <c r="GCZ119" s="225"/>
      <c r="GDA119" s="225"/>
      <c r="GDB119" s="225"/>
      <c r="GDC119" s="225"/>
      <c r="GDD119" s="225"/>
      <c r="GDE119" s="225"/>
      <c r="GDF119" s="225"/>
      <c r="GDG119" s="225"/>
      <c r="GDH119" s="225"/>
      <c r="GDI119" s="225"/>
      <c r="GDJ119" s="225"/>
      <c r="GDK119" s="225"/>
      <c r="GDL119" s="225"/>
      <c r="GDM119" s="225"/>
      <c r="GDN119" s="225"/>
      <c r="GDO119" s="225"/>
      <c r="GDP119" s="225"/>
      <c r="GDQ119" s="225"/>
      <c r="GDR119" s="225"/>
      <c r="GDS119" s="225"/>
      <c r="GDT119" s="225"/>
      <c r="GDU119" s="225"/>
      <c r="GDV119" s="225"/>
      <c r="GDW119" s="225"/>
      <c r="GDX119" s="225"/>
      <c r="GDY119" s="225"/>
      <c r="GDZ119" s="225"/>
      <c r="GEA119" s="225"/>
      <c r="GEB119" s="225"/>
      <c r="GEC119" s="225"/>
      <c r="GED119" s="225"/>
      <c r="GEE119" s="225"/>
      <c r="GEF119" s="225"/>
      <c r="GEG119" s="225"/>
      <c r="GEH119" s="225"/>
      <c r="GEI119" s="225"/>
      <c r="GEJ119" s="225"/>
      <c r="GEK119" s="225"/>
      <c r="GEL119" s="225"/>
      <c r="GEM119" s="225"/>
      <c r="GEN119" s="225"/>
      <c r="GEO119" s="225"/>
      <c r="GEP119" s="225"/>
      <c r="GEQ119" s="225"/>
      <c r="GER119" s="225"/>
      <c r="GES119" s="225"/>
      <c r="GET119" s="225"/>
      <c r="GEU119" s="225"/>
      <c r="GEV119" s="225"/>
      <c r="GEW119" s="225"/>
      <c r="GEX119" s="225"/>
      <c r="GEY119" s="225"/>
      <c r="GEZ119" s="225"/>
      <c r="GFA119" s="225"/>
      <c r="GFB119" s="225"/>
      <c r="GFC119" s="225"/>
      <c r="GFD119" s="225"/>
      <c r="GFE119" s="225"/>
      <c r="GFF119" s="225"/>
      <c r="GFG119" s="225"/>
      <c r="GFH119" s="225"/>
      <c r="GFI119" s="225"/>
      <c r="GFJ119" s="225"/>
      <c r="GFK119" s="225"/>
      <c r="GFL119" s="225"/>
      <c r="GFM119" s="225"/>
      <c r="GFN119" s="225"/>
      <c r="GFO119" s="225"/>
      <c r="GFP119" s="225"/>
      <c r="GFQ119" s="225"/>
      <c r="GFR119" s="225"/>
      <c r="GFS119" s="225"/>
      <c r="GFT119" s="225"/>
      <c r="GFU119" s="225"/>
      <c r="GFV119" s="225"/>
      <c r="GFW119" s="225"/>
      <c r="GFX119" s="225"/>
      <c r="GFY119" s="225"/>
      <c r="GFZ119" s="225"/>
      <c r="GGA119" s="225"/>
      <c r="GGB119" s="225"/>
      <c r="GGC119" s="225"/>
      <c r="GGD119" s="225"/>
      <c r="GGE119" s="225"/>
      <c r="GGF119" s="225"/>
      <c r="GGG119" s="225"/>
      <c r="GGH119" s="225"/>
      <c r="GGI119" s="225"/>
      <c r="GGJ119" s="225"/>
      <c r="GGK119" s="225"/>
      <c r="GGL119" s="225"/>
      <c r="GGM119" s="225"/>
      <c r="GGN119" s="225"/>
      <c r="GGO119" s="225"/>
      <c r="GGP119" s="225"/>
      <c r="GGQ119" s="225"/>
      <c r="GGR119" s="225"/>
      <c r="GGS119" s="225"/>
      <c r="GGT119" s="225"/>
      <c r="GGU119" s="225"/>
      <c r="GGV119" s="225"/>
      <c r="GGW119" s="225"/>
      <c r="GGX119" s="225"/>
      <c r="GGY119" s="225"/>
      <c r="GGZ119" s="225"/>
      <c r="GHA119" s="225"/>
      <c r="GHB119" s="225"/>
      <c r="GHC119" s="225"/>
      <c r="GHD119" s="225"/>
      <c r="GHE119" s="225"/>
      <c r="GHF119" s="225"/>
      <c r="GHG119" s="225"/>
      <c r="GHH119" s="225"/>
      <c r="GHI119" s="225"/>
      <c r="GHJ119" s="225"/>
      <c r="GHK119" s="225"/>
      <c r="GHL119" s="225"/>
      <c r="GHM119" s="225"/>
      <c r="GHN119" s="225"/>
      <c r="GHO119" s="225"/>
      <c r="GHP119" s="225"/>
      <c r="GHQ119" s="225"/>
      <c r="GHR119" s="225"/>
      <c r="GHS119" s="225"/>
      <c r="GHT119" s="225"/>
      <c r="GHU119" s="225"/>
      <c r="GHV119" s="225"/>
      <c r="GHW119" s="225"/>
      <c r="GHX119" s="225"/>
      <c r="GHY119" s="225"/>
      <c r="GHZ119" s="225"/>
      <c r="GIA119" s="225"/>
      <c r="GIB119" s="225"/>
      <c r="GIC119" s="225"/>
      <c r="GID119" s="225"/>
      <c r="GIE119" s="225"/>
      <c r="GIF119" s="225"/>
      <c r="GIG119" s="225"/>
      <c r="GIH119" s="225"/>
      <c r="GII119" s="225"/>
      <c r="GIJ119" s="225"/>
      <c r="GIK119" s="225"/>
      <c r="GIL119" s="225"/>
      <c r="GIM119" s="225"/>
      <c r="GIN119" s="225"/>
      <c r="GIO119" s="225"/>
      <c r="GIP119" s="225"/>
      <c r="GIQ119" s="225"/>
      <c r="GIR119" s="225"/>
      <c r="GIS119" s="225"/>
      <c r="GIT119" s="225"/>
      <c r="GIU119" s="225"/>
      <c r="GIV119" s="225"/>
      <c r="GIW119" s="225"/>
      <c r="GIX119" s="225"/>
      <c r="GIY119" s="225"/>
      <c r="GIZ119" s="225"/>
      <c r="GJA119" s="225"/>
      <c r="GJB119" s="225"/>
      <c r="GJC119" s="225"/>
      <c r="GJD119" s="225"/>
      <c r="GJE119" s="225"/>
      <c r="GJF119" s="225"/>
      <c r="GJG119" s="225"/>
      <c r="GJH119" s="225"/>
      <c r="GJI119" s="225"/>
      <c r="GJJ119" s="225"/>
      <c r="GJK119" s="225"/>
      <c r="GJL119" s="225"/>
      <c r="GJM119" s="225"/>
      <c r="GJN119" s="225"/>
      <c r="GJO119" s="225"/>
      <c r="GJP119" s="225"/>
      <c r="GJQ119" s="225"/>
      <c r="GJR119" s="225"/>
      <c r="GJS119" s="225"/>
      <c r="GJT119" s="225"/>
      <c r="GJU119" s="225"/>
      <c r="GJV119" s="225"/>
      <c r="GJW119" s="225"/>
      <c r="GJX119" s="225"/>
      <c r="GJY119" s="225"/>
      <c r="GJZ119" s="225"/>
      <c r="GKA119" s="225"/>
      <c r="GKB119" s="225"/>
      <c r="GKC119" s="225"/>
      <c r="GKD119" s="225"/>
      <c r="GKE119" s="225"/>
      <c r="GKF119" s="225"/>
      <c r="GKG119" s="225"/>
      <c r="GKH119" s="225"/>
      <c r="GKI119" s="225"/>
      <c r="GKJ119" s="225"/>
      <c r="GKK119" s="225"/>
      <c r="GKL119" s="225"/>
      <c r="GKM119" s="225"/>
      <c r="GKN119" s="225"/>
      <c r="GKO119" s="225"/>
      <c r="GKP119" s="225"/>
      <c r="GKQ119" s="225"/>
      <c r="GKR119" s="225"/>
      <c r="GKS119" s="225"/>
      <c r="GKT119" s="225"/>
      <c r="GKU119" s="225"/>
      <c r="GKV119" s="225"/>
      <c r="GKW119" s="225"/>
      <c r="GKX119" s="225"/>
      <c r="GKY119" s="225"/>
      <c r="GKZ119" s="225"/>
      <c r="GLA119" s="225"/>
      <c r="GLB119" s="225"/>
      <c r="GLC119" s="225"/>
      <c r="GLD119" s="225"/>
      <c r="GLE119" s="225"/>
      <c r="GLF119" s="225"/>
      <c r="GLG119" s="225"/>
      <c r="GLH119" s="225"/>
      <c r="GLI119" s="225"/>
      <c r="GLJ119" s="225"/>
      <c r="GLK119" s="225"/>
      <c r="GLL119" s="225"/>
      <c r="GLM119" s="225"/>
      <c r="GLN119" s="225"/>
      <c r="GLO119" s="225"/>
      <c r="GLP119" s="225"/>
      <c r="GLQ119" s="225"/>
      <c r="GLR119" s="225"/>
      <c r="GLS119" s="225"/>
      <c r="GLT119" s="225"/>
      <c r="GLU119" s="225"/>
      <c r="GLV119" s="225"/>
      <c r="GLW119" s="225"/>
      <c r="GLX119" s="225"/>
      <c r="GLY119" s="225"/>
      <c r="GLZ119" s="225"/>
      <c r="GMA119" s="225"/>
      <c r="GMB119" s="225"/>
      <c r="GMC119" s="225"/>
      <c r="GMD119" s="225"/>
      <c r="GME119" s="225"/>
      <c r="GMF119" s="225"/>
      <c r="GMG119" s="225"/>
      <c r="GMH119" s="225"/>
      <c r="GMI119" s="225"/>
      <c r="GMJ119" s="225"/>
      <c r="GMK119" s="225"/>
      <c r="GML119" s="225"/>
      <c r="GMM119" s="225"/>
      <c r="GMN119" s="225"/>
      <c r="GMO119" s="225"/>
      <c r="GMP119" s="225"/>
      <c r="GMQ119" s="225"/>
      <c r="GMR119" s="225"/>
      <c r="GMS119" s="225"/>
      <c r="GMT119" s="225"/>
      <c r="GMU119" s="225"/>
      <c r="GMV119" s="225"/>
      <c r="GMW119" s="225"/>
      <c r="GMX119" s="225"/>
      <c r="GMY119" s="225"/>
      <c r="GMZ119" s="225"/>
      <c r="GNA119" s="225"/>
      <c r="GNB119" s="225"/>
      <c r="GNC119" s="225"/>
      <c r="GND119" s="225"/>
      <c r="GNE119" s="225"/>
      <c r="GNF119" s="225"/>
      <c r="GNG119" s="225"/>
      <c r="GNH119" s="225"/>
      <c r="GNI119" s="225"/>
      <c r="GNJ119" s="225"/>
      <c r="GNK119" s="225"/>
      <c r="GNL119" s="225"/>
      <c r="GNM119" s="225"/>
      <c r="GNN119" s="225"/>
      <c r="GNO119" s="225"/>
      <c r="GNP119" s="225"/>
      <c r="GNQ119" s="225"/>
      <c r="GNR119" s="225"/>
      <c r="GNS119" s="225"/>
      <c r="GNT119" s="225"/>
      <c r="GNU119" s="225"/>
      <c r="GNV119" s="225"/>
      <c r="GNW119" s="225"/>
      <c r="GNX119" s="225"/>
      <c r="GNY119" s="225"/>
      <c r="GNZ119" s="225"/>
      <c r="GOA119" s="225"/>
      <c r="GOB119" s="225"/>
      <c r="GOC119" s="225"/>
      <c r="GOD119" s="225"/>
      <c r="GOE119" s="225"/>
      <c r="GOF119" s="225"/>
      <c r="GOG119" s="225"/>
      <c r="GOH119" s="225"/>
      <c r="GOI119" s="225"/>
      <c r="GOJ119" s="225"/>
      <c r="GOK119" s="225"/>
      <c r="GOL119" s="225"/>
      <c r="GOM119" s="225"/>
      <c r="GON119" s="225"/>
      <c r="GOO119" s="225"/>
      <c r="GOP119" s="225"/>
      <c r="GOQ119" s="225"/>
      <c r="GOR119" s="225"/>
      <c r="GOS119" s="225"/>
      <c r="GOT119" s="225"/>
      <c r="GOU119" s="225"/>
      <c r="GOV119" s="225"/>
      <c r="GOW119" s="225"/>
      <c r="GOX119" s="225"/>
      <c r="GOY119" s="225"/>
      <c r="GOZ119" s="225"/>
      <c r="GPA119" s="225"/>
      <c r="GPB119" s="225"/>
      <c r="GPC119" s="225"/>
      <c r="GPD119" s="225"/>
      <c r="GPE119" s="225"/>
      <c r="GPF119" s="225"/>
      <c r="GPG119" s="225"/>
      <c r="GPH119" s="225"/>
      <c r="GPI119" s="225"/>
      <c r="GPJ119" s="225"/>
      <c r="GPK119" s="225"/>
      <c r="GPL119" s="225"/>
      <c r="GPM119" s="225"/>
      <c r="GPN119" s="225"/>
      <c r="GPO119" s="225"/>
      <c r="GPP119" s="225"/>
      <c r="GPQ119" s="225"/>
      <c r="GPR119" s="225"/>
      <c r="GPS119" s="225"/>
      <c r="GPT119" s="225"/>
      <c r="GPU119" s="225"/>
      <c r="GPV119" s="225"/>
      <c r="GPW119" s="225"/>
      <c r="GPX119" s="225"/>
      <c r="GPY119" s="225"/>
      <c r="GPZ119" s="225"/>
      <c r="GQA119" s="225"/>
      <c r="GQB119" s="225"/>
      <c r="GQC119" s="225"/>
      <c r="GQD119" s="225"/>
      <c r="GQE119" s="225"/>
      <c r="GQF119" s="225"/>
      <c r="GQG119" s="225"/>
      <c r="GQH119" s="225"/>
      <c r="GQI119" s="225"/>
      <c r="GQJ119" s="225"/>
      <c r="GQK119" s="225"/>
      <c r="GQL119" s="225"/>
      <c r="GQM119" s="225"/>
      <c r="GQN119" s="225"/>
      <c r="GQO119" s="225"/>
      <c r="GQP119" s="225"/>
      <c r="GQQ119" s="225"/>
      <c r="GQR119" s="225"/>
      <c r="GQS119" s="225"/>
      <c r="GQT119" s="225"/>
      <c r="GQU119" s="225"/>
      <c r="GQV119" s="225"/>
      <c r="GQW119" s="225"/>
      <c r="GQX119" s="225"/>
      <c r="GQY119" s="225"/>
      <c r="GQZ119" s="225"/>
      <c r="GRA119" s="225"/>
      <c r="GRB119" s="225"/>
      <c r="GRC119" s="225"/>
      <c r="GRD119" s="225"/>
      <c r="GRE119" s="225"/>
      <c r="GRF119" s="225"/>
      <c r="GRG119" s="225"/>
      <c r="GRH119" s="225"/>
      <c r="GRI119" s="225"/>
      <c r="GRJ119" s="225"/>
      <c r="GRK119" s="225"/>
      <c r="GRL119" s="225"/>
      <c r="GRM119" s="225"/>
      <c r="GRN119" s="225"/>
      <c r="GRO119" s="225"/>
      <c r="GRP119" s="225"/>
      <c r="GRQ119" s="225"/>
      <c r="GRR119" s="225"/>
      <c r="GRS119" s="225"/>
      <c r="GRT119" s="225"/>
      <c r="GRU119" s="225"/>
      <c r="GRV119" s="225"/>
      <c r="GRW119" s="225"/>
      <c r="GRX119" s="225"/>
      <c r="GRY119" s="225"/>
      <c r="GRZ119" s="225"/>
      <c r="GSA119" s="225"/>
      <c r="GSB119" s="225"/>
      <c r="GSC119" s="225"/>
      <c r="GSD119" s="225"/>
      <c r="GSE119" s="225"/>
      <c r="GSF119" s="225"/>
      <c r="GSG119" s="225"/>
      <c r="GSH119" s="225"/>
      <c r="GSI119" s="225"/>
      <c r="GSJ119" s="225"/>
      <c r="GSK119" s="225"/>
      <c r="GSL119" s="225"/>
      <c r="GSM119" s="225"/>
      <c r="GSN119" s="225"/>
      <c r="GSO119" s="225"/>
      <c r="GSP119" s="225"/>
      <c r="GSQ119" s="225"/>
      <c r="GSR119" s="225"/>
      <c r="GSS119" s="225"/>
      <c r="GST119" s="225"/>
      <c r="GSU119" s="225"/>
      <c r="GSV119" s="225"/>
      <c r="GSW119" s="225"/>
      <c r="GSX119" s="225"/>
      <c r="GSY119" s="225"/>
      <c r="GSZ119" s="225"/>
      <c r="GTA119" s="225"/>
      <c r="GTB119" s="225"/>
      <c r="GTC119" s="225"/>
      <c r="GTD119" s="225"/>
      <c r="GTE119" s="225"/>
      <c r="GTF119" s="225"/>
      <c r="GTG119" s="225"/>
      <c r="GTH119" s="225"/>
      <c r="GTI119" s="225"/>
      <c r="GTJ119" s="225"/>
      <c r="GTK119" s="225"/>
      <c r="GTL119" s="225"/>
      <c r="GTM119" s="225"/>
      <c r="GTN119" s="225"/>
      <c r="GTO119" s="225"/>
      <c r="GTP119" s="225"/>
      <c r="GTQ119" s="225"/>
      <c r="GTR119" s="225"/>
      <c r="GTS119" s="225"/>
      <c r="GTT119" s="225"/>
      <c r="GTU119" s="225"/>
      <c r="GTV119" s="225"/>
      <c r="GTW119" s="225"/>
      <c r="GTX119" s="225"/>
      <c r="GTY119" s="225"/>
      <c r="GTZ119" s="225"/>
      <c r="GUA119" s="225"/>
      <c r="GUB119" s="225"/>
      <c r="GUC119" s="225"/>
      <c r="GUD119" s="225"/>
      <c r="GUE119" s="225"/>
      <c r="GUF119" s="225"/>
      <c r="GUG119" s="225"/>
      <c r="GUH119" s="225"/>
      <c r="GUI119" s="225"/>
      <c r="GUJ119" s="225"/>
      <c r="GUK119" s="225"/>
      <c r="GUL119" s="225"/>
      <c r="GUM119" s="225"/>
      <c r="GUN119" s="225"/>
      <c r="GUO119" s="225"/>
      <c r="GUP119" s="225"/>
      <c r="GUQ119" s="225"/>
      <c r="GUR119" s="225"/>
      <c r="GUS119" s="225"/>
      <c r="GUT119" s="225"/>
      <c r="GUU119" s="225"/>
      <c r="GUV119" s="225"/>
      <c r="GUW119" s="225"/>
      <c r="GUX119" s="225"/>
      <c r="GUY119" s="225"/>
      <c r="GUZ119" s="225"/>
      <c r="GVA119" s="225"/>
      <c r="GVB119" s="225"/>
      <c r="GVC119" s="225"/>
      <c r="GVD119" s="225"/>
      <c r="GVE119" s="225"/>
      <c r="GVF119" s="225"/>
      <c r="GVG119" s="225"/>
      <c r="GVH119" s="225"/>
      <c r="GVI119" s="225"/>
      <c r="GVJ119" s="225"/>
      <c r="GVK119" s="225"/>
      <c r="GVL119" s="225"/>
      <c r="GVM119" s="225"/>
      <c r="GVN119" s="225"/>
      <c r="GVO119" s="225"/>
      <c r="GVP119" s="225"/>
      <c r="GVQ119" s="225"/>
      <c r="GVR119" s="225"/>
      <c r="GVS119" s="225"/>
      <c r="GVT119" s="225"/>
      <c r="GVU119" s="225"/>
      <c r="GVV119" s="225"/>
      <c r="GVW119" s="225"/>
      <c r="GVX119" s="225"/>
      <c r="GVY119" s="225"/>
      <c r="GVZ119" s="225"/>
      <c r="GWA119" s="225"/>
      <c r="GWB119" s="225"/>
      <c r="GWC119" s="225"/>
      <c r="GWD119" s="225"/>
      <c r="GWE119" s="225"/>
      <c r="GWF119" s="225"/>
      <c r="GWG119" s="225"/>
      <c r="GWH119" s="225"/>
      <c r="GWI119" s="225"/>
      <c r="GWJ119" s="225"/>
      <c r="GWK119" s="225"/>
      <c r="GWL119" s="225"/>
      <c r="GWM119" s="225"/>
      <c r="GWN119" s="225"/>
      <c r="GWO119" s="225"/>
      <c r="GWP119" s="225"/>
      <c r="GWQ119" s="225"/>
      <c r="GWR119" s="225"/>
      <c r="GWS119" s="225"/>
      <c r="GWT119" s="225"/>
      <c r="GWU119" s="225"/>
      <c r="GWV119" s="225"/>
      <c r="GWW119" s="225"/>
      <c r="GWX119" s="225"/>
      <c r="GWY119" s="225"/>
      <c r="GWZ119" s="225"/>
      <c r="GXA119" s="225"/>
      <c r="GXB119" s="225"/>
      <c r="GXC119" s="225"/>
      <c r="GXD119" s="225"/>
      <c r="GXE119" s="225"/>
      <c r="GXF119" s="225"/>
      <c r="GXG119" s="225"/>
      <c r="GXH119" s="225"/>
      <c r="GXI119" s="225"/>
      <c r="GXJ119" s="225"/>
      <c r="GXK119" s="225"/>
      <c r="GXL119" s="225"/>
      <c r="GXM119" s="225"/>
      <c r="GXN119" s="225"/>
      <c r="GXO119" s="225"/>
      <c r="GXP119" s="225"/>
      <c r="GXQ119" s="225"/>
      <c r="GXR119" s="225"/>
      <c r="GXS119" s="225"/>
      <c r="GXT119" s="225"/>
      <c r="GXU119" s="225"/>
      <c r="GXV119" s="225"/>
      <c r="GXW119" s="225"/>
      <c r="GXX119" s="225"/>
      <c r="GXY119" s="225"/>
      <c r="GXZ119" s="225"/>
      <c r="GYA119" s="225"/>
      <c r="GYB119" s="225"/>
      <c r="GYC119" s="225"/>
      <c r="GYD119" s="225"/>
      <c r="GYE119" s="225"/>
      <c r="GYF119" s="225"/>
      <c r="GYG119" s="225"/>
      <c r="GYH119" s="225"/>
      <c r="GYI119" s="225"/>
      <c r="GYJ119" s="225"/>
      <c r="GYK119" s="225"/>
      <c r="GYL119" s="225"/>
      <c r="GYM119" s="225"/>
      <c r="GYN119" s="225"/>
      <c r="GYO119" s="225"/>
      <c r="GYP119" s="225"/>
      <c r="GYQ119" s="225"/>
      <c r="GYR119" s="225"/>
      <c r="GYS119" s="225"/>
      <c r="GYT119" s="225"/>
      <c r="GYU119" s="225"/>
      <c r="GYV119" s="225"/>
      <c r="GYW119" s="225"/>
      <c r="GYX119" s="225"/>
      <c r="GYY119" s="225"/>
      <c r="GYZ119" s="225"/>
      <c r="GZA119" s="225"/>
      <c r="GZB119" s="225"/>
      <c r="GZC119" s="225"/>
      <c r="GZD119" s="225"/>
      <c r="GZE119" s="225"/>
      <c r="GZF119" s="225"/>
      <c r="GZG119" s="225"/>
      <c r="GZH119" s="225"/>
      <c r="GZI119" s="225"/>
      <c r="GZJ119" s="225"/>
      <c r="GZK119" s="225"/>
      <c r="GZL119" s="225"/>
      <c r="GZM119" s="225"/>
      <c r="GZN119" s="225"/>
      <c r="GZO119" s="225"/>
      <c r="GZP119" s="225"/>
      <c r="GZQ119" s="225"/>
      <c r="GZR119" s="225"/>
      <c r="GZS119" s="225"/>
      <c r="GZT119" s="225"/>
      <c r="GZU119" s="225"/>
      <c r="GZV119" s="225"/>
      <c r="GZW119" s="225"/>
      <c r="GZX119" s="225"/>
      <c r="GZY119" s="225"/>
      <c r="GZZ119" s="225"/>
      <c r="HAA119" s="225"/>
      <c r="HAB119" s="225"/>
      <c r="HAC119" s="225"/>
      <c r="HAD119" s="225"/>
      <c r="HAE119" s="225"/>
      <c r="HAF119" s="225"/>
      <c r="HAG119" s="225"/>
      <c r="HAH119" s="225"/>
      <c r="HAI119" s="225"/>
      <c r="HAJ119" s="225"/>
      <c r="HAK119" s="225"/>
      <c r="HAL119" s="225"/>
      <c r="HAM119" s="225"/>
      <c r="HAN119" s="225"/>
      <c r="HAO119" s="225"/>
      <c r="HAP119" s="225"/>
      <c r="HAQ119" s="225"/>
      <c r="HAR119" s="225"/>
      <c r="HAS119" s="225"/>
      <c r="HAT119" s="225"/>
      <c r="HAU119" s="225"/>
      <c r="HAV119" s="225"/>
      <c r="HAW119" s="225"/>
      <c r="HAX119" s="225"/>
      <c r="HAY119" s="225"/>
      <c r="HAZ119" s="225"/>
      <c r="HBA119" s="225"/>
      <c r="HBB119" s="225"/>
      <c r="HBC119" s="225"/>
      <c r="HBD119" s="225"/>
      <c r="HBE119" s="225"/>
      <c r="HBF119" s="225"/>
      <c r="HBG119" s="225"/>
      <c r="HBH119" s="225"/>
      <c r="HBI119" s="225"/>
      <c r="HBJ119" s="225"/>
      <c r="HBK119" s="225"/>
      <c r="HBL119" s="225"/>
      <c r="HBM119" s="225"/>
      <c r="HBN119" s="225"/>
      <c r="HBO119" s="225"/>
      <c r="HBP119" s="225"/>
      <c r="HBQ119" s="225"/>
      <c r="HBR119" s="225"/>
      <c r="HBS119" s="225"/>
      <c r="HBT119" s="225"/>
      <c r="HBU119" s="225"/>
      <c r="HBV119" s="225"/>
      <c r="HBW119" s="225"/>
      <c r="HBX119" s="225"/>
      <c r="HBY119" s="225"/>
      <c r="HBZ119" s="225"/>
      <c r="HCA119" s="225"/>
      <c r="HCB119" s="225"/>
      <c r="HCC119" s="225"/>
      <c r="HCD119" s="225"/>
      <c r="HCE119" s="225"/>
      <c r="HCF119" s="225"/>
      <c r="HCG119" s="225"/>
      <c r="HCH119" s="225"/>
      <c r="HCI119" s="225"/>
      <c r="HCJ119" s="225"/>
      <c r="HCK119" s="225"/>
      <c r="HCL119" s="225"/>
      <c r="HCM119" s="225"/>
      <c r="HCN119" s="225"/>
      <c r="HCO119" s="225"/>
      <c r="HCP119" s="225"/>
      <c r="HCQ119" s="225"/>
      <c r="HCR119" s="225"/>
      <c r="HCS119" s="225"/>
      <c r="HCT119" s="225"/>
      <c r="HCU119" s="225"/>
      <c r="HCV119" s="225"/>
      <c r="HCW119" s="225"/>
      <c r="HCX119" s="225"/>
      <c r="HCY119" s="225"/>
      <c r="HCZ119" s="225"/>
      <c r="HDA119" s="225"/>
      <c r="HDB119" s="225"/>
      <c r="HDC119" s="225"/>
      <c r="HDD119" s="225"/>
      <c r="HDE119" s="225"/>
      <c r="HDF119" s="225"/>
      <c r="HDG119" s="225"/>
      <c r="HDH119" s="225"/>
      <c r="HDI119" s="225"/>
      <c r="HDJ119" s="225"/>
      <c r="HDK119" s="225"/>
      <c r="HDL119" s="225"/>
      <c r="HDM119" s="225"/>
      <c r="HDN119" s="225"/>
      <c r="HDO119" s="225"/>
      <c r="HDP119" s="225"/>
      <c r="HDQ119" s="225"/>
      <c r="HDR119" s="225"/>
      <c r="HDS119" s="225"/>
      <c r="HDT119" s="225"/>
      <c r="HDU119" s="225"/>
      <c r="HDV119" s="225"/>
      <c r="HDW119" s="225"/>
      <c r="HDX119" s="225"/>
      <c r="HDY119" s="225"/>
      <c r="HDZ119" s="225"/>
      <c r="HEA119" s="225"/>
      <c r="HEB119" s="225"/>
      <c r="HEC119" s="225"/>
      <c r="HED119" s="225"/>
      <c r="HEE119" s="225"/>
      <c r="HEF119" s="225"/>
      <c r="HEG119" s="225"/>
      <c r="HEH119" s="225"/>
      <c r="HEI119" s="225"/>
      <c r="HEJ119" s="225"/>
      <c r="HEK119" s="225"/>
      <c r="HEL119" s="225"/>
      <c r="HEM119" s="225"/>
      <c r="HEN119" s="225"/>
      <c r="HEO119" s="225"/>
      <c r="HEP119" s="225"/>
      <c r="HEQ119" s="225"/>
      <c r="HER119" s="225"/>
      <c r="HES119" s="225"/>
      <c r="HET119" s="225"/>
      <c r="HEU119" s="225"/>
      <c r="HEV119" s="225"/>
      <c r="HEW119" s="225"/>
      <c r="HEX119" s="225"/>
      <c r="HEY119" s="225"/>
      <c r="HEZ119" s="225"/>
      <c r="HFA119" s="225"/>
      <c r="HFB119" s="225"/>
      <c r="HFC119" s="225"/>
      <c r="HFD119" s="225"/>
      <c r="HFE119" s="225"/>
      <c r="HFF119" s="225"/>
      <c r="HFG119" s="225"/>
      <c r="HFH119" s="225"/>
      <c r="HFI119" s="225"/>
      <c r="HFJ119" s="225"/>
      <c r="HFK119" s="225"/>
      <c r="HFL119" s="225"/>
      <c r="HFM119" s="225"/>
      <c r="HFN119" s="225"/>
      <c r="HFO119" s="225"/>
      <c r="HFP119" s="225"/>
      <c r="HFQ119" s="225"/>
      <c r="HFR119" s="225"/>
      <c r="HFS119" s="225"/>
      <c r="HFT119" s="225"/>
      <c r="HFU119" s="225"/>
      <c r="HFV119" s="225"/>
      <c r="HFW119" s="225"/>
      <c r="HFX119" s="225"/>
      <c r="HFY119" s="225"/>
      <c r="HFZ119" s="225"/>
      <c r="HGA119" s="225"/>
      <c r="HGB119" s="225"/>
      <c r="HGC119" s="225"/>
      <c r="HGD119" s="225"/>
      <c r="HGE119" s="225"/>
      <c r="HGF119" s="225"/>
      <c r="HGG119" s="225"/>
      <c r="HGH119" s="225"/>
      <c r="HGI119" s="225"/>
      <c r="HGJ119" s="225"/>
      <c r="HGK119" s="225"/>
      <c r="HGL119" s="225"/>
      <c r="HGM119" s="225"/>
      <c r="HGN119" s="225"/>
      <c r="HGO119" s="225"/>
      <c r="HGP119" s="225"/>
      <c r="HGQ119" s="225"/>
      <c r="HGR119" s="225"/>
      <c r="HGS119" s="225"/>
      <c r="HGT119" s="225"/>
      <c r="HGU119" s="225"/>
      <c r="HGV119" s="225"/>
      <c r="HGW119" s="225"/>
      <c r="HGX119" s="225"/>
      <c r="HGY119" s="225"/>
      <c r="HGZ119" s="225"/>
      <c r="HHA119" s="225"/>
      <c r="HHB119" s="225"/>
      <c r="HHC119" s="225"/>
      <c r="HHD119" s="225"/>
      <c r="HHE119" s="225"/>
      <c r="HHF119" s="225"/>
      <c r="HHG119" s="225"/>
      <c r="HHH119" s="225"/>
      <c r="HHI119" s="225"/>
      <c r="HHJ119" s="225"/>
      <c r="HHK119" s="225"/>
      <c r="HHL119" s="225"/>
      <c r="HHM119" s="225"/>
      <c r="HHN119" s="225"/>
      <c r="HHO119" s="225"/>
      <c r="HHP119" s="225"/>
      <c r="HHQ119" s="225"/>
      <c r="HHR119" s="225"/>
      <c r="HHS119" s="225"/>
      <c r="HHT119" s="225"/>
      <c r="HHU119" s="225"/>
      <c r="HHV119" s="225"/>
      <c r="HHW119" s="225"/>
      <c r="HHX119" s="225"/>
      <c r="HHY119" s="225"/>
      <c r="HHZ119" s="225"/>
      <c r="HIA119" s="225"/>
      <c r="HIB119" s="225"/>
      <c r="HIC119" s="225"/>
      <c r="HID119" s="225"/>
      <c r="HIE119" s="225"/>
      <c r="HIF119" s="225"/>
      <c r="HIG119" s="225"/>
      <c r="HIH119" s="225"/>
      <c r="HII119" s="225"/>
      <c r="HIJ119" s="225"/>
      <c r="HIK119" s="225"/>
      <c r="HIL119" s="225"/>
      <c r="HIM119" s="225"/>
      <c r="HIN119" s="225"/>
      <c r="HIO119" s="225"/>
      <c r="HIP119" s="225"/>
      <c r="HIQ119" s="225"/>
      <c r="HIR119" s="225"/>
      <c r="HIS119" s="225"/>
      <c r="HIT119" s="225"/>
      <c r="HIU119" s="225"/>
      <c r="HIV119" s="225"/>
      <c r="HIW119" s="225"/>
      <c r="HIX119" s="225"/>
      <c r="HIY119" s="225"/>
      <c r="HIZ119" s="225"/>
      <c r="HJA119" s="225"/>
      <c r="HJB119" s="225"/>
      <c r="HJC119" s="225"/>
      <c r="HJD119" s="225"/>
      <c r="HJE119" s="225"/>
      <c r="HJF119" s="225"/>
      <c r="HJG119" s="225"/>
      <c r="HJH119" s="225"/>
      <c r="HJI119" s="225"/>
      <c r="HJJ119" s="225"/>
      <c r="HJK119" s="225"/>
      <c r="HJL119" s="225"/>
      <c r="HJM119" s="225"/>
      <c r="HJN119" s="225"/>
      <c r="HJO119" s="225"/>
      <c r="HJP119" s="225"/>
      <c r="HJQ119" s="225"/>
      <c r="HJR119" s="225"/>
      <c r="HJS119" s="225"/>
      <c r="HJT119" s="225"/>
      <c r="HJU119" s="225"/>
      <c r="HJV119" s="225"/>
      <c r="HJW119" s="225"/>
      <c r="HJX119" s="225"/>
      <c r="HJY119" s="225"/>
      <c r="HJZ119" s="225"/>
      <c r="HKA119" s="225"/>
      <c r="HKB119" s="225"/>
      <c r="HKC119" s="225"/>
      <c r="HKD119" s="225"/>
      <c r="HKE119" s="225"/>
      <c r="HKF119" s="225"/>
      <c r="HKG119" s="225"/>
      <c r="HKH119" s="225"/>
      <c r="HKI119" s="225"/>
      <c r="HKJ119" s="225"/>
      <c r="HKK119" s="225"/>
      <c r="HKL119" s="225"/>
      <c r="HKM119" s="225"/>
      <c r="HKN119" s="225"/>
      <c r="HKO119" s="225"/>
      <c r="HKP119" s="225"/>
      <c r="HKQ119" s="225"/>
      <c r="HKR119" s="225"/>
      <c r="HKS119" s="225"/>
      <c r="HKT119" s="225"/>
      <c r="HKU119" s="225"/>
      <c r="HKV119" s="225"/>
      <c r="HKW119" s="225"/>
      <c r="HKX119" s="225"/>
      <c r="HKY119" s="225"/>
      <c r="HKZ119" s="225"/>
      <c r="HLA119" s="225"/>
      <c r="HLB119" s="225"/>
      <c r="HLC119" s="225"/>
      <c r="HLD119" s="225"/>
      <c r="HLE119" s="225"/>
      <c r="HLF119" s="225"/>
      <c r="HLG119" s="225"/>
      <c r="HLH119" s="225"/>
      <c r="HLI119" s="225"/>
      <c r="HLJ119" s="225"/>
      <c r="HLK119" s="225"/>
      <c r="HLL119" s="225"/>
      <c r="HLM119" s="225"/>
      <c r="HLN119" s="225"/>
      <c r="HLO119" s="225"/>
      <c r="HLP119" s="225"/>
      <c r="HLQ119" s="225"/>
      <c r="HLR119" s="225"/>
      <c r="HLS119" s="225"/>
      <c r="HLT119" s="225"/>
      <c r="HLU119" s="225"/>
      <c r="HLV119" s="225"/>
      <c r="HLW119" s="225"/>
      <c r="HLX119" s="225"/>
      <c r="HLY119" s="225"/>
      <c r="HLZ119" s="225"/>
      <c r="HMA119" s="225"/>
      <c r="HMB119" s="225"/>
      <c r="HMC119" s="225"/>
      <c r="HMD119" s="225"/>
      <c r="HME119" s="225"/>
      <c r="HMF119" s="225"/>
      <c r="HMG119" s="225"/>
      <c r="HMH119" s="225"/>
      <c r="HMI119" s="225"/>
      <c r="HMJ119" s="225"/>
      <c r="HMK119" s="225"/>
      <c r="HML119" s="225"/>
      <c r="HMM119" s="225"/>
      <c r="HMN119" s="225"/>
      <c r="HMO119" s="225"/>
      <c r="HMP119" s="225"/>
      <c r="HMQ119" s="225"/>
      <c r="HMR119" s="225"/>
      <c r="HMS119" s="225"/>
      <c r="HMT119" s="225"/>
      <c r="HMU119" s="225"/>
      <c r="HMV119" s="225"/>
      <c r="HMW119" s="225"/>
      <c r="HMX119" s="225"/>
      <c r="HMY119" s="225"/>
      <c r="HMZ119" s="225"/>
      <c r="HNA119" s="225"/>
      <c r="HNB119" s="225"/>
      <c r="HNC119" s="225"/>
      <c r="HND119" s="225"/>
      <c r="HNE119" s="225"/>
      <c r="HNF119" s="225"/>
      <c r="HNG119" s="225"/>
      <c r="HNH119" s="225"/>
      <c r="HNI119" s="225"/>
      <c r="HNJ119" s="225"/>
      <c r="HNK119" s="225"/>
      <c r="HNL119" s="225"/>
      <c r="HNM119" s="225"/>
      <c r="HNN119" s="225"/>
      <c r="HNO119" s="225"/>
      <c r="HNP119" s="225"/>
      <c r="HNQ119" s="225"/>
      <c r="HNR119" s="225"/>
      <c r="HNS119" s="225"/>
      <c r="HNT119" s="225"/>
      <c r="HNU119" s="225"/>
      <c r="HNV119" s="225"/>
      <c r="HNW119" s="225"/>
      <c r="HNX119" s="225"/>
      <c r="HNY119" s="225"/>
      <c r="HNZ119" s="225"/>
      <c r="HOA119" s="225"/>
      <c r="HOB119" s="225"/>
      <c r="HOC119" s="225"/>
      <c r="HOD119" s="225"/>
      <c r="HOE119" s="225"/>
      <c r="HOF119" s="225"/>
      <c r="HOG119" s="225"/>
      <c r="HOH119" s="225"/>
      <c r="HOI119" s="225"/>
      <c r="HOJ119" s="225"/>
      <c r="HOK119" s="225"/>
      <c r="HOL119" s="225"/>
      <c r="HOM119" s="225"/>
      <c r="HON119" s="225"/>
      <c r="HOO119" s="225"/>
      <c r="HOP119" s="225"/>
      <c r="HOQ119" s="225"/>
      <c r="HOR119" s="225"/>
      <c r="HOS119" s="225"/>
      <c r="HOT119" s="225"/>
      <c r="HOU119" s="225"/>
      <c r="HOV119" s="225"/>
      <c r="HOW119" s="225"/>
      <c r="HOX119" s="225"/>
      <c r="HOY119" s="225"/>
      <c r="HOZ119" s="225"/>
      <c r="HPA119" s="225"/>
      <c r="HPB119" s="225"/>
      <c r="HPC119" s="225"/>
      <c r="HPD119" s="225"/>
      <c r="HPE119" s="225"/>
      <c r="HPF119" s="225"/>
      <c r="HPG119" s="225"/>
      <c r="HPH119" s="225"/>
      <c r="HPI119" s="225"/>
      <c r="HPJ119" s="225"/>
      <c r="HPK119" s="225"/>
      <c r="HPL119" s="225"/>
      <c r="HPM119" s="225"/>
      <c r="HPN119" s="225"/>
      <c r="HPO119" s="225"/>
      <c r="HPP119" s="225"/>
      <c r="HPQ119" s="225"/>
      <c r="HPR119" s="225"/>
      <c r="HPS119" s="225"/>
      <c r="HPT119" s="225"/>
      <c r="HPU119" s="225"/>
      <c r="HPV119" s="225"/>
      <c r="HPW119" s="225"/>
      <c r="HPX119" s="225"/>
      <c r="HPY119" s="225"/>
      <c r="HPZ119" s="225"/>
      <c r="HQA119" s="225"/>
      <c r="HQB119" s="225"/>
      <c r="HQC119" s="225"/>
      <c r="HQD119" s="225"/>
      <c r="HQE119" s="225"/>
      <c r="HQF119" s="225"/>
      <c r="HQG119" s="225"/>
      <c r="HQH119" s="225"/>
      <c r="HQI119" s="225"/>
      <c r="HQJ119" s="225"/>
      <c r="HQK119" s="225"/>
      <c r="HQL119" s="225"/>
      <c r="HQM119" s="225"/>
      <c r="HQN119" s="225"/>
      <c r="HQO119" s="225"/>
      <c r="HQP119" s="225"/>
      <c r="HQQ119" s="225"/>
      <c r="HQR119" s="225"/>
      <c r="HQS119" s="225"/>
      <c r="HQT119" s="225"/>
      <c r="HQU119" s="225"/>
      <c r="HQV119" s="225"/>
      <c r="HQW119" s="225"/>
      <c r="HQX119" s="225"/>
      <c r="HQY119" s="225"/>
      <c r="HQZ119" s="225"/>
      <c r="HRA119" s="225"/>
      <c r="HRB119" s="225"/>
      <c r="HRC119" s="225"/>
      <c r="HRD119" s="225"/>
      <c r="HRE119" s="225"/>
      <c r="HRF119" s="225"/>
      <c r="HRG119" s="225"/>
      <c r="HRH119" s="225"/>
      <c r="HRI119" s="225"/>
      <c r="HRJ119" s="225"/>
      <c r="HRK119" s="225"/>
      <c r="HRL119" s="225"/>
      <c r="HRM119" s="225"/>
      <c r="HRN119" s="225"/>
      <c r="HRO119" s="225"/>
      <c r="HRP119" s="225"/>
      <c r="HRQ119" s="225"/>
      <c r="HRR119" s="225"/>
      <c r="HRS119" s="225"/>
      <c r="HRT119" s="225"/>
      <c r="HRU119" s="225"/>
      <c r="HRV119" s="225"/>
      <c r="HRW119" s="225"/>
      <c r="HRX119" s="225"/>
      <c r="HRY119" s="225"/>
      <c r="HRZ119" s="225"/>
      <c r="HSA119" s="225"/>
      <c r="HSB119" s="225"/>
      <c r="HSC119" s="225"/>
      <c r="HSD119" s="225"/>
      <c r="HSE119" s="225"/>
      <c r="HSF119" s="225"/>
      <c r="HSG119" s="225"/>
      <c r="HSH119" s="225"/>
      <c r="HSI119" s="225"/>
      <c r="HSJ119" s="225"/>
      <c r="HSK119" s="225"/>
      <c r="HSL119" s="225"/>
      <c r="HSM119" s="225"/>
      <c r="HSN119" s="225"/>
      <c r="HSO119" s="225"/>
      <c r="HSP119" s="225"/>
      <c r="HSQ119" s="225"/>
      <c r="HSR119" s="225"/>
      <c r="HSS119" s="225"/>
      <c r="HST119" s="225"/>
      <c r="HSU119" s="225"/>
      <c r="HSV119" s="225"/>
      <c r="HSW119" s="225"/>
      <c r="HSX119" s="225"/>
      <c r="HSY119" s="225"/>
      <c r="HSZ119" s="225"/>
      <c r="HTA119" s="225"/>
      <c r="HTB119" s="225"/>
      <c r="HTC119" s="225"/>
      <c r="HTD119" s="225"/>
      <c r="HTE119" s="225"/>
      <c r="HTF119" s="225"/>
      <c r="HTG119" s="225"/>
      <c r="HTH119" s="225"/>
      <c r="HTI119" s="225"/>
      <c r="HTJ119" s="225"/>
      <c r="HTK119" s="225"/>
      <c r="HTL119" s="225"/>
      <c r="HTM119" s="225"/>
      <c r="HTN119" s="225"/>
      <c r="HTO119" s="225"/>
      <c r="HTP119" s="225"/>
      <c r="HTQ119" s="225"/>
      <c r="HTR119" s="225"/>
      <c r="HTS119" s="225"/>
      <c r="HTT119" s="225"/>
      <c r="HTU119" s="225"/>
      <c r="HTV119" s="225"/>
      <c r="HTW119" s="225"/>
      <c r="HTX119" s="225"/>
      <c r="HTY119" s="225"/>
      <c r="HTZ119" s="225"/>
      <c r="HUA119" s="225"/>
      <c r="HUB119" s="225"/>
      <c r="HUC119" s="225"/>
      <c r="HUD119" s="225"/>
      <c r="HUE119" s="225"/>
      <c r="HUF119" s="225"/>
      <c r="HUG119" s="225"/>
      <c r="HUH119" s="225"/>
      <c r="HUI119" s="225"/>
      <c r="HUJ119" s="225"/>
      <c r="HUK119" s="225"/>
      <c r="HUL119" s="225"/>
      <c r="HUM119" s="225"/>
      <c r="HUN119" s="225"/>
      <c r="HUO119" s="225"/>
      <c r="HUP119" s="225"/>
      <c r="HUQ119" s="225"/>
      <c r="HUR119" s="225"/>
      <c r="HUS119" s="225"/>
      <c r="HUT119" s="225"/>
      <c r="HUU119" s="225"/>
      <c r="HUV119" s="225"/>
      <c r="HUW119" s="225"/>
      <c r="HUX119" s="225"/>
      <c r="HUY119" s="225"/>
      <c r="HUZ119" s="225"/>
      <c r="HVA119" s="225"/>
      <c r="HVB119" s="225"/>
      <c r="HVC119" s="225"/>
      <c r="HVD119" s="225"/>
      <c r="HVE119" s="225"/>
      <c r="HVF119" s="225"/>
      <c r="HVG119" s="225"/>
      <c r="HVH119" s="225"/>
      <c r="HVI119" s="225"/>
      <c r="HVJ119" s="225"/>
      <c r="HVK119" s="225"/>
      <c r="HVL119" s="225"/>
      <c r="HVM119" s="225"/>
      <c r="HVN119" s="225"/>
      <c r="HVO119" s="225"/>
      <c r="HVP119" s="225"/>
      <c r="HVQ119" s="225"/>
      <c r="HVR119" s="225"/>
      <c r="HVS119" s="225"/>
      <c r="HVT119" s="225"/>
      <c r="HVU119" s="225"/>
      <c r="HVV119" s="225"/>
      <c r="HVW119" s="225"/>
      <c r="HVX119" s="225"/>
      <c r="HVY119" s="225"/>
      <c r="HVZ119" s="225"/>
      <c r="HWA119" s="225"/>
      <c r="HWB119" s="225"/>
      <c r="HWC119" s="225"/>
      <c r="HWD119" s="225"/>
      <c r="HWE119" s="225"/>
      <c r="HWF119" s="225"/>
      <c r="HWG119" s="225"/>
      <c r="HWH119" s="225"/>
      <c r="HWI119" s="225"/>
      <c r="HWJ119" s="225"/>
      <c r="HWK119" s="225"/>
      <c r="HWL119" s="225"/>
      <c r="HWM119" s="225"/>
      <c r="HWN119" s="225"/>
      <c r="HWO119" s="225"/>
      <c r="HWP119" s="225"/>
      <c r="HWQ119" s="225"/>
      <c r="HWR119" s="225"/>
      <c r="HWS119" s="225"/>
      <c r="HWT119" s="225"/>
      <c r="HWU119" s="225"/>
      <c r="HWV119" s="225"/>
      <c r="HWW119" s="225"/>
      <c r="HWX119" s="225"/>
      <c r="HWY119" s="225"/>
      <c r="HWZ119" s="225"/>
      <c r="HXA119" s="225"/>
      <c r="HXB119" s="225"/>
      <c r="HXC119" s="225"/>
      <c r="HXD119" s="225"/>
      <c r="HXE119" s="225"/>
      <c r="HXF119" s="225"/>
      <c r="HXG119" s="225"/>
      <c r="HXH119" s="225"/>
      <c r="HXI119" s="225"/>
      <c r="HXJ119" s="225"/>
      <c r="HXK119" s="225"/>
      <c r="HXL119" s="225"/>
      <c r="HXM119" s="225"/>
      <c r="HXN119" s="225"/>
      <c r="HXO119" s="225"/>
      <c r="HXP119" s="225"/>
      <c r="HXQ119" s="225"/>
      <c r="HXR119" s="225"/>
      <c r="HXS119" s="225"/>
      <c r="HXT119" s="225"/>
      <c r="HXU119" s="225"/>
      <c r="HXV119" s="225"/>
      <c r="HXW119" s="225"/>
      <c r="HXX119" s="225"/>
      <c r="HXY119" s="225"/>
      <c r="HXZ119" s="225"/>
      <c r="HYA119" s="225"/>
      <c r="HYB119" s="225"/>
      <c r="HYC119" s="225"/>
      <c r="HYD119" s="225"/>
      <c r="HYE119" s="225"/>
      <c r="HYF119" s="225"/>
      <c r="HYG119" s="225"/>
      <c r="HYH119" s="225"/>
      <c r="HYI119" s="225"/>
      <c r="HYJ119" s="225"/>
      <c r="HYK119" s="225"/>
      <c r="HYL119" s="225"/>
      <c r="HYM119" s="225"/>
      <c r="HYN119" s="225"/>
      <c r="HYO119" s="225"/>
      <c r="HYP119" s="225"/>
      <c r="HYQ119" s="225"/>
      <c r="HYR119" s="225"/>
      <c r="HYS119" s="225"/>
      <c r="HYT119" s="225"/>
      <c r="HYU119" s="225"/>
      <c r="HYV119" s="225"/>
      <c r="HYW119" s="225"/>
      <c r="HYX119" s="225"/>
      <c r="HYY119" s="225"/>
      <c r="HYZ119" s="225"/>
      <c r="HZA119" s="225"/>
      <c r="HZB119" s="225"/>
      <c r="HZC119" s="225"/>
      <c r="HZD119" s="225"/>
      <c r="HZE119" s="225"/>
      <c r="HZF119" s="225"/>
      <c r="HZG119" s="225"/>
      <c r="HZH119" s="225"/>
      <c r="HZI119" s="225"/>
      <c r="HZJ119" s="225"/>
      <c r="HZK119" s="225"/>
      <c r="HZL119" s="225"/>
      <c r="HZM119" s="225"/>
      <c r="HZN119" s="225"/>
      <c r="HZO119" s="225"/>
      <c r="HZP119" s="225"/>
      <c r="HZQ119" s="225"/>
      <c r="HZR119" s="225"/>
      <c r="HZS119" s="225"/>
      <c r="HZT119" s="225"/>
      <c r="HZU119" s="225"/>
      <c r="HZV119" s="225"/>
      <c r="HZW119" s="225"/>
      <c r="HZX119" s="225"/>
      <c r="HZY119" s="225"/>
      <c r="HZZ119" s="225"/>
      <c r="IAA119" s="225"/>
      <c r="IAB119" s="225"/>
      <c r="IAC119" s="225"/>
      <c r="IAD119" s="225"/>
      <c r="IAE119" s="225"/>
      <c r="IAF119" s="225"/>
      <c r="IAG119" s="225"/>
      <c r="IAH119" s="225"/>
      <c r="IAI119" s="225"/>
      <c r="IAJ119" s="225"/>
      <c r="IAK119" s="225"/>
      <c r="IAL119" s="225"/>
      <c r="IAM119" s="225"/>
      <c r="IAN119" s="225"/>
      <c r="IAO119" s="225"/>
      <c r="IAP119" s="225"/>
      <c r="IAQ119" s="225"/>
      <c r="IAR119" s="225"/>
      <c r="IAS119" s="225"/>
      <c r="IAT119" s="225"/>
      <c r="IAU119" s="225"/>
      <c r="IAV119" s="225"/>
      <c r="IAW119" s="225"/>
      <c r="IAX119" s="225"/>
      <c r="IAY119" s="225"/>
      <c r="IAZ119" s="225"/>
      <c r="IBA119" s="225"/>
      <c r="IBB119" s="225"/>
      <c r="IBC119" s="225"/>
      <c r="IBD119" s="225"/>
      <c r="IBE119" s="225"/>
      <c r="IBF119" s="225"/>
      <c r="IBG119" s="225"/>
      <c r="IBH119" s="225"/>
      <c r="IBI119" s="225"/>
      <c r="IBJ119" s="225"/>
      <c r="IBK119" s="225"/>
      <c r="IBL119" s="225"/>
      <c r="IBM119" s="225"/>
      <c r="IBN119" s="225"/>
      <c r="IBO119" s="225"/>
      <c r="IBP119" s="225"/>
      <c r="IBQ119" s="225"/>
      <c r="IBR119" s="225"/>
      <c r="IBS119" s="225"/>
      <c r="IBT119" s="225"/>
      <c r="IBU119" s="225"/>
      <c r="IBV119" s="225"/>
      <c r="IBW119" s="225"/>
      <c r="IBX119" s="225"/>
      <c r="IBY119" s="225"/>
      <c r="IBZ119" s="225"/>
      <c r="ICA119" s="225"/>
      <c r="ICB119" s="225"/>
      <c r="ICC119" s="225"/>
      <c r="ICD119" s="225"/>
      <c r="ICE119" s="225"/>
      <c r="ICF119" s="225"/>
      <c r="ICG119" s="225"/>
      <c r="ICH119" s="225"/>
      <c r="ICI119" s="225"/>
      <c r="ICJ119" s="225"/>
      <c r="ICK119" s="225"/>
      <c r="ICL119" s="225"/>
      <c r="ICM119" s="225"/>
      <c r="ICN119" s="225"/>
      <c r="ICO119" s="225"/>
      <c r="ICP119" s="225"/>
      <c r="ICQ119" s="225"/>
      <c r="ICR119" s="225"/>
      <c r="ICS119" s="225"/>
      <c r="ICT119" s="225"/>
      <c r="ICU119" s="225"/>
      <c r="ICV119" s="225"/>
      <c r="ICW119" s="225"/>
      <c r="ICX119" s="225"/>
      <c r="ICY119" s="225"/>
      <c r="ICZ119" s="225"/>
      <c r="IDA119" s="225"/>
      <c r="IDB119" s="225"/>
      <c r="IDC119" s="225"/>
      <c r="IDD119" s="225"/>
      <c r="IDE119" s="225"/>
      <c r="IDF119" s="225"/>
      <c r="IDG119" s="225"/>
      <c r="IDH119" s="225"/>
      <c r="IDI119" s="225"/>
      <c r="IDJ119" s="225"/>
      <c r="IDK119" s="225"/>
      <c r="IDL119" s="225"/>
      <c r="IDM119" s="225"/>
      <c r="IDN119" s="225"/>
      <c r="IDO119" s="225"/>
      <c r="IDP119" s="225"/>
      <c r="IDQ119" s="225"/>
      <c r="IDR119" s="225"/>
      <c r="IDS119" s="225"/>
      <c r="IDT119" s="225"/>
      <c r="IDU119" s="225"/>
      <c r="IDV119" s="225"/>
      <c r="IDW119" s="225"/>
      <c r="IDX119" s="225"/>
      <c r="IDY119" s="225"/>
      <c r="IDZ119" s="225"/>
      <c r="IEA119" s="225"/>
      <c r="IEB119" s="225"/>
      <c r="IEC119" s="225"/>
      <c r="IED119" s="225"/>
      <c r="IEE119" s="225"/>
      <c r="IEF119" s="225"/>
      <c r="IEG119" s="225"/>
      <c r="IEH119" s="225"/>
      <c r="IEI119" s="225"/>
      <c r="IEJ119" s="225"/>
      <c r="IEK119" s="225"/>
      <c r="IEL119" s="225"/>
      <c r="IEM119" s="225"/>
      <c r="IEN119" s="225"/>
      <c r="IEO119" s="225"/>
      <c r="IEP119" s="225"/>
      <c r="IEQ119" s="225"/>
      <c r="IER119" s="225"/>
      <c r="IES119" s="225"/>
      <c r="IET119" s="225"/>
      <c r="IEU119" s="225"/>
      <c r="IEV119" s="225"/>
      <c r="IEW119" s="225"/>
      <c r="IEX119" s="225"/>
      <c r="IEY119" s="225"/>
      <c r="IEZ119" s="225"/>
      <c r="IFA119" s="225"/>
      <c r="IFB119" s="225"/>
      <c r="IFC119" s="225"/>
      <c r="IFD119" s="225"/>
      <c r="IFE119" s="225"/>
      <c r="IFF119" s="225"/>
      <c r="IFG119" s="225"/>
      <c r="IFH119" s="225"/>
      <c r="IFI119" s="225"/>
      <c r="IFJ119" s="225"/>
      <c r="IFK119" s="225"/>
      <c r="IFL119" s="225"/>
      <c r="IFM119" s="225"/>
      <c r="IFN119" s="225"/>
      <c r="IFO119" s="225"/>
      <c r="IFP119" s="225"/>
      <c r="IFQ119" s="225"/>
      <c r="IFR119" s="225"/>
      <c r="IFS119" s="225"/>
      <c r="IFT119" s="225"/>
      <c r="IFU119" s="225"/>
      <c r="IFV119" s="225"/>
      <c r="IFW119" s="225"/>
      <c r="IFX119" s="225"/>
      <c r="IFY119" s="225"/>
      <c r="IFZ119" s="225"/>
      <c r="IGA119" s="225"/>
      <c r="IGB119" s="225"/>
      <c r="IGC119" s="225"/>
      <c r="IGD119" s="225"/>
      <c r="IGE119" s="225"/>
      <c r="IGF119" s="225"/>
      <c r="IGG119" s="225"/>
      <c r="IGH119" s="225"/>
      <c r="IGI119" s="225"/>
      <c r="IGJ119" s="225"/>
      <c r="IGK119" s="225"/>
      <c r="IGL119" s="225"/>
      <c r="IGM119" s="225"/>
      <c r="IGN119" s="225"/>
      <c r="IGO119" s="225"/>
      <c r="IGP119" s="225"/>
      <c r="IGQ119" s="225"/>
      <c r="IGR119" s="225"/>
      <c r="IGS119" s="225"/>
      <c r="IGT119" s="225"/>
      <c r="IGU119" s="225"/>
      <c r="IGV119" s="225"/>
      <c r="IGW119" s="225"/>
      <c r="IGX119" s="225"/>
      <c r="IGY119" s="225"/>
      <c r="IGZ119" s="225"/>
      <c r="IHA119" s="225"/>
      <c r="IHB119" s="225"/>
      <c r="IHC119" s="225"/>
      <c r="IHD119" s="225"/>
      <c r="IHE119" s="225"/>
      <c r="IHF119" s="225"/>
      <c r="IHG119" s="225"/>
      <c r="IHH119" s="225"/>
      <c r="IHI119" s="225"/>
      <c r="IHJ119" s="225"/>
      <c r="IHK119" s="225"/>
      <c r="IHL119" s="225"/>
      <c r="IHM119" s="225"/>
      <c r="IHN119" s="225"/>
      <c r="IHO119" s="225"/>
      <c r="IHP119" s="225"/>
      <c r="IHQ119" s="225"/>
      <c r="IHR119" s="225"/>
      <c r="IHS119" s="225"/>
      <c r="IHT119" s="225"/>
      <c r="IHU119" s="225"/>
      <c r="IHV119" s="225"/>
      <c r="IHW119" s="225"/>
      <c r="IHX119" s="225"/>
      <c r="IHY119" s="225"/>
      <c r="IHZ119" s="225"/>
      <c r="IIA119" s="225"/>
      <c r="IIB119" s="225"/>
      <c r="IIC119" s="225"/>
      <c r="IID119" s="225"/>
      <c r="IIE119" s="225"/>
      <c r="IIF119" s="225"/>
      <c r="IIG119" s="225"/>
      <c r="IIH119" s="225"/>
      <c r="III119" s="225"/>
      <c r="IIJ119" s="225"/>
      <c r="IIK119" s="225"/>
      <c r="IIL119" s="225"/>
      <c r="IIM119" s="225"/>
      <c r="IIN119" s="225"/>
      <c r="IIO119" s="225"/>
      <c r="IIP119" s="225"/>
      <c r="IIQ119" s="225"/>
      <c r="IIR119" s="225"/>
      <c r="IIS119" s="225"/>
      <c r="IIT119" s="225"/>
      <c r="IIU119" s="225"/>
      <c r="IIV119" s="225"/>
      <c r="IIW119" s="225"/>
      <c r="IIX119" s="225"/>
      <c r="IIY119" s="225"/>
      <c r="IIZ119" s="225"/>
      <c r="IJA119" s="225"/>
      <c r="IJB119" s="225"/>
      <c r="IJC119" s="225"/>
      <c r="IJD119" s="225"/>
      <c r="IJE119" s="225"/>
      <c r="IJF119" s="225"/>
      <c r="IJG119" s="225"/>
      <c r="IJH119" s="225"/>
      <c r="IJI119" s="225"/>
      <c r="IJJ119" s="225"/>
      <c r="IJK119" s="225"/>
      <c r="IJL119" s="225"/>
      <c r="IJM119" s="225"/>
      <c r="IJN119" s="225"/>
      <c r="IJO119" s="225"/>
      <c r="IJP119" s="225"/>
      <c r="IJQ119" s="225"/>
      <c r="IJR119" s="225"/>
      <c r="IJS119" s="225"/>
      <c r="IJT119" s="225"/>
      <c r="IJU119" s="225"/>
      <c r="IJV119" s="225"/>
      <c r="IJW119" s="225"/>
      <c r="IJX119" s="225"/>
      <c r="IJY119" s="225"/>
      <c r="IJZ119" s="225"/>
      <c r="IKA119" s="225"/>
      <c r="IKB119" s="225"/>
      <c r="IKC119" s="225"/>
      <c r="IKD119" s="225"/>
      <c r="IKE119" s="225"/>
      <c r="IKF119" s="225"/>
      <c r="IKG119" s="225"/>
      <c r="IKH119" s="225"/>
      <c r="IKI119" s="225"/>
      <c r="IKJ119" s="225"/>
      <c r="IKK119" s="225"/>
      <c r="IKL119" s="225"/>
      <c r="IKM119" s="225"/>
      <c r="IKN119" s="225"/>
      <c r="IKO119" s="225"/>
      <c r="IKP119" s="225"/>
      <c r="IKQ119" s="225"/>
      <c r="IKR119" s="225"/>
      <c r="IKS119" s="225"/>
      <c r="IKT119" s="225"/>
      <c r="IKU119" s="225"/>
      <c r="IKV119" s="225"/>
      <c r="IKW119" s="225"/>
      <c r="IKX119" s="225"/>
      <c r="IKY119" s="225"/>
      <c r="IKZ119" s="225"/>
      <c r="ILA119" s="225"/>
      <c r="ILB119" s="225"/>
      <c r="ILC119" s="225"/>
      <c r="ILD119" s="225"/>
      <c r="ILE119" s="225"/>
      <c r="ILF119" s="225"/>
      <c r="ILG119" s="225"/>
      <c r="ILH119" s="225"/>
      <c r="ILI119" s="225"/>
      <c r="ILJ119" s="225"/>
      <c r="ILK119" s="225"/>
      <c r="ILL119" s="225"/>
      <c r="ILM119" s="225"/>
      <c r="ILN119" s="225"/>
      <c r="ILO119" s="225"/>
      <c r="ILP119" s="225"/>
      <c r="ILQ119" s="225"/>
      <c r="ILR119" s="225"/>
      <c r="ILS119" s="225"/>
      <c r="ILT119" s="225"/>
      <c r="ILU119" s="225"/>
      <c r="ILV119" s="225"/>
      <c r="ILW119" s="225"/>
      <c r="ILX119" s="225"/>
      <c r="ILY119" s="225"/>
      <c r="ILZ119" s="225"/>
      <c r="IMA119" s="225"/>
      <c r="IMB119" s="225"/>
      <c r="IMC119" s="225"/>
      <c r="IMD119" s="225"/>
      <c r="IME119" s="225"/>
      <c r="IMF119" s="225"/>
      <c r="IMG119" s="225"/>
      <c r="IMH119" s="225"/>
      <c r="IMI119" s="225"/>
      <c r="IMJ119" s="225"/>
      <c r="IMK119" s="225"/>
      <c r="IML119" s="225"/>
      <c r="IMM119" s="225"/>
      <c r="IMN119" s="225"/>
      <c r="IMO119" s="225"/>
      <c r="IMP119" s="225"/>
      <c r="IMQ119" s="225"/>
      <c r="IMR119" s="225"/>
      <c r="IMS119" s="225"/>
      <c r="IMT119" s="225"/>
      <c r="IMU119" s="225"/>
      <c r="IMV119" s="225"/>
      <c r="IMW119" s="225"/>
      <c r="IMX119" s="225"/>
      <c r="IMY119" s="225"/>
      <c r="IMZ119" s="225"/>
      <c r="INA119" s="225"/>
      <c r="INB119" s="225"/>
      <c r="INC119" s="225"/>
      <c r="IND119" s="225"/>
      <c r="INE119" s="225"/>
      <c r="INF119" s="225"/>
      <c r="ING119" s="225"/>
      <c r="INH119" s="225"/>
      <c r="INI119" s="225"/>
      <c r="INJ119" s="225"/>
      <c r="INK119" s="225"/>
      <c r="INL119" s="225"/>
      <c r="INM119" s="225"/>
      <c r="INN119" s="225"/>
      <c r="INO119" s="225"/>
      <c r="INP119" s="225"/>
      <c r="INQ119" s="225"/>
      <c r="INR119" s="225"/>
      <c r="INS119" s="225"/>
      <c r="INT119" s="225"/>
      <c r="INU119" s="225"/>
      <c r="INV119" s="225"/>
      <c r="INW119" s="225"/>
      <c r="INX119" s="225"/>
      <c r="INY119" s="225"/>
      <c r="INZ119" s="225"/>
      <c r="IOA119" s="225"/>
      <c r="IOB119" s="225"/>
      <c r="IOC119" s="225"/>
      <c r="IOD119" s="225"/>
      <c r="IOE119" s="225"/>
      <c r="IOF119" s="225"/>
      <c r="IOG119" s="225"/>
      <c r="IOH119" s="225"/>
      <c r="IOI119" s="225"/>
      <c r="IOJ119" s="225"/>
      <c r="IOK119" s="225"/>
      <c r="IOL119" s="225"/>
      <c r="IOM119" s="225"/>
      <c r="ION119" s="225"/>
      <c r="IOO119" s="225"/>
      <c r="IOP119" s="225"/>
      <c r="IOQ119" s="225"/>
      <c r="IOR119" s="225"/>
      <c r="IOS119" s="225"/>
      <c r="IOT119" s="225"/>
      <c r="IOU119" s="225"/>
      <c r="IOV119" s="225"/>
      <c r="IOW119" s="225"/>
      <c r="IOX119" s="225"/>
      <c r="IOY119" s="225"/>
      <c r="IOZ119" s="225"/>
      <c r="IPA119" s="225"/>
      <c r="IPB119" s="225"/>
      <c r="IPC119" s="225"/>
      <c r="IPD119" s="225"/>
      <c r="IPE119" s="225"/>
      <c r="IPF119" s="225"/>
      <c r="IPG119" s="225"/>
      <c r="IPH119" s="225"/>
      <c r="IPI119" s="225"/>
      <c r="IPJ119" s="225"/>
      <c r="IPK119" s="225"/>
      <c r="IPL119" s="225"/>
      <c r="IPM119" s="225"/>
      <c r="IPN119" s="225"/>
      <c r="IPO119" s="225"/>
      <c r="IPP119" s="225"/>
      <c r="IPQ119" s="225"/>
      <c r="IPR119" s="225"/>
      <c r="IPS119" s="225"/>
      <c r="IPT119" s="225"/>
      <c r="IPU119" s="225"/>
      <c r="IPV119" s="225"/>
      <c r="IPW119" s="225"/>
      <c r="IPX119" s="225"/>
      <c r="IPY119" s="225"/>
      <c r="IPZ119" s="225"/>
      <c r="IQA119" s="225"/>
      <c r="IQB119" s="225"/>
      <c r="IQC119" s="225"/>
      <c r="IQD119" s="225"/>
      <c r="IQE119" s="225"/>
      <c r="IQF119" s="225"/>
      <c r="IQG119" s="225"/>
      <c r="IQH119" s="225"/>
      <c r="IQI119" s="225"/>
      <c r="IQJ119" s="225"/>
      <c r="IQK119" s="225"/>
      <c r="IQL119" s="225"/>
      <c r="IQM119" s="225"/>
      <c r="IQN119" s="225"/>
      <c r="IQO119" s="225"/>
      <c r="IQP119" s="225"/>
      <c r="IQQ119" s="225"/>
      <c r="IQR119" s="225"/>
      <c r="IQS119" s="225"/>
      <c r="IQT119" s="225"/>
      <c r="IQU119" s="225"/>
      <c r="IQV119" s="225"/>
      <c r="IQW119" s="225"/>
      <c r="IQX119" s="225"/>
      <c r="IQY119" s="225"/>
      <c r="IQZ119" s="225"/>
      <c r="IRA119" s="225"/>
      <c r="IRB119" s="225"/>
      <c r="IRC119" s="225"/>
      <c r="IRD119" s="225"/>
      <c r="IRE119" s="225"/>
      <c r="IRF119" s="225"/>
      <c r="IRG119" s="225"/>
      <c r="IRH119" s="225"/>
      <c r="IRI119" s="225"/>
      <c r="IRJ119" s="225"/>
      <c r="IRK119" s="225"/>
      <c r="IRL119" s="225"/>
      <c r="IRM119" s="225"/>
      <c r="IRN119" s="225"/>
      <c r="IRO119" s="225"/>
      <c r="IRP119" s="225"/>
      <c r="IRQ119" s="225"/>
      <c r="IRR119" s="225"/>
      <c r="IRS119" s="225"/>
      <c r="IRT119" s="225"/>
      <c r="IRU119" s="225"/>
      <c r="IRV119" s="225"/>
      <c r="IRW119" s="225"/>
      <c r="IRX119" s="225"/>
      <c r="IRY119" s="225"/>
      <c r="IRZ119" s="225"/>
      <c r="ISA119" s="225"/>
      <c r="ISB119" s="225"/>
      <c r="ISC119" s="225"/>
      <c r="ISD119" s="225"/>
      <c r="ISE119" s="225"/>
      <c r="ISF119" s="225"/>
      <c r="ISG119" s="225"/>
      <c r="ISH119" s="225"/>
      <c r="ISI119" s="225"/>
      <c r="ISJ119" s="225"/>
      <c r="ISK119" s="225"/>
      <c r="ISL119" s="225"/>
      <c r="ISM119" s="225"/>
      <c r="ISN119" s="225"/>
      <c r="ISO119" s="225"/>
      <c r="ISP119" s="225"/>
      <c r="ISQ119" s="225"/>
      <c r="ISR119" s="225"/>
      <c r="ISS119" s="225"/>
      <c r="IST119" s="225"/>
      <c r="ISU119" s="225"/>
      <c r="ISV119" s="225"/>
      <c r="ISW119" s="225"/>
      <c r="ISX119" s="225"/>
      <c r="ISY119" s="225"/>
      <c r="ISZ119" s="225"/>
      <c r="ITA119" s="225"/>
      <c r="ITB119" s="225"/>
      <c r="ITC119" s="225"/>
      <c r="ITD119" s="225"/>
      <c r="ITE119" s="225"/>
      <c r="ITF119" s="225"/>
      <c r="ITG119" s="225"/>
      <c r="ITH119" s="225"/>
      <c r="ITI119" s="225"/>
      <c r="ITJ119" s="225"/>
      <c r="ITK119" s="225"/>
      <c r="ITL119" s="225"/>
      <c r="ITM119" s="225"/>
      <c r="ITN119" s="225"/>
      <c r="ITO119" s="225"/>
      <c r="ITP119" s="225"/>
      <c r="ITQ119" s="225"/>
      <c r="ITR119" s="225"/>
      <c r="ITS119" s="225"/>
      <c r="ITT119" s="225"/>
      <c r="ITU119" s="225"/>
      <c r="ITV119" s="225"/>
      <c r="ITW119" s="225"/>
      <c r="ITX119" s="225"/>
      <c r="ITY119" s="225"/>
      <c r="ITZ119" s="225"/>
      <c r="IUA119" s="225"/>
      <c r="IUB119" s="225"/>
      <c r="IUC119" s="225"/>
      <c r="IUD119" s="225"/>
      <c r="IUE119" s="225"/>
      <c r="IUF119" s="225"/>
      <c r="IUG119" s="225"/>
      <c r="IUH119" s="225"/>
      <c r="IUI119" s="225"/>
      <c r="IUJ119" s="225"/>
      <c r="IUK119" s="225"/>
      <c r="IUL119" s="225"/>
      <c r="IUM119" s="225"/>
      <c r="IUN119" s="225"/>
      <c r="IUO119" s="225"/>
      <c r="IUP119" s="225"/>
      <c r="IUQ119" s="225"/>
      <c r="IUR119" s="225"/>
      <c r="IUS119" s="225"/>
      <c r="IUT119" s="225"/>
      <c r="IUU119" s="225"/>
      <c r="IUV119" s="225"/>
      <c r="IUW119" s="225"/>
      <c r="IUX119" s="225"/>
      <c r="IUY119" s="225"/>
      <c r="IUZ119" s="225"/>
      <c r="IVA119" s="225"/>
      <c r="IVB119" s="225"/>
      <c r="IVC119" s="225"/>
      <c r="IVD119" s="225"/>
      <c r="IVE119" s="225"/>
      <c r="IVF119" s="225"/>
      <c r="IVG119" s="225"/>
      <c r="IVH119" s="225"/>
      <c r="IVI119" s="225"/>
      <c r="IVJ119" s="225"/>
      <c r="IVK119" s="225"/>
      <c r="IVL119" s="225"/>
      <c r="IVM119" s="225"/>
      <c r="IVN119" s="225"/>
      <c r="IVO119" s="225"/>
      <c r="IVP119" s="225"/>
      <c r="IVQ119" s="225"/>
      <c r="IVR119" s="225"/>
      <c r="IVS119" s="225"/>
      <c r="IVT119" s="225"/>
      <c r="IVU119" s="225"/>
      <c r="IVV119" s="225"/>
      <c r="IVW119" s="225"/>
      <c r="IVX119" s="225"/>
      <c r="IVY119" s="225"/>
      <c r="IVZ119" s="225"/>
      <c r="IWA119" s="225"/>
      <c r="IWB119" s="225"/>
      <c r="IWC119" s="225"/>
      <c r="IWD119" s="225"/>
      <c r="IWE119" s="225"/>
      <c r="IWF119" s="225"/>
      <c r="IWG119" s="225"/>
      <c r="IWH119" s="225"/>
      <c r="IWI119" s="225"/>
      <c r="IWJ119" s="225"/>
      <c r="IWK119" s="225"/>
      <c r="IWL119" s="225"/>
      <c r="IWM119" s="225"/>
      <c r="IWN119" s="225"/>
      <c r="IWO119" s="225"/>
      <c r="IWP119" s="225"/>
      <c r="IWQ119" s="225"/>
      <c r="IWR119" s="225"/>
      <c r="IWS119" s="225"/>
      <c r="IWT119" s="225"/>
      <c r="IWU119" s="225"/>
      <c r="IWV119" s="225"/>
      <c r="IWW119" s="225"/>
      <c r="IWX119" s="225"/>
      <c r="IWY119" s="225"/>
      <c r="IWZ119" s="225"/>
      <c r="IXA119" s="225"/>
      <c r="IXB119" s="225"/>
      <c r="IXC119" s="225"/>
      <c r="IXD119" s="225"/>
      <c r="IXE119" s="225"/>
      <c r="IXF119" s="225"/>
      <c r="IXG119" s="225"/>
      <c r="IXH119" s="225"/>
      <c r="IXI119" s="225"/>
      <c r="IXJ119" s="225"/>
      <c r="IXK119" s="225"/>
      <c r="IXL119" s="225"/>
      <c r="IXM119" s="225"/>
      <c r="IXN119" s="225"/>
      <c r="IXO119" s="225"/>
      <c r="IXP119" s="225"/>
      <c r="IXQ119" s="225"/>
      <c r="IXR119" s="225"/>
      <c r="IXS119" s="225"/>
      <c r="IXT119" s="225"/>
      <c r="IXU119" s="225"/>
      <c r="IXV119" s="225"/>
      <c r="IXW119" s="225"/>
      <c r="IXX119" s="225"/>
      <c r="IXY119" s="225"/>
      <c r="IXZ119" s="225"/>
      <c r="IYA119" s="225"/>
      <c r="IYB119" s="225"/>
      <c r="IYC119" s="225"/>
      <c r="IYD119" s="225"/>
      <c r="IYE119" s="225"/>
      <c r="IYF119" s="225"/>
      <c r="IYG119" s="225"/>
      <c r="IYH119" s="225"/>
      <c r="IYI119" s="225"/>
      <c r="IYJ119" s="225"/>
      <c r="IYK119" s="225"/>
      <c r="IYL119" s="225"/>
      <c r="IYM119" s="225"/>
      <c r="IYN119" s="225"/>
      <c r="IYO119" s="225"/>
      <c r="IYP119" s="225"/>
      <c r="IYQ119" s="225"/>
      <c r="IYR119" s="225"/>
      <c r="IYS119" s="225"/>
      <c r="IYT119" s="225"/>
      <c r="IYU119" s="225"/>
      <c r="IYV119" s="225"/>
      <c r="IYW119" s="225"/>
      <c r="IYX119" s="225"/>
      <c r="IYY119" s="225"/>
      <c r="IYZ119" s="225"/>
      <c r="IZA119" s="225"/>
      <c r="IZB119" s="225"/>
      <c r="IZC119" s="225"/>
      <c r="IZD119" s="225"/>
      <c r="IZE119" s="225"/>
      <c r="IZF119" s="225"/>
      <c r="IZG119" s="225"/>
      <c r="IZH119" s="225"/>
      <c r="IZI119" s="225"/>
      <c r="IZJ119" s="225"/>
      <c r="IZK119" s="225"/>
      <c r="IZL119" s="225"/>
      <c r="IZM119" s="225"/>
      <c r="IZN119" s="225"/>
      <c r="IZO119" s="225"/>
      <c r="IZP119" s="225"/>
      <c r="IZQ119" s="225"/>
      <c r="IZR119" s="225"/>
      <c r="IZS119" s="225"/>
      <c r="IZT119" s="225"/>
      <c r="IZU119" s="225"/>
      <c r="IZV119" s="225"/>
      <c r="IZW119" s="225"/>
      <c r="IZX119" s="225"/>
      <c r="IZY119" s="225"/>
      <c r="IZZ119" s="225"/>
      <c r="JAA119" s="225"/>
      <c r="JAB119" s="225"/>
      <c r="JAC119" s="225"/>
      <c r="JAD119" s="225"/>
      <c r="JAE119" s="225"/>
      <c r="JAF119" s="225"/>
      <c r="JAG119" s="225"/>
      <c r="JAH119" s="225"/>
      <c r="JAI119" s="225"/>
      <c r="JAJ119" s="225"/>
      <c r="JAK119" s="225"/>
      <c r="JAL119" s="225"/>
      <c r="JAM119" s="225"/>
      <c r="JAN119" s="225"/>
      <c r="JAO119" s="225"/>
      <c r="JAP119" s="225"/>
      <c r="JAQ119" s="225"/>
      <c r="JAR119" s="225"/>
      <c r="JAS119" s="225"/>
      <c r="JAT119" s="225"/>
      <c r="JAU119" s="225"/>
      <c r="JAV119" s="225"/>
      <c r="JAW119" s="225"/>
      <c r="JAX119" s="225"/>
      <c r="JAY119" s="225"/>
      <c r="JAZ119" s="225"/>
      <c r="JBA119" s="225"/>
      <c r="JBB119" s="225"/>
      <c r="JBC119" s="225"/>
      <c r="JBD119" s="225"/>
      <c r="JBE119" s="225"/>
      <c r="JBF119" s="225"/>
      <c r="JBG119" s="225"/>
      <c r="JBH119" s="225"/>
      <c r="JBI119" s="225"/>
      <c r="JBJ119" s="225"/>
      <c r="JBK119" s="225"/>
      <c r="JBL119" s="225"/>
      <c r="JBM119" s="225"/>
      <c r="JBN119" s="225"/>
      <c r="JBO119" s="225"/>
      <c r="JBP119" s="225"/>
      <c r="JBQ119" s="225"/>
      <c r="JBR119" s="225"/>
      <c r="JBS119" s="225"/>
      <c r="JBT119" s="225"/>
      <c r="JBU119" s="225"/>
      <c r="JBV119" s="225"/>
      <c r="JBW119" s="225"/>
      <c r="JBX119" s="225"/>
      <c r="JBY119" s="225"/>
      <c r="JBZ119" s="225"/>
      <c r="JCA119" s="225"/>
      <c r="JCB119" s="225"/>
      <c r="JCC119" s="225"/>
      <c r="JCD119" s="225"/>
      <c r="JCE119" s="225"/>
      <c r="JCF119" s="225"/>
      <c r="JCG119" s="225"/>
      <c r="JCH119" s="225"/>
      <c r="JCI119" s="225"/>
      <c r="JCJ119" s="225"/>
      <c r="JCK119" s="225"/>
      <c r="JCL119" s="225"/>
      <c r="JCM119" s="225"/>
      <c r="JCN119" s="225"/>
      <c r="JCO119" s="225"/>
      <c r="JCP119" s="225"/>
      <c r="JCQ119" s="225"/>
      <c r="JCR119" s="225"/>
      <c r="JCS119" s="225"/>
      <c r="JCT119" s="225"/>
      <c r="JCU119" s="225"/>
      <c r="JCV119" s="225"/>
      <c r="JCW119" s="225"/>
      <c r="JCX119" s="225"/>
      <c r="JCY119" s="225"/>
      <c r="JCZ119" s="225"/>
      <c r="JDA119" s="225"/>
      <c r="JDB119" s="225"/>
      <c r="JDC119" s="225"/>
      <c r="JDD119" s="225"/>
      <c r="JDE119" s="225"/>
      <c r="JDF119" s="225"/>
      <c r="JDG119" s="225"/>
      <c r="JDH119" s="225"/>
      <c r="JDI119" s="225"/>
      <c r="JDJ119" s="225"/>
      <c r="JDK119" s="225"/>
      <c r="JDL119" s="225"/>
      <c r="JDM119" s="225"/>
      <c r="JDN119" s="225"/>
      <c r="JDO119" s="225"/>
      <c r="JDP119" s="225"/>
      <c r="JDQ119" s="225"/>
      <c r="JDR119" s="225"/>
      <c r="JDS119" s="225"/>
      <c r="JDT119" s="225"/>
      <c r="JDU119" s="225"/>
      <c r="JDV119" s="225"/>
      <c r="JDW119" s="225"/>
      <c r="JDX119" s="225"/>
      <c r="JDY119" s="225"/>
      <c r="JDZ119" s="225"/>
      <c r="JEA119" s="225"/>
      <c r="JEB119" s="225"/>
      <c r="JEC119" s="225"/>
      <c r="JED119" s="225"/>
      <c r="JEE119" s="225"/>
      <c r="JEF119" s="225"/>
      <c r="JEG119" s="225"/>
      <c r="JEH119" s="225"/>
      <c r="JEI119" s="225"/>
      <c r="JEJ119" s="225"/>
      <c r="JEK119" s="225"/>
      <c r="JEL119" s="225"/>
      <c r="JEM119" s="225"/>
      <c r="JEN119" s="225"/>
      <c r="JEO119" s="225"/>
      <c r="JEP119" s="225"/>
      <c r="JEQ119" s="225"/>
      <c r="JER119" s="225"/>
      <c r="JES119" s="225"/>
      <c r="JET119" s="225"/>
      <c r="JEU119" s="225"/>
      <c r="JEV119" s="225"/>
      <c r="JEW119" s="225"/>
      <c r="JEX119" s="225"/>
      <c r="JEY119" s="225"/>
      <c r="JEZ119" s="225"/>
      <c r="JFA119" s="225"/>
      <c r="JFB119" s="225"/>
      <c r="JFC119" s="225"/>
      <c r="JFD119" s="225"/>
      <c r="JFE119" s="225"/>
      <c r="JFF119" s="225"/>
      <c r="JFG119" s="225"/>
      <c r="JFH119" s="225"/>
      <c r="JFI119" s="225"/>
      <c r="JFJ119" s="225"/>
      <c r="JFK119" s="225"/>
      <c r="JFL119" s="225"/>
      <c r="JFM119" s="225"/>
      <c r="JFN119" s="225"/>
      <c r="JFO119" s="225"/>
      <c r="JFP119" s="225"/>
      <c r="JFQ119" s="225"/>
      <c r="JFR119" s="225"/>
      <c r="JFS119" s="225"/>
      <c r="JFT119" s="225"/>
      <c r="JFU119" s="225"/>
      <c r="JFV119" s="225"/>
      <c r="JFW119" s="225"/>
      <c r="JFX119" s="225"/>
      <c r="JFY119" s="225"/>
      <c r="JFZ119" s="225"/>
      <c r="JGA119" s="225"/>
      <c r="JGB119" s="225"/>
      <c r="JGC119" s="225"/>
      <c r="JGD119" s="225"/>
      <c r="JGE119" s="225"/>
      <c r="JGF119" s="225"/>
      <c r="JGG119" s="225"/>
      <c r="JGH119" s="225"/>
      <c r="JGI119" s="225"/>
      <c r="JGJ119" s="225"/>
      <c r="JGK119" s="225"/>
      <c r="JGL119" s="225"/>
      <c r="JGM119" s="225"/>
      <c r="JGN119" s="225"/>
      <c r="JGO119" s="225"/>
      <c r="JGP119" s="225"/>
      <c r="JGQ119" s="225"/>
      <c r="JGR119" s="225"/>
      <c r="JGS119" s="225"/>
      <c r="JGT119" s="225"/>
      <c r="JGU119" s="225"/>
      <c r="JGV119" s="225"/>
      <c r="JGW119" s="225"/>
      <c r="JGX119" s="225"/>
      <c r="JGY119" s="225"/>
      <c r="JGZ119" s="225"/>
      <c r="JHA119" s="225"/>
      <c r="JHB119" s="225"/>
      <c r="JHC119" s="225"/>
      <c r="JHD119" s="225"/>
      <c r="JHE119" s="225"/>
      <c r="JHF119" s="225"/>
      <c r="JHG119" s="225"/>
      <c r="JHH119" s="225"/>
      <c r="JHI119" s="225"/>
      <c r="JHJ119" s="225"/>
      <c r="JHK119" s="225"/>
      <c r="JHL119" s="225"/>
      <c r="JHM119" s="225"/>
      <c r="JHN119" s="225"/>
      <c r="JHO119" s="225"/>
      <c r="JHP119" s="225"/>
      <c r="JHQ119" s="225"/>
      <c r="JHR119" s="225"/>
      <c r="JHS119" s="225"/>
      <c r="JHT119" s="225"/>
      <c r="JHU119" s="225"/>
      <c r="JHV119" s="225"/>
      <c r="JHW119" s="225"/>
      <c r="JHX119" s="225"/>
      <c r="JHY119" s="225"/>
      <c r="JHZ119" s="225"/>
      <c r="JIA119" s="225"/>
      <c r="JIB119" s="225"/>
      <c r="JIC119" s="225"/>
      <c r="JID119" s="225"/>
      <c r="JIE119" s="225"/>
      <c r="JIF119" s="225"/>
      <c r="JIG119" s="225"/>
      <c r="JIH119" s="225"/>
      <c r="JII119" s="225"/>
      <c r="JIJ119" s="225"/>
      <c r="JIK119" s="225"/>
      <c r="JIL119" s="225"/>
      <c r="JIM119" s="225"/>
      <c r="JIN119" s="225"/>
      <c r="JIO119" s="225"/>
      <c r="JIP119" s="225"/>
      <c r="JIQ119" s="225"/>
      <c r="JIR119" s="225"/>
      <c r="JIS119" s="225"/>
      <c r="JIT119" s="225"/>
      <c r="JIU119" s="225"/>
      <c r="JIV119" s="225"/>
      <c r="JIW119" s="225"/>
      <c r="JIX119" s="225"/>
      <c r="JIY119" s="225"/>
      <c r="JIZ119" s="225"/>
      <c r="JJA119" s="225"/>
      <c r="JJB119" s="225"/>
      <c r="JJC119" s="225"/>
      <c r="JJD119" s="225"/>
      <c r="JJE119" s="225"/>
      <c r="JJF119" s="225"/>
      <c r="JJG119" s="225"/>
      <c r="JJH119" s="225"/>
      <c r="JJI119" s="225"/>
      <c r="JJJ119" s="225"/>
      <c r="JJK119" s="225"/>
      <c r="JJL119" s="225"/>
      <c r="JJM119" s="225"/>
      <c r="JJN119" s="225"/>
      <c r="JJO119" s="225"/>
      <c r="JJP119" s="225"/>
      <c r="JJQ119" s="225"/>
      <c r="JJR119" s="225"/>
      <c r="JJS119" s="225"/>
      <c r="JJT119" s="225"/>
      <c r="JJU119" s="225"/>
      <c r="JJV119" s="225"/>
      <c r="JJW119" s="225"/>
      <c r="JJX119" s="225"/>
      <c r="JJY119" s="225"/>
      <c r="JJZ119" s="225"/>
      <c r="JKA119" s="225"/>
      <c r="JKB119" s="225"/>
      <c r="JKC119" s="225"/>
      <c r="JKD119" s="225"/>
      <c r="JKE119" s="225"/>
      <c r="JKF119" s="225"/>
      <c r="JKG119" s="225"/>
      <c r="JKH119" s="225"/>
      <c r="JKI119" s="225"/>
      <c r="JKJ119" s="225"/>
      <c r="JKK119" s="225"/>
      <c r="JKL119" s="225"/>
      <c r="JKM119" s="225"/>
      <c r="JKN119" s="225"/>
      <c r="JKO119" s="225"/>
      <c r="JKP119" s="225"/>
      <c r="JKQ119" s="225"/>
      <c r="JKR119" s="225"/>
      <c r="JKS119" s="225"/>
      <c r="JKT119" s="225"/>
      <c r="JKU119" s="225"/>
      <c r="JKV119" s="225"/>
      <c r="JKW119" s="225"/>
      <c r="JKX119" s="225"/>
      <c r="JKY119" s="225"/>
      <c r="JKZ119" s="225"/>
      <c r="JLA119" s="225"/>
      <c r="JLB119" s="225"/>
      <c r="JLC119" s="225"/>
      <c r="JLD119" s="225"/>
      <c r="JLE119" s="225"/>
      <c r="JLF119" s="225"/>
      <c r="JLG119" s="225"/>
      <c r="JLH119" s="225"/>
      <c r="JLI119" s="225"/>
      <c r="JLJ119" s="225"/>
      <c r="JLK119" s="225"/>
      <c r="JLL119" s="225"/>
      <c r="JLM119" s="225"/>
      <c r="JLN119" s="225"/>
      <c r="JLO119" s="225"/>
      <c r="JLP119" s="225"/>
      <c r="JLQ119" s="225"/>
      <c r="JLR119" s="225"/>
      <c r="JLS119" s="225"/>
      <c r="JLT119" s="225"/>
      <c r="JLU119" s="225"/>
      <c r="JLV119" s="225"/>
      <c r="JLW119" s="225"/>
      <c r="JLX119" s="225"/>
      <c r="JLY119" s="225"/>
      <c r="JLZ119" s="225"/>
      <c r="JMA119" s="225"/>
      <c r="JMB119" s="225"/>
      <c r="JMC119" s="225"/>
      <c r="JMD119" s="225"/>
      <c r="JME119" s="225"/>
      <c r="JMF119" s="225"/>
      <c r="JMG119" s="225"/>
      <c r="JMH119" s="225"/>
      <c r="JMI119" s="225"/>
      <c r="JMJ119" s="225"/>
      <c r="JMK119" s="225"/>
      <c r="JML119" s="225"/>
      <c r="JMM119" s="225"/>
      <c r="JMN119" s="225"/>
      <c r="JMO119" s="225"/>
      <c r="JMP119" s="225"/>
      <c r="JMQ119" s="225"/>
      <c r="JMR119" s="225"/>
      <c r="JMS119" s="225"/>
      <c r="JMT119" s="225"/>
      <c r="JMU119" s="225"/>
      <c r="JMV119" s="225"/>
      <c r="JMW119" s="225"/>
      <c r="JMX119" s="225"/>
      <c r="JMY119" s="225"/>
      <c r="JMZ119" s="225"/>
      <c r="JNA119" s="225"/>
      <c r="JNB119" s="225"/>
      <c r="JNC119" s="225"/>
      <c r="JND119" s="225"/>
      <c r="JNE119" s="225"/>
      <c r="JNF119" s="225"/>
      <c r="JNG119" s="225"/>
      <c r="JNH119" s="225"/>
      <c r="JNI119" s="225"/>
      <c r="JNJ119" s="225"/>
      <c r="JNK119" s="225"/>
      <c r="JNL119" s="225"/>
      <c r="JNM119" s="225"/>
      <c r="JNN119" s="225"/>
      <c r="JNO119" s="225"/>
      <c r="JNP119" s="225"/>
      <c r="JNQ119" s="225"/>
      <c r="JNR119" s="225"/>
      <c r="JNS119" s="225"/>
      <c r="JNT119" s="225"/>
      <c r="JNU119" s="225"/>
      <c r="JNV119" s="225"/>
      <c r="JNW119" s="225"/>
      <c r="JNX119" s="225"/>
      <c r="JNY119" s="225"/>
      <c r="JNZ119" s="225"/>
      <c r="JOA119" s="225"/>
      <c r="JOB119" s="225"/>
      <c r="JOC119" s="225"/>
      <c r="JOD119" s="225"/>
      <c r="JOE119" s="225"/>
      <c r="JOF119" s="225"/>
      <c r="JOG119" s="225"/>
      <c r="JOH119" s="225"/>
      <c r="JOI119" s="225"/>
      <c r="JOJ119" s="225"/>
      <c r="JOK119" s="225"/>
      <c r="JOL119" s="225"/>
      <c r="JOM119" s="225"/>
      <c r="JON119" s="225"/>
      <c r="JOO119" s="225"/>
      <c r="JOP119" s="225"/>
      <c r="JOQ119" s="225"/>
      <c r="JOR119" s="225"/>
      <c r="JOS119" s="225"/>
      <c r="JOT119" s="225"/>
      <c r="JOU119" s="225"/>
      <c r="JOV119" s="225"/>
      <c r="JOW119" s="225"/>
      <c r="JOX119" s="225"/>
      <c r="JOY119" s="225"/>
      <c r="JOZ119" s="225"/>
      <c r="JPA119" s="225"/>
      <c r="JPB119" s="225"/>
      <c r="JPC119" s="225"/>
      <c r="JPD119" s="225"/>
      <c r="JPE119" s="225"/>
      <c r="JPF119" s="225"/>
      <c r="JPG119" s="225"/>
      <c r="JPH119" s="225"/>
      <c r="JPI119" s="225"/>
      <c r="JPJ119" s="225"/>
      <c r="JPK119" s="225"/>
      <c r="JPL119" s="225"/>
      <c r="JPM119" s="225"/>
      <c r="JPN119" s="225"/>
      <c r="JPO119" s="225"/>
      <c r="JPP119" s="225"/>
      <c r="JPQ119" s="225"/>
      <c r="JPR119" s="225"/>
      <c r="JPS119" s="225"/>
      <c r="JPT119" s="225"/>
      <c r="JPU119" s="225"/>
      <c r="JPV119" s="225"/>
      <c r="JPW119" s="225"/>
      <c r="JPX119" s="225"/>
      <c r="JPY119" s="225"/>
      <c r="JPZ119" s="225"/>
      <c r="JQA119" s="225"/>
      <c r="JQB119" s="225"/>
      <c r="JQC119" s="225"/>
      <c r="JQD119" s="225"/>
      <c r="JQE119" s="225"/>
      <c r="JQF119" s="225"/>
      <c r="JQG119" s="225"/>
      <c r="JQH119" s="225"/>
      <c r="JQI119" s="225"/>
      <c r="JQJ119" s="225"/>
      <c r="JQK119" s="225"/>
      <c r="JQL119" s="225"/>
      <c r="JQM119" s="225"/>
      <c r="JQN119" s="225"/>
      <c r="JQO119" s="225"/>
      <c r="JQP119" s="225"/>
      <c r="JQQ119" s="225"/>
      <c r="JQR119" s="225"/>
      <c r="JQS119" s="225"/>
      <c r="JQT119" s="225"/>
      <c r="JQU119" s="225"/>
      <c r="JQV119" s="225"/>
      <c r="JQW119" s="225"/>
      <c r="JQX119" s="225"/>
      <c r="JQY119" s="225"/>
      <c r="JQZ119" s="225"/>
      <c r="JRA119" s="225"/>
      <c r="JRB119" s="225"/>
      <c r="JRC119" s="225"/>
      <c r="JRD119" s="225"/>
      <c r="JRE119" s="225"/>
      <c r="JRF119" s="225"/>
      <c r="JRG119" s="225"/>
      <c r="JRH119" s="225"/>
      <c r="JRI119" s="225"/>
      <c r="JRJ119" s="225"/>
      <c r="JRK119" s="225"/>
      <c r="JRL119" s="225"/>
      <c r="JRM119" s="225"/>
      <c r="JRN119" s="225"/>
      <c r="JRO119" s="225"/>
      <c r="JRP119" s="225"/>
      <c r="JRQ119" s="225"/>
      <c r="JRR119" s="225"/>
      <c r="JRS119" s="225"/>
      <c r="JRT119" s="225"/>
      <c r="JRU119" s="225"/>
      <c r="JRV119" s="225"/>
      <c r="JRW119" s="225"/>
      <c r="JRX119" s="225"/>
      <c r="JRY119" s="225"/>
      <c r="JRZ119" s="225"/>
      <c r="JSA119" s="225"/>
      <c r="JSB119" s="225"/>
      <c r="JSC119" s="225"/>
      <c r="JSD119" s="225"/>
      <c r="JSE119" s="225"/>
      <c r="JSF119" s="225"/>
      <c r="JSG119" s="225"/>
      <c r="JSH119" s="225"/>
      <c r="JSI119" s="225"/>
      <c r="JSJ119" s="225"/>
      <c r="JSK119" s="225"/>
      <c r="JSL119" s="225"/>
      <c r="JSM119" s="225"/>
      <c r="JSN119" s="225"/>
      <c r="JSO119" s="225"/>
      <c r="JSP119" s="225"/>
      <c r="JSQ119" s="225"/>
      <c r="JSR119" s="225"/>
      <c r="JSS119" s="225"/>
      <c r="JST119" s="225"/>
      <c r="JSU119" s="225"/>
      <c r="JSV119" s="225"/>
      <c r="JSW119" s="225"/>
      <c r="JSX119" s="225"/>
      <c r="JSY119" s="225"/>
      <c r="JSZ119" s="225"/>
      <c r="JTA119" s="225"/>
      <c r="JTB119" s="225"/>
      <c r="JTC119" s="225"/>
      <c r="JTD119" s="225"/>
      <c r="JTE119" s="225"/>
      <c r="JTF119" s="225"/>
      <c r="JTG119" s="225"/>
      <c r="JTH119" s="225"/>
      <c r="JTI119" s="225"/>
      <c r="JTJ119" s="225"/>
      <c r="JTK119" s="225"/>
      <c r="JTL119" s="225"/>
      <c r="JTM119" s="225"/>
      <c r="JTN119" s="225"/>
      <c r="JTO119" s="225"/>
      <c r="JTP119" s="225"/>
      <c r="JTQ119" s="225"/>
      <c r="JTR119" s="225"/>
      <c r="JTS119" s="225"/>
      <c r="JTT119" s="225"/>
      <c r="JTU119" s="225"/>
      <c r="JTV119" s="225"/>
      <c r="JTW119" s="225"/>
      <c r="JTX119" s="225"/>
      <c r="JTY119" s="225"/>
      <c r="JTZ119" s="225"/>
      <c r="JUA119" s="225"/>
      <c r="JUB119" s="225"/>
      <c r="JUC119" s="225"/>
      <c r="JUD119" s="225"/>
      <c r="JUE119" s="225"/>
      <c r="JUF119" s="225"/>
      <c r="JUG119" s="225"/>
      <c r="JUH119" s="225"/>
      <c r="JUI119" s="225"/>
      <c r="JUJ119" s="225"/>
      <c r="JUK119" s="225"/>
      <c r="JUL119" s="225"/>
      <c r="JUM119" s="225"/>
      <c r="JUN119" s="225"/>
      <c r="JUO119" s="225"/>
      <c r="JUP119" s="225"/>
      <c r="JUQ119" s="225"/>
      <c r="JUR119" s="225"/>
      <c r="JUS119" s="225"/>
      <c r="JUT119" s="225"/>
      <c r="JUU119" s="225"/>
      <c r="JUV119" s="225"/>
      <c r="JUW119" s="225"/>
      <c r="JUX119" s="225"/>
      <c r="JUY119" s="225"/>
      <c r="JUZ119" s="225"/>
      <c r="JVA119" s="225"/>
      <c r="JVB119" s="225"/>
      <c r="JVC119" s="225"/>
      <c r="JVD119" s="225"/>
      <c r="JVE119" s="225"/>
      <c r="JVF119" s="225"/>
      <c r="JVG119" s="225"/>
      <c r="JVH119" s="225"/>
      <c r="JVI119" s="225"/>
      <c r="JVJ119" s="225"/>
      <c r="JVK119" s="225"/>
      <c r="JVL119" s="225"/>
      <c r="JVM119" s="225"/>
      <c r="JVN119" s="225"/>
      <c r="JVO119" s="225"/>
      <c r="JVP119" s="225"/>
      <c r="JVQ119" s="225"/>
      <c r="JVR119" s="225"/>
      <c r="JVS119" s="225"/>
      <c r="JVT119" s="225"/>
      <c r="JVU119" s="225"/>
      <c r="JVV119" s="225"/>
      <c r="JVW119" s="225"/>
      <c r="JVX119" s="225"/>
      <c r="JVY119" s="225"/>
      <c r="JVZ119" s="225"/>
      <c r="JWA119" s="225"/>
      <c r="JWB119" s="225"/>
      <c r="JWC119" s="225"/>
      <c r="JWD119" s="225"/>
      <c r="JWE119" s="225"/>
      <c r="JWF119" s="225"/>
      <c r="JWG119" s="225"/>
      <c r="JWH119" s="225"/>
      <c r="JWI119" s="225"/>
      <c r="JWJ119" s="225"/>
      <c r="JWK119" s="225"/>
      <c r="JWL119" s="225"/>
      <c r="JWM119" s="225"/>
      <c r="JWN119" s="225"/>
      <c r="JWO119" s="225"/>
      <c r="JWP119" s="225"/>
      <c r="JWQ119" s="225"/>
      <c r="JWR119" s="225"/>
      <c r="JWS119" s="225"/>
      <c r="JWT119" s="225"/>
      <c r="JWU119" s="225"/>
      <c r="JWV119" s="225"/>
      <c r="JWW119" s="225"/>
      <c r="JWX119" s="225"/>
      <c r="JWY119" s="225"/>
      <c r="JWZ119" s="225"/>
      <c r="JXA119" s="225"/>
      <c r="JXB119" s="225"/>
      <c r="JXC119" s="225"/>
      <c r="JXD119" s="225"/>
      <c r="JXE119" s="225"/>
      <c r="JXF119" s="225"/>
      <c r="JXG119" s="225"/>
      <c r="JXH119" s="225"/>
      <c r="JXI119" s="225"/>
      <c r="JXJ119" s="225"/>
      <c r="JXK119" s="225"/>
      <c r="JXL119" s="225"/>
      <c r="JXM119" s="225"/>
      <c r="JXN119" s="225"/>
      <c r="JXO119" s="225"/>
      <c r="JXP119" s="225"/>
      <c r="JXQ119" s="225"/>
      <c r="JXR119" s="225"/>
      <c r="JXS119" s="225"/>
      <c r="JXT119" s="225"/>
      <c r="JXU119" s="225"/>
      <c r="JXV119" s="225"/>
      <c r="JXW119" s="225"/>
      <c r="JXX119" s="225"/>
      <c r="JXY119" s="225"/>
      <c r="JXZ119" s="225"/>
      <c r="JYA119" s="225"/>
      <c r="JYB119" s="225"/>
      <c r="JYC119" s="225"/>
      <c r="JYD119" s="225"/>
      <c r="JYE119" s="225"/>
      <c r="JYF119" s="225"/>
      <c r="JYG119" s="225"/>
      <c r="JYH119" s="225"/>
      <c r="JYI119" s="225"/>
      <c r="JYJ119" s="225"/>
      <c r="JYK119" s="225"/>
      <c r="JYL119" s="225"/>
      <c r="JYM119" s="225"/>
      <c r="JYN119" s="225"/>
      <c r="JYO119" s="225"/>
      <c r="JYP119" s="225"/>
      <c r="JYQ119" s="225"/>
      <c r="JYR119" s="225"/>
      <c r="JYS119" s="225"/>
      <c r="JYT119" s="225"/>
      <c r="JYU119" s="225"/>
      <c r="JYV119" s="225"/>
      <c r="JYW119" s="225"/>
      <c r="JYX119" s="225"/>
      <c r="JYY119" s="225"/>
      <c r="JYZ119" s="225"/>
      <c r="JZA119" s="225"/>
      <c r="JZB119" s="225"/>
      <c r="JZC119" s="225"/>
      <c r="JZD119" s="225"/>
      <c r="JZE119" s="225"/>
      <c r="JZF119" s="225"/>
      <c r="JZG119" s="225"/>
      <c r="JZH119" s="225"/>
      <c r="JZI119" s="225"/>
      <c r="JZJ119" s="225"/>
      <c r="JZK119" s="225"/>
      <c r="JZL119" s="225"/>
      <c r="JZM119" s="225"/>
      <c r="JZN119" s="225"/>
      <c r="JZO119" s="225"/>
      <c r="JZP119" s="225"/>
      <c r="JZQ119" s="225"/>
      <c r="JZR119" s="225"/>
      <c r="JZS119" s="225"/>
      <c r="JZT119" s="225"/>
      <c r="JZU119" s="225"/>
      <c r="JZV119" s="225"/>
      <c r="JZW119" s="225"/>
      <c r="JZX119" s="225"/>
      <c r="JZY119" s="225"/>
      <c r="JZZ119" s="225"/>
      <c r="KAA119" s="225"/>
      <c r="KAB119" s="225"/>
      <c r="KAC119" s="225"/>
      <c r="KAD119" s="225"/>
      <c r="KAE119" s="225"/>
      <c r="KAF119" s="225"/>
      <c r="KAG119" s="225"/>
      <c r="KAH119" s="225"/>
      <c r="KAI119" s="225"/>
      <c r="KAJ119" s="225"/>
      <c r="KAK119" s="225"/>
      <c r="KAL119" s="225"/>
      <c r="KAM119" s="225"/>
      <c r="KAN119" s="225"/>
      <c r="KAO119" s="225"/>
      <c r="KAP119" s="225"/>
      <c r="KAQ119" s="225"/>
      <c r="KAR119" s="225"/>
      <c r="KAS119" s="225"/>
      <c r="KAT119" s="225"/>
      <c r="KAU119" s="225"/>
      <c r="KAV119" s="225"/>
      <c r="KAW119" s="225"/>
      <c r="KAX119" s="225"/>
      <c r="KAY119" s="225"/>
      <c r="KAZ119" s="225"/>
      <c r="KBA119" s="225"/>
      <c r="KBB119" s="225"/>
      <c r="KBC119" s="225"/>
      <c r="KBD119" s="225"/>
      <c r="KBE119" s="225"/>
      <c r="KBF119" s="225"/>
      <c r="KBG119" s="225"/>
      <c r="KBH119" s="225"/>
      <c r="KBI119" s="225"/>
      <c r="KBJ119" s="225"/>
      <c r="KBK119" s="225"/>
      <c r="KBL119" s="225"/>
      <c r="KBM119" s="225"/>
      <c r="KBN119" s="225"/>
      <c r="KBO119" s="225"/>
      <c r="KBP119" s="225"/>
      <c r="KBQ119" s="225"/>
      <c r="KBR119" s="225"/>
      <c r="KBS119" s="225"/>
      <c r="KBT119" s="225"/>
      <c r="KBU119" s="225"/>
      <c r="KBV119" s="225"/>
      <c r="KBW119" s="225"/>
      <c r="KBX119" s="225"/>
      <c r="KBY119" s="225"/>
      <c r="KBZ119" s="225"/>
      <c r="KCA119" s="225"/>
      <c r="KCB119" s="225"/>
      <c r="KCC119" s="225"/>
      <c r="KCD119" s="225"/>
      <c r="KCE119" s="225"/>
      <c r="KCF119" s="225"/>
      <c r="KCG119" s="225"/>
      <c r="KCH119" s="225"/>
      <c r="KCI119" s="225"/>
      <c r="KCJ119" s="225"/>
      <c r="KCK119" s="225"/>
      <c r="KCL119" s="225"/>
      <c r="KCM119" s="225"/>
      <c r="KCN119" s="225"/>
      <c r="KCO119" s="225"/>
      <c r="KCP119" s="225"/>
      <c r="KCQ119" s="225"/>
      <c r="KCR119" s="225"/>
      <c r="KCS119" s="225"/>
      <c r="KCT119" s="225"/>
      <c r="KCU119" s="225"/>
      <c r="KCV119" s="225"/>
      <c r="KCW119" s="225"/>
      <c r="KCX119" s="225"/>
      <c r="KCY119" s="225"/>
      <c r="KCZ119" s="225"/>
      <c r="KDA119" s="225"/>
      <c r="KDB119" s="225"/>
      <c r="KDC119" s="225"/>
      <c r="KDD119" s="225"/>
      <c r="KDE119" s="225"/>
      <c r="KDF119" s="225"/>
      <c r="KDG119" s="225"/>
      <c r="KDH119" s="225"/>
      <c r="KDI119" s="225"/>
      <c r="KDJ119" s="225"/>
      <c r="KDK119" s="225"/>
      <c r="KDL119" s="225"/>
      <c r="KDM119" s="225"/>
      <c r="KDN119" s="225"/>
      <c r="KDO119" s="225"/>
      <c r="KDP119" s="225"/>
      <c r="KDQ119" s="225"/>
      <c r="KDR119" s="225"/>
      <c r="KDS119" s="225"/>
      <c r="KDT119" s="225"/>
      <c r="KDU119" s="225"/>
      <c r="KDV119" s="225"/>
      <c r="KDW119" s="225"/>
      <c r="KDX119" s="225"/>
      <c r="KDY119" s="225"/>
      <c r="KDZ119" s="225"/>
      <c r="KEA119" s="225"/>
      <c r="KEB119" s="225"/>
      <c r="KEC119" s="225"/>
      <c r="KED119" s="225"/>
      <c r="KEE119" s="225"/>
      <c r="KEF119" s="225"/>
      <c r="KEG119" s="225"/>
      <c r="KEH119" s="225"/>
      <c r="KEI119" s="225"/>
      <c r="KEJ119" s="225"/>
      <c r="KEK119" s="225"/>
      <c r="KEL119" s="225"/>
      <c r="KEM119" s="225"/>
      <c r="KEN119" s="225"/>
      <c r="KEO119" s="225"/>
      <c r="KEP119" s="225"/>
      <c r="KEQ119" s="225"/>
      <c r="KER119" s="225"/>
      <c r="KES119" s="225"/>
      <c r="KET119" s="225"/>
      <c r="KEU119" s="225"/>
      <c r="KEV119" s="225"/>
      <c r="KEW119" s="225"/>
      <c r="KEX119" s="225"/>
      <c r="KEY119" s="225"/>
      <c r="KEZ119" s="225"/>
      <c r="KFA119" s="225"/>
      <c r="KFB119" s="225"/>
      <c r="KFC119" s="225"/>
      <c r="KFD119" s="225"/>
      <c r="KFE119" s="225"/>
      <c r="KFF119" s="225"/>
      <c r="KFG119" s="225"/>
      <c r="KFH119" s="225"/>
      <c r="KFI119" s="225"/>
      <c r="KFJ119" s="225"/>
      <c r="KFK119" s="225"/>
      <c r="KFL119" s="225"/>
      <c r="KFM119" s="225"/>
      <c r="KFN119" s="225"/>
      <c r="KFO119" s="225"/>
      <c r="KFP119" s="225"/>
      <c r="KFQ119" s="225"/>
      <c r="KFR119" s="225"/>
      <c r="KFS119" s="225"/>
      <c r="KFT119" s="225"/>
      <c r="KFU119" s="225"/>
      <c r="KFV119" s="225"/>
      <c r="KFW119" s="225"/>
      <c r="KFX119" s="225"/>
      <c r="KFY119" s="225"/>
      <c r="KFZ119" s="225"/>
      <c r="KGA119" s="225"/>
      <c r="KGB119" s="225"/>
      <c r="KGC119" s="225"/>
      <c r="KGD119" s="225"/>
      <c r="KGE119" s="225"/>
      <c r="KGF119" s="225"/>
      <c r="KGG119" s="225"/>
      <c r="KGH119" s="225"/>
      <c r="KGI119" s="225"/>
      <c r="KGJ119" s="225"/>
      <c r="KGK119" s="225"/>
      <c r="KGL119" s="225"/>
      <c r="KGM119" s="225"/>
      <c r="KGN119" s="225"/>
      <c r="KGO119" s="225"/>
      <c r="KGP119" s="225"/>
      <c r="KGQ119" s="225"/>
      <c r="KGR119" s="225"/>
      <c r="KGS119" s="225"/>
      <c r="KGT119" s="225"/>
      <c r="KGU119" s="225"/>
      <c r="KGV119" s="225"/>
      <c r="KGW119" s="225"/>
      <c r="KGX119" s="225"/>
      <c r="KGY119" s="225"/>
      <c r="KGZ119" s="225"/>
      <c r="KHA119" s="225"/>
      <c r="KHB119" s="225"/>
      <c r="KHC119" s="225"/>
      <c r="KHD119" s="225"/>
      <c r="KHE119" s="225"/>
      <c r="KHF119" s="225"/>
      <c r="KHG119" s="225"/>
      <c r="KHH119" s="225"/>
      <c r="KHI119" s="225"/>
      <c r="KHJ119" s="225"/>
      <c r="KHK119" s="225"/>
      <c r="KHL119" s="225"/>
      <c r="KHM119" s="225"/>
      <c r="KHN119" s="225"/>
      <c r="KHO119" s="225"/>
      <c r="KHP119" s="225"/>
      <c r="KHQ119" s="225"/>
      <c r="KHR119" s="225"/>
      <c r="KHS119" s="225"/>
      <c r="KHT119" s="225"/>
      <c r="KHU119" s="225"/>
      <c r="KHV119" s="225"/>
      <c r="KHW119" s="225"/>
      <c r="KHX119" s="225"/>
      <c r="KHY119" s="225"/>
      <c r="KHZ119" s="225"/>
      <c r="KIA119" s="225"/>
      <c r="KIB119" s="225"/>
      <c r="KIC119" s="225"/>
      <c r="KID119" s="225"/>
      <c r="KIE119" s="225"/>
      <c r="KIF119" s="225"/>
      <c r="KIG119" s="225"/>
      <c r="KIH119" s="225"/>
      <c r="KII119" s="225"/>
      <c r="KIJ119" s="225"/>
      <c r="KIK119" s="225"/>
      <c r="KIL119" s="225"/>
      <c r="KIM119" s="225"/>
      <c r="KIN119" s="225"/>
      <c r="KIO119" s="225"/>
      <c r="KIP119" s="225"/>
      <c r="KIQ119" s="225"/>
      <c r="KIR119" s="225"/>
      <c r="KIS119" s="225"/>
      <c r="KIT119" s="225"/>
      <c r="KIU119" s="225"/>
      <c r="KIV119" s="225"/>
      <c r="KIW119" s="225"/>
      <c r="KIX119" s="225"/>
      <c r="KIY119" s="225"/>
      <c r="KIZ119" s="225"/>
      <c r="KJA119" s="225"/>
      <c r="KJB119" s="225"/>
      <c r="KJC119" s="225"/>
      <c r="KJD119" s="225"/>
      <c r="KJE119" s="225"/>
      <c r="KJF119" s="225"/>
      <c r="KJG119" s="225"/>
      <c r="KJH119" s="225"/>
      <c r="KJI119" s="225"/>
      <c r="KJJ119" s="225"/>
      <c r="KJK119" s="225"/>
      <c r="KJL119" s="225"/>
      <c r="KJM119" s="225"/>
      <c r="KJN119" s="225"/>
      <c r="KJO119" s="225"/>
      <c r="KJP119" s="225"/>
      <c r="KJQ119" s="225"/>
      <c r="KJR119" s="225"/>
      <c r="KJS119" s="225"/>
      <c r="KJT119" s="225"/>
      <c r="KJU119" s="225"/>
      <c r="KJV119" s="225"/>
      <c r="KJW119" s="225"/>
      <c r="KJX119" s="225"/>
      <c r="KJY119" s="225"/>
      <c r="KJZ119" s="225"/>
      <c r="KKA119" s="225"/>
      <c r="KKB119" s="225"/>
      <c r="KKC119" s="225"/>
      <c r="KKD119" s="225"/>
      <c r="KKE119" s="225"/>
      <c r="KKF119" s="225"/>
      <c r="KKG119" s="225"/>
      <c r="KKH119" s="225"/>
      <c r="KKI119" s="225"/>
      <c r="KKJ119" s="225"/>
      <c r="KKK119" s="225"/>
      <c r="KKL119" s="225"/>
      <c r="KKM119" s="225"/>
      <c r="KKN119" s="225"/>
      <c r="KKO119" s="225"/>
      <c r="KKP119" s="225"/>
      <c r="KKQ119" s="225"/>
      <c r="KKR119" s="225"/>
      <c r="KKS119" s="225"/>
      <c r="KKT119" s="225"/>
      <c r="KKU119" s="225"/>
      <c r="KKV119" s="225"/>
      <c r="KKW119" s="225"/>
      <c r="KKX119" s="225"/>
      <c r="KKY119" s="225"/>
      <c r="KKZ119" s="225"/>
      <c r="KLA119" s="225"/>
      <c r="KLB119" s="225"/>
      <c r="KLC119" s="225"/>
      <c r="KLD119" s="225"/>
      <c r="KLE119" s="225"/>
      <c r="KLF119" s="225"/>
      <c r="KLG119" s="225"/>
      <c r="KLH119" s="225"/>
      <c r="KLI119" s="225"/>
      <c r="KLJ119" s="225"/>
      <c r="KLK119" s="225"/>
      <c r="KLL119" s="225"/>
      <c r="KLM119" s="225"/>
      <c r="KLN119" s="225"/>
      <c r="KLO119" s="225"/>
      <c r="KLP119" s="225"/>
      <c r="KLQ119" s="225"/>
      <c r="KLR119" s="225"/>
      <c r="KLS119" s="225"/>
      <c r="KLT119" s="225"/>
      <c r="KLU119" s="225"/>
      <c r="KLV119" s="225"/>
      <c r="KLW119" s="225"/>
      <c r="KLX119" s="225"/>
      <c r="KLY119" s="225"/>
      <c r="KLZ119" s="225"/>
      <c r="KMA119" s="225"/>
      <c r="KMB119" s="225"/>
      <c r="KMC119" s="225"/>
      <c r="KMD119" s="225"/>
      <c r="KME119" s="225"/>
      <c r="KMF119" s="225"/>
      <c r="KMG119" s="225"/>
      <c r="KMH119" s="225"/>
      <c r="KMI119" s="225"/>
      <c r="KMJ119" s="225"/>
      <c r="KMK119" s="225"/>
      <c r="KML119" s="225"/>
      <c r="KMM119" s="225"/>
      <c r="KMN119" s="225"/>
      <c r="KMO119" s="225"/>
      <c r="KMP119" s="225"/>
      <c r="KMQ119" s="225"/>
      <c r="KMR119" s="225"/>
      <c r="KMS119" s="225"/>
      <c r="KMT119" s="225"/>
      <c r="KMU119" s="225"/>
      <c r="KMV119" s="225"/>
      <c r="KMW119" s="225"/>
      <c r="KMX119" s="225"/>
      <c r="KMY119" s="225"/>
      <c r="KMZ119" s="225"/>
      <c r="KNA119" s="225"/>
      <c r="KNB119" s="225"/>
      <c r="KNC119" s="225"/>
      <c r="KND119" s="225"/>
      <c r="KNE119" s="225"/>
      <c r="KNF119" s="225"/>
      <c r="KNG119" s="225"/>
      <c r="KNH119" s="225"/>
      <c r="KNI119" s="225"/>
      <c r="KNJ119" s="225"/>
      <c r="KNK119" s="225"/>
      <c r="KNL119" s="225"/>
      <c r="KNM119" s="225"/>
      <c r="KNN119" s="225"/>
      <c r="KNO119" s="225"/>
      <c r="KNP119" s="225"/>
      <c r="KNQ119" s="225"/>
      <c r="KNR119" s="225"/>
      <c r="KNS119" s="225"/>
      <c r="KNT119" s="225"/>
      <c r="KNU119" s="225"/>
      <c r="KNV119" s="225"/>
      <c r="KNW119" s="225"/>
      <c r="KNX119" s="225"/>
      <c r="KNY119" s="225"/>
      <c r="KNZ119" s="225"/>
      <c r="KOA119" s="225"/>
      <c r="KOB119" s="225"/>
      <c r="KOC119" s="225"/>
      <c r="KOD119" s="225"/>
      <c r="KOE119" s="225"/>
      <c r="KOF119" s="225"/>
      <c r="KOG119" s="225"/>
      <c r="KOH119" s="225"/>
      <c r="KOI119" s="225"/>
      <c r="KOJ119" s="225"/>
      <c r="KOK119" s="225"/>
      <c r="KOL119" s="225"/>
      <c r="KOM119" s="225"/>
      <c r="KON119" s="225"/>
      <c r="KOO119" s="225"/>
      <c r="KOP119" s="225"/>
      <c r="KOQ119" s="225"/>
      <c r="KOR119" s="225"/>
      <c r="KOS119" s="225"/>
      <c r="KOT119" s="225"/>
      <c r="KOU119" s="225"/>
      <c r="KOV119" s="225"/>
      <c r="KOW119" s="225"/>
      <c r="KOX119" s="225"/>
      <c r="KOY119" s="225"/>
      <c r="KOZ119" s="225"/>
      <c r="KPA119" s="225"/>
      <c r="KPB119" s="225"/>
      <c r="KPC119" s="225"/>
      <c r="KPD119" s="225"/>
      <c r="KPE119" s="225"/>
      <c r="KPF119" s="225"/>
      <c r="KPG119" s="225"/>
      <c r="KPH119" s="225"/>
      <c r="KPI119" s="225"/>
      <c r="KPJ119" s="225"/>
      <c r="KPK119" s="225"/>
      <c r="KPL119" s="225"/>
      <c r="KPM119" s="225"/>
      <c r="KPN119" s="225"/>
      <c r="KPO119" s="225"/>
      <c r="KPP119" s="225"/>
      <c r="KPQ119" s="225"/>
      <c r="KPR119" s="225"/>
      <c r="KPS119" s="225"/>
      <c r="KPT119" s="225"/>
      <c r="KPU119" s="225"/>
      <c r="KPV119" s="225"/>
      <c r="KPW119" s="225"/>
      <c r="KPX119" s="225"/>
      <c r="KPY119" s="225"/>
      <c r="KPZ119" s="225"/>
      <c r="KQA119" s="225"/>
      <c r="KQB119" s="225"/>
      <c r="KQC119" s="225"/>
      <c r="KQD119" s="225"/>
      <c r="KQE119" s="225"/>
      <c r="KQF119" s="225"/>
      <c r="KQG119" s="225"/>
      <c r="KQH119" s="225"/>
      <c r="KQI119" s="225"/>
      <c r="KQJ119" s="225"/>
      <c r="KQK119" s="225"/>
      <c r="KQL119" s="225"/>
      <c r="KQM119" s="225"/>
      <c r="KQN119" s="225"/>
      <c r="KQO119" s="225"/>
      <c r="KQP119" s="225"/>
      <c r="KQQ119" s="225"/>
      <c r="KQR119" s="225"/>
      <c r="KQS119" s="225"/>
      <c r="KQT119" s="225"/>
      <c r="KQU119" s="225"/>
      <c r="KQV119" s="225"/>
      <c r="KQW119" s="225"/>
      <c r="KQX119" s="225"/>
      <c r="KQY119" s="225"/>
      <c r="KQZ119" s="225"/>
      <c r="KRA119" s="225"/>
      <c r="KRB119" s="225"/>
      <c r="KRC119" s="225"/>
      <c r="KRD119" s="225"/>
      <c r="KRE119" s="225"/>
      <c r="KRF119" s="225"/>
      <c r="KRG119" s="225"/>
      <c r="KRH119" s="225"/>
      <c r="KRI119" s="225"/>
      <c r="KRJ119" s="225"/>
      <c r="KRK119" s="225"/>
      <c r="KRL119" s="225"/>
      <c r="KRM119" s="225"/>
      <c r="KRN119" s="225"/>
      <c r="KRO119" s="225"/>
      <c r="KRP119" s="225"/>
      <c r="KRQ119" s="225"/>
      <c r="KRR119" s="225"/>
      <c r="KRS119" s="225"/>
      <c r="KRT119" s="225"/>
      <c r="KRU119" s="225"/>
      <c r="KRV119" s="225"/>
      <c r="KRW119" s="225"/>
      <c r="KRX119" s="225"/>
      <c r="KRY119" s="225"/>
      <c r="KRZ119" s="225"/>
      <c r="KSA119" s="225"/>
      <c r="KSB119" s="225"/>
      <c r="KSC119" s="225"/>
      <c r="KSD119" s="225"/>
      <c r="KSE119" s="225"/>
      <c r="KSF119" s="225"/>
      <c r="KSG119" s="225"/>
      <c r="KSH119" s="225"/>
      <c r="KSI119" s="225"/>
      <c r="KSJ119" s="225"/>
      <c r="KSK119" s="225"/>
      <c r="KSL119" s="225"/>
      <c r="KSM119" s="225"/>
      <c r="KSN119" s="225"/>
      <c r="KSO119" s="225"/>
      <c r="KSP119" s="225"/>
      <c r="KSQ119" s="225"/>
      <c r="KSR119" s="225"/>
      <c r="KSS119" s="225"/>
      <c r="KST119" s="225"/>
      <c r="KSU119" s="225"/>
      <c r="KSV119" s="225"/>
      <c r="KSW119" s="225"/>
      <c r="KSX119" s="225"/>
      <c r="KSY119" s="225"/>
      <c r="KSZ119" s="225"/>
      <c r="KTA119" s="225"/>
      <c r="KTB119" s="225"/>
      <c r="KTC119" s="225"/>
      <c r="KTD119" s="225"/>
      <c r="KTE119" s="225"/>
      <c r="KTF119" s="225"/>
      <c r="KTG119" s="225"/>
      <c r="KTH119" s="225"/>
      <c r="KTI119" s="225"/>
      <c r="KTJ119" s="225"/>
      <c r="KTK119" s="225"/>
      <c r="KTL119" s="225"/>
      <c r="KTM119" s="225"/>
      <c r="KTN119" s="225"/>
      <c r="KTO119" s="225"/>
      <c r="KTP119" s="225"/>
      <c r="KTQ119" s="225"/>
      <c r="KTR119" s="225"/>
      <c r="KTS119" s="225"/>
      <c r="KTT119" s="225"/>
      <c r="KTU119" s="225"/>
      <c r="KTV119" s="225"/>
      <c r="KTW119" s="225"/>
      <c r="KTX119" s="225"/>
      <c r="KTY119" s="225"/>
      <c r="KTZ119" s="225"/>
      <c r="KUA119" s="225"/>
      <c r="KUB119" s="225"/>
      <c r="KUC119" s="225"/>
      <c r="KUD119" s="225"/>
      <c r="KUE119" s="225"/>
      <c r="KUF119" s="225"/>
      <c r="KUG119" s="225"/>
      <c r="KUH119" s="225"/>
      <c r="KUI119" s="225"/>
      <c r="KUJ119" s="225"/>
      <c r="KUK119" s="225"/>
      <c r="KUL119" s="225"/>
      <c r="KUM119" s="225"/>
      <c r="KUN119" s="225"/>
      <c r="KUO119" s="225"/>
      <c r="KUP119" s="225"/>
      <c r="KUQ119" s="225"/>
      <c r="KUR119" s="225"/>
      <c r="KUS119" s="225"/>
      <c r="KUT119" s="225"/>
      <c r="KUU119" s="225"/>
      <c r="KUV119" s="225"/>
      <c r="KUW119" s="225"/>
      <c r="KUX119" s="225"/>
      <c r="KUY119" s="225"/>
      <c r="KUZ119" s="225"/>
      <c r="KVA119" s="225"/>
      <c r="KVB119" s="225"/>
      <c r="KVC119" s="225"/>
      <c r="KVD119" s="225"/>
      <c r="KVE119" s="225"/>
      <c r="KVF119" s="225"/>
      <c r="KVG119" s="225"/>
      <c r="KVH119" s="225"/>
      <c r="KVI119" s="225"/>
      <c r="KVJ119" s="225"/>
      <c r="KVK119" s="225"/>
      <c r="KVL119" s="225"/>
      <c r="KVM119" s="225"/>
      <c r="KVN119" s="225"/>
      <c r="KVO119" s="225"/>
      <c r="KVP119" s="225"/>
      <c r="KVQ119" s="225"/>
      <c r="KVR119" s="225"/>
      <c r="KVS119" s="225"/>
      <c r="KVT119" s="225"/>
      <c r="KVU119" s="225"/>
      <c r="KVV119" s="225"/>
      <c r="KVW119" s="225"/>
      <c r="KVX119" s="225"/>
      <c r="KVY119" s="225"/>
      <c r="KVZ119" s="225"/>
      <c r="KWA119" s="225"/>
      <c r="KWB119" s="225"/>
      <c r="KWC119" s="225"/>
      <c r="KWD119" s="225"/>
      <c r="KWE119" s="225"/>
      <c r="KWF119" s="225"/>
      <c r="KWG119" s="225"/>
      <c r="KWH119" s="225"/>
      <c r="KWI119" s="225"/>
      <c r="KWJ119" s="225"/>
      <c r="KWK119" s="225"/>
      <c r="KWL119" s="225"/>
      <c r="KWM119" s="225"/>
      <c r="KWN119" s="225"/>
      <c r="KWO119" s="225"/>
      <c r="KWP119" s="225"/>
      <c r="KWQ119" s="225"/>
      <c r="KWR119" s="225"/>
      <c r="KWS119" s="225"/>
      <c r="KWT119" s="225"/>
      <c r="KWU119" s="225"/>
      <c r="KWV119" s="225"/>
      <c r="KWW119" s="225"/>
      <c r="KWX119" s="225"/>
      <c r="KWY119" s="225"/>
      <c r="KWZ119" s="225"/>
      <c r="KXA119" s="225"/>
      <c r="KXB119" s="225"/>
      <c r="KXC119" s="225"/>
      <c r="KXD119" s="225"/>
      <c r="KXE119" s="225"/>
      <c r="KXF119" s="225"/>
      <c r="KXG119" s="225"/>
      <c r="KXH119" s="225"/>
      <c r="KXI119" s="225"/>
      <c r="KXJ119" s="225"/>
      <c r="KXK119" s="225"/>
      <c r="KXL119" s="225"/>
      <c r="KXM119" s="225"/>
      <c r="KXN119" s="225"/>
      <c r="KXO119" s="225"/>
      <c r="KXP119" s="225"/>
      <c r="KXQ119" s="225"/>
      <c r="KXR119" s="225"/>
      <c r="KXS119" s="225"/>
      <c r="KXT119" s="225"/>
      <c r="KXU119" s="225"/>
      <c r="KXV119" s="225"/>
      <c r="KXW119" s="225"/>
      <c r="KXX119" s="225"/>
      <c r="KXY119" s="225"/>
      <c r="KXZ119" s="225"/>
      <c r="KYA119" s="225"/>
      <c r="KYB119" s="225"/>
      <c r="KYC119" s="225"/>
      <c r="KYD119" s="225"/>
      <c r="KYE119" s="225"/>
      <c r="KYF119" s="225"/>
      <c r="KYG119" s="225"/>
      <c r="KYH119" s="225"/>
      <c r="KYI119" s="225"/>
      <c r="KYJ119" s="225"/>
      <c r="KYK119" s="225"/>
      <c r="KYL119" s="225"/>
      <c r="KYM119" s="225"/>
      <c r="KYN119" s="225"/>
      <c r="KYO119" s="225"/>
      <c r="KYP119" s="225"/>
      <c r="KYQ119" s="225"/>
      <c r="KYR119" s="225"/>
      <c r="KYS119" s="225"/>
      <c r="KYT119" s="225"/>
      <c r="KYU119" s="225"/>
      <c r="KYV119" s="225"/>
      <c r="KYW119" s="225"/>
      <c r="KYX119" s="225"/>
      <c r="KYY119" s="225"/>
      <c r="KYZ119" s="225"/>
      <c r="KZA119" s="225"/>
      <c r="KZB119" s="225"/>
      <c r="KZC119" s="225"/>
      <c r="KZD119" s="225"/>
      <c r="KZE119" s="225"/>
      <c r="KZF119" s="225"/>
      <c r="KZG119" s="225"/>
      <c r="KZH119" s="225"/>
      <c r="KZI119" s="225"/>
      <c r="KZJ119" s="225"/>
      <c r="KZK119" s="225"/>
      <c r="KZL119" s="225"/>
      <c r="KZM119" s="225"/>
      <c r="KZN119" s="225"/>
      <c r="KZO119" s="225"/>
      <c r="KZP119" s="225"/>
      <c r="KZQ119" s="225"/>
      <c r="KZR119" s="225"/>
      <c r="KZS119" s="225"/>
      <c r="KZT119" s="225"/>
      <c r="KZU119" s="225"/>
      <c r="KZV119" s="225"/>
      <c r="KZW119" s="225"/>
      <c r="KZX119" s="225"/>
      <c r="KZY119" s="225"/>
      <c r="KZZ119" s="225"/>
      <c r="LAA119" s="225"/>
      <c r="LAB119" s="225"/>
      <c r="LAC119" s="225"/>
      <c r="LAD119" s="225"/>
      <c r="LAE119" s="225"/>
      <c r="LAF119" s="225"/>
      <c r="LAG119" s="225"/>
      <c r="LAH119" s="225"/>
      <c r="LAI119" s="225"/>
      <c r="LAJ119" s="225"/>
      <c r="LAK119" s="225"/>
      <c r="LAL119" s="225"/>
      <c r="LAM119" s="225"/>
      <c r="LAN119" s="225"/>
      <c r="LAO119" s="225"/>
      <c r="LAP119" s="225"/>
      <c r="LAQ119" s="225"/>
      <c r="LAR119" s="225"/>
      <c r="LAS119" s="225"/>
      <c r="LAT119" s="225"/>
      <c r="LAU119" s="225"/>
      <c r="LAV119" s="225"/>
      <c r="LAW119" s="225"/>
      <c r="LAX119" s="225"/>
      <c r="LAY119" s="225"/>
      <c r="LAZ119" s="225"/>
      <c r="LBA119" s="225"/>
      <c r="LBB119" s="225"/>
      <c r="LBC119" s="225"/>
      <c r="LBD119" s="225"/>
      <c r="LBE119" s="225"/>
      <c r="LBF119" s="225"/>
      <c r="LBG119" s="225"/>
      <c r="LBH119" s="225"/>
      <c r="LBI119" s="225"/>
      <c r="LBJ119" s="225"/>
      <c r="LBK119" s="225"/>
      <c r="LBL119" s="225"/>
      <c r="LBM119" s="225"/>
      <c r="LBN119" s="225"/>
      <c r="LBO119" s="225"/>
      <c r="LBP119" s="225"/>
      <c r="LBQ119" s="225"/>
      <c r="LBR119" s="225"/>
      <c r="LBS119" s="225"/>
      <c r="LBT119" s="225"/>
      <c r="LBU119" s="225"/>
      <c r="LBV119" s="225"/>
      <c r="LBW119" s="225"/>
      <c r="LBX119" s="225"/>
      <c r="LBY119" s="225"/>
      <c r="LBZ119" s="225"/>
      <c r="LCA119" s="225"/>
      <c r="LCB119" s="225"/>
      <c r="LCC119" s="225"/>
      <c r="LCD119" s="225"/>
      <c r="LCE119" s="225"/>
      <c r="LCF119" s="225"/>
      <c r="LCG119" s="225"/>
      <c r="LCH119" s="225"/>
      <c r="LCI119" s="225"/>
      <c r="LCJ119" s="225"/>
      <c r="LCK119" s="225"/>
      <c r="LCL119" s="225"/>
      <c r="LCM119" s="225"/>
      <c r="LCN119" s="225"/>
      <c r="LCO119" s="225"/>
      <c r="LCP119" s="225"/>
      <c r="LCQ119" s="225"/>
      <c r="LCR119" s="225"/>
      <c r="LCS119" s="225"/>
      <c r="LCT119" s="225"/>
      <c r="LCU119" s="225"/>
      <c r="LCV119" s="225"/>
      <c r="LCW119" s="225"/>
      <c r="LCX119" s="225"/>
      <c r="LCY119" s="225"/>
      <c r="LCZ119" s="225"/>
      <c r="LDA119" s="225"/>
      <c r="LDB119" s="225"/>
      <c r="LDC119" s="225"/>
      <c r="LDD119" s="225"/>
      <c r="LDE119" s="225"/>
      <c r="LDF119" s="225"/>
      <c r="LDG119" s="225"/>
      <c r="LDH119" s="225"/>
      <c r="LDI119" s="225"/>
      <c r="LDJ119" s="225"/>
      <c r="LDK119" s="225"/>
      <c r="LDL119" s="225"/>
      <c r="LDM119" s="225"/>
      <c r="LDN119" s="225"/>
      <c r="LDO119" s="225"/>
      <c r="LDP119" s="225"/>
      <c r="LDQ119" s="225"/>
      <c r="LDR119" s="225"/>
      <c r="LDS119" s="225"/>
      <c r="LDT119" s="225"/>
      <c r="LDU119" s="225"/>
      <c r="LDV119" s="225"/>
      <c r="LDW119" s="225"/>
      <c r="LDX119" s="225"/>
      <c r="LDY119" s="225"/>
      <c r="LDZ119" s="225"/>
      <c r="LEA119" s="225"/>
      <c r="LEB119" s="225"/>
      <c r="LEC119" s="225"/>
      <c r="LED119" s="225"/>
      <c r="LEE119" s="225"/>
      <c r="LEF119" s="225"/>
      <c r="LEG119" s="225"/>
      <c r="LEH119" s="225"/>
      <c r="LEI119" s="225"/>
      <c r="LEJ119" s="225"/>
      <c r="LEK119" s="225"/>
      <c r="LEL119" s="225"/>
      <c r="LEM119" s="225"/>
      <c r="LEN119" s="225"/>
      <c r="LEO119" s="225"/>
      <c r="LEP119" s="225"/>
      <c r="LEQ119" s="225"/>
      <c r="LER119" s="225"/>
      <c r="LES119" s="225"/>
      <c r="LET119" s="225"/>
      <c r="LEU119" s="225"/>
      <c r="LEV119" s="225"/>
      <c r="LEW119" s="225"/>
      <c r="LEX119" s="225"/>
      <c r="LEY119" s="225"/>
      <c r="LEZ119" s="225"/>
      <c r="LFA119" s="225"/>
      <c r="LFB119" s="225"/>
      <c r="LFC119" s="225"/>
      <c r="LFD119" s="225"/>
      <c r="LFE119" s="225"/>
      <c r="LFF119" s="225"/>
      <c r="LFG119" s="225"/>
      <c r="LFH119" s="225"/>
      <c r="LFI119" s="225"/>
      <c r="LFJ119" s="225"/>
      <c r="LFK119" s="225"/>
      <c r="LFL119" s="225"/>
      <c r="LFM119" s="225"/>
      <c r="LFN119" s="225"/>
      <c r="LFO119" s="225"/>
      <c r="LFP119" s="225"/>
      <c r="LFQ119" s="225"/>
      <c r="LFR119" s="225"/>
      <c r="LFS119" s="225"/>
      <c r="LFT119" s="225"/>
      <c r="LFU119" s="225"/>
      <c r="LFV119" s="225"/>
      <c r="LFW119" s="225"/>
      <c r="LFX119" s="225"/>
      <c r="LFY119" s="225"/>
      <c r="LFZ119" s="225"/>
      <c r="LGA119" s="225"/>
      <c r="LGB119" s="225"/>
      <c r="LGC119" s="225"/>
      <c r="LGD119" s="225"/>
      <c r="LGE119" s="225"/>
      <c r="LGF119" s="225"/>
      <c r="LGG119" s="225"/>
      <c r="LGH119" s="225"/>
      <c r="LGI119" s="225"/>
      <c r="LGJ119" s="225"/>
      <c r="LGK119" s="225"/>
      <c r="LGL119" s="225"/>
      <c r="LGM119" s="225"/>
      <c r="LGN119" s="225"/>
      <c r="LGO119" s="225"/>
      <c r="LGP119" s="225"/>
      <c r="LGQ119" s="225"/>
      <c r="LGR119" s="225"/>
      <c r="LGS119" s="225"/>
      <c r="LGT119" s="225"/>
      <c r="LGU119" s="225"/>
      <c r="LGV119" s="225"/>
      <c r="LGW119" s="225"/>
      <c r="LGX119" s="225"/>
      <c r="LGY119" s="225"/>
      <c r="LGZ119" s="225"/>
      <c r="LHA119" s="225"/>
      <c r="LHB119" s="225"/>
      <c r="LHC119" s="225"/>
      <c r="LHD119" s="225"/>
      <c r="LHE119" s="225"/>
      <c r="LHF119" s="225"/>
      <c r="LHG119" s="225"/>
      <c r="LHH119" s="225"/>
      <c r="LHI119" s="225"/>
      <c r="LHJ119" s="225"/>
      <c r="LHK119" s="225"/>
      <c r="LHL119" s="225"/>
      <c r="LHM119" s="225"/>
      <c r="LHN119" s="225"/>
      <c r="LHO119" s="225"/>
      <c r="LHP119" s="225"/>
      <c r="LHQ119" s="225"/>
      <c r="LHR119" s="225"/>
      <c r="LHS119" s="225"/>
      <c r="LHT119" s="225"/>
      <c r="LHU119" s="225"/>
      <c r="LHV119" s="225"/>
      <c r="LHW119" s="225"/>
      <c r="LHX119" s="225"/>
      <c r="LHY119" s="225"/>
      <c r="LHZ119" s="225"/>
      <c r="LIA119" s="225"/>
      <c r="LIB119" s="225"/>
      <c r="LIC119" s="225"/>
      <c r="LID119" s="225"/>
      <c r="LIE119" s="225"/>
      <c r="LIF119" s="225"/>
      <c r="LIG119" s="225"/>
      <c r="LIH119" s="225"/>
      <c r="LII119" s="225"/>
      <c r="LIJ119" s="225"/>
      <c r="LIK119" s="225"/>
      <c r="LIL119" s="225"/>
      <c r="LIM119" s="225"/>
      <c r="LIN119" s="225"/>
      <c r="LIO119" s="225"/>
      <c r="LIP119" s="225"/>
      <c r="LIQ119" s="225"/>
      <c r="LIR119" s="225"/>
      <c r="LIS119" s="225"/>
      <c r="LIT119" s="225"/>
      <c r="LIU119" s="225"/>
      <c r="LIV119" s="225"/>
      <c r="LIW119" s="225"/>
      <c r="LIX119" s="225"/>
      <c r="LIY119" s="225"/>
      <c r="LIZ119" s="225"/>
      <c r="LJA119" s="225"/>
      <c r="LJB119" s="225"/>
      <c r="LJC119" s="225"/>
      <c r="LJD119" s="225"/>
      <c r="LJE119" s="225"/>
      <c r="LJF119" s="225"/>
      <c r="LJG119" s="225"/>
      <c r="LJH119" s="225"/>
      <c r="LJI119" s="225"/>
      <c r="LJJ119" s="225"/>
      <c r="LJK119" s="225"/>
      <c r="LJL119" s="225"/>
      <c r="LJM119" s="225"/>
      <c r="LJN119" s="225"/>
      <c r="LJO119" s="225"/>
      <c r="LJP119" s="225"/>
      <c r="LJQ119" s="225"/>
      <c r="LJR119" s="225"/>
      <c r="LJS119" s="225"/>
      <c r="LJT119" s="225"/>
      <c r="LJU119" s="225"/>
      <c r="LJV119" s="225"/>
      <c r="LJW119" s="225"/>
      <c r="LJX119" s="225"/>
      <c r="LJY119" s="225"/>
      <c r="LJZ119" s="225"/>
      <c r="LKA119" s="225"/>
      <c r="LKB119" s="225"/>
      <c r="LKC119" s="225"/>
      <c r="LKD119" s="225"/>
      <c r="LKE119" s="225"/>
      <c r="LKF119" s="225"/>
      <c r="LKG119" s="225"/>
      <c r="LKH119" s="225"/>
      <c r="LKI119" s="225"/>
      <c r="LKJ119" s="225"/>
      <c r="LKK119" s="225"/>
      <c r="LKL119" s="225"/>
      <c r="LKM119" s="225"/>
      <c r="LKN119" s="225"/>
      <c r="LKO119" s="225"/>
      <c r="LKP119" s="225"/>
      <c r="LKQ119" s="225"/>
      <c r="LKR119" s="225"/>
      <c r="LKS119" s="225"/>
      <c r="LKT119" s="225"/>
      <c r="LKU119" s="225"/>
      <c r="LKV119" s="225"/>
      <c r="LKW119" s="225"/>
      <c r="LKX119" s="225"/>
      <c r="LKY119" s="225"/>
      <c r="LKZ119" s="225"/>
      <c r="LLA119" s="225"/>
      <c r="LLB119" s="225"/>
      <c r="LLC119" s="225"/>
      <c r="LLD119" s="225"/>
      <c r="LLE119" s="225"/>
      <c r="LLF119" s="225"/>
      <c r="LLG119" s="225"/>
      <c r="LLH119" s="225"/>
      <c r="LLI119" s="225"/>
      <c r="LLJ119" s="225"/>
      <c r="LLK119" s="225"/>
      <c r="LLL119" s="225"/>
      <c r="LLM119" s="225"/>
      <c r="LLN119" s="225"/>
      <c r="LLO119" s="225"/>
      <c r="LLP119" s="225"/>
      <c r="LLQ119" s="225"/>
      <c r="LLR119" s="225"/>
      <c r="LLS119" s="225"/>
      <c r="LLT119" s="225"/>
      <c r="LLU119" s="225"/>
      <c r="LLV119" s="225"/>
      <c r="LLW119" s="225"/>
      <c r="LLX119" s="225"/>
      <c r="LLY119" s="225"/>
      <c r="LLZ119" s="225"/>
      <c r="LMA119" s="225"/>
      <c r="LMB119" s="225"/>
      <c r="LMC119" s="225"/>
      <c r="LMD119" s="225"/>
      <c r="LME119" s="225"/>
      <c r="LMF119" s="225"/>
      <c r="LMG119" s="225"/>
      <c r="LMH119" s="225"/>
      <c r="LMI119" s="225"/>
      <c r="LMJ119" s="225"/>
      <c r="LMK119" s="225"/>
      <c r="LML119" s="225"/>
      <c r="LMM119" s="225"/>
      <c r="LMN119" s="225"/>
      <c r="LMO119" s="225"/>
      <c r="LMP119" s="225"/>
      <c r="LMQ119" s="225"/>
      <c r="LMR119" s="225"/>
      <c r="LMS119" s="225"/>
      <c r="LMT119" s="225"/>
      <c r="LMU119" s="225"/>
      <c r="LMV119" s="225"/>
      <c r="LMW119" s="225"/>
      <c r="LMX119" s="225"/>
      <c r="LMY119" s="225"/>
      <c r="LMZ119" s="225"/>
      <c r="LNA119" s="225"/>
      <c r="LNB119" s="225"/>
      <c r="LNC119" s="225"/>
      <c r="LND119" s="225"/>
      <c r="LNE119" s="225"/>
      <c r="LNF119" s="225"/>
      <c r="LNG119" s="225"/>
      <c r="LNH119" s="225"/>
      <c r="LNI119" s="225"/>
      <c r="LNJ119" s="225"/>
      <c r="LNK119" s="225"/>
      <c r="LNL119" s="225"/>
      <c r="LNM119" s="225"/>
      <c r="LNN119" s="225"/>
      <c r="LNO119" s="225"/>
      <c r="LNP119" s="225"/>
      <c r="LNQ119" s="225"/>
      <c r="LNR119" s="225"/>
      <c r="LNS119" s="225"/>
      <c r="LNT119" s="225"/>
      <c r="LNU119" s="225"/>
      <c r="LNV119" s="225"/>
      <c r="LNW119" s="225"/>
      <c r="LNX119" s="225"/>
      <c r="LNY119" s="225"/>
      <c r="LNZ119" s="225"/>
      <c r="LOA119" s="225"/>
      <c r="LOB119" s="225"/>
      <c r="LOC119" s="225"/>
      <c r="LOD119" s="225"/>
      <c r="LOE119" s="225"/>
      <c r="LOF119" s="225"/>
      <c r="LOG119" s="225"/>
      <c r="LOH119" s="225"/>
      <c r="LOI119" s="225"/>
      <c r="LOJ119" s="225"/>
      <c r="LOK119" s="225"/>
      <c r="LOL119" s="225"/>
      <c r="LOM119" s="225"/>
      <c r="LON119" s="225"/>
      <c r="LOO119" s="225"/>
      <c r="LOP119" s="225"/>
      <c r="LOQ119" s="225"/>
      <c r="LOR119" s="225"/>
      <c r="LOS119" s="225"/>
      <c r="LOT119" s="225"/>
      <c r="LOU119" s="225"/>
      <c r="LOV119" s="225"/>
      <c r="LOW119" s="225"/>
      <c r="LOX119" s="225"/>
      <c r="LOY119" s="225"/>
      <c r="LOZ119" s="225"/>
      <c r="LPA119" s="225"/>
      <c r="LPB119" s="225"/>
      <c r="LPC119" s="225"/>
      <c r="LPD119" s="225"/>
      <c r="LPE119" s="225"/>
      <c r="LPF119" s="225"/>
      <c r="LPG119" s="225"/>
      <c r="LPH119" s="225"/>
      <c r="LPI119" s="225"/>
      <c r="LPJ119" s="225"/>
      <c r="LPK119" s="225"/>
      <c r="LPL119" s="225"/>
      <c r="LPM119" s="225"/>
      <c r="LPN119" s="225"/>
      <c r="LPO119" s="225"/>
      <c r="LPP119" s="225"/>
      <c r="LPQ119" s="225"/>
      <c r="LPR119" s="225"/>
      <c r="LPS119" s="225"/>
      <c r="LPT119" s="225"/>
      <c r="LPU119" s="225"/>
      <c r="LPV119" s="225"/>
      <c r="LPW119" s="225"/>
      <c r="LPX119" s="225"/>
      <c r="LPY119" s="225"/>
      <c r="LPZ119" s="225"/>
      <c r="LQA119" s="225"/>
      <c r="LQB119" s="225"/>
      <c r="LQC119" s="225"/>
      <c r="LQD119" s="225"/>
      <c r="LQE119" s="225"/>
      <c r="LQF119" s="225"/>
      <c r="LQG119" s="225"/>
      <c r="LQH119" s="225"/>
      <c r="LQI119" s="225"/>
      <c r="LQJ119" s="225"/>
      <c r="LQK119" s="225"/>
      <c r="LQL119" s="225"/>
      <c r="LQM119" s="225"/>
      <c r="LQN119" s="225"/>
      <c r="LQO119" s="225"/>
      <c r="LQP119" s="225"/>
      <c r="LQQ119" s="225"/>
      <c r="LQR119" s="225"/>
      <c r="LQS119" s="225"/>
      <c r="LQT119" s="225"/>
      <c r="LQU119" s="225"/>
      <c r="LQV119" s="225"/>
      <c r="LQW119" s="225"/>
      <c r="LQX119" s="225"/>
      <c r="LQY119" s="225"/>
      <c r="LQZ119" s="225"/>
      <c r="LRA119" s="225"/>
      <c r="LRB119" s="225"/>
      <c r="LRC119" s="225"/>
      <c r="LRD119" s="225"/>
      <c r="LRE119" s="225"/>
      <c r="LRF119" s="225"/>
      <c r="LRG119" s="225"/>
      <c r="LRH119" s="225"/>
      <c r="LRI119" s="225"/>
      <c r="LRJ119" s="225"/>
      <c r="LRK119" s="225"/>
      <c r="LRL119" s="225"/>
      <c r="LRM119" s="225"/>
      <c r="LRN119" s="225"/>
      <c r="LRO119" s="225"/>
      <c r="LRP119" s="225"/>
      <c r="LRQ119" s="225"/>
      <c r="LRR119" s="225"/>
      <c r="LRS119" s="225"/>
      <c r="LRT119" s="225"/>
      <c r="LRU119" s="225"/>
      <c r="LRV119" s="225"/>
      <c r="LRW119" s="225"/>
      <c r="LRX119" s="225"/>
      <c r="LRY119" s="225"/>
      <c r="LRZ119" s="225"/>
      <c r="LSA119" s="225"/>
      <c r="LSB119" s="225"/>
      <c r="LSC119" s="225"/>
      <c r="LSD119" s="225"/>
      <c r="LSE119" s="225"/>
      <c r="LSF119" s="225"/>
      <c r="LSG119" s="225"/>
      <c r="LSH119" s="225"/>
      <c r="LSI119" s="225"/>
      <c r="LSJ119" s="225"/>
      <c r="LSK119" s="225"/>
      <c r="LSL119" s="225"/>
      <c r="LSM119" s="225"/>
      <c r="LSN119" s="225"/>
      <c r="LSO119" s="225"/>
      <c r="LSP119" s="225"/>
      <c r="LSQ119" s="225"/>
      <c r="LSR119" s="225"/>
      <c r="LSS119" s="225"/>
      <c r="LST119" s="225"/>
      <c r="LSU119" s="225"/>
      <c r="LSV119" s="225"/>
      <c r="LSW119" s="225"/>
      <c r="LSX119" s="225"/>
      <c r="LSY119" s="225"/>
      <c r="LSZ119" s="225"/>
      <c r="LTA119" s="225"/>
      <c r="LTB119" s="225"/>
      <c r="LTC119" s="225"/>
      <c r="LTD119" s="225"/>
      <c r="LTE119" s="225"/>
      <c r="LTF119" s="225"/>
      <c r="LTG119" s="225"/>
      <c r="LTH119" s="225"/>
      <c r="LTI119" s="225"/>
      <c r="LTJ119" s="225"/>
      <c r="LTK119" s="225"/>
      <c r="LTL119" s="225"/>
      <c r="LTM119" s="225"/>
      <c r="LTN119" s="225"/>
      <c r="LTO119" s="225"/>
      <c r="LTP119" s="225"/>
      <c r="LTQ119" s="225"/>
      <c r="LTR119" s="225"/>
      <c r="LTS119" s="225"/>
      <c r="LTT119" s="225"/>
      <c r="LTU119" s="225"/>
      <c r="LTV119" s="225"/>
      <c r="LTW119" s="225"/>
      <c r="LTX119" s="225"/>
      <c r="LTY119" s="225"/>
      <c r="LTZ119" s="225"/>
      <c r="LUA119" s="225"/>
      <c r="LUB119" s="225"/>
      <c r="LUC119" s="225"/>
      <c r="LUD119" s="225"/>
      <c r="LUE119" s="225"/>
      <c r="LUF119" s="225"/>
      <c r="LUG119" s="225"/>
      <c r="LUH119" s="225"/>
      <c r="LUI119" s="225"/>
      <c r="LUJ119" s="225"/>
      <c r="LUK119" s="225"/>
      <c r="LUL119" s="225"/>
      <c r="LUM119" s="225"/>
      <c r="LUN119" s="225"/>
      <c r="LUO119" s="225"/>
      <c r="LUP119" s="225"/>
      <c r="LUQ119" s="225"/>
      <c r="LUR119" s="225"/>
      <c r="LUS119" s="225"/>
      <c r="LUT119" s="225"/>
      <c r="LUU119" s="225"/>
      <c r="LUV119" s="225"/>
      <c r="LUW119" s="225"/>
      <c r="LUX119" s="225"/>
      <c r="LUY119" s="225"/>
      <c r="LUZ119" s="225"/>
      <c r="LVA119" s="225"/>
      <c r="LVB119" s="225"/>
      <c r="LVC119" s="225"/>
      <c r="LVD119" s="225"/>
      <c r="LVE119" s="225"/>
      <c r="LVF119" s="225"/>
      <c r="LVG119" s="225"/>
      <c r="LVH119" s="225"/>
      <c r="LVI119" s="225"/>
      <c r="LVJ119" s="225"/>
      <c r="LVK119" s="225"/>
      <c r="LVL119" s="225"/>
      <c r="LVM119" s="225"/>
      <c r="LVN119" s="225"/>
      <c r="LVO119" s="225"/>
      <c r="LVP119" s="225"/>
      <c r="LVQ119" s="225"/>
      <c r="LVR119" s="225"/>
      <c r="LVS119" s="225"/>
      <c r="LVT119" s="225"/>
      <c r="LVU119" s="225"/>
      <c r="LVV119" s="225"/>
      <c r="LVW119" s="225"/>
      <c r="LVX119" s="225"/>
      <c r="LVY119" s="225"/>
      <c r="LVZ119" s="225"/>
      <c r="LWA119" s="225"/>
      <c r="LWB119" s="225"/>
      <c r="LWC119" s="225"/>
      <c r="LWD119" s="225"/>
      <c r="LWE119" s="225"/>
      <c r="LWF119" s="225"/>
      <c r="LWG119" s="225"/>
      <c r="LWH119" s="225"/>
      <c r="LWI119" s="225"/>
      <c r="LWJ119" s="225"/>
      <c r="LWK119" s="225"/>
      <c r="LWL119" s="225"/>
      <c r="LWM119" s="225"/>
      <c r="LWN119" s="225"/>
      <c r="LWO119" s="225"/>
      <c r="LWP119" s="225"/>
      <c r="LWQ119" s="225"/>
      <c r="LWR119" s="225"/>
      <c r="LWS119" s="225"/>
      <c r="LWT119" s="225"/>
      <c r="LWU119" s="225"/>
      <c r="LWV119" s="225"/>
      <c r="LWW119" s="225"/>
      <c r="LWX119" s="225"/>
      <c r="LWY119" s="225"/>
      <c r="LWZ119" s="225"/>
      <c r="LXA119" s="225"/>
      <c r="LXB119" s="225"/>
      <c r="LXC119" s="225"/>
      <c r="LXD119" s="225"/>
      <c r="LXE119" s="225"/>
      <c r="LXF119" s="225"/>
      <c r="LXG119" s="225"/>
      <c r="LXH119" s="225"/>
      <c r="LXI119" s="225"/>
      <c r="LXJ119" s="225"/>
      <c r="LXK119" s="225"/>
      <c r="LXL119" s="225"/>
      <c r="LXM119" s="225"/>
      <c r="LXN119" s="225"/>
      <c r="LXO119" s="225"/>
      <c r="LXP119" s="225"/>
      <c r="LXQ119" s="225"/>
      <c r="LXR119" s="225"/>
      <c r="LXS119" s="225"/>
      <c r="LXT119" s="225"/>
      <c r="LXU119" s="225"/>
      <c r="LXV119" s="225"/>
      <c r="LXW119" s="225"/>
      <c r="LXX119" s="225"/>
      <c r="LXY119" s="225"/>
      <c r="LXZ119" s="225"/>
      <c r="LYA119" s="225"/>
      <c r="LYB119" s="225"/>
      <c r="LYC119" s="225"/>
      <c r="LYD119" s="225"/>
      <c r="LYE119" s="225"/>
      <c r="LYF119" s="225"/>
      <c r="LYG119" s="225"/>
      <c r="LYH119" s="225"/>
      <c r="LYI119" s="225"/>
      <c r="LYJ119" s="225"/>
      <c r="LYK119" s="225"/>
      <c r="LYL119" s="225"/>
      <c r="LYM119" s="225"/>
      <c r="LYN119" s="225"/>
      <c r="LYO119" s="225"/>
      <c r="LYP119" s="225"/>
      <c r="LYQ119" s="225"/>
      <c r="LYR119" s="225"/>
      <c r="LYS119" s="225"/>
      <c r="LYT119" s="225"/>
      <c r="LYU119" s="225"/>
      <c r="LYV119" s="225"/>
      <c r="LYW119" s="225"/>
      <c r="LYX119" s="225"/>
      <c r="LYY119" s="225"/>
      <c r="LYZ119" s="225"/>
      <c r="LZA119" s="225"/>
      <c r="LZB119" s="225"/>
      <c r="LZC119" s="225"/>
      <c r="LZD119" s="225"/>
      <c r="LZE119" s="225"/>
      <c r="LZF119" s="225"/>
      <c r="LZG119" s="225"/>
      <c r="LZH119" s="225"/>
      <c r="LZI119" s="225"/>
      <c r="LZJ119" s="225"/>
      <c r="LZK119" s="225"/>
      <c r="LZL119" s="225"/>
      <c r="LZM119" s="225"/>
      <c r="LZN119" s="225"/>
      <c r="LZO119" s="225"/>
      <c r="LZP119" s="225"/>
      <c r="LZQ119" s="225"/>
      <c r="LZR119" s="225"/>
      <c r="LZS119" s="225"/>
      <c r="LZT119" s="225"/>
      <c r="LZU119" s="225"/>
      <c r="LZV119" s="225"/>
      <c r="LZW119" s="225"/>
      <c r="LZX119" s="225"/>
      <c r="LZY119" s="225"/>
      <c r="LZZ119" s="225"/>
      <c r="MAA119" s="225"/>
      <c r="MAB119" s="225"/>
      <c r="MAC119" s="225"/>
      <c r="MAD119" s="225"/>
      <c r="MAE119" s="225"/>
      <c r="MAF119" s="225"/>
      <c r="MAG119" s="225"/>
      <c r="MAH119" s="225"/>
      <c r="MAI119" s="225"/>
      <c r="MAJ119" s="225"/>
      <c r="MAK119" s="225"/>
      <c r="MAL119" s="225"/>
      <c r="MAM119" s="225"/>
      <c r="MAN119" s="225"/>
      <c r="MAO119" s="225"/>
      <c r="MAP119" s="225"/>
      <c r="MAQ119" s="225"/>
      <c r="MAR119" s="225"/>
      <c r="MAS119" s="225"/>
      <c r="MAT119" s="225"/>
      <c r="MAU119" s="225"/>
      <c r="MAV119" s="225"/>
      <c r="MAW119" s="225"/>
      <c r="MAX119" s="225"/>
      <c r="MAY119" s="225"/>
      <c r="MAZ119" s="225"/>
      <c r="MBA119" s="225"/>
      <c r="MBB119" s="225"/>
      <c r="MBC119" s="225"/>
      <c r="MBD119" s="225"/>
      <c r="MBE119" s="225"/>
      <c r="MBF119" s="225"/>
      <c r="MBG119" s="225"/>
      <c r="MBH119" s="225"/>
      <c r="MBI119" s="225"/>
      <c r="MBJ119" s="225"/>
      <c r="MBK119" s="225"/>
      <c r="MBL119" s="225"/>
      <c r="MBM119" s="225"/>
      <c r="MBN119" s="225"/>
      <c r="MBO119" s="225"/>
      <c r="MBP119" s="225"/>
      <c r="MBQ119" s="225"/>
      <c r="MBR119" s="225"/>
      <c r="MBS119" s="225"/>
      <c r="MBT119" s="225"/>
      <c r="MBU119" s="225"/>
      <c r="MBV119" s="225"/>
      <c r="MBW119" s="225"/>
      <c r="MBX119" s="225"/>
      <c r="MBY119" s="225"/>
      <c r="MBZ119" s="225"/>
      <c r="MCA119" s="225"/>
      <c r="MCB119" s="225"/>
      <c r="MCC119" s="225"/>
      <c r="MCD119" s="225"/>
      <c r="MCE119" s="225"/>
      <c r="MCF119" s="225"/>
      <c r="MCG119" s="225"/>
      <c r="MCH119" s="225"/>
      <c r="MCI119" s="225"/>
      <c r="MCJ119" s="225"/>
      <c r="MCK119" s="225"/>
      <c r="MCL119" s="225"/>
      <c r="MCM119" s="225"/>
      <c r="MCN119" s="225"/>
      <c r="MCO119" s="225"/>
      <c r="MCP119" s="225"/>
      <c r="MCQ119" s="225"/>
      <c r="MCR119" s="225"/>
      <c r="MCS119" s="225"/>
      <c r="MCT119" s="225"/>
      <c r="MCU119" s="225"/>
      <c r="MCV119" s="225"/>
      <c r="MCW119" s="225"/>
      <c r="MCX119" s="225"/>
      <c r="MCY119" s="225"/>
      <c r="MCZ119" s="225"/>
      <c r="MDA119" s="225"/>
      <c r="MDB119" s="225"/>
      <c r="MDC119" s="225"/>
      <c r="MDD119" s="225"/>
      <c r="MDE119" s="225"/>
      <c r="MDF119" s="225"/>
      <c r="MDG119" s="225"/>
      <c r="MDH119" s="225"/>
      <c r="MDI119" s="225"/>
      <c r="MDJ119" s="225"/>
      <c r="MDK119" s="225"/>
      <c r="MDL119" s="225"/>
      <c r="MDM119" s="225"/>
      <c r="MDN119" s="225"/>
      <c r="MDO119" s="225"/>
      <c r="MDP119" s="225"/>
      <c r="MDQ119" s="225"/>
      <c r="MDR119" s="225"/>
      <c r="MDS119" s="225"/>
      <c r="MDT119" s="225"/>
      <c r="MDU119" s="225"/>
      <c r="MDV119" s="225"/>
      <c r="MDW119" s="225"/>
      <c r="MDX119" s="225"/>
      <c r="MDY119" s="225"/>
      <c r="MDZ119" s="225"/>
      <c r="MEA119" s="225"/>
      <c r="MEB119" s="225"/>
      <c r="MEC119" s="225"/>
      <c r="MED119" s="225"/>
      <c r="MEE119" s="225"/>
      <c r="MEF119" s="225"/>
      <c r="MEG119" s="225"/>
      <c r="MEH119" s="225"/>
      <c r="MEI119" s="225"/>
      <c r="MEJ119" s="225"/>
      <c r="MEK119" s="225"/>
      <c r="MEL119" s="225"/>
      <c r="MEM119" s="225"/>
      <c r="MEN119" s="225"/>
      <c r="MEO119" s="225"/>
      <c r="MEP119" s="225"/>
      <c r="MEQ119" s="225"/>
      <c r="MER119" s="225"/>
      <c r="MES119" s="225"/>
      <c r="MET119" s="225"/>
      <c r="MEU119" s="225"/>
      <c r="MEV119" s="225"/>
      <c r="MEW119" s="225"/>
      <c r="MEX119" s="225"/>
      <c r="MEY119" s="225"/>
      <c r="MEZ119" s="225"/>
      <c r="MFA119" s="225"/>
      <c r="MFB119" s="225"/>
      <c r="MFC119" s="225"/>
      <c r="MFD119" s="225"/>
      <c r="MFE119" s="225"/>
      <c r="MFF119" s="225"/>
      <c r="MFG119" s="225"/>
      <c r="MFH119" s="225"/>
      <c r="MFI119" s="225"/>
      <c r="MFJ119" s="225"/>
      <c r="MFK119" s="225"/>
      <c r="MFL119" s="225"/>
      <c r="MFM119" s="225"/>
      <c r="MFN119" s="225"/>
      <c r="MFO119" s="225"/>
      <c r="MFP119" s="225"/>
      <c r="MFQ119" s="225"/>
      <c r="MFR119" s="225"/>
      <c r="MFS119" s="225"/>
      <c r="MFT119" s="225"/>
      <c r="MFU119" s="225"/>
      <c r="MFV119" s="225"/>
      <c r="MFW119" s="225"/>
      <c r="MFX119" s="225"/>
      <c r="MFY119" s="225"/>
      <c r="MFZ119" s="225"/>
      <c r="MGA119" s="225"/>
      <c r="MGB119" s="225"/>
      <c r="MGC119" s="225"/>
      <c r="MGD119" s="225"/>
      <c r="MGE119" s="225"/>
      <c r="MGF119" s="225"/>
      <c r="MGG119" s="225"/>
      <c r="MGH119" s="225"/>
      <c r="MGI119" s="225"/>
      <c r="MGJ119" s="225"/>
      <c r="MGK119" s="225"/>
      <c r="MGL119" s="225"/>
      <c r="MGM119" s="225"/>
      <c r="MGN119" s="225"/>
      <c r="MGO119" s="225"/>
      <c r="MGP119" s="225"/>
      <c r="MGQ119" s="225"/>
      <c r="MGR119" s="225"/>
      <c r="MGS119" s="225"/>
      <c r="MGT119" s="225"/>
      <c r="MGU119" s="225"/>
      <c r="MGV119" s="225"/>
      <c r="MGW119" s="225"/>
      <c r="MGX119" s="225"/>
      <c r="MGY119" s="225"/>
      <c r="MGZ119" s="225"/>
      <c r="MHA119" s="225"/>
      <c r="MHB119" s="225"/>
      <c r="MHC119" s="225"/>
      <c r="MHD119" s="225"/>
      <c r="MHE119" s="225"/>
      <c r="MHF119" s="225"/>
      <c r="MHG119" s="225"/>
      <c r="MHH119" s="225"/>
      <c r="MHI119" s="225"/>
      <c r="MHJ119" s="225"/>
      <c r="MHK119" s="225"/>
      <c r="MHL119" s="225"/>
      <c r="MHM119" s="225"/>
      <c r="MHN119" s="225"/>
      <c r="MHO119" s="225"/>
      <c r="MHP119" s="225"/>
      <c r="MHQ119" s="225"/>
      <c r="MHR119" s="225"/>
      <c r="MHS119" s="225"/>
      <c r="MHT119" s="225"/>
      <c r="MHU119" s="225"/>
      <c r="MHV119" s="225"/>
      <c r="MHW119" s="225"/>
      <c r="MHX119" s="225"/>
      <c r="MHY119" s="225"/>
      <c r="MHZ119" s="225"/>
      <c r="MIA119" s="225"/>
      <c r="MIB119" s="225"/>
      <c r="MIC119" s="225"/>
      <c r="MID119" s="225"/>
      <c r="MIE119" s="225"/>
      <c r="MIF119" s="225"/>
      <c r="MIG119" s="225"/>
      <c r="MIH119" s="225"/>
      <c r="MII119" s="225"/>
      <c r="MIJ119" s="225"/>
      <c r="MIK119" s="225"/>
      <c r="MIL119" s="225"/>
      <c r="MIM119" s="225"/>
      <c r="MIN119" s="225"/>
      <c r="MIO119" s="225"/>
      <c r="MIP119" s="225"/>
      <c r="MIQ119" s="225"/>
      <c r="MIR119" s="225"/>
      <c r="MIS119" s="225"/>
      <c r="MIT119" s="225"/>
      <c r="MIU119" s="225"/>
      <c r="MIV119" s="225"/>
      <c r="MIW119" s="225"/>
      <c r="MIX119" s="225"/>
      <c r="MIY119" s="225"/>
      <c r="MIZ119" s="225"/>
      <c r="MJA119" s="225"/>
      <c r="MJB119" s="225"/>
      <c r="MJC119" s="225"/>
      <c r="MJD119" s="225"/>
      <c r="MJE119" s="225"/>
      <c r="MJF119" s="225"/>
      <c r="MJG119" s="225"/>
      <c r="MJH119" s="225"/>
      <c r="MJI119" s="225"/>
      <c r="MJJ119" s="225"/>
      <c r="MJK119" s="225"/>
      <c r="MJL119" s="225"/>
      <c r="MJM119" s="225"/>
      <c r="MJN119" s="225"/>
      <c r="MJO119" s="225"/>
      <c r="MJP119" s="225"/>
      <c r="MJQ119" s="225"/>
      <c r="MJR119" s="225"/>
      <c r="MJS119" s="225"/>
      <c r="MJT119" s="225"/>
      <c r="MJU119" s="225"/>
      <c r="MJV119" s="225"/>
      <c r="MJW119" s="225"/>
      <c r="MJX119" s="225"/>
      <c r="MJY119" s="225"/>
      <c r="MJZ119" s="225"/>
      <c r="MKA119" s="225"/>
      <c r="MKB119" s="225"/>
      <c r="MKC119" s="225"/>
      <c r="MKD119" s="225"/>
      <c r="MKE119" s="225"/>
      <c r="MKF119" s="225"/>
      <c r="MKG119" s="225"/>
      <c r="MKH119" s="225"/>
      <c r="MKI119" s="225"/>
      <c r="MKJ119" s="225"/>
      <c r="MKK119" s="225"/>
      <c r="MKL119" s="225"/>
      <c r="MKM119" s="225"/>
      <c r="MKN119" s="225"/>
      <c r="MKO119" s="225"/>
      <c r="MKP119" s="225"/>
      <c r="MKQ119" s="225"/>
      <c r="MKR119" s="225"/>
      <c r="MKS119" s="225"/>
      <c r="MKT119" s="225"/>
      <c r="MKU119" s="225"/>
      <c r="MKV119" s="225"/>
      <c r="MKW119" s="225"/>
      <c r="MKX119" s="225"/>
      <c r="MKY119" s="225"/>
      <c r="MKZ119" s="225"/>
      <c r="MLA119" s="225"/>
      <c r="MLB119" s="225"/>
      <c r="MLC119" s="225"/>
      <c r="MLD119" s="225"/>
      <c r="MLE119" s="225"/>
      <c r="MLF119" s="225"/>
      <c r="MLG119" s="225"/>
      <c r="MLH119" s="225"/>
      <c r="MLI119" s="225"/>
      <c r="MLJ119" s="225"/>
      <c r="MLK119" s="225"/>
      <c r="MLL119" s="225"/>
      <c r="MLM119" s="225"/>
      <c r="MLN119" s="225"/>
      <c r="MLO119" s="225"/>
      <c r="MLP119" s="225"/>
      <c r="MLQ119" s="225"/>
      <c r="MLR119" s="225"/>
      <c r="MLS119" s="225"/>
      <c r="MLT119" s="225"/>
      <c r="MLU119" s="225"/>
      <c r="MLV119" s="225"/>
      <c r="MLW119" s="225"/>
      <c r="MLX119" s="225"/>
      <c r="MLY119" s="225"/>
      <c r="MLZ119" s="225"/>
      <c r="MMA119" s="225"/>
      <c r="MMB119" s="225"/>
      <c r="MMC119" s="225"/>
      <c r="MMD119" s="225"/>
      <c r="MME119" s="225"/>
      <c r="MMF119" s="225"/>
      <c r="MMG119" s="225"/>
      <c r="MMH119" s="225"/>
      <c r="MMI119" s="225"/>
      <c r="MMJ119" s="225"/>
      <c r="MMK119" s="225"/>
      <c r="MML119" s="225"/>
      <c r="MMM119" s="225"/>
      <c r="MMN119" s="225"/>
      <c r="MMO119" s="225"/>
      <c r="MMP119" s="225"/>
      <c r="MMQ119" s="225"/>
      <c r="MMR119" s="225"/>
      <c r="MMS119" s="225"/>
      <c r="MMT119" s="225"/>
      <c r="MMU119" s="225"/>
      <c r="MMV119" s="225"/>
      <c r="MMW119" s="225"/>
      <c r="MMX119" s="225"/>
      <c r="MMY119" s="225"/>
      <c r="MMZ119" s="225"/>
      <c r="MNA119" s="225"/>
      <c r="MNB119" s="225"/>
      <c r="MNC119" s="225"/>
      <c r="MND119" s="225"/>
      <c r="MNE119" s="225"/>
      <c r="MNF119" s="225"/>
      <c r="MNG119" s="225"/>
      <c r="MNH119" s="225"/>
      <c r="MNI119" s="225"/>
      <c r="MNJ119" s="225"/>
      <c r="MNK119" s="225"/>
      <c r="MNL119" s="225"/>
      <c r="MNM119" s="225"/>
      <c r="MNN119" s="225"/>
      <c r="MNO119" s="225"/>
      <c r="MNP119" s="225"/>
      <c r="MNQ119" s="225"/>
      <c r="MNR119" s="225"/>
      <c r="MNS119" s="225"/>
      <c r="MNT119" s="225"/>
      <c r="MNU119" s="225"/>
      <c r="MNV119" s="225"/>
      <c r="MNW119" s="225"/>
      <c r="MNX119" s="225"/>
      <c r="MNY119" s="225"/>
      <c r="MNZ119" s="225"/>
      <c r="MOA119" s="225"/>
      <c r="MOB119" s="225"/>
      <c r="MOC119" s="225"/>
      <c r="MOD119" s="225"/>
      <c r="MOE119" s="225"/>
      <c r="MOF119" s="225"/>
      <c r="MOG119" s="225"/>
      <c r="MOH119" s="225"/>
      <c r="MOI119" s="225"/>
      <c r="MOJ119" s="225"/>
      <c r="MOK119" s="225"/>
      <c r="MOL119" s="225"/>
      <c r="MOM119" s="225"/>
      <c r="MON119" s="225"/>
      <c r="MOO119" s="225"/>
      <c r="MOP119" s="225"/>
      <c r="MOQ119" s="225"/>
      <c r="MOR119" s="225"/>
      <c r="MOS119" s="225"/>
      <c r="MOT119" s="225"/>
      <c r="MOU119" s="225"/>
      <c r="MOV119" s="225"/>
      <c r="MOW119" s="225"/>
      <c r="MOX119" s="225"/>
      <c r="MOY119" s="225"/>
      <c r="MOZ119" s="225"/>
      <c r="MPA119" s="225"/>
      <c r="MPB119" s="225"/>
      <c r="MPC119" s="225"/>
      <c r="MPD119" s="225"/>
      <c r="MPE119" s="225"/>
      <c r="MPF119" s="225"/>
      <c r="MPG119" s="225"/>
      <c r="MPH119" s="225"/>
      <c r="MPI119" s="225"/>
      <c r="MPJ119" s="225"/>
      <c r="MPK119" s="225"/>
      <c r="MPL119" s="225"/>
      <c r="MPM119" s="225"/>
      <c r="MPN119" s="225"/>
      <c r="MPO119" s="225"/>
      <c r="MPP119" s="225"/>
      <c r="MPQ119" s="225"/>
      <c r="MPR119" s="225"/>
      <c r="MPS119" s="225"/>
      <c r="MPT119" s="225"/>
      <c r="MPU119" s="225"/>
      <c r="MPV119" s="225"/>
      <c r="MPW119" s="225"/>
      <c r="MPX119" s="225"/>
      <c r="MPY119" s="225"/>
      <c r="MPZ119" s="225"/>
      <c r="MQA119" s="225"/>
      <c r="MQB119" s="225"/>
      <c r="MQC119" s="225"/>
      <c r="MQD119" s="225"/>
      <c r="MQE119" s="225"/>
      <c r="MQF119" s="225"/>
      <c r="MQG119" s="225"/>
      <c r="MQH119" s="225"/>
      <c r="MQI119" s="225"/>
      <c r="MQJ119" s="225"/>
      <c r="MQK119" s="225"/>
      <c r="MQL119" s="225"/>
      <c r="MQM119" s="225"/>
      <c r="MQN119" s="225"/>
      <c r="MQO119" s="225"/>
      <c r="MQP119" s="225"/>
      <c r="MQQ119" s="225"/>
      <c r="MQR119" s="225"/>
      <c r="MQS119" s="225"/>
      <c r="MQT119" s="225"/>
      <c r="MQU119" s="225"/>
      <c r="MQV119" s="225"/>
      <c r="MQW119" s="225"/>
      <c r="MQX119" s="225"/>
      <c r="MQY119" s="225"/>
      <c r="MQZ119" s="225"/>
      <c r="MRA119" s="225"/>
      <c r="MRB119" s="225"/>
      <c r="MRC119" s="225"/>
      <c r="MRD119" s="225"/>
      <c r="MRE119" s="225"/>
      <c r="MRF119" s="225"/>
      <c r="MRG119" s="225"/>
      <c r="MRH119" s="225"/>
      <c r="MRI119" s="225"/>
      <c r="MRJ119" s="225"/>
      <c r="MRK119" s="225"/>
      <c r="MRL119" s="225"/>
      <c r="MRM119" s="225"/>
      <c r="MRN119" s="225"/>
      <c r="MRO119" s="225"/>
      <c r="MRP119" s="225"/>
      <c r="MRQ119" s="225"/>
      <c r="MRR119" s="225"/>
      <c r="MRS119" s="225"/>
      <c r="MRT119" s="225"/>
      <c r="MRU119" s="225"/>
      <c r="MRV119" s="225"/>
      <c r="MRW119" s="225"/>
      <c r="MRX119" s="225"/>
      <c r="MRY119" s="225"/>
      <c r="MRZ119" s="225"/>
      <c r="MSA119" s="225"/>
      <c r="MSB119" s="225"/>
      <c r="MSC119" s="225"/>
      <c r="MSD119" s="225"/>
      <c r="MSE119" s="225"/>
      <c r="MSF119" s="225"/>
      <c r="MSG119" s="225"/>
      <c r="MSH119" s="225"/>
      <c r="MSI119" s="225"/>
      <c r="MSJ119" s="225"/>
      <c r="MSK119" s="225"/>
      <c r="MSL119" s="225"/>
      <c r="MSM119" s="225"/>
      <c r="MSN119" s="225"/>
      <c r="MSO119" s="225"/>
      <c r="MSP119" s="225"/>
      <c r="MSQ119" s="225"/>
      <c r="MSR119" s="225"/>
      <c r="MSS119" s="225"/>
      <c r="MST119" s="225"/>
      <c r="MSU119" s="225"/>
      <c r="MSV119" s="225"/>
      <c r="MSW119" s="225"/>
      <c r="MSX119" s="225"/>
      <c r="MSY119" s="225"/>
      <c r="MSZ119" s="225"/>
      <c r="MTA119" s="225"/>
      <c r="MTB119" s="225"/>
      <c r="MTC119" s="225"/>
      <c r="MTD119" s="225"/>
      <c r="MTE119" s="225"/>
      <c r="MTF119" s="225"/>
      <c r="MTG119" s="225"/>
      <c r="MTH119" s="225"/>
      <c r="MTI119" s="225"/>
      <c r="MTJ119" s="225"/>
      <c r="MTK119" s="225"/>
      <c r="MTL119" s="225"/>
      <c r="MTM119" s="225"/>
      <c r="MTN119" s="225"/>
      <c r="MTO119" s="225"/>
      <c r="MTP119" s="225"/>
      <c r="MTQ119" s="225"/>
      <c r="MTR119" s="225"/>
      <c r="MTS119" s="225"/>
      <c r="MTT119" s="225"/>
      <c r="MTU119" s="225"/>
      <c r="MTV119" s="225"/>
      <c r="MTW119" s="225"/>
      <c r="MTX119" s="225"/>
      <c r="MTY119" s="225"/>
      <c r="MTZ119" s="225"/>
      <c r="MUA119" s="225"/>
      <c r="MUB119" s="225"/>
      <c r="MUC119" s="225"/>
      <c r="MUD119" s="225"/>
      <c r="MUE119" s="225"/>
      <c r="MUF119" s="225"/>
      <c r="MUG119" s="225"/>
      <c r="MUH119" s="225"/>
      <c r="MUI119" s="225"/>
      <c r="MUJ119" s="225"/>
      <c r="MUK119" s="225"/>
      <c r="MUL119" s="225"/>
      <c r="MUM119" s="225"/>
      <c r="MUN119" s="225"/>
      <c r="MUO119" s="225"/>
      <c r="MUP119" s="225"/>
      <c r="MUQ119" s="225"/>
      <c r="MUR119" s="225"/>
      <c r="MUS119" s="225"/>
      <c r="MUT119" s="225"/>
      <c r="MUU119" s="225"/>
      <c r="MUV119" s="225"/>
      <c r="MUW119" s="225"/>
      <c r="MUX119" s="225"/>
      <c r="MUY119" s="225"/>
      <c r="MUZ119" s="225"/>
      <c r="MVA119" s="225"/>
      <c r="MVB119" s="225"/>
      <c r="MVC119" s="225"/>
      <c r="MVD119" s="225"/>
      <c r="MVE119" s="225"/>
      <c r="MVF119" s="225"/>
      <c r="MVG119" s="225"/>
      <c r="MVH119" s="225"/>
      <c r="MVI119" s="225"/>
      <c r="MVJ119" s="225"/>
      <c r="MVK119" s="225"/>
      <c r="MVL119" s="225"/>
      <c r="MVM119" s="225"/>
      <c r="MVN119" s="225"/>
      <c r="MVO119" s="225"/>
      <c r="MVP119" s="225"/>
      <c r="MVQ119" s="225"/>
      <c r="MVR119" s="225"/>
      <c r="MVS119" s="225"/>
      <c r="MVT119" s="225"/>
      <c r="MVU119" s="225"/>
      <c r="MVV119" s="225"/>
      <c r="MVW119" s="225"/>
      <c r="MVX119" s="225"/>
      <c r="MVY119" s="225"/>
      <c r="MVZ119" s="225"/>
      <c r="MWA119" s="225"/>
      <c r="MWB119" s="225"/>
      <c r="MWC119" s="225"/>
      <c r="MWD119" s="225"/>
      <c r="MWE119" s="225"/>
      <c r="MWF119" s="225"/>
      <c r="MWG119" s="225"/>
      <c r="MWH119" s="225"/>
      <c r="MWI119" s="225"/>
      <c r="MWJ119" s="225"/>
      <c r="MWK119" s="225"/>
      <c r="MWL119" s="225"/>
      <c r="MWM119" s="225"/>
      <c r="MWN119" s="225"/>
      <c r="MWO119" s="225"/>
      <c r="MWP119" s="225"/>
      <c r="MWQ119" s="225"/>
      <c r="MWR119" s="225"/>
      <c r="MWS119" s="225"/>
      <c r="MWT119" s="225"/>
      <c r="MWU119" s="225"/>
      <c r="MWV119" s="225"/>
      <c r="MWW119" s="225"/>
      <c r="MWX119" s="225"/>
      <c r="MWY119" s="225"/>
      <c r="MWZ119" s="225"/>
      <c r="MXA119" s="225"/>
      <c r="MXB119" s="225"/>
      <c r="MXC119" s="225"/>
      <c r="MXD119" s="225"/>
      <c r="MXE119" s="225"/>
      <c r="MXF119" s="225"/>
      <c r="MXG119" s="225"/>
      <c r="MXH119" s="225"/>
      <c r="MXI119" s="225"/>
      <c r="MXJ119" s="225"/>
      <c r="MXK119" s="225"/>
      <c r="MXL119" s="225"/>
      <c r="MXM119" s="225"/>
      <c r="MXN119" s="225"/>
      <c r="MXO119" s="225"/>
      <c r="MXP119" s="225"/>
      <c r="MXQ119" s="225"/>
      <c r="MXR119" s="225"/>
      <c r="MXS119" s="225"/>
      <c r="MXT119" s="225"/>
      <c r="MXU119" s="225"/>
      <c r="MXV119" s="225"/>
      <c r="MXW119" s="225"/>
      <c r="MXX119" s="225"/>
      <c r="MXY119" s="225"/>
      <c r="MXZ119" s="225"/>
      <c r="MYA119" s="225"/>
      <c r="MYB119" s="225"/>
      <c r="MYC119" s="225"/>
      <c r="MYD119" s="225"/>
      <c r="MYE119" s="225"/>
      <c r="MYF119" s="225"/>
      <c r="MYG119" s="225"/>
      <c r="MYH119" s="225"/>
      <c r="MYI119" s="225"/>
      <c r="MYJ119" s="225"/>
      <c r="MYK119" s="225"/>
      <c r="MYL119" s="225"/>
      <c r="MYM119" s="225"/>
      <c r="MYN119" s="225"/>
      <c r="MYO119" s="225"/>
      <c r="MYP119" s="225"/>
      <c r="MYQ119" s="225"/>
      <c r="MYR119" s="225"/>
      <c r="MYS119" s="225"/>
      <c r="MYT119" s="225"/>
      <c r="MYU119" s="225"/>
      <c r="MYV119" s="225"/>
      <c r="MYW119" s="225"/>
      <c r="MYX119" s="225"/>
      <c r="MYY119" s="225"/>
      <c r="MYZ119" s="225"/>
      <c r="MZA119" s="225"/>
      <c r="MZB119" s="225"/>
      <c r="MZC119" s="225"/>
      <c r="MZD119" s="225"/>
      <c r="MZE119" s="225"/>
      <c r="MZF119" s="225"/>
      <c r="MZG119" s="225"/>
      <c r="MZH119" s="225"/>
      <c r="MZI119" s="225"/>
      <c r="MZJ119" s="225"/>
      <c r="MZK119" s="225"/>
      <c r="MZL119" s="225"/>
      <c r="MZM119" s="225"/>
      <c r="MZN119" s="225"/>
      <c r="MZO119" s="225"/>
      <c r="MZP119" s="225"/>
      <c r="MZQ119" s="225"/>
      <c r="MZR119" s="225"/>
      <c r="MZS119" s="225"/>
      <c r="MZT119" s="225"/>
      <c r="MZU119" s="225"/>
      <c r="MZV119" s="225"/>
      <c r="MZW119" s="225"/>
      <c r="MZX119" s="225"/>
      <c r="MZY119" s="225"/>
      <c r="MZZ119" s="225"/>
      <c r="NAA119" s="225"/>
      <c r="NAB119" s="225"/>
      <c r="NAC119" s="225"/>
      <c r="NAD119" s="225"/>
      <c r="NAE119" s="225"/>
      <c r="NAF119" s="225"/>
      <c r="NAG119" s="225"/>
      <c r="NAH119" s="225"/>
      <c r="NAI119" s="225"/>
      <c r="NAJ119" s="225"/>
      <c r="NAK119" s="225"/>
      <c r="NAL119" s="225"/>
      <c r="NAM119" s="225"/>
      <c r="NAN119" s="225"/>
      <c r="NAO119" s="225"/>
      <c r="NAP119" s="225"/>
      <c r="NAQ119" s="225"/>
      <c r="NAR119" s="225"/>
      <c r="NAS119" s="225"/>
      <c r="NAT119" s="225"/>
      <c r="NAU119" s="225"/>
      <c r="NAV119" s="225"/>
      <c r="NAW119" s="225"/>
      <c r="NAX119" s="225"/>
      <c r="NAY119" s="225"/>
      <c r="NAZ119" s="225"/>
      <c r="NBA119" s="225"/>
      <c r="NBB119" s="225"/>
      <c r="NBC119" s="225"/>
      <c r="NBD119" s="225"/>
      <c r="NBE119" s="225"/>
      <c r="NBF119" s="225"/>
      <c r="NBG119" s="225"/>
      <c r="NBH119" s="225"/>
      <c r="NBI119" s="225"/>
      <c r="NBJ119" s="225"/>
      <c r="NBK119" s="225"/>
      <c r="NBL119" s="225"/>
      <c r="NBM119" s="225"/>
      <c r="NBN119" s="225"/>
      <c r="NBO119" s="225"/>
      <c r="NBP119" s="225"/>
      <c r="NBQ119" s="225"/>
      <c r="NBR119" s="225"/>
      <c r="NBS119" s="225"/>
      <c r="NBT119" s="225"/>
      <c r="NBU119" s="225"/>
      <c r="NBV119" s="225"/>
      <c r="NBW119" s="225"/>
      <c r="NBX119" s="225"/>
      <c r="NBY119" s="225"/>
      <c r="NBZ119" s="225"/>
      <c r="NCA119" s="225"/>
      <c r="NCB119" s="225"/>
      <c r="NCC119" s="225"/>
      <c r="NCD119" s="225"/>
      <c r="NCE119" s="225"/>
      <c r="NCF119" s="225"/>
      <c r="NCG119" s="225"/>
      <c r="NCH119" s="225"/>
      <c r="NCI119" s="225"/>
      <c r="NCJ119" s="225"/>
      <c r="NCK119" s="225"/>
      <c r="NCL119" s="225"/>
      <c r="NCM119" s="225"/>
      <c r="NCN119" s="225"/>
      <c r="NCO119" s="225"/>
      <c r="NCP119" s="225"/>
      <c r="NCQ119" s="225"/>
      <c r="NCR119" s="225"/>
      <c r="NCS119" s="225"/>
      <c r="NCT119" s="225"/>
      <c r="NCU119" s="225"/>
      <c r="NCV119" s="225"/>
      <c r="NCW119" s="225"/>
      <c r="NCX119" s="225"/>
      <c r="NCY119" s="225"/>
      <c r="NCZ119" s="225"/>
      <c r="NDA119" s="225"/>
      <c r="NDB119" s="225"/>
      <c r="NDC119" s="225"/>
      <c r="NDD119" s="225"/>
      <c r="NDE119" s="225"/>
      <c r="NDF119" s="225"/>
      <c r="NDG119" s="225"/>
      <c r="NDH119" s="225"/>
      <c r="NDI119" s="225"/>
      <c r="NDJ119" s="225"/>
      <c r="NDK119" s="225"/>
      <c r="NDL119" s="225"/>
      <c r="NDM119" s="225"/>
      <c r="NDN119" s="225"/>
      <c r="NDO119" s="225"/>
      <c r="NDP119" s="225"/>
      <c r="NDQ119" s="225"/>
      <c r="NDR119" s="225"/>
      <c r="NDS119" s="225"/>
      <c r="NDT119" s="225"/>
      <c r="NDU119" s="225"/>
      <c r="NDV119" s="225"/>
      <c r="NDW119" s="225"/>
      <c r="NDX119" s="225"/>
      <c r="NDY119" s="225"/>
      <c r="NDZ119" s="225"/>
      <c r="NEA119" s="225"/>
      <c r="NEB119" s="225"/>
      <c r="NEC119" s="225"/>
      <c r="NED119" s="225"/>
      <c r="NEE119" s="225"/>
      <c r="NEF119" s="225"/>
      <c r="NEG119" s="225"/>
      <c r="NEH119" s="225"/>
      <c r="NEI119" s="225"/>
      <c r="NEJ119" s="225"/>
      <c r="NEK119" s="225"/>
      <c r="NEL119" s="225"/>
      <c r="NEM119" s="225"/>
      <c r="NEN119" s="225"/>
      <c r="NEO119" s="225"/>
      <c r="NEP119" s="225"/>
      <c r="NEQ119" s="225"/>
      <c r="NER119" s="225"/>
      <c r="NES119" s="225"/>
      <c r="NET119" s="225"/>
      <c r="NEU119" s="225"/>
      <c r="NEV119" s="225"/>
      <c r="NEW119" s="225"/>
      <c r="NEX119" s="225"/>
      <c r="NEY119" s="225"/>
      <c r="NEZ119" s="225"/>
      <c r="NFA119" s="225"/>
      <c r="NFB119" s="225"/>
      <c r="NFC119" s="225"/>
      <c r="NFD119" s="225"/>
      <c r="NFE119" s="225"/>
      <c r="NFF119" s="225"/>
      <c r="NFG119" s="225"/>
      <c r="NFH119" s="225"/>
      <c r="NFI119" s="225"/>
      <c r="NFJ119" s="225"/>
      <c r="NFK119" s="225"/>
      <c r="NFL119" s="225"/>
      <c r="NFM119" s="225"/>
      <c r="NFN119" s="225"/>
      <c r="NFO119" s="225"/>
      <c r="NFP119" s="225"/>
      <c r="NFQ119" s="225"/>
      <c r="NFR119" s="225"/>
      <c r="NFS119" s="225"/>
      <c r="NFT119" s="225"/>
      <c r="NFU119" s="225"/>
      <c r="NFV119" s="225"/>
      <c r="NFW119" s="225"/>
      <c r="NFX119" s="225"/>
      <c r="NFY119" s="225"/>
      <c r="NFZ119" s="225"/>
      <c r="NGA119" s="225"/>
      <c r="NGB119" s="225"/>
      <c r="NGC119" s="225"/>
      <c r="NGD119" s="225"/>
      <c r="NGE119" s="225"/>
      <c r="NGF119" s="225"/>
      <c r="NGG119" s="225"/>
      <c r="NGH119" s="225"/>
      <c r="NGI119" s="225"/>
      <c r="NGJ119" s="225"/>
      <c r="NGK119" s="225"/>
      <c r="NGL119" s="225"/>
      <c r="NGM119" s="225"/>
      <c r="NGN119" s="225"/>
      <c r="NGO119" s="225"/>
      <c r="NGP119" s="225"/>
      <c r="NGQ119" s="225"/>
      <c r="NGR119" s="225"/>
      <c r="NGS119" s="225"/>
      <c r="NGT119" s="225"/>
      <c r="NGU119" s="225"/>
      <c r="NGV119" s="225"/>
      <c r="NGW119" s="225"/>
      <c r="NGX119" s="225"/>
      <c r="NGY119" s="225"/>
      <c r="NGZ119" s="225"/>
      <c r="NHA119" s="225"/>
      <c r="NHB119" s="225"/>
      <c r="NHC119" s="225"/>
      <c r="NHD119" s="225"/>
      <c r="NHE119" s="225"/>
      <c r="NHF119" s="225"/>
      <c r="NHG119" s="225"/>
      <c r="NHH119" s="225"/>
      <c r="NHI119" s="225"/>
      <c r="NHJ119" s="225"/>
      <c r="NHK119" s="225"/>
      <c r="NHL119" s="225"/>
      <c r="NHM119" s="225"/>
      <c r="NHN119" s="225"/>
      <c r="NHO119" s="225"/>
      <c r="NHP119" s="225"/>
      <c r="NHQ119" s="225"/>
      <c r="NHR119" s="225"/>
      <c r="NHS119" s="225"/>
      <c r="NHT119" s="225"/>
      <c r="NHU119" s="225"/>
      <c r="NHV119" s="225"/>
      <c r="NHW119" s="225"/>
      <c r="NHX119" s="225"/>
      <c r="NHY119" s="225"/>
      <c r="NHZ119" s="225"/>
      <c r="NIA119" s="225"/>
      <c r="NIB119" s="225"/>
      <c r="NIC119" s="225"/>
      <c r="NID119" s="225"/>
      <c r="NIE119" s="225"/>
      <c r="NIF119" s="225"/>
      <c r="NIG119" s="225"/>
      <c r="NIH119" s="225"/>
      <c r="NII119" s="225"/>
      <c r="NIJ119" s="225"/>
      <c r="NIK119" s="225"/>
      <c r="NIL119" s="225"/>
      <c r="NIM119" s="225"/>
      <c r="NIN119" s="225"/>
      <c r="NIO119" s="225"/>
      <c r="NIP119" s="225"/>
      <c r="NIQ119" s="225"/>
      <c r="NIR119" s="225"/>
      <c r="NIS119" s="225"/>
      <c r="NIT119" s="225"/>
      <c r="NIU119" s="225"/>
      <c r="NIV119" s="225"/>
      <c r="NIW119" s="225"/>
      <c r="NIX119" s="225"/>
      <c r="NIY119" s="225"/>
      <c r="NIZ119" s="225"/>
      <c r="NJA119" s="225"/>
      <c r="NJB119" s="225"/>
      <c r="NJC119" s="225"/>
      <c r="NJD119" s="225"/>
      <c r="NJE119" s="225"/>
      <c r="NJF119" s="225"/>
      <c r="NJG119" s="225"/>
      <c r="NJH119" s="225"/>
      <c r="NJI119" s="225"/>
      <c r="NJJ119" s="225"/>
      <c r="NJK119" s="225"/>
      <c r="NJL119" s="225"/>
      <c r="NJM119" s="225"/>
      <c r="NJN119" s="225"/>
      <c r="NJO119" s="225"/>
      <c r="NJP119" s="225"/>
      <c r="NJQ119" s="225"/>
      <c r="NJR119" s="225"/>
      <c r="NJS119" s="225"/>
      <c r="NJT119" s="225"/>
      <c r="NJU119" s="225"/>
      <c r="NJV119" s="225"/>
      <c r="NJW119" s="225"/>
      <c r="NJX119" s="225"/>
      <c r="NJY119" s="225"/>
      <c r="NJZ119" s="225"/>
      <c r="NKA119" s="225"/>
      <c r="NKB119" s="225"/>
      <c r="NKC119" s="225"/>
      <c r="NKD119" s="225"/>
      <c r="NKE119" s="225"/>
      <c r="NKF119" s="225"/>
      <c r="NKG119" s="225"/>
      <c r="NKH119" s="225"/>
      <c r="NKI119" s="225"/>
      <c r="NKJ119" s="225"/>
      <c r="NKK119" s="225"/>
      <c r="NKL119" s="225"/>
      <c r="NKM119" s="225"/>
      <c r="NKN119" s="225"/>
      <c r="NKO119" s="225"/>
      <c r="NKP119" s="225"/>
      <c r="NKQ119" s="225"/>
      <c r="NKR119" s="225"/>
      <c r="NKS119" s="225"/>
      <c r="NKT119" s="225"/>
      <c r="NKU119" s="225"/>
      <c r="NKV119" s="225"/>
      <c r="NKW119" s="225"/>
      <c r="NKX119" s="225"/>
      <c r="NKY119" s="225"/>
      <c r="NKZ119" s="225"/>
      <c r="NLA119" s="225"/>
      <c r="NLB119" s="225"/>
      <c r="NLC119" s="225"/>
      <c r="NLD119" s="225"/>
      <c r="NLE119" s="225"/>
      <c r="NLF119" s="225"/>
      <c r="NLG119" s="225"/>
      <c r="NLH119" s="225"/>
      <c r="NLI119" s="225"/>
      <c r="NLJ119" s="225"/>
      <c r="NLK119" s="225"/>
      <c r="NLL119" s="225"/>
      <c r="NLM119" s="225"/>
      <c r="NLN119" s="225"/>
      <c r="NLO119" s="225"/>
      <c r="NLP119" s="225"/>
      <c r="NLQ119" s="225"/>
      <c r="NLR119" s="225"/>
      <c r="NLS119" s="225"/>
      <c r="NLT119" s="225"/>
      <c r="NLU119" s="225"/>
      <c r="NLV119" s="225"/>
      <c r="NLW119" s="225"/>
      <c r="NLX119" s="225"/>
      <c r="NLY119" s="225"/>
      <c r="NLZ119" s="225"/>
      <c r="NMA119" s="225"/>
      <c r="NMB119" s="225"/>
      <c r="NMC119" s="225"/>
      <c r="NMD119" s="225"/>
      <c r="NME119" s="225"/>
      <c r="NMF119" s="225"/>
      <c r="NMG119" s="225"/>
      <c r="NMH119" s="225"/>
      <c r="NMI119" s="225"/>
      <c r="NMJ119" s="225"/>
      <c r="NMK119" s="225"/>
      <c r="NML119" s="225"/>
      <c r="NMM119" s="225"/>
      <c r="NMN119" s="225"/>
      <c r="NMO119" s="225"/>
      <c r="NMP119" s="225"/>
      <c r="NMQ119" s="225"/>
      <c r="NMR119" s="225"/>
      <c r="NMS119" s="225"/>
      <c r="NMT119" s="225"/>
      <c r="NMU119" s="225"/>
      <c r="NMV119" s="225"/>
      <c r="NMW119" s="225"/>
      <c r="NMX119" s="225"/>
      <c r="NMY119" s="225"/>
      <c r="NMZ119" s="225"/>
      <c r="NNA119" s="225"/>
      <c r="NNB119" s="225"/>
      <c r="NNC119" s="225"/>
      <c r="NND119" s="225"/>
      <c r="NNE119" s="225"/>
      <c r="NNF119" s="225"/>
      <c r="NNG119" s="225"/>
      <c r="NNH119" s="225"/>
      <c r="NNI119" s="225"/>
      <c r="NNJ119" s="225"/>
      <c r="NNK119" s="225"/>
      <c r="NNL119" s="225"/>
      <c r="NNM119" s="225"/>
      <c r="NNN119" s="225"/>
      <c r="NNO119" s="225"/>
      <c r="NNP119" s="225"/>
      <c r="NNQ119" s="225"/>
      <c r="NNR119" s="225"/>
      <c r="NNS119" s="225"/>
      <c r="NNT119" s="225"/>
      <c r="NNU119" s="225"/>
      <c r="NNV119" s="225"/>
      <c r="NNW119" s="225"/>
      <c r="NNX119" s="225"/>
      <c r="NNY119" s="225"/>
      <c r="NNZ119" s="225"/>
      <c r="NOA119" s="225"/>
      <c r="NOB119" s="225"/>
      <c r="NOC119" s="225"/>
      <c r="NOD119" s="225"/>
      <c r="NOE119" s="225"/>
      <c r="NOF119" s="225"/>
      <c r="NOG119" s="225"/>
      <c r="NOH119" s="225"/>
      <c r="NOI119" s="225"/>
      <c r="NOJ119" s="225"/>
      <c r="NOK119" s="225"/>
      <c r="NOL119" s="225"/>
      <c r="NOM119" s="225"/>
      <c r="NON119" s="225"/>
      <c r="NOO119" s="225"/>
      <c r="NOP119" s="225"/>
      <c r="NOQ119" s="225"/>
      <c r="NOR119" s="225"/>
      <c r="NOS119" s="225"/>
      <c r="NOT119" s="225"/>
      <c r="NOU119" s="225"/>
      <c r="NOV119" s="225"/>
      <c r="NOW119" s="225"/>
      <c r="NOX119" s="225"/>
      <c r="NOY119" s="225"/>
      <c r="NOZ119" s="225"/>
      <c r="NPA119" s="225"/>
      <c r="NPB119" s="225"/>
      <c r="NPC119" s="225"/>
      <c r="NPD119" s="225"/>
      <c r="NPE119" s="225"/>
      <c r="NPF119" s="225"/>
      <c r="NPG119" s="225"/>
      <c r="NPH119" s="225"/>
      <c r="NPI119" s="225"/>
      <c r="NPJ119" s="225"/>
      <c r="NPK119" s="225"/>
      <c r="NPL119" s="225"/>
      <c r="NPM119" s="225"/>
      <c r="NPN119" s="225"/>
      <c r="NPO119" s="225"/>
      <c r="NPP119" s="225"/>
      <c r="NPQ119" s="225"/>
      <c r="NPR119" s="225"/>
      <c r="NPS119" s="225"/>
      <c r="NPT119" s="225"/>
      <c r="NPU119" s="225"/>
      <c r="NPV119" s="225"/>
      <c r="NPW119" s="225"/>
      <c r="NPX119" s="225"/>
      <c r="NPY119" s="225"/>
      <c r="NPZ119" s="225"/>
      <c r="NQA119" s="225"/>
      <c r="NQB119" s="225"/>
      <c r="NQC119" s="225"/>
      <c r="NQD119" s="225"/>
      <c r="NQE119" s="225"/>
      <c r="NQF119" s="225"/>
      <c r="NQG119" s="225"/>
      <c r="NQH119" s="225"/>
      <c r="NQI119" s="225"/>
      <c r="NQJ119" s="225"/>
      <c r="NQK119" s="225"/>
      <c r="NQL119" s="225"/>
      <c r="NQM119" s="225"/>
      <c r="NQN119" s="225"/>
      <c r="NQO119" s="225"/>
      <c r="NQP119" s="225"/>
      <c r="NQQ119" s="225"/>
      <c r="NQR119" s="225"/>
      <c r="NQS119" s="225"/>
      <c r="NQT119" s="225"/>
      <c r="NQU119" s="225"/>
      <c r="NQV119" s="225"/>
      <c r="NQW119" s="225"/>
      <c r="NQX119" s="225"/>
      <c r="NQY119" s="225"/>
      <c r="NQZ119" s="225"/>
      <c r="NRA119" s="225"/>
      <c r="NRB119" s="225"/>
      <c r="NRC119" s="225"/>
      <c r="NRD119" s="225"/>
      <c r="NRE119" s="225"/>
      <c r="NRF119" s="225"/>
      <c r="NRG119" s="225"/>
      <c r="NRH119" s="225"/>
      <c r="NRI119" s="225"/>
      <c r="NRJ119" s="225"/>
      <c r="NRK119" s="225"/>
      <c r="NRL119" s="225"/>
      <c r="NRM119" s="225"/>
      <c r="NRN119" s="225"/>
      <c r="NRO119" s="225"/>
      <c r="NRP119" s="225"/>
      <c r="NRQ119" s="225"/>
      <c r="NRR119" s="225"/>
      <c r="NRS119" s="225"/>
      <c r="NRT119" s="225"/>
      <c r="NRU119" s="225"/>
      <c r="NRV119" s="225"/>
      <c r="NRW119" s="225"/>
      <c r="NRX119" s="225"/>
      <c r="NRY119" s="225"/>
      <c r="NRZ119" s="225"/>
      <c r="NSA119" s="225"/>
      <c r="NSB119" s="225"/>
      <c r="NSC119" s="225"/>
      <c r="NSD119" s="225"/>
      <c r="NSE119" s="225"/>
      <c r="NSF119" s="225"/>
      <c r="NSG119" s="225"/>
      <c r="NSH119" s="225"/>
      <c r="NSI119" s="225"/>
      <c r="NSJ119" s="225"/>
      <c r="NSK119" s="225"/>
      <c r="NSL119" s="225"/>
      <c r="NSM119" s="225"/>
      <c r="NSN119" s="225"/>
      <c r="NSO119" s="225"/>
      <c r="NSP119" s="225"/>
      <c r="NSQ119" s="225"/>
      <c r="NSR119" s="225"/>
      <c r="NSS119" s="225"/>
      <c r="NST119" s="225"/>
      <c r="NSU119" s="225"/>
      <c r="NSV119" s="225"/>
      <c r="NSW119" s="225"/>
      <c r="NSX119" s="225"/>
      <c r="NSY119" s="225"/>
      <c r="NSZ119" s="225"/>
      <c r="NTA119" s="225"/>
      <c r="NTB119" s="225"/>
      <c r="NTC119" s="225"/>
      <c r="NTD119" s="225"/>
      <c r="NTE119" s="225"/>
      <c r="NTF119" s="225"/>
      <c r="NTG119" s="225"/>
      <c r="NTH119" s="225"/>
      <c r="NTI119" s="225"/>
      <c r="NTJ119" s="225"/>
      <c r="NTK119" s="225"/>
      <c r="NTL119" s="225"/>
      <c r="NTM119" s="225"/>
      <c r="NTN119" s="225"/>
      <c r="NTO119" s="225"/>
      <c r="NTP119" s="225"/>
      <c r="NTQ119" s="225"/>
      <c r="NTR119" s="225"/>
      <c r="NTS119" s="225"/>
      <c r="NTT119" s="225"/>
      <c r="NTU119" s="225"/>
      <c r="NTV119" s="225"/>
      <c r="NTW119" s="225"/>
      <c r="NTX119" s="225"/>
      <c r="NTY119" s="225"/>
      <c r="NTZ119" s="225"/>
      <c r="NUA119" s="225"/>
      <c r="NUB119" s="225"/>
      <c r="NUC119" s="225"/>
      <c r="NUD119" s="225"/>
      <c r="NUE119" s="225"/>
      <c r="NUF119" s="225"/>
      <c r="NUG119" s="225"/>
      <c r="NUH119" s="225"/>
      <c r="NUI119" s="225"/>
      <c r="NUJ119" s="225"/>
      <c r="NUK119" s="225"/>
      <c r="NUL119" s="225"/>
      <c r="NUM119" s="225"/>
      <c r="NUN119" s="225"/>
      <c r="NUO119" s="225"/>
      <c r="NUP119" s="225"/>
      <c r="NUQ119" s="225"/>
      <c r="NUR119" s="225"/>
      <c r="NUS119" s="225"/>
      <c r="NUT119" s="225"/>
      <c r="NUU119" s="225"/>
      <c r="NUV119" s="225"/>
      <c r="NUW119" s="225"/>
      <c r="NUX119" s="225"/>
      <c r="NUY119" s="225"/>
      <c r="NUZ119" s="225"/>
      <c r="NVA119" s="225"/>
      <c r="NVB119" s="225"/>
      <c r="NVC119" s="225"/>
      <c r="NVD119" s="225"/>
      <c r="NVE119" s="225"/>
      <c r="NVF119" s="225"/>
      <c r="NVG119" s="225"/>
      <c r="NVH119" s="225"/>
      <c r="NVI119" s="225"/>
      <c r="NVJ119" s="225"/>
      <c r="NVK119" s="225"/>
      <c r="NVL119" s="225"/>
      <c r="NVM119" s="225"/>
      <c r="NVN119" s="225"/>
      <c r="NVO119" s="225"/>
      <c r="NVP119" s="225"/>
      <c r="NVQ119" s="225"/>
      <c r="NVR119" s="225"/>
      <c r="NVS119" s="225"/>
      <c r="NVT119" s="225"/>
      <c r="NVU119" s="225"/>
      <c r="NVV119" s="225"/>
      <c r="NVW119" s="225"/>
      <c r="NVX119" s="225"/>
      <c r="NVY119" s="225"/>
      <c r="NVZ119" s="225"/>
      <c r="NWA119" s="225"/>
      <c r="NWB119" s="225"/>
      <c r="NWC119" s="225"/>
      <c r="NWD119" s="225"/>
      <c r="NWE119" s="225"/>
      <c r="NWF119" s="225"/>
      <c r="NWG119" s="225"/>
      <c r="NWH119" s="225"/>
      <c r="NWI119" s="225"/>
      <c r="NWJ119" s="225"/>
      <c r="NWK119" s="225"/>
      <c r="NWL119" s="225"/>
      <c r="NWM119" s="225"/>
      <c r="NWN119" s="225"/>
      <c r="NWO119" s="225"/>
      <c r="NWP119" s="225"/>
      <c r="NWQ119" s="225"/>
      <c r="NWR119" s="225"/>
      <c r="NWS119" s="225"/>
      <c r="NWT119" s="225"/>
      <c r="NWU119" s="225"/>
      <c r="NWV119" s="225"/>
      <c r="NWW119" s="225"/>
      <c r="NWX119" s="225"/>
      <c r="NWY119" s="225"/>
      <c r="NWZ119" s="225"/>
      <c r="NXA119" s="225"/>
      <c r="NXB119" s="225"/>
      <c r="NXC119" s="225"/>
      <c r="NXD119" s="225"/>
      <c r="NXE119" s="225"/>
      <c r="NXF119" s="225"/>
      <c r="NXG119" s="225"/>
      <c r="NXH119" s="225"/>
      <c r="NXI119" s="225"/>
      <c r="NXJ119" s="225"/>
      <c r="NXK119" s="225"/>
      <c r="NXL119" s="225"/>
      <c r="NXM119" s="225"/>
      <c r="NXN119" s="225"/>
      <c r="NXO119" s="225"/>
      <c r="NXP119" s="225"/>
      <c r="NXQ119" s="225"/>
      <c r="NXR119" s="225"/>
      <c r="NXS119" s="225"/>
      <c r="NXT119" s="225"/>
      <c r="NXU119" s="225"/>
      <c r="NXV119" s="225"/>
      <c r="NXW119" s="225"/>
      <c r="NXX119" s="225"/>
      <c r="NXY119" s="225"/>
      <c r="NXZ119" s="225"/>
      <c r="NYA119" s="225"/>
      <c r="NYB119" s="225"/>
      <c r="NYC119" s="225"/>
      <c r="NYD119" s="225"/>
      <c r="NYE119" s="225"/>
      <c r="NYF119" s="225"/>
      <c r="NYG119" s="225"/>
      <c r="NYH119" s="225"/>
      <c r="NYI119" s="225"/>
      <c r="NYJ119" s="225"/>
      <c r="NYK119" s="225"/>
      <c r="NYL119" s="225"/>
      <c r="NYM119" s="225"/>
      <c r="NYN119" s="225"/>
      <c r="NYO119" s="225"/>
      <c r="NYP119" s="225"/>
      <c r="NYQ119" s="225"/>
      <c r="NYR119" s="225"/>
      <c r="NYS119" s="225"/>
      <c r="NYT119" s="225"/>
      <c r="NYU119" s="225"/>
      <c r="NYV119" s="225"/>
      <c r="NYW119" s="225"/>
      <c r="NYX119" s="225"/>
      <c r="NYY119" s="225"/>
      <c r="NYZ119" s="225"/>
      <c r="NZA119" s="225"/>
      <c r="NZB119" s="225"/>
      <c r="NZC119" s="225"/>
      <c r="NZD119" s="225"/>
      <c r="NZE119" s="225"/>
      <c r="NZF119" s="225"/>
      <c r="NZG119" s="225"/>
      <c r="NZH119" s="225"/>
      <c r="NZI119" s="225"/>
      <c r="NZJ119" s="225"/>
      <c r="NZK119" s="225"/>
      <c r="NZL119" s="225"/>
      <c r="NZM119" s="225"/>
      <c r="NZN119" s="225"/>
      <c r="NZO119" s="225"/>
      <c r="NZP119" s="225"/>
      <c r="NZQ119" s="225"/>
      <c r="NZR119" s="225"/>
      <c r="NZS119" s="225"/>
      <c r="NZT119" s="225"/>
      <c r="NZU119" s="225"/>
      <c r="NZV119" s="225"/>
      <c r="NZW119" s="225"/>
      <c r="NZX119" s="225"/>
      <c r="NZY119" s="225"/>
      <c r="NZZ119" s="225"/>
      <c r="OAA119" s="225"/>
      <c r="OAB119" s="225"/>
      <c r="OAC119" s="225"/>
      <c r="OAD119" s="225"/>
      <c r="OAE119" s="225"/>
      <c r="OAF119" s="225"/>
      <c r="OAG119" s="225"/>
      <c r="OAH119" s="225"/>
      <c r="OAI119" s="225"/>
      <c r="OAJ119" s="225"/>
      <c r="OAK119" s="225"/>
      <c r="OAL119" s="225"/>
      <c r="OAM119" s="225"/>
      <c r="OAN119" s="225"/>
      <c r="OAO119" s="225"/>
      <c r="OAP119" s="225"/>
      <c r="OAQ119" s="225"/>
      <c r="OAR119" s="225"/>
      <c r="OAS119" s="225"/>
      <c r="OAT119" s="225"/>
      <c r="OAU119" s="225"/>
      <c r="OAV119" s="225"/>
      <c r="OAW119" s="225"/>
      <c r="OAX119" s="225"/>
      <c r="OAY119" s="225"/>
      <c r="OAZ119" s="225"/>
      <c r="OBA119" s="225"/>
      <c r="OBB119" s="225"/>
      <c r="OBC119" s="225"/>
      <c r="OBD119" s="225"/>
      <c r="OBE119" s="225"/>
      <c r="OBF119" s="225"/>
      <c r="OBG119" s="225"/>
      <c r="OBH119" s="225"/>
      <c r="OBI119" s="225"/>
      <c r="OBJ119" s="225"/>
      <c r="OBK119" s="225"/>
      <c r="OBL119" s="225"/>
      <c r="OBM119" s="225"/>
      <c r="OBN119" s="225"/>
      <c r="OBO119" s="225"/>
      <c r="OBP119" s="225"/>
      <c r="OBQ119" s="225"/>
      <c r="OBR119" s="225"/>
      <c r="OBS119" s="225"/>
      <c r="OBT119" s="225"/>
      <c r="OBU119" s="225"/>
      <c r="OBV119" s="225"/>
      <c r="OBW119" s="225"/>
      <c r="OBX119" s="225"/>
      <c r="OBY119" s="225"/>
      <c r="OBZ119" s="225"/>
      <c r="OCA119" s="225"/>
      <c r="OCB119" s="225"/>
      <c r="OCC119" s="225"/>
      <c r="OCD119" s="225"/>
      <c r="OCE119" s="225"/>
      <c r="OCF119" s="225"/>
      <c r="OCG119" s="225"/>
      <c r="OCH119" s="225"/>
      <c r="OCI119" s="225"/>
      <c r="OCJ119" s="225"/>
      <c r="OCK119" s="225"/>
      <c r="OCL119" s="225"/>
      <c r="OCM119" s="225"/>
      <c r="OCN119" s="225"/>
      <c r="OCO119" s="225"/>
      <c r="OCP119" s="225"/>
      <c r="OCQ119" s="225"/>
      <c r="OCR119" s="225"/>
      <c r="OCS119" s="225"/>
      <c r="OCT119" s="225"/>
      <c r="OCU119" s="225"/>
      <c r="OCV119" s="225"/>
      <c r="OCW119" s="225"/>
      <c r="OCX119" s="225"/>
      <c r="OCY119" s="225"/>
      <c r="OCZ119" s="225"/>
      <c r="ODA119" s="225"/>
      <c r="ODB119" s="225"/>
      <c r="ODC119" s="225"/>
      <c r="ODD119" s="225"/>
      <c r="ODE119" s="225"/>
      <c r="ODF119" s="225"/>
      <c r="ODG119" s="225"/>
      <c r="ODH119" s="225"/>
      <c r="ODI119" s="225"/>
      <c r="ODJ119" s="225"/>
      <c r="ODK119" s="225"/>
      <c r="ODL119" s="225"/>
      <c r="ODM119" s="225"/>
      <c r="ODN119" s="225"/>
      <c r="ODO119" s="225"/>
      <c r="ODP119" s="225"/>
      <c r="ODQ119" s="225"/>
      <c r="ODR119" s="225"/>
      <c r="ODS119" s="225"/>
      <c r="ODT119" s="225"/>
      <c r="ODU119" s="225"/>
      <c r="ODV119" s="225"/>
      <c r="ODW119" s="225"/>
      <c r="ODX119" s="225"/>
      <c r="ODY119" s="225"/>
      <c r="ODZ119" s="225"/>
      <c r="OEA119" s="225"/>
      <c r="OEB119" s="225"/>
      <c r="OEC119" s="225"/>
      <c r="OED119" s="225"/>
      <c r="OEE119" s="225"/>
      <c r="OEF119" s="225"/>
      <c r="OEG119" s="225"/>
      <c r="OEH119" s="225"/>
      <c r="OEI119" s="225"/>
      <c r="OEJ119" s="225"/>
      <c r="OEK119" s="225"/>
      <c r="OEL119" s="225"/>
      <c r="OEM119" s="225"/>
      <c r="OEN119" s="225"/>
      <c r="OEO119" s="225"/>
      <c r="OEP119" s="225"/>
      <c r="OEQ119" s="225"/>
      <c r="OER119" s="225"/>
      <c r="OES119" s="225"/>
      <c r="OET119" s="225"/>
      <c r="OEU119" s="225"/>
      <c r="OEV119" s="225"/>
      <c r="OEW119" s="225"/>
      <c r="OEX119" s="225"/>
      <c r="OEY119" s="225"/>
      <c r="OEZ119" s="225"/>
      <c r="OFA119" s="225"/>
      <c r="OFB119" s="225"/>
      <c r="OFC119" s="225"/>
      <c r="OFD119" s="225"/>
      <c r="OFE119" s="225"/>
      <c r="OFF119" s="225"/>
      <c r="OFG119" s="225"/>
      <c r="OFH119" s="225"/>
      <c r="OFI119" s="225"/>
      <c r="OFJ119" s="225"/>
      <c r="OFK119" s="225"/>
      <c r="OFL119" s="225"/>
      <c r="OFM119" s="225"/>
      <c r="OFN119" s="225"/>
      <c r="OFO119" s="225"/>
      <c r="OFP119" s="225"/>
      <c r="OFQ119" s="225"/>
      <c r="OFR119" s="225"/>
      <c r="OFS119" s="225"/>
      <c r="OFT119" s="225"/>
      <c r="OFU119" s="225"/>
      <c r="OFV119" s="225"/>
      <c r="OFW119" s="225"/>
      <c r="OFX119" s="225"/>
      <c r="OFY119" s="225"/>
      <c r="OFZ119" s="225"/>
      <c r="OGA119" s="225"/>
      <c r="OGB119" s="225"/>
      <c r="OGC119" s="225"/>
      <c r="OGD119" s="225"/>
      <c r="OGE119" s="225"/>
      <c r="OGF119" s="225"/>
      <c r="OGG119" s="225"/>
      <c r="OGH119" s="225"/>
      <c r="OGI119" s="225"/>
      <c r="OGJ119" s="225"/>
      <c r="OGK119" s="225"/>
      <c r="OGL119" s="225"/>
      <c r="OGM119" s="225"/>
      <c r="OGN119" s="225"/>
      <c r="OGO119" s="225"/>
      <c r="OGP119" s="225"/>
      <c r="OGQ119" s="225"/>
      <c r="OGR119" s="225"/>
      <c r="OGS119" s="225"/>
      <c r="OGT119" s="225"/>
      <c r="OGU119" s="225"/>
      <c r="OGV119" s="225"/>
      <c r="OGW119" s="225"/>
      <c r="OGX119" s="225"/>
      <c r="OGY119" s="225"/>
      <c r="OGZ119" s="225"/>
      <c r="OHA119" s="225"/>
      <c r="OHB119" s="225"/>
      <c r="OHC119" s="225"/>
      <c r="OHD119" s="225"/>
      <c r="OHE119" s="225"/>
      <c r="OHF119" s="225"/>
      <c r="OHG119" s="225"/>
      <c r="OHH119" s="225"/>
      <c r="OHI119" s="225"/>
      <c r="OHJ119" s="225"/>
      <c r="OHK119" s="225"/>
      <c r="OHL119" s="225"/>
      <c r="OHM119" s="225"/>
      <c r="OHN119" s="225"/>
      <c r="OHO119" s="225"/>
      <c r="OHP119" s="225"/>
      <c r="OHQ119" s="225"/>
      <c r="OHR119" s="225"/>
      <c r="OHS119" s="225"/>
      <c r="OHT119" s="225"/>
      <c r="OHU119" s="225"/>
      <c r="OHV119" s="225"/>
      <c r="OHW119" s="225"/>
      <c r="OHX119" s="225"/>
      <c r="OHY119" s="225"/>
      <c r="OHZ119" s="225"/>
      <c r="OIA119" s="225"/>
      <c r="OIB119" s="225"/>
      <c r="OIC119" s="225"/>
      <c r="OID119" s="225"/>
      <c r="OIE119" s="225"/>
      <c r="OIF119" s="225"/>
      <c r="OIG119" s="225"/>
      <c r="OIH119" s="225"/>
      <c r="OII119" s="225"/>
      <c r="OIJ119" s="225"/>
      <c r="OIK119" s="225"/>
      <c r="OIL119" s="225"/>
      <c r="OIM119" s="225"/>
      <c r="OIN119" s="225"/>
      <c r="OIO119" s="225"/>
      <c r="OIP119" s="225"/>
      <c r="OIQ119" s="225"/>
      <c r="OIR119" s="225"/>
      <c r="OIS119" s="225"/>
      <c r="OIT119" s="225"/>
      <c r="OIU119" s="225"/>
      <c r="OIV119" s="225"/>
      <c r="OIW119" s="225"/>
      <c r="OIX119" s="225"/>
      <c r="OIY119" s="225"/>
      <c r="OIZ119" s="225"/>
      <c r="OJA119" s="225"/>
      <c r="OJB119" s="225"/>
      <c r="OJC119" s="225"/>
      <c r="OJD119" s="225"/>
      <c r="OJE119" s="225"/>
      <c r="OJF119" s="225"/>
      <c r="OJG119" s="225"/>
      <c r="OJH119" s="225"/>
      <c r="OJI119" s="225"/>
      <c r="OJJ119" s="225"/>
      <c r="OJK119" s="225"/>
      <c r="OJL119" s="225"/>
      <c r="OJM119" s="225"/>
      <c r="OJN119" s="225"/>
      <c r="OJO119" s="225"/>
      <c r="OJP119" s="225"/>
      <c r="OJQ119" s="225"/>
      <c r="OJR119" s="225"/>
      <c r="OJS119" s="225"/>
      <c r="OJT119" s="225"/>
      <c r="OJU119" s="225"/>
      <c r="OJV119" s="225"/>
      <c r="OJW119" s="225"/>
      <c r="OJX119" s="225"/>
      <c r="OJY119" s="225"/>
      <c r="OJZ119" s="225"/>
      <c r="OKA119" s="225"/>
      <c r="OKB119" s="225"/>
      <c r="OKC119" s="225"/>
      <c r="OKD119" s="225"/>
      <c r="OKE119" s="225"/>
      <c r="OKF119" s="225"/>
      <c r="OKG119" s="225"/>
      <c r="OKH119" s="225"/>
      <c r="OKI119" s="225"/>
      <c r="OKJ119" s="225"/>
      <c r="OKK119" s="225"/>
      <c r="OKL119" s="225"/>
      <c r="OKM119" s="225"/>
      <c r="OKN119" s="225"/>
      <c r="OKO119" s="225"/>
      <c r="OKP119" s="225"/>
      <c r="OKQ119" s="225"/>
      <c r="OKR119" s="225"/>
      <c r="OKS119" s="225"/>
      <c r="OKT119" s="225"/>
      <c r="OKU119" s="225"/>
      <c r="OKV119" s="225"/>
      <c r="OKW119" s="225"/>
      <c r="OKX119" s="225"/>
      <c r="OKY119" s="225"/>
      <c r="OKZ119" s="225"/>
      <c r="OLA119" s="225"/>
      <c r="OLB119" s="225"/>
      <c r="OLC119" s="225"/>
      <c r="OLD119" s="225"/>
      <c r="OLE119" s="225"/>
      <c r="OLF119" s="225"/>
      <c r="OLG119" s="225"/>
      <c r="OLH119" s="225"/>
      <c r="OLI119" s="225"/>
      <c r="OLJ119" s="225"/>
      <c r="OLK119" s="225"/>
      <c r="OLL119" s="225"/>
      <c r="OLM119" s="225"/>
      <c r="OLN119" s="225"/>
      <c r="OLO119" s="225"/>
      <c r="OLP119" s="225"/>
      <c r="OLQ119" s="225"/>
      <c r="OLR119" s="225"/>
      <c r="OLS119" s="225"/>
      <c r="OLT119" s="225"/>
      <c r="OLU119" s="225"/>
      <c r="OLV119" s="225"/>
      <c r="OLW119" s="225"/>
      <c r="OLX119" s="225"/>
      <c r="OLY119" s="225"/>
      <c r="OLZ119" s="225"/>
      <c r="OMA119" s="225"/>
      <c r="OMB119" s="225"/>
      <c r="OMC119" s="225"/>
      <c r="OMD119" s="225"/>
      <c r="OME119" s="225"/>
      <c r="OMF119" s="225"/>
      <c r="OMG119" s="225"/>
      <c r="OMH119" s="225"/>
      <c r="OMI119" s="225"/>
      <c r="OMJ119" s="225"/>
      <c r="OMK119" s="225"/>
      <c r="OML119" s="225"/>
      <c r="OMM119" s="225"/>
      <c r="OMN119" s="225"/>
      <c r="OMO119" s="225"/>
      <c r="OMP119" s="225"/>
      <c r="OMQ119" s="225"/>
      <c r="OMR119" s="225"/>
      <c r="OMS119" s="225"/>
      <c r="OMT119" s="225"/>
      <c r="OMU119" s="225"/>
      <c r="OMV119" s="225"/>
      <c r="OMW119" s="225"/>
      <c r="OMX119" s="225"/>
      <c r="OMY119" s="225"/>
      <c r="OMZ119" s="225"/>
      <c r="ONA119" s="225"/>
      <c r="ONB119" s="225"/>
      <c r="ONC119" s="225"/>
      <c r="OND119" s="225"/>
      <c r="ONE119" s="225"/>
      <c r="ONF119" s="225"/>
      <c r="ONG119" s="225"/>
      <c r="ONH119" s="225"/>
      <c r="ONI119" s="225"/>
      <c r="ONJ119" s="225"/>
      <c r="ONK119" s="225"/>
      <c r="ONL119" s="225"/>
      <c r="ONM119" s="225"/>
      <c r="ONN119" s="225"/>
      <c r="ONO119" s="225"/>
      <c r="ONP119" s="225"/>
      <c r="ONQ119" s="225"/>
      <c r="ONR119" s="225"/>
      <c r="ONS119" s="225"/>
      <c r="ONT119" s="225"/>
      <c r="ONU119" s="225"/>
      <c r="ONV119" s="225"/>
      <c r="ONW119" s="225"/>
      <c r="ONX119" s="225"/>
      <c r="ONY119" s="225"/>
      <c r="ONZ119" s="225"/>
      <c r="OOA119" s="225"/>
      <c r="OOB119" s="225"/>
      <c r="OOC119" s="225"/>
      <c r="OOD119" s="225"/>
      <c r="OOE119" s="225"/>
      <c r="OOF119" s="225"/>
      <c r="OOG119" s="225"/>
      <c r="OOH119" s="225"/>
      <c r="OOI119" s="225"/>
      <c r="OOJ119" s="225"/>
      <c r="OOK119" s="225"/>
      <c r="OOL119" s="225"/>
      <c r="OOM119" s="225"/>
      <c r="OON119" s="225"/>
      <c r="OOO119" s="225"/>
      <c r="OOP119" s="225"/>
      <c r="OOQ119" s="225"/>
      <c r="OOR119" s="225"/>
      <c r="OOS119" s="225"/>
      <c r="OOT119" s="225"/>
      <c r="OOU119" s="225"/>
      <c r="OOV119" s="225"/>
      <c r="OOW119" s="225"/>
      <c r="OOX119" s="225"/>
      <c r="OOY119" s="225"/>
      <c r="OOZ119" s="225"/>
      <c r="OPA119" s="225"/>
      <c r="OPB119" s="225"/>
      <c r="OPC119" s="225"/>
      <c r="OPD119" s="225"/>
      <c r="OPE119" s="225"/>
      <c r="OPF119" s="225"/>
      <c r="OPG119" s="225"/>
      <c r="OPH119" s="225"/>
      <c r="OPI119" s="225"/>
      <c r="OPJ119" s="225"/>
      <c r="OPK119" s="225"/>
      <c r="OPL119" s="225"/>
      <c r="OPM119" s="225"/>
      <c r="OPN119" s="225"/>
      <c r="OPO119" s="225"/>
      <c r="OPP119" s="225"/>
      <c r="OPQ119" s="225"/>
      <c r="OPR119" s="225"/>
      <c r="OPS119" s="225"/>
      <c r="OPT119" s="225"/>
      <c r="OPU119" s="225"/>
      <c r="OPV119" s="225"/>
      <c r="OPW119" s="225"/>
      <c r="OPX119" s="225"/>
      <c r="OPY119" s="225"/>
      <c r="OPZ119" s="225"/>
      <c r="OQA119" s="225"/>
      <c r="OQB119" s="225"/>
      <c r="OQC119" s="225"/>
      <c r="OQD119" s="225"/>
      <c r="OQE119" s="225"/>
      <c r="OQF119" s="225"/>
      <c r="OQG119" s="225"/>
      <c r="OQH119" s="225"/>
      <c r="OQI119" s="225"/>
      <c r="OQJ119" s="225"/>
      <c r="OQK119" s="225"/>
      <c r="OQL119" s="225"/>
      <c r="OQM119" s="225"/>
      <c r="OQN119" s="225"/>
      <c r="OQO119" s="225"/>
      <c r="OQP119" s="225"/>
      <c r="OQQ119" s="225"/>
      <c r="OQR119" s="225"/>
      <c r="OQS119" s="225"/>
      <c r="OQT119" s="225"/>
      <c r="OQU119" s="225"/>
      <c r="OQV119" s="225"/>
      <c r="OQW119" s="225"/>
      <c r="OQX119" s="225"/>
      <c r="OQY119" s="225"/>
      <c r="OQZ119" s="225"/>
      <c r="ORA119" s="225"/>
      <c r="ORB119" s="225"/>
      <c r="ORC119" s="225"/>
      <c r="ORD119" s="225"/>
      <c r="ORE119" s="225"/>
      <c r="ORF119" s="225"/>
      <c r="ORG119" s="225"/>
      <c r="ORH119" s="225"/>
      <c r="ORI119" s="225"/>
      <c r="ORJ119" s="225"/>
      <c r="ORK119" s="225"/>
      <c r="ORL119" s="225"/>
      <c r="ORM119" s="225"/>
      <c r="ORN119" s="225"/>
      <c r="ORO119" s="225"/>
      <c r="ORP119" s="225"/>
      <c r="ORQ119" s="225"/>
      <c r="ORR119" s="225"/>
      <c r="ORS119" s="225"/>
      <c r="ORT119" s="225"/>
      <c r="ORU119" s="225"/>
      <c r="ORV119" s="225"/>
      <c r="ORW119" s="225"/>
      <c r="ORX119" s="225"/>
      <c r="ORY119" s="225"/>
      <c r="ORZ119" s="225"/>
      <c r="OSA119" s="225"/>
      <c r="OSB119" s="225"/>
      <c r="OSC119" s="225"/>
      <c r="OSD119" s="225"/>
      <c r="OSE119" s="225"/>
      <c r="OSF119" s="225"/>
      <c r="OSG119" s="225"/>
      <c r="OSH119" s="225"/>
      <c r="OSI119" s="225"/>
      <c r="OSJ119" s="225"/>
      <c r="OSK119" s="225"/>
      <c r="OSL119" s="225"/>
      <c r="OSM119" s="225"/>
      <c r="OSN119" s="225"/>
      <c r="OSO119" s="225"/>
      <c r="OSP119" s="225"/>
      <c r="OSQ119" s="225"/>
      <c r="OSR119" s="225"/>
      <c r="OSS119" s="225"/>
      <c r="OST119" s="225"/>
      <c r="OSU119" s="225"/>
      <c r="OSV119" s="225"/>
      <c r="OSW119" s="225"/>
      <c r="OSX119" s="225"/>
      <c r="OSY119" s="225"/>
      <c r="OSZ119" s="225"/>
      <c r="OTA119" s="225"/>
      <c r="OTB119" s="225"/>
      <c r="OTC119" s="225"/>
      <c r="OTD119" s="225"/>
      <c r="OTE119" s="225"/>
      <c r="OTF119" s="225"/>
      <c r="OTG119" s="225"/>
      <c r="OTH119" s="225"/>
      <c r="OTI119" s="225"/>
      <c r="OTJ119" s="225"/>
      <c r="OTK119" s="225"/>
      <c r="OTL119" s="225"/>
      <c r="OTM119" s="225"/>
      <c r="OTN119" s="225"/>
      <c r="OTO119" s="225"/>
      <c r="OTP119" s="225"/>
      <c r="OTQ119" s="225"/>
      <c r="OTR119" s="225"/>
      <c r="OTS119" s="225"/>
      <c r="OTT119" s="225"/>
      <c r="OTU119" s="225"/>
      <c r="OTV119" s="225"/>
      <c r="OTW119" s="225"/>
      <c r="OTX119" s="225"/>
      <c r="OTY119" s="225"/>
      <c r="OTZ119" s="225"/>
      <c r="OUA119" s="225"/>
      <c r="OUB119" s="225"/>
      <c r="OUC119" s="225"/>
      <c r="OUD119" s="225"/>
      <c r="OUE119" s="225"/>
      <c r="OUF119" s="225"/>
      <c r="OUG119" s="225"/>
      <c r="OUH119" s="225"/>
      <c r="OUI119" s="225"/>
      <c r="OUJ119" s="225"/>
      <c r="OUK119" s="225"/>
      <c r="OUL119" s="225"/>
      <c r="OUM119" s="225"/>
      <c r="OUN119" s="225"/>
      <c r="OUO119" s="225"/>
      <c r="OUP119" s="225"/>
      <c r="OUQ119" s="225"/>
      <c r="OUR119" s="225"/>
      <c r="OUS119" s="225"/>
      <c r="OUT119" s="225"/>
      <c r="OUU119" s="225"/>
      <c r="OUV119" s="225"/>
      <c r="OUW119" s="225"/>
      <c r="OUX119" s="225"/>
      <c r="OUY119" s="225"/>
      <c r="OUZ119" s="225"/>
      <c r="OVA119" s="225"/>
      <c r="OVB119" s="225"/>
      <c r="OVC119" s="225"/>
      <c r="OVD119" s="225"/>
      <c r="OVE119" s="225"/>
      <c r="OVF119" s="225"/>
      <c r="OVG119" s="225"/>
      <c r="OVH119" s="225"/>
      <c r="OVI119" s="225"/>
      <c r="OVJ119" s="225"/>
      <c r="OVK119" s="225"/>
      <c r="OVL119" s="225"/>
      <c r="OVM119" s="225"/>
      <c r="OVN119" s="225"/>
      <c r="OVO119" s="225"/>
      <c r="OVP119" s="225"/>
      <c r="OVQ119" s="225"/>
      <c r="OVR119" s="225"/>
      <c r="OVS119" s="225"/>
      <c r="OVT119" s="225"/>
      <c r="OVU119" s="225"/>
      <c r="OVV119" s="225"/>
      <c r="OVW119" s="225"/>
      <c r="OVX119" s="225"/>
      <c r="OVY119" s="225"/>
      <c r="OVZ119" s="225"/>
      <c r="OWA119" s="225"/>
      <c r="OWB119" s="225"/>
      <c r="OWC119" s="225"/>
      <c r="OWD119" s="225"/>
      <c r="OWE119" s="225"/>
      <c r="OWF119" s="225"/>
      <c r="OWG119" s="225"/>
      <c r="OWH119" s="225"/>
      <c r="OWI119" s="225"/>
      <c r="OWJ119" s="225"/>
      <c r="OWK119" s="225"/>
      <c r="OWL119" s="225"/>
      <c r="OWM119" s="225"/>
      <c r="OWN119" s="225"/>
      <c r="OWO119" s="225"/>
      <c r="OWP119" s="225"/>
      <c r="OWQ119" s="225"/>
      <c r="OWR119" s="225"/>
      <c r="OWS119" s="225"/>
      <c r="OWT119" s="225"/>
      <c r="OWU119" s="225"/>
      <c r="OWV119" s="225"/>
      <c r="OWW119" s="225"/>
      <c r="OWX119" s="225"/>
      <c r="OWY119" s="225"/>
      <c r="OWZ119" s="225"/>
      <c r="OXA119" s="225"/>
      <c r="OXB119" s="225"/>
      <c r="OXC119" s="225"/>
      <c r="OXD119" s="225"/>
      <c r="OXE119" s="225"/>
      <c r="OXF119" s="225"/>
      <c r="OXG119" s="225"/>
      <c r="OXH119" s="225"/>
      <c r="OXI119" s="225"/>
      <c r="OXJ119" s="225"/>
      <c r="OXK119" s="225"/>
      <c r="OXL119" s="225"/>
      <c r="OXM119" s="225"/>
      <c r="OXN119" s="225"/>
      <c r="OXO119" s="225"/>
      <c r="OXP119" s="225"/>
      <c r="OXQ119" s="225"/>
      <c r="OXR119" s="225"/>
      <c r="OXS119" s="225"/>
      <c r="OXT119" s="225"/>
      <c r="OXU119" s="225"/>
      <c r="OXV119" s="225"/>
      <c r="OXW119" s="225"/>
      <c r="OXX119" s="225"/>
      <c r="OXY119" s="225"/>
      <c r="OXZ119" s="225"/>
      <c r="OYA119" s="225"/>
      <c r="OYB119" s="225"/>
      <c r="OYC119" s="225"/>
      <c r="OYD119" s="225"/>
      <c r="OYE119" s="225"/>
      <c r="OYF119" s="225"/>
      <c r="OYG119" s="225"/>
      <c r="OYH119" s="225"/>
      <c r="OYI119" s="225"/>
      <c r="OYJ119" s="225"/>
      <c r="OYK119" s="225"/>
      <c r="OYL119" s="225"/>
      <c r="OYM119" s="225"/>
      <c r="OYN119" s="225"/>
      <c r="OYO119" s="225"/>
      <c r="OYP119" s="225"/>
      <c r="OYQ119" s="225"/>
      <c r="OYR119" s="225"/>
      <c r="OYS119" s="225"/>
      <c r="OYT119" s="225"/>
      <c r="OYU119" s="225"/>
      <c r="OYV119" s="225"/>
      <c r="OYW119" s="225"/>
      <c r="OYX119" s="225"/>
      <c r="OYY119" s="225"/>
      <c r="OYZ119" s="225"/>
      <c r="OZA119" s="225"/>
      <c r="OZB119" s="225"/>
      <c r="OZC119" s="225"/>
      <c r="OZD119" s="225"/>
      <c r="OZE119" s="225"/>
      <c r="OZF119" s="225"/>
      <c r="OZG119" s="225"/>
      <c r="OZH119" s="225"/>
      <c r="OZI119" s="225"/>
      <c r="OZJ119" s="225"/>
      <c r="OZK119" s="225"/>
      <c r="OZL119" s="225"/>
      <c r="OZM119" s="225"/>
      <c r="OZN119" s="225"/>
      <c r="OZO119" s="225"/>
      <c r="OZP119" s="225"/>
      <c r="OZQ119" s="225"/>
      <c r="OZR119" s="225"/>
      <c r="OZS119" s="225"/>
      <c r="OZT119" s="225"/>
      <c r="OZU119" s="225"/>
      <c r="OZV119" s="225"/>
      <c r="OZW119" s="225"/>
      <c r="OZX119" s="225"/>
      <c r="OZY119" s="225"/>
      <c r="OZZ119" s="225"/>
      <c r="PAA119" s="225"/>
      <c r="PAB119" s="225"/>
      <c r="PAC119" s="225"/>
      <c r="PAD119" s="225"/>
      <c r="PAE119" s="225"/>
      <c r="PAF119" s="225"/>
      <c r="PAG119" s="225"/>
      <c r="PAH119" s="225"/>
      <c r="PAI119" s="225"/>
      <c r="PAJ119" s="225"/>
      <c r="PAK119" s="225"/>
      <c r="PAL119" s="225"/>
      <c r="PAM119" s="225"/>
      <c r="PAN119" s="225"/>
      <c r="PAO119" s="225"/>
      <c r="PAP119" s="225"/>
      <c r="PAQ119" s="225"/>
      <c r="PAR119" s="225"/>
      <c r="PAS119" s="225"/>
      <c r="PAT119" s="225"/>
      <c r="PAU119" s="225"/>
      <c r="PAV119" s="225"/>
      <c r="PAW119" s="225"/>
      <c r="PAX119" s="225"/>
      <c r="PAY119" s="225"/>
      <c r="PAZ119" s="225"/>
      <c r="PBA119" s="225"/>
      <c r="PBB119" s="225"/>
      <c r="PBC119" s="225"/>
      <c r="PBD119" s="225"/>
      <c r="PBE119" s="225"/>
      <c r="PBF119" s="225"/>
      <c r="PBG119" s="225"/>
      <c r="PBH119" s="225"/>
      <c r="PBI119" s="225"/>
      <c r="PBJ119" s="225"/>
      <c r="PBK119" s="225"/>
      <c r="PBL119" s="225"/>
      <c r="PBM119" s="225"/>
      <c r="PBN119" s="225"/>
      <c r="PBO119" s="225"/>
      <c r="PBP119" s="225"/>
      <c r="PBQ119" s="225"/>
      <c r="PBR119" s="225"/>
      <c r="PBS119" s="225"/>
      <c r="PBT119" s="225"/>
      <c r="PBU119" s="225"/>
      <c r="PBV119" s="225"/>
      <c r="PBW119" s="225"/>
      <c r="PBX119" s="225"/>
      <c r="PBY119" s="225"/>
      <c r="PBZ119" s="225"/>
      <c r="PCA119" s="225"/>
      <c r="PCB119" s="225"/>
      <c r="PCC119" s="225"/>
      <c r="PCD119" s="225"/>
      <c r="PCE119" s="225"/>
      <c r="PCF119" s="225"/>
      <c r="PCG119" s="225"/>
      <c r="PCH119" s="225"/>
      <c r="PCI119" s="225"/>
      <c r="PCJ119" s="225"/>
      <c r="PCK119" s="225"/>
      <c r="PCL119" s="225"/>
      <c r="PCM119" s="225"/>
      <c r="PCN119" s="225"/>
      <c r="PCO119" s="225"/>
      <c r="PCP119" s="225"/>
      <c r="PCQ119" s="225"/>
      <c r="PCR119" s="225"/>
      <c r="PCS119" s="225"/>
      <c r="PCT119" s="225"/>
      <c r="PCU119" s="225"/>
      <c r="PCV119" s="225"/>
      <c r="PCW119" s="225"/>
      <c r="PCX119" s="225"/>
      <c r="PCY119" s="225"/>
      <c r="PCZ119" s="225"/>
      <c r="PDA119" s="225"/>
      <c r="PDB119" s="225"/>
      <c r="PDC119" s="225"/>
      <c r="PDD119" s="225"/>
      <c r="PDE119" s="225"/>
      <c r="PDF119" s="225"/>
      <c r="PDG119" s="225"/>
      <c r="PDH119" s="225"/>
      <c r="PDI119" s="225"/>
      <c r="PDJ119" s="225"/>
      <c r="PDK119" s="225"/>
      <c r="PDL119" s="225"/>
      <c r="PDM119" s="225"/>
      <c r="PDN119" s="225"/>
      <c r="PDO119" s="225"/>
      <c r="PDP119" s="225"/>
      <c r="PDQ119" s="225"/>
      <c r="PDR119" s="225"/>
      <c r="PDS119" s="225"/>
      <c r="PDT119" s="225"/>
      <c r="PDU119" s="225"/>
      <c r="PDV119" s="225"/>
      <c r="PDW119" s="225"/>
      <c r="PDX119" s="225"/>
      <c r="PDY119" s="225"/>
      <c r="PDZ119" s="225"/>
      <c r="PEA119" s="225"/>
      <c r="PEB119" s="225"/>
      <c r="PEC119" s="225"/>
      <c r="PED119" s="225"/>
      <c r="PEE119" s="225"/>
      <c r="PEF119" s="225"/>
      <c r="PEG119" s="225"/>
      <c r="PEH119" s="225"/>
      <c r="PEI119" s="225"/>
      <c r="PEJ119" s="225"/>
      <c r="PEK119" s="225"/>
      <c r="PEL119" s="225"/>
      <c r="PEM119" s="225"/>
      <c r="PEN119" s="225"/>
      <c r="PEO119" s="225"/>
      <c r="PEP119" s="225"/>
      <c r="PEQ119" s="225"/>
      <c r="PER119" s="225"/>
      <c r="PES119" s="225"/>
      <c r="PET119" s="225"/>
      <c r="PEU119" s="225"/>
      <c r="PEV119" s="225"/>
      <c r="PEW119" s="225"/>
      <c r="PEX119" s="225"/>
      <c r="PEY119" s="225"/>
      <c r="PEZ119" s="225"/>
      <c r="PFA119" s="225"/>
      <c r="PFB119" s="225"/>
      <c r="PFC119" s="225"/>
      <c r="PFD119" s="225"/>
      <c r="PFE119" s="225"/>
      <c r="PFF119" s="225"/>
      <c r="PFG119" s="225"/>
      <c r="PFH119" s="225"/>
      <c r="PFI119" s="225"/>
      <c r="PFJ119" s="225"/>
      <c r="PFK119" s="225"/>
      <c r="PFL119" s="225"/>
      <c r="PFM119" s="225"/>
      <c r="PFN119" s="225"/>
      <c r="PFO119" s="225"/>
      <c r="PFP119" s="225"/>
      <c r="PFQ119" s="225"/>
      <c r="PFR119" s="225"/>
      <c r="PFS119" s="225"/>
      <c r="PFT119" s="225"/>
      <c r="PFU119" s="225"/>
      <c r="PFV119" s="225"/>
      <c r="PFW119" s="225"/>
      <c r="PFX119" s="225"/>
      <c r="PFY119" s="225"/>
      <c r="PFZ119" s="225"/>
      <c r="PGA119" s="225"/>
      <c r="PGB119" s="225"/>
      <c r="PGC119" s="225"/>
      <c r="PGD119" s="225"/>
      <c r="PGE119" s="225"/>
      <c r="PGF119" s="225"/>
      <c r="PGG119" s="225"/>
      <c r="PGH119" s="225"/>
      <c r="PGI119" s="225"/>
      <c r="PGJ119" s="225"/>
      <c r="PGK119" s="225"/>
      <c r="PGL119" s="225"/>
      <c r="PGM119" s="225"/>
      <c r="PGN119" s="225"/>
      <c r="PGO119" s="225"/>
      <c r="PGP119" s="225"/>
      <c r="PGQ119" s="225"/>
      <c r="PGR119" s="225"/>
      <c r="PGS119" s="225"/>
      <c r="PGT119" s="225"/>
      <c r="PGU119" s="225"/>
      <c r="PGV119" s="225"/>
      <c r="PGW119" s="225"/>
      <c r="PGX119" s="225"/>
      <c r="PGY119" s="225"/>
      <c r="PGZ119" s="225"/>
      <c r="PHA119" s="225"/>
      <c r="PHB119" s="225"/>
      <c r="PHC119" s="225"/>
      <c r="PHD119" s="225"/>
      <c r="PHE119" s="225"/>
      <c r="PHF119" s="225"/>
      <c r="PHG119" s="225"/>
      <c r="PHH119" s="225"/>
      <c r="PHI119" s="225"/>
      <c r="PHJ119" s="225"/>
      <c r="PHK119" s="225"/>
      <c r="PHL119" s="225"/>
      <c r="PHM119" s="225"/>
      <c r="PHN119" s="225"/>
      <c r="PHO119" s="225"/>
      <c r="PHP119" s="225"/>
      <c r="PHQ119" s="225"/>
      <c r="PHR119" s="225"/>
      <c r="PHS119" s="225"/>
      <c r="PHT119" s="225"/>
      <c r="PHU119" s="225"/>
      <c r="PHV119" s="225"/>
      <c r="PHW119" s="225"/>
      <c r="PHX119" s="225"/>
      <c r="PHY119" s="225"/>
      <c r="PHZ119" s="225"/>
      <c r="PIA119" s="225"/>
      <c r="PIB119" s="225"/>
      <c r="PIC119" s="225"/>
      <c r="PID119" s="225"/>
      <c r="PIE119" s="225"/>
      <c r="PIF119" s="225"/>
      <c r="PIG119" s="225"/>
      <c r="PIH119" s="225"/>
      <c r="PII119" s="225"/>
      <c r="PIJ119" s="225"/>
      <c r="PIK119" s="225"/>
      <c r="PIL119" s="225"/>
      <c r="PIM119" s="225"/>
      <c r="PIN119" s="225"/>
      <c r="PIO119" s="225"/>
      <c r="PIP119" s="225"/>
      <c r="PIQ119" s="225"/>
      <c r="PIR119" s="225"/>
      <c r="PIS119" s="225"/>
      <c r="PIT119" s="225"/>
      <c r="PIU119" s="225"/>
      <c r="PIV119" s="225"/>
      <c r="PIW119" s="225"/>
      <c r="PIX119" s="225"/>
      <c r="PIY119" s="225"/>
      <c r="PIZ119" s="225"/>
      <c r="PJA119" s="225"/>
      <c r="PJB119" s="225"/>
      <c r="PJC119" s="225"/>
      <c r="PJD119" s="225"/>
      <c r="PJE119" s="225"/>
      <c r="PJF119" s="225"/>
      <c r="PJG119" s="225"/>
      <c r="PJH119" s="225"/>
      <c r="PJI119" s="225"/>
      <c r="PJJ119" s="225"/>
      <c r="PJK119" s="225"/>
      <c r="PJL119" s="225"/>
      <c r="PJM119" s="225"/>
      <c r="PJN119" s="225"/>
      <c r="PJO119" s="225"/>
      <c r="PJP119" s="225"/>
      <c r="PJQ119" s="225"/>
      <c r="PJR119" s="225"/>
      <c r="PJS119" s="225"/>
      <c r="PJT119" s="225"/>
      <c r="PJU119" s="225"/>
      <c r="PJV119" s="225"/>
      <c r="PJW119" s="225"/>
      <c r="PJX119" s="225"/>
      <c r="PJY119" s="225"/>
      <c r="PJZ119" s="225"/>
      <c r="PKA119" s="225"/>
      <c r="PKB119" s="225"/>
      <c r="PKC119" s="225"/>
      <c r="PKD119" s="225"/>
      <c r="PKE119" s="225"/>
      <c r="PKF119" s="225"/>
      <c r="PKG119" s="225"/>
      <c r="PKH119" s="225"/>
      <c r="PKI119" s="225"/>
      <c r="PKJ119" s="225"/>
      <c r="PKK119" s="225"/>
      <c r="PKL119" s="225"/>
      <c r="PKM119" s="225"/>
      <c r="PKN119" s="225"/>
      <c r="PKO119" s="225"/>
      <c r="PKP119" s="225"/>
      <c r="PKQ119" s="225"/>
      <c r="PKR119" s="225"/>
      <c r="PKS119" s="225"/>
      <c r="PKT119" s="225"/>
      <c r="PKU119" s="225"/>
      <c r="PKV119" s="225"/>
      <c r="PKW119" s="225"/>
      <c r="PKX119" s="225"/>
      <c r="PKY119" s="225"/>
      <c r="PKZ119" s="225"/>
      <c r="PLA119" s="225"/>
      <c r="PLB119" s="225"/>
      <c r="PLC119" s="225"/>
      <c r="PLD119" s="225"/>
      <c r="PLE119" s="225"/>
      <c r="PLF119" s="225"/>
      <c r="PLG119" s="225"/>
      <c r="PLH119" s="225"/>
      <c r="PLI119" s="225"/>
      <c r="PLJ119" s="225"/>
      <c r="PLK119" s="225"/>
      <c r="PLL119" s="225"/>
      <c r="PLM119" s="225"/>
      <c r="PLN119" s="225"/>
      <c r="PLO119" s="225"/>
      <c r="PLP119" s="225"/>
      <c r="PLQ119" s="225"/>
      <c r="PLR119" s="225"/>
      <c r="PLS119" s="225"/>
      <c r="PLT119" s="225"/>
      <c r="PLU119" s="225"/>
      <c r="PLV119" s="225"/>
      <c r="PLW119" s="225"/>
      <c r="PLX119" s="225"/>
      <c r="PLY119" s="225"/>
      <c r="PLZ119" s="225"/>
      <c r="PMA119" s="225"/>
      <c r="PMB119" s="225"/>
      <c r="PMC119" s="225"/>
      <c r="PMD119" s="225"/>
      <c r="PME119" s="225"/>
      <c r="PMF119" s="225"/>
      <c r="PMG119" s="225"/>
      <c r="PMH119" s="225"/>
      <c r="PMI119" s="225"/>
      <c r="PMJ119" s="225"/>
      <c r="PMK119" s="225"/>
      <c r="PML119" s="225"/>
      <c r="PMM119" s="225"/>
      <c r="PMN119" s="225"/>
      <c r="PMO119" s="225"/>
      <c r="PMP119" s="225"/>
      <c r="PMQ119" s="225"/>
      <c r="PMR119" s="225"/>
      <c r="PMS119" s="225"/>
      <c r="PMT119" s="225"/>
      <c r="PMU119" s="225"/>
      <c r="PMV119" s="225"/>
      <c r="PMW119" s="225"/>
      <c r="PMX119" s="225"/>
      <c r="PMY119" s="225"/>
      <c r="PMZ119" s="225"/>
      <c r="PNA119" s="225"/>
      <c r="PNB119" s="225"/>
      <c r="PNC119" s="225"/>
      <c r="PND119" s="225"/>
      <c r="PNE119" s="225"/>
      <c r="PNF119" s="225"/>
      <c r="PNG119" s="225"/>
      <c r="PNH119" s="225"/>
      <c r="PNI119" s="225"/>
      <c r="PNJ119" s="225"/>
      <c r="PNK119" s="225"/>
      <c r="PNL119" s="225"/>
      <c r="PNM119" s="225"/>
      <c r="PNN119" s="225"/>
      <c r="PNO119" s="225"/>
      <c r="PNP119" s="225"/>
      <c r="PNQ119" s="225"/>
      <c r="PNR119" s="225"/>
      <c r="PNS119" s="225"/>
      <c r="PNT119" s="225"/>
      <c r="PNU119" s="225"/>
      <c r="PNV119" s="225"/>
      <c r="PNW119" s="225"/>
      <c r="PNX119" s="225"/>
      <c r="PNY119" s="225"/>
      <c r="PNZ119" s="225"/>
      <c r="POA119" s="225"/>
      <c r="POB119" s="225"/>
      <c r="POC119" s="225"/>
      <c r="POD119" s="225"/>
      <c r="POE119" s="225"/>
      <c r="POF119" s="225"/>
      <c r="POG119" s="225"/>
      <c r="POH119" s="225"/>
      <c r="POI119" s="225"/>
      <c r="POJ119" s="225"/>
      <c r="POK119" s="225"/>
      <c r="POL119" s="225"/>
      <c r="POM119" s="225"/>
      <c r="PON119" s="225"/>
      <c r="POO119" s="225"/>
      <c r="POP119" s="225"/>
      <c r="POQ119" s="225"/>
      <c r="POR119" s="225"/>
      <c r="POS119" s="225"/>
      <c r="POT119" s="225"/>
      <c r="POU119" s="225"/>
      <c r="POV119" s="225"/>
      <c r="POW119" s="225"/>
      <c r="POX119" s="225"/>
      <c r="POY119" s="225"/>
      <c r="POZ119" s="225"/>
      <c r="PPA119" s="225"/>
      <c r="PPB119" s="225"/>
      <c r="PPC119" s="225"/>
      <c r="PPD119" s="225"/>
      <c r="PPE119" s="225"/>
      <c r="PPF119" s="225"/>
      <c r="PPG119" s="225"/>
      <c r="PPH119" s="225"/>
      <c r="PPI119" s="225"/>
      <c r="PPJ119" s="225"/>
      <c r="PPK119" s="225"/>
      <c r="PPL119" s="225"/>
      <c r="PPM119" s="225"/>
      <c r="PPN119" s="225"/>
      <c r="PPO119" s="225"/>
      <c r="PPP119" s="225"/>
      <c r="PPQ119" s="225"/>
      <c r="PPR119" s="225"/>
      <c r="PPS119" s="225"/>
      <c r="PPT119" s="225"/>
      <c r="PPU119" s="225"/>
      <c r="PPV119" s="225"/>
      <c r="PPW119" s="225"/>
      <c r="PPX119" s="225"/>
      <c r="PPY119" s="225"/>
      <c r="PPZ119" s="225"/>
      <c r="PQA119" s="225"/>
      <c r="PQB119" s="225"/>
      <c r="PQC119" s="225"/>
      <c r="PQD119" s="225"/>
      <c r="PQE119" s="225"/>
      <c r="PQF119" s="225"/>
      <c r="PQG119" s="225"/>
      <c r="PQH119" s="225"/>
      <c r="PQI119" s="225"/>
      <c r="PQJ119" s="225"/>
      <c r="PQK119" s="225"/>
      <c r="PQL119" s="225"/>
      <c r="PQM119" s="225"/>
      <c r="PQN119" s="225"/>
      <c r="PQO119" s="225"/>
      <c r="PQP119" s="225"/>
      <c r="PQQ119" s="225"/>
      <c r="PQR119" s="225"/>
      <c r="PQS119" s="225"/>
      <c r="PQT119" s="225"/>
      <c r="PQU119" s="225"/>
      <c r="PQV119" s="225"/>
      <c r="PQW119" s="225"/>
      <c r="PQX119" s="225"/>
      <c r="PQY119" s="225"/>
      <c r="PQZ119" s="225"/>
      <c r="PRA119" s="225"/>
      <c r="PRB119" s="225"/>
      <c r="PRC119" s="225"/>
      <c r="PRD119" s="225"/>
      <c r="PRE119" s="225"/>
      <c r="PRF119" s="225"/>
      <c r="PRG119" s="225"/>
      <c r="PRH119" s="225"/>
      <c r="PRI119" s="225"/>
      <c r="PRJ119" s="225"/>
      <c r="PRK119" s="225"/>
      <c r="PRL119" s="225"/>
      <c r="PRM119" s="225"/>
      <c r="PRN119" s="225"/>
      <c r="PRO119" s="225"/>
      <c r="PRP119" s="225"/>
      <c r="PRQ119" s="225"/>
      <c r="PRR119" s="225"/>
      <c r="PRS119" s="225"/>
      <c r="PRT119" s="225"/>
      <c r="PRU119" s="225"/>
      <c r="PRV119" s="225"/>
      <c r="PRW119" s="225"/>
      <c r="PRX119" s="225"/>
      <c r="PRY119" s="225"/>
      <c r="PRZ119" s="225"/>
      <c r="PSA119" s="225"/>
      <c r="PSB119" s="225"/>
      <c r="PSC119" s="225"/>
      <c r="PSD119" s="225"/>
      <c r="PSE119" s="225"/>
      <c r="PSF119" s="225"/>
      <c r="PSG119" s="225"/>
      <c r="PSH119" s="225"/>
      <c r="PSI119" s="225"/>
      <c r="PSJ119" s="225"/>
      <c r="PSK119" s="225"/>
      <c r="PSL119" s="225"/>
      <c r="PSM119" s="225"/>
      <c r="PSN119" s="225"/>
      <c r="PSO119" s="225"/>
      <c r="PSP119" s="225"/>
      <c r="PSQ119" s="225"/>
      <c r="PSR119" s="225"/>
      <c r="PSS119" s="225"/>
      <c r="PST119" s="225"/>
      <c r="PSU119" s="225"/>
      <c r="PSV119" s="225"/>
      <c r="PSW119" s="225"/>
      <c r="PSX119" s="225"/>
      <c r="PSY119" s="225"/>
      <c r="PSZ119" s="225"/>
      <c r="PTA119" s="225"/>
      <c r="PTB119" s="225"/>
      <c r="PTC119" s="225"/>
      <c r="PTD119" s="225"/>
      <c r="PTE119" s="225"/>
      <c r="PTF119" s="225"/>
      <c r="PTG119" s="225"/>
      <c r="PTH119" s="225"/>
      <c r="PTI119" s="225"/>
      <c r="PTJ119" s="225"/>
      <c r="PTK119" s="225"/>
      <c r="PTL119" s="225"/>
      <c r="PTM119" s="225"/>
      <c r="PTN119" s="225"/>
      <c r="PTO119" s="225"/>
      <c r="PTP119" s="225"/>
      <c r="PTQ119" s="225"/>
      <c r="PTR119" s="225"/>
      <c r="PTS119" s="225"/>
      <c r="PTT119" s="225"/>
      <c r="PTU119" s="225"/>
      <c r="PTV119" s="225"/>
      <c r="PTW119" s="225"/>
      <c r="PTX119" s="225"/>
      <c r="PTY119" s="225"/>
      <c r="PTZ119" s="225"/>
      <c r="PUA119" s="225"/>
      <c r="PUB119" s="225"/>
      <c r="PUC119" s="225"/>
      <c r="PUD119" s="225"/>
      <c r="PUE119" s="225"/>
      <c r="PUF119" s="225"/>
      <c r="PUG119" s="225"/>
      <c r="PUH119" s="225"/>
      <c r="PUI119" s="225"/>
      <c r="PUJ119" s="225"/>
      <c r="PUK119" s="225"/>
      <c r="PUL119" s="225"/>
      <c r="PUM119" s="225"/>
      <c r="PUN119" s="225"/>
      <c r="PUO119" s="225"/>
      <c r="PUP119" s="225"/>
      <c r="PUQ119" s="225"/>
      <c r="PUR119" s="225"/>
      <c r="PUS119" s="225"/>
      <c r="PUT119" s="225"/>
      <c r="PUU119" s="225"/>
      <c r="PUV119" s="225"/>
      <c r="PUW119" s="225"/>
      <c r="PUX119" s="225"/>
      <c r="PUY119" s="225"/>
      <c r="PUZ119" s="225"/>
      <c r="PVA119" s="225"/>
      <c r="PVB119" s="225"/>
      <c r="PVC119" s="225"/>
      <c r="PVD119" s="225"/>
      <c r="PVE119" s="225"/>
      <c r="PVF119" s="225"/>
      <c r="PVG119" s="225"/>
      <c r="PVH119" s="225"/>
      <c r="PVI119" s="225"/>
      <c r="PVJ119" s="225"/>
      <c r="PVK119" s="225"/>
      <c r="PVL119" s="225"/>
      <c r="PVM119" s="225"/>
      <c r="PVN119" s="225"/>
      <c r="PVO119" s="225"/>
      <c r="PVP119" s="225"/>
      <c r="PVQ119" s="225"/>
      <c r="PVR119" s="225"/>
      <c r="PVS119" s="225"/>
      <c r="PVT119" s="225"/>
      <c r="PVU119" s="225"/>
      <c r="PVV119" s="225"/>
      <c r="PVW119" s="225"/>
      <c r="PVX119" s="225"/>
      <c r="PVY119" s="225"/>
      <c r="PVZ119" s="225"/>
      <c r="PWA119" s="225"/>
      <c r="PWB119" s="225"/>
      <c r="PWC119" s="225"/>
      <c r="PWD119" s="225"/>
      <c r="PWE119" s="225"/>
      <c r="PWF119" s="225"/>
      <c r="PWG119" s="225"/>
      <c r="PWH119" s="225"/>
      <c r="PWI119" s="225"/>
      <c r="PWJ119" s="225"/>
      <c r="PWK119" s="225"/>
      <c r="PWL119" s="225"/>
      <c r="PWM119" s="225"/>
      <c r="PWN119" s="225"/>
      <c r="PWO119" s="225"/>
      <c r="PWP119" s="225"/>
      <c r="PWQ119" s="225"/>
      <c r="PWR119" s="225"/>
      <c r="PWS119" s="225"/>
      <c r="PWT119" s="225"/>
      <c r="PWU119" s="225"/>
      <c r="PWV119" s="225"/>
      <c r="PWW119" s="225"/>
      <c r="PWX119" s="225"/>
      <c r="PWY119" s="225"/>
      <c r="PWZ119" s="225"/>
      <c r="PXA119" s="225"/>
      <c r="PXB119" s="225"/>
      <c r="PXC119" s="225"/>
      <c r="PXD119" s="225"/>
      <c r="PXE119" s="225"/>
      <c r="PXF119" s="225"/>
      <c r="PXG119" s="225"/>
      <c r="PXH119" s="225"/>
      <c r="PXI119" s="225"/>
      <c r="PXJ119" s="225"/>
      <c r="PXK119" s="225"/>
      <c r="PXL119" s="225"/>
      <c r="PXM119" s="225"/>
      <c r="PXN119" s="225"/>
      <c r="PXO119" s="225"/>
      <c r="PXP119" s="225"/>
      <c r="PXQ119" s="225"/>
      <c r="PXR119" s="225"/>
      <c r="PXS119" s="225"/>
      <c r="PXT119" s="225"/>
      <c r="PXU119" s="225"/>
      <c r="PXV119" s="225"/>
      <c r="PXW119" s="225"/>
      <c r="PXX119" s="225"/>
      <c r="PXY119" s="225"/>
      <c r="PXZ119" s="225"/>
      <c r="PYA119" s="225"/>
      <c r="PYB119" s="225"/>
      <c r="PYC119" s="225"/>
      <c r="PYD119" s="225"/>
      <c r="PYE119" s="225"/>
      <c r="PYF119" s="225"/>
      <c r="PYG119" s="225"/>
      <c r="PYH119" s="225"/>
      <c r="PYI119" s="225"/>
      <c r="PYJ119" s="225"/>
      <c r="PYK119" s="225"/>
      <c r="PYL119" s="225"/>
      <c r="PYM119" s="225"/>
      <c r="PYN119" s="225"/>
      <c r="PYO119" s="225"/>
      <c r="PYP119" s="225"/>
      <c r="PYQ119" s="225"/>
      <c r="PYR119" s="225"/>
      <c r="PYS119" s="225"/>
      <c r="PYT119" s="225"/>
      <c r="PYU119" s="225"/>
      <c r="PYV119" s="225"/>
      <c r="PYW119" s="225"/>
      <c r="PYX119" s="225"/>
      <c r="PYY119" s="225"/>
      <c r="PYZ119" s="225"/>
      <c r="PZA119" s="225"/>
      <c r="PZB119" s="225"/>
      <c r="PZC119" s="225"/>
      <c r="PZD119" s="225"/>
      <c r="PZE119" s="225"/>
      <c r="PZF119" s="225"/>
      <c r="PZG119" s="225"/>
      <c r="PZH119" s="225"/>
      <c r="PZI119" s="225"/>
      <c r="PZJ119" s="225"/>
      <c r="PZK119" s="225"/>
      <c r="PZL119" s="225"/>
      <c r="PZM119" s="225"/>
      <c r="PZN119" s="225"/>
      <c r="PZO119" s="225"/>
      <c r="PZP119" s="225"/>
      <c r="PZQ119" s="225"/>
      <c r="PZR119" s="225"/>
      <c r="PZS119" s="225"/>
      <c r="PZT119" s="225"/>
      <c r="PZU119" s="225"/>
      <c r="PZV119" s="225"/>
      <c r="PZW119" s="225"/>
      <c r="PZX119" s="225"/>
      <c r="PZY119" s="225"/>
      <c r="PZZ119" s="225"/>
      <c r="QAA119" s="225"/>
      <c r="QAB119" s="225"/>
      <c r="QAC119" s="225"/>
      <c r="QAD119" s="225"/>
      <c r="QAE119" s="225"/>
      <c r="QAF119" s="225"/>
      <c r="QAG119" s="225"/>
      <c r="QAH119" s="225"/>
      <c r="QAI119" s="225"/>
      <c r="QAJ119" s="225"/>
      <c r="QAK119" s="225"/>
      <c r="QAL119" s="225"/>
      <c r="QAM119" s="225"/>
      <c r="QAN119" s="225"/>
      <c r="QAO119" s="225"/>
      <c r="QAP119" s="225"/>
      <c r="QAQ119" s="225"/>
      <c r="QAR119" s="225"/>
      <c r="QAS119" s="225"/>
      <c r="QAT119" s="225"/>
      <c r="QAU119" s="225"/>
      <c r="QAV119" s="225"/>
      <c r="QAW119" s="225"/>
      <c r="QAX119" s="225"/>
      <c r="QAY119" s="225"/>
      <c r="QAZ119" s="225"/>
      <c r="QBA119" s="225"/>
      <c r="QBB119" s="225"/>
      <c r="QBC119" s="225"/>
      <c r="QBD119" s="225"/>
      <c r="QBE119" s="225"/>
      <c r="QBF119" s="225"/>
      <c r="QBG119" s="225"/>
      <c r="QBH119" s="225"/>
      <c r="QBI119" s="225"/>
      <c r="QBJ119" s="225"/>
      <c r="QBK119" s="225"/>
      <c r="QBL119" s="225"/>
      <c r="QBM119" s="225"/>
      <c r="QBN119" s="225"/>
      <c r="QBO119" s="225"/>
      <c r="QBP119" s="225"/>
      <c r="QBQ119" s="225"/>
      <c r="QBR119" s="225"/>
      <c r="QBS119" s="225"/>
      <c r="QBT119" s="225"/>
      <c r="QBU119" s="225"/>
      <c r="QBV119" s="225"/>
      <c r="QBW119" s="225"/>
      <c r="QBX119" s="225"/>
      <c r="QBY119" s="225"/>
      <c r="QBZ119" s="225"/>
      <c r="QCA119" s="225"/>
      <c r="QCB119" s="225"/>
      <c r="QCC119" s="225"/>
      <c r="QCD119" s="225"/>
      <c r="QCE119" s="225"/>
      <c r="QCF119" s="225"/>
      <c r="QCG119" s="225"/>
      <c r="QCH119" s="225"/>
      <c r="QCI119" s="225"/>
      <c r="QCJ119" s="225"/>
      <c r="QCK119" s="225"/>
      <c r="QCL119" s="225"/>
      <c r="QCM119" s="225"/>
      <c r="QCN119" s="225"/>
      <c r="QCO119" s="225"/>
      <c r="QCP119" s="225"/>
      <c r="QCQ119" s="225"/>
      <c r="QCR119" s="225"/>
      <c r="QCS119" s="225"/>
      <c r="QCT119" s="225"/>
      <c r="QCU119" s="225"/>
      <c r="QCV119" s="225"/>
      <c r="QCW119" s="225"/>
      <c r="QCX119" s="225"/>
      <c r="QCY119" s="225"/>
      <c r="QCZ119" s="225"/>
      <c r="QDA119" s="225"/>
      <c r="QDB119" s="225"/>
      <c r="QDC119" s="225"/>
      <c r="QDD119" s="225"/>
      <c r="QDE119" s="225"/>
      <c r="QDF119" s="225"/>
      <c r="QDG119" s="225"/>
      <c r="QDH119" s="225"/>
      <c r="QDI119" s="225"/>
      <c r="QDJ119" s="225"/>
      <c r="QDK119" s="225"/>
      <c r="QDL119" s="225"/>
      <c r="QDM119" s="225"/>
      <c r="QDN119" s="225"/>
      <c r="QDO119" s="225"/>
      <c r="QDP119" s="225"/>
      <c r="QDQ119" s="225"/>
      <c r="QDR119" s="225"/>
      <c r="QDS119" s="225"/>
      <c r="QDT119" s="225"/>
      <c r="QDU119" s="225"/>
      <c r="QDV119" s="225"/>
      <c r="QDW119" s="225"/>
      <c r="QDX119" s="225"/>
      <c r="QDY119" s="225"/>
      <c r="QDZ119" s="225"/>
      <c r="QEA119" s="225"/>
      <c r="QEB119" s="225"/>
      <c r="QEC119" s="225"/>
      <c r="QED119" s="225"/>
      <c r="QEE119" s="225"/>
      <c r="QEF119" s="225"/>
      <c r="QEG119" s="225"/>
      <c r="QEH119" s="225"/>
      <c r="QEI119" s="225"/>
      <c r="QEJ119" s="225"/>
      <c r="QEK119" s="225"/>
      <c r="QEL119" s="225"/>
      <c r="QEM119" s="225"/>
      <c r="QEN119" s="225"/>
      <c r="QEO119" s="225"/>
      <c r="QEP119" s="225"/>
      <c r="QEQ119" s="225"/>
      <c r="QER119" s="225"/>
      <c r="QES119" s="225"/>
      <c r="QET119" s="225"/>
      <c r="QEU119" s="225"/>
      <c r="QEV119" s="225"/>
      <c r="QEW119" s="225"/>
      <c r="QEX119" s="225"/>
      <c r="QEY119" s="225"/>
      <c r="QEZ119" s="225"/>
      <c r="QFA119" s="225"/>
      <c r="QFB119" s="225"/>
      <c r="QFC119" s="225"/>
      <c r="QFD119" s="225"/>
      <c r="QFE119" s="225"/>
      <c r="QFF119" s="225"/>
      <c r="QFG119" s="225"/>
      <c r="QFH119" s="225"/>
      <c r="QFI119" s="225"/>
      <c r="QFJ119" s="225"/>
      <c r="QFK119" s="225"/>
      <c r="QFL119" s="225"/>
      <c r="QFM119" s="225"/>
      <c r="QFN119" s="225"/>
      <c r="QFO119" s="225"/>
      <c r="QFP119" s="225"/>
      <c r="QFQ119" s="225"/>
      <c r="QFR119" s="225"/>
      <c r="QFS119" s="225"/>
      <c r="QFT119" s="225"/>
      <c r="QFU119" s="225"/>
      <c r="QFV119" s="225"/>
      <c r="QFW119" s="225"/>
      <c r="QFX119" s="225"/>
      <c r="QFY119" s="225"/>
      <c r="QFZ119" s="225"/>
      <c r="QGA119" s="225"/>
      <c r="QGB119" s="225"/>
      <c r="QGC119" s="225"/>
      <c r="QGD119" s="225"/>
      <c r="QGE119" s="225"/>
      <c r="QGF119" s="225"/>
      <c r="QGG119" s="225"/>
      <c r="QGH119" s="225"/>
      <c r="QGI119" s="225"/>
      <c r="QGJ119" s="225"/>
      <c r="QGK119" s="225"/>
      <c r="QGL119" s="225"/>
      <c r="QGM119" s="225"/>
      <c r="QGN119" s="225"/>
      <c r="QGO119" s="225"/>
      <c r="QGP119" s="225"/>
      <c r="QGQ119" s="225"/>
      <c r="QGR119" s="225"/>
      <c r="QGS119" s="225"/>
      <c r="QGT119" s="225"/>
      <c r="QGU119" s="225"/>
      <c r="QGV119" s="225"/>
      <c r="QGW119" s="225"/>
      <c r="QGX119" s="225"/>
      <c r="QGY119" s="225"/>
      <c r="QGZ119" s="225"/>
      <c r="QHA119" s="225"/>
      <c r="QHB119" s="225"/>
      <c r="QHC119" s="225"/>
      <c r="QHD119" s="225"/>
      <c r="QHE119" s="225"/>
      <c r="QHF119" s="225"/>
      <c r="QHG119" s="225"/>
      <c r="QHH119" s="225"/>
      <c r="QHI119" s="225"/>
      <c r="QHJ119" s="225"/>
      <c r="QHK119" s="225"/>
      <c r="QHL119" s="225"/>
      <c r="QHM119" s="225"/>
      <c r="QHN119" s="225"/>
      <c r="QHO119" s="225"/>
      <c r="QHP119" s="225"/>
      <c r="QHQ119" s="225"/>
      <c r="QHR119" s="225"/>
      <c r="QHS119" s="225"/>
      <c r="QHT119" s="225"/>
      <c r="QHU119" s="225"/>
      <c r="QHV119" s="225"/>
      <c r="QHW119" s="225"/>
      <c r="QHX119" s="225"/>
      <c r="QHY119" s="225"/>
      <c r="QHZ119" s="225"/>
      <c r="QIA119" s="225"/>
      <c r="QIB119" s="225"/>
      <c r="QIC119" s="225"/>
      <c r="QID119" s="225"/>
      <c r="QIE119" s="225"/>
      <c r="QIF119" s="225"/>
      <c r="QIG119" s="225"/>
      <c r="QIH119" s="225"/>
      <c r="QII119" s="225"/>
      <c r="QIJ119" s="225"/>
      <c r="QIK119" s="225"/>
      <c r="QIL119" s="225"/>
      <c r="QIM119" s="225"/>
      <c r="QIN119" s="225"/>
      <c r="QIO119" s="225"/>
      <c r="QIP119" s="225"/>
      <c r="QIQ119" s="225"/>
      <c r="QIR119" s="225"/>
      <c r="QIS119" s="225"/>
      <c r="QIT119" s="225"/>
      <c r="QIU119" s="225"/>
      <c r="QIV119" s="225"/>
      <c r="QIW119" s="225"/>
      <c r="QIX119" s="225"/>
      <c r="QIY119" s="225"/>
      <c r="QIZ119" s="225"/>
      <c r="QJA119" s="225"/>
      <c r="QJB119" s="225"/>
      <c r="QJC119" s="225"/>
      <c r="QJD119" s="225"/>
      <c r="QJE119" s="225"/>
      <c r="QJF119" s="225"/>
      <c r="QJG119" s="225"/>
      <c r="QJH119" s="225"/>
      <c r="QJI119" s="225"/>
      <c r="QJJ119" s="225"/>
      <c r="QJK119" s="225"/>
      <c r="QJL119" s="225"/>
      <c r="QJM119" s="225"/>
      <c r="QJN119" s="225"/>
      <c r="QJO119" s="225"/>
      <c r="QJP119" s="225"/>
      <c r="QJQ119" s="225"/>
      <c r="QJR119" s="225"/>
      <c r="QJS119" s="225"/>
      <c r="QJT119" s="225"/>
      <c r="QJU119" s="225"/>
      <c r="QJV119" s="225"/>
      <c r="QJW119" s="225"/>
      <c r="QJX119" s="225"/>
      <c r="QJY119" s="225"/>
      <c r="QJZ119" s="225"/>
      <c r="QKA119" s="225"/>
      <c r="QKB119" s="225"/>
      <c r="QKC119" s="225"/>
      <c r="QKD119" s="225"/>
      <c r="QKE119" s="225"/>
      <c r="QKF119" s="225"/>
      <c r="QKG119" s="225"/>
      <c r="QKH119" s="225"/>
      <c r="QKI119" s="225"/>
      <c r="QKJ119" s="225"/>
      <c r="QKK119" s="225"/>
      <c r="QKL119" s="225"/>
      <c r="QKM119" s="225"/>
      <c r="QKN119" s="225"/>
      <c r="QKO119" s="225"/>
      <c r="QKP119" s="225"/>
      <c r="QKQ119" s="225"/>
      <c r="QKR119" s="225"/>
      <c r="QKS119" s="225"/>
      <c r="QKT119" s="225"/>
      <c r="QKU119" s="225"/>
      <c r="QKV119" s="225"/>
      <c r="QKW119" s="225"/>
      <c r="QKX119" s="225"/>
      <c r="QKY119" s="225"/>
      <c r="QKZ119" s="225"/>
      <c r="QLA119" s="225"/>
      <c r="QLB119" s="225"/>
      <c r="QLC119" s="225"/>
      <c r="QLD119" s="225"/>
      <c r="QLE119" s="225"/>
      <c r="QLF119" s="225"/>
      <c r="QLG119" s="225"/>
      <c r="QLH119" s="225"/>
      <c r="QLI119" s="225"/>
      <c r="QLJ119" s="225"/>
      <c r="QLK119" s="225"/>
      <c r="QLL119" s="225"/>
      <c r="QLM119" s="225"/>
      <c r="QLN119" s="225"/>
      <c r="QLO119" s="225"/>
      <c r="QLP119" s="225"/>
      <c r="QLQ119" s="225"/>
      <c r="QLR119" s="225"/>
      <c r="QLS119" s="225"/>
      <c r="QLT119" s="225"/>
      <c r="QLU119" s="225"/>
      <c r="QLV119" s="225"/>
      <c r="QLW119" s="225"/>
      <c r="QLX119" s="225"/>
      <c r="QLY119" s="225"/>
      <c r="QLZ119" s="225"/>
      <c r="QMA119" s="225"/>
      <c r="QMB119" s="225"/>
      <c r="QMC119" s="225"/>
      <c r="QMD119" s="225"/>
      <c r="QME119" s="225"/>
      <c r="QMF119" s="225"/>
      <c r="QMG119" s="225"/>
      <c r="QMH119" s="225"/>
      <c r="QMI119" s="225"/>
      <c r="QMJ119" s="225"/>
      <c r="QMK119" s="225"/>
      <c r="QML119" s="225"/>
      <c r="QMM119" s="225"/>
      <c r="QMN119" s="225"/>
      <c r="QMO119" s="225"/>
      <c r="QMP119" s="225"/>
      <c r="QMQ119" s="225"/>
      <c r="QMR119" s="225"/>
      <c r="QMS119" s="225"/>
      <c r="QMT119" s="225"/>
      <c r="QMU119" s="225"/>
      <c r="QMV119" s="225"/>
      <c r="QMW119" s="225"/>
      <c r="QMX119" s="225"/>
      <c r="QMY119" s="225"/>
      <c r="QMZ119" s="225"/>
      <c r="QNA119" s="225"/>
      <c r="QNB119" s="225"/>
      <c r="QNC119" s="225"/>
      <c r="QND119" s="225"/>
      <c r="QNE119" s="225"/>
      <c r="QNF119" s="225"/>
      <c r="QNG119" s="225"/>
      <c r="QNH119" s="225"/>
      <c r="QNI119" s="225"/>
      <c r="QNJ119" s="225"/>
      <c r="QNK119" s="225"/>
      <c r="QNL119" s="225"/>
      <c r="QNM119" s="225"/>
      <c r="QNN119" s="225"/>
      <c r="QNO119" s="225"/>
      <c r="QNP119" s="225"/>
      <c r="QNQ119" s="225"/>
      <c r="QNR119" s="225"/>
      <c r="QNS119" s="225"/>
      <c r="QNT119" s="225"/>
      <c r="QNU119" s="225"/>
      <c r="QNV119" s="225"/>
      <c r="QNW119" s="225"/>
      <c r="QNX119" s="225"/>
      <c r="QNY119" s="225"/>
      <c r="QNZ119" s="225"/>
      <c r="QOA119" s="225"/>
      <c r="QOB119" s="225"/>
      <c r="QOC119" s="225"/>
      <c r="QOD119" s="225"/>
      <c r="QOE119" s="225"/>
      <c r="QOF119" s="225"/>
      <c r="QOG119" s="225"/>
      <c r="QOH119" s="225"/>
      <c r="QOI119" s="225"/>
      <c r="QOJ119" s="225"/>
      <c r="QOK119" s="225"/>
      <c r="QOL119" s="225"/>
      <c r="QOM119" s="225"/>
      <c r="QON119" s="225"/>
      <c r="QOO119" s="225"/>
      <c r="QOP119" s="225"/>
      <c r="QOQ119" s="225"/>
      <c r="QOR119" s="225"/>
      <c r="QOS119" s="225"/>
      <c r="QOT119" s="225"/>
      <c r="QOU119" s="225"/>
      <c r="QOV119" s="225"/>
      <c r="QOW119" s="225"/>
      <c r="QOX119" s="225"/>
      <c r="QOY119" s="225"/>
      <c r="QOZ119" s="225"/>
      <c r="QPA119" s="225"/>
      <c r="QPB119" s="225"/>
      <c r="QPC119" s="225"/>
      <c r="QPD119" s="225"/>
      <c r="QPE119" s="225"/>
      <c r="QPF119" s="225"/>
      <c r="QPG119" s="225"/>
      <c r="QPH119" s="225"/>
      <c r="QPI119" s="225"/>
      <c r="QPJ119" s="225"/>
      <c r="QPK119" s="225"/>
      <c r="QPL119" s="225"/>
      <c r="QPM119" s="225"/>
      <c r="QPN119" s="225"/>
      <c r="QPO119" s="225"/>
      <c r="QPP119" s="225"/>
      <c r="QPQ119" s="225"/>
      <c r="QPR119" s="225"/>
      <c r="QPS119" s="225"/>
      <c r="QPT119" s="225"/>
      <c r="QPU119" s="225"/>
      <c r="QPV119" s="225"/>
      <c r="QPW119" s="225"/>
      <c r="QPX119" s="225"/>
      <c r="QPY119" s="225"/>
      <c r="QPZ119" s="225"/>
      <c r="QQA119" s="225"/>
      <c r="QQB119" s="225"/>
      <c r="QQC119" s="225"/>
      <c r="QQD119" s="225"/>
      <c r="QQE119" s="225"/>
      <c r="QQF119" s="225"/>
      <c r="QQG119" s="225"/>
      <c r="QQH119" s="225"/>
      <c r="QQI119" s="225"/>
      <c r="QQJ119" s="225"/>
      <c r="QQK119" s="225"/>
      <c r="QQL119" s="225"/>
      <c r="QQM119" s="225"/>
      <c r="QQN119" s="225"/>
      <c r="QQO119" s="225"/>
      <c r="QQP119" s="225"/>
      <c r="QQQ119" s="225"/>
      <c r="QQR119" s="225"/>
      <c r="QQS119" s="225"/>
      <c r="QQT119" s="225"/>
      <c r="QQU119" s="225"/>
      <c r="QQV119" s="225"/>
      <c r="QQW119" s="225"/>
      <c r="QQX119" s="225"/>
      <c r="QQY119" s="225"/>
      <c r="QQZ119" s="225"/>
      <c r="QRA119" s="225"/>
      <c r="QRB119" s="225"/>
      <c r="QRC119" s="225"/>
      <c r="QRD119" s="225"/>
      <c r="QRE119" s="225"/>
      <c r="QRF119" s="225"/>
      <c r="QRG119" s="225"/>
      <c r="QRH119" s="225"/>
      <c r="QRI119" s="225"/>
      <c r="QRJ119" s="225"/>
      <c r="QRK119" s="225"/>
      <c r="QRL119" s="225"/>
      <c r="QRM119" s="225"/>
      <c r="QRN119" s="225"/>
      <c r="QRO119" s="225"/>
      <c r="QRP119" s="225"/>
      <c r="QRQ119" s="225"/>
      <c r="QRR119" s="225"/>
      <c r="QRS119" s="225"/>
      <c r="QRT119" s="225"/>
      <c r="QRU119" s="225"/>
      <c r="QRV119" s="225"/>
      <c r="QRW119" s="225"/>
      <c r="QRX119" s="225"/>
      <c r="QRY119" s="225"/>
      <c r="QRZ119" s="225"/>
      <c r="QSA119" s="225"/>
      <c r="QSB119" s="225"/>
      <c r="QSC119" s="225"/>
      <c r="QSD119" s="225"/>
      <c r="QSE119" s="225"/>
      <c r="QSF119" s="225"/>
      <c r="QSG119" s="225"/>
      <c r="QSH119" s="225"/>
      <c r="QSI119" s="225"/>
      <c r="QSJ119" s="225"/>
      <c r="QSK119" s="225"/>
      <c r="QSL119" s="225"/>
      <c r="QSM119" s="225"/>
      <c r="QSN119" s="225"/>
      <c r="QSO119" s="225"/>
      <c r="QSP119" s="225"/>
      <c r="QSQ119" s="225"/>
      <c r="QSR119" s="225"/>
      <c r="QSS119" s="225"/>
      <c r="QST119" s="225"/>
      <c r="QSU119" s="225"/>
      <c r="QSV119" s="225"/>
      <c r="QSW119" s="225"/>
      <c r="QSX119" s="225"/>
      <c r="QSY119" s="225"/>
      <c r="QSZ119" s="225"/>
      <c r="QTA119" s="225"/>
      <c r="QTB119" s="225"/>
      <c r="QTC119" s="225"/>
      <c r="QTD119" s="225"/>
      <c r="QTE119" s="225"/>
      <c r="QTF119" s="225"/>
      <c r="QTG119" s="225"/>
      <c r="QTH119" s="225"/>
      <c r="QTI119" s="225"/>
      <c r="QTJ119" s="225"/>
      <c r="QTK119" s="225"/>
      <c r="QTL119" s="225"/>
      <c r="QTM119" s="225"/>
      <c r="QTN119" s="225"/>
      <c r="QTO119" s="225"/>
      <c r="QTP119" s="225"/>
      <c r="QTQ119" s="225"/>
      <c r="QTR119" s="225"/>
      <c r="QTS119" s="225"/>
      <c r="QTT119" s="225"/>
      <c r="QTU119" s="225"/>
      <c r="QTV119" s="225"/>
      <c r="QTW119" s="225"/>
      <c r="QTX119" s="225"/>
      <c r="QTY119" s="225"/>
      <c r="QTZ119" s="225"/>
      <c r="QUA119" s="225"/>
      <c r="QUB119" s="225"/>
      <c r="QUC119" s="225"/>
      <c r="QUD119" s="225"/>
      <c r="QUE119" s="225"/>
      <c r="QUF119" s="225"/>
      <c r="QUG119" s="225"/>
      <c r="QUH119" s="225"/>
      <c r="QUI119" s="225"/>
      <c r="QUJ119" s="225"/>
      <c r="QUK119" s="225"/>
      <c r="QUL119" s="225"/>
      <c r="QUM119" s="225"/>
      <c r="QUN119" s="225"/>
      <c r="QUO119" s="225"/>
      <c r="QUP119" s="225"/>
      <c r="QUQ119" s="225"/>
      <c r="QUR119" s="225"/>
      <c r="QUS119" s="225"/>
      <c r="QUT119" s="225"/>
      <c r="QUU119" s="225"/>
      <c r="QUV119" s="225"/>
      <c r="QUW119" s="225"/>
      <c r="QUX119" s="225"/>
      <c r="QUY119" s="225"/>
      <c r="QUZ119" s="225"/>
      <c r="QVA119" s="225"/>
      <c r="QVB119" s="225"/>
      <c r="QVC119" s="225"/>
      <c r="QVD119" s="225"/>
      <c r="QVE119" s="225"/>
      <c r="QVF119" s="225"/>
      <c r="QVG119" s="225"/>
      <c r="QVH119" s="225"/>
      <c r="QVI119" s="225"/>
      <c r="QVJ119" s="225"/>
      <c r="QVK119" s="225"/>
      <c r="QVL119" s="225"/>
      <c r="QVM119" s="225"/>
      <c r="QVN119" s="225"/>
      <c r="QVO119" s="225"/>
      <c r="QVP119" s="225"/>
      <c r="QVQ119" s="225"/>
      <c r="QVR119" s="225"/>
      <c r="QVS119" s="225"/>
      <c r="QVT119" s="225"/>
      <c r="QVU119" s="225"/>
      <c r="QVV119" s="225"/>
      <c r="QVW119" s="225"/>
      <c r="QVX119" s="225"/>
      <c r="QVY119" s="225"/>
      <c r="QVZ119" s="225"/>
      <c r="QWA119" s="225"/>
      <c r="QWB119" s="225"/>
      <c r="QWC119" s="225"/>
      <c r="QWD119" s="225"/>
      <c r="QWE119" s="225"/>
      <c r="QWF119" s="225"/>
      <c r="QWG119" s="225"/>
      <c r="QWH119" s="225"/>
      <c r="QWI119" s="225"/>
      <c r="QWJ119" s="225"/>
      <c r="QWK119" s="225"/>
      <c r="QWL119" s="225"/>
      <c r="QWM119" s="225"/>
      <c r="QWN119" s="225"/>
      <c r="QWO119" s="225"/>
      <c r="QWP119" s="225"/>
      <c r="QWQ119" s="225"/>
      <c r="QWR119" s="225"/>
      <c r="QWS119" s="225"/>
      <c r="QWT119" s="225"/>
      <c r="QWU119" s="225"/>
      <c r="QWV119" s="225"/>
      <c r="QWW119" s="225"/>
      <c r="QWX119" s="225"/>
      <c r="QWY119" s="225"/>
      <c r="QWZ119" s="225"/>
      <c r="QXA119" s="225"/>
      <c r="QXB119" s="225"/>
      <c r="QXC119" s="225"/>
      <c r="QXD119" s="225"/>
      <c r="QXE119" s="225"/>
      <c r="QXF119" s="225"/>
      <c r="QXG119" s="225"/>
      <c r="QXH119" s="225"/>
      <c r="QXI119" s="225"/>
      <c r="QXJ119" s="225"/>
      <c r="QXK119" s="225"/>
      <c r="QXL119" s="225"/>
      <c r="QXM119" s="225"/>
      <c r="QXN119" s="225"/>
      <c r="QXO119" s="225"/>
      <c r="QXP119" s="225"/>
      <c r="QXQ119" s="225"/>
      <c r="QXR119" s="225"/>
      <c r="QXS119" s="225"/>
      <c r="QXT119" s="225"/>
      <c r="QXU119" s="225"/>
      <c r="QXV119" s="225"/>
      <c r="QXW119" s="225"/>
      <c r="QXX119" s="225"/>
      <c r="QXY119" s="225"/>
      <c r="QXZ119" s="225"/>
      <c r="QYA119" s="225"/>
      <c r="QYB119" s="225"/>
      <c r="QYC119" s="225"/>
      <c r="QYD119" s="225"/>
      <c r="QYE119" s="225"/>
      <c r="QYF119" s="225"/>
      <c r="QYG119" s="225"/>
      <c r="QYH119" s="225"/>
      <c r="QYI119" s="225"/>
      <c r="QYJ119" s="225"/>
      <c r="QYK119" s="225"/>
      <c r="QYL119" s="225"/>
      <c r="QYM119" s="225"/>
      <c r="QYN119" s="225"/>
      <c r="QYO119" s="225"/>
      <c r="QYP119" s="225"/>
      <c r="QYQ119" s="225"/>
      <c r="QYR119" s="225"/>
      <c r="QYS119" s="225"/>
      <c r="QYT119" s="225"/>
      <c r="QYU119" s="225"/>
      <c r="QYV119" s="225"/>
      <c r="QYW119" s="225"/>
      <c r="QYX119" s="225"/>
      <c r="QYY119" s="225"/>
      <c r="QYZ119" s="225"/>
      <c r="QZA119" s="225"/>
      <c r="QZB119" s="225"/>
      <c r="QZC119" s="225"/>
      <c r="QZD119" s="225"/>
      <c r="QZE119" s="225"/>
      <c r="QZF119" s="225"/>
      <c r="QZG119" s="225"/>
      <c r="QZH119" s="225"/>
      <c r="QZI119" s="225"/>
      <c r="QZJ119" s="225"/>
      <c r="QZK119" s="225"/>
      <c r="QZL119" s="225"/>
      <c r="QZM119" s="225"/>
      <c r="QZN119" s="225"/>
      <c r="QZO119" s="225"/>
      <c r="QZP119" s="225"/>
      <c r="QZQ119" s="225"/>
      <c r="QZR119" s="225"/>
      <c r="QZS119" s="225"/>
      <c r="QZT119" s="225"/>
      <c r="QZU119" s="225"/>
      <c r="QZV119" s="225"/>
      <c r="QZW119" s="225"/>
      <c r="QZX119" s="225"/>
      <c r="QZY119" s="225"/>
      <c r="QZZ119" s="225"/>
      <c r="RAA119" s="225"/>
      <c r="RAB119" s="225"/>
      <c r="RAC119" s="225"/>
      <c r="RAD119" s="225"/>
      <c r="RAE119" s="225"/>
      <c r="RAF119" s="225"/>
      <c r="RAG119" s="225"/>
      <c r="RAH119" s="225"/>
      <c r="RAI119" s="225"/>
      <c r="RAJ119" s="225"/>
      <c r="RAK119" s="225"/>
      <c r="RAL119" s="225"/>
      <c r="RAM119" s="225"/>
      <c r="RAN119" s="225"/>
      <c r="RAO119" s="225"/>
      <c r="RAP119" s="225"/>
      <c r="RAQ119" s="225"/>
      <c r="RAR119" s="225"/>
      <c r="RAS119" s="225"/>
      <c r="RAT119" s="225"/>
      <c r="RAU119" s="225"/>
      <c r="RAV119" s="225"/>
      <c r="RAW119" s="225"/>
      <c r="RAX119" s="225"/>
      <c r="RAY119" s="225"/>
      <c r="RAZ119" s="225"/>
      <c r="RBA119" s="225"/>
      <c r="RBB119" s="225"/>
      <c r="RBC119" s="225"/>
      <c r="RBD119" s="225"/>
      <c r="RBE119" s="225"/>
      <c r="RBF119" s="225"/>
      <c r="RBG119" s="225"/>
      <c r="RBH119" s="225"/>
      <c r="RBI119" s="225"/>
      <c r="RBJ119" s="225"/>
      <c r="RBK119" s="225"/>
      <c r="RBL119" s="225"/>
      <c r="RBM119" s="225"/>
      <c r="RBN119" s="225"/>
      <c r="RBO119" s="225"/>
      <c r="RBP119" s="225"/>
      <c r="RBQ119" s="225"/>
      <c r="RBR119" s="225"/>
      <c r="RBS119" s="225"/>
      <c r="RBT119" s="225"/>
      <c r="RBU119" s="225"/>
      <c r="RBV119" s="225"/>
      <c r="RBW119" s="225"/>
      <c r="RBX119" s="225"/>
      <c r="RBY119" s="225"/>
      <c r="RBZ119" s="225"/>
      <c r="RCA119" s="225"/>
      <c r="RCB119" s="225"/>
      <c r="RCC119" s="225"/>
      <c r="RCD119" s="225"/>
      <c r="RCE119" s="225"/>
      <c r="RCF119" s="225"/>
      <c r="RCG119" s="225"/>
      <c r="RCH119" s="225"/>
      <c r="RCI119" s="225"/>
      <c r="RCJ119" s="225"/>
      <c r="RCK119" s="225"/>
      <c r="RCL119" s="225"/>
      <c r="RCM119" s="225"/>
      <c r="RCN119" s="225"/>
      <c r="RCO119" s="225"/>
      <c r="RCP119" s="225"/>
      <c r="RCQ119" s="225"/>
      <c r="RCR119" s="225"/>
      <c r="RCS119" s="225"/>
      <c r="RCT119" s="225"/>
      <c r="RCU119" s="225"/>
      <c r="RCV119" s="225"/>
      <c r="RCW119" s="225"/>
      <c r="RCX119" s="225"/>
      <c r="RCY119" s="225"/>
      <c r="RCZ119" s="225"/>
      <c r="RDA119" s="225"/>
      <c r="RDB119" s="225"/>
      <c r="RDC119" s="225"/>
      <c r="RDD119" s="225"/>
      <c r="RDE119" s="225"/>
      <c r="RDF119" s="225"/>
      <c r="RDG119" s="225"/>
      <c r="RDH119" s="225"/>
      <c r="RDI119" s="225"/>
      <c r="RDJ119" s="225"/>
      <c r="RDK119" s="225"/>
      <c r="RDL119" s="225"/>
      <c r="RDM119" s="225"/>
      <c r="RDN119" s="225"/>
      <c r="RDO119" s="225"/>
      <c r="RDP119" s="225"/>
      <c r="RDQ119" s="225"/>
      <c r="RDR119" s="225"/>
      <c r="RDS119" s="225"/>
      <c r="RDT119" s="225"/>
      <c r="RDU119" s="225"/>
      <c r="RDV119" s="225"/>
      <c r="RDW119" s="225"/>
      <c r="RDX119" s="225"/>
      <c r="RDY119" s="225"/>
      <c r="RDZ119" s="225"/>
      <c r="REA119" s="225"/>
      <c r="REB119" s="225"/>
      <c r="REC119" s="225"/>
      <c r="RED119" s="225"/>
      <c r="REE119" s="225"/>
      <c r="REF119" s="225"/>
      <c r="REG119" s="225"/>
      <c r="REH119" s="225"/>
      <c r="REI119" s="225"/>
      <c r="REJ119" s="225"/>
      <c r="REK119" s="225"/>
      <c r="REL119" s="225"/>
      <c r="REM119" s="225"/>
      <c r="REN119" s="225"/>
      <c r="REO119" s="225"/>
      <c r="REP119" s="225"/>
      <c r="REQ119" s="225"/>
      <c r="RER119" s="225"/>
      <c r="RES119" s="225"/>
      <c r="RET119" s="225"/>
      <c r="REU119" s="225"/>
      <c r="REV119" s="225"/>
      <c r="REW119" s="225"/>
      <c r="REX119" s="225"/>
      <c r="REY119" s="225"/>
      <c r="REZ119" s="225"/>
      <c r="RFA119" s="225"/>
      <c r="RFB119" s="225"/>
      <c r="RFC119" s="225"/>
      <c r="RFD119" s="225"/>
      <c r="RFE119" s="225"/>
      <c r="RFF119" s="225"/>
      <c r="RFG119" s="225"/>
      <c r="RFH119" s="225"/>
      <c r="RFI119" s="225"/>
      <c r="RFJ119" s="225"/>
      <c r="RFK119" s="225"/>
      <c r="RFL119" s="225"/>
      <c r="RFM119" s="225"/>
      <c r="RFN119" s="225"/>
      <c r="RFO119" s="225"/>
      <c r="RFP119" s="225"/>
      <c r="RFQ119" s="225"/>
      <c r="RFR119" s="225"/>
      <c r="RFS119" s="225"/>
      <c r="RFT119" s="225"/>
      <c r="RFU119" s="225"/>
      <c r="RFV119" s="225"/>
      <c r="RFW119" s="225"/>
      <c r="RFX119" s="225"/>
      <c r="RFY119" s="225"/>
      <c r="RFZ119" s="225"/>
      <c r="RGA119" s="225"/>
      <c r="RGB119" s="225"/>
      <c r="RGC119" s="225"/>
      <c r="RGD119" s="225"/>
      <c r="RGE119" s="225"/>
      <c r="RGF119" s="225"/>
      <c r="RGG119" s="225"/>
      <c r="RGH119" s="225"/>
      <c r="RGI119" s="225"/>
      <c r="RGJ119" s="225"/>
      <c r="RGK119" s="225"/>
      <c r="RGL119" s="225"/>
      <c r="RGM119" s="225"/>
      <c r="RGN119" s="225"/>
      <c r="RGO119" s="225"/>
      <c r="RGP119" s="225"/>
      <c r="RGQ119" s="225"/>
      <c r="RGR119" s="225"/>
      <c r="RGS119" s="225"/>
      <c r="RGT119" s="225"/>
      <c r="RGU119" s="225"/>
      <c r="RGV119" s="225"/>
      <c r="RGW119" s="225"/>
      <c r="RGX119" s="225"/>
      <c r="RGY119" s="225"/>
      <c r="RGZ119" s="225"/>
      <c r="RHA119" s="225"/>
      <c r="RHB119" s="225"/>
      <c r="RHC119" s="225"/>
      <c r="RHD119" s="225"/>
      <c r="RHE119" s="225"/>
      <c r="RHF119" s="225"/>
      <c r="RHG119" s="225"/>
      <c r="RHH119" s="225"/>
      <c r="RHI119" s="225"/>
      <c r="RHJ119" s="225"/>
      <c r="RHK119" s="225"/>
      <c r="RHL119" s="225"/>
      <c r="RHM119" s="225"/>
      <c r="RHN119" s="225"/>
      <c r="RHO119" s="225"/>
      <c r="RHP119" s="225"/>
      <c r="RHQ119" s="225"/>
      <c r="RHR119" s="225"/>
      <c r="RHS119" s="225"/>
      <c r="RHT119" s="225"/>
      <c r="RHU119" s="225"/>
      <c r="RHV119" s="225"/>
      <c r="RHW119" s="225"/>
      <c r="RHX119" s="225"/>
      <c r="RHY119" s="225"/>
      <c r="RHZ119" s="225"/>
      <c r="RIA119" s="225"/>
      <c r="RIB119" s="225"/>
      <c r="RIC119" s="225"/>
      <c r="RID119" s="225"/>
      <c r="RIE119" s="225"/>
      <c r="RIF119" s="225"/>
      <c r="RIG119" s="225"/>
      <c r="RIH119" s="225"/>
      <c r="RII119" s="225"/>
      <c r="RIJ119" s="225"/>
      <c r="RIK119" s="225"/>
      <c r="RIL119" s="225"/>
      <c r="RIM119" s="225"/>
      <c r="RIN119" s="225"/>
      <c r="RIO119" s="225"/>
      <c r="RIP119" s="225"/>
      <c r="RIQ119" s="225"/>
      <c r="RIR119" s="225"/>
      <c r="RIS119" s="225"/>
      <c r="RIT119" s="225"/>
      <c r="RIU119" s="225"/>
      <c r="RIV119" s="225"/>
      <c r="RIW119" s="225"/>
      <c r="RIX119" s="225"/>
      <c r="RIY119" s="225"/>
      <c r="RIZ119" s="225"/>
      <c r="RJA119" s="225"/>
      <c r="RJB119" s="225"/>
      <c r="RJC119" s="225"/>
      <c r="RJD119" s="225"/>
      <c r="RJE119" s="225"/>
      <c r="RJF119" s="225"/>
      <c r="RJG119" s="225"/>
      <c r="RJH119" s="225"/>
      <c r="RJI119" s="225"/>
      <c r="RJJ119" s="225"/>
      <c r="RJK119" s="225"/>
      <c r="RJL119" s="225"/>
      <c r="RJM119" s="225"/>
      <c r="RJN119" s="225"/>
      <c r="RJO119" s="225"/>
      <c r="RJP119" s="225"/>
      <c r="RJQ119" s="225"/>
      <c r="RJR119" s="225"/>
      <c r="RJS119" s="225"/>
      <c r="RJT119" s="225"/>
      <c r="RJU119" s="225"/>
      <c r="RJV119" s="225"/>
      <c r="RJW119" s="225"/>
      <c r="RJX119" s="225"/>
      <c r="RJY119" s="225"/>
      <c r="RJZ119" s="225"/>
      <c r="RKA119" s="225"/>
      <c r="RKB119" s="225"/>
      <c r="RKC119" s="225"/>
      <c r="RKD119" s="225"/>
      <c r="RKE119" s="225"/>
      <c r="RKF119" s="225"/>
      <c r="RKG119" s="225"/>
      <c r="RKH119" s="225"/>
      <c r="RKI119" s="225"/>
      <c r="RKJ119" s="225"/>
      <c r="RKK119" s="225"/>
      <c r="RKL119" s="225"/>
      <c r="RKM119" s="225"/>
      <c r="RKN119" s="225"/>
      <c r="RKO119" s="225"/>
      <c r="RKP119" s="225"/>
      <c r="RKQ119" s="225"/>
      <c r="RKR119" s="225"/>
      <c r="RKS119" s="225"/>
      <c r="RKT119" s="225"/>
      <c r="RKU119" s="225"/>
      <c r="RKV119" s="225"/>
      <c r="RKW119" s="225"/>
      <c r="RKX119" s="225"/>
      <c r="RKY119" s="225"/>
      <c r="RKZ119" s="225"/>
      <c r="RLA119" s="225"/>
      <c r="RLB119" s="225"/>
      <c r="RLC119" s="225"/>
      <c r="RLD119" s="225"/>
      <c r="RLE119" s="225"/>
      <c r="RLF119" s="225"/>
      <c r="RLG119" s="225"/>
      <c r="RLH119" s="225"/>
      <c r="RLI119" s="225"/>
      <c r="RLJ119" s="225"/>
      <c r="RLK119" s="225"/>
      <c r="RLL119" s="225"/>
      <c r="RLM119" s="225"/>
      <c r="RLN119" s="225"/>
      <c r="RLO119" s="225"/>
      <c r="RLP119" s="225"/>
      <c r="RLQ119" s="225"/>
      <c r="RLR119" s="225"/>
      <c r="RLS119" s="225"/>
      <c r="RLT119" s="225"/>
      <c r="RLU119" s="225"/>
      <c r="RLV119" s="225"/>
      <c r="RLW119" s="225"/>
      <c r="RLX119" s="225"/>
      <c r="RLY119" s="225"/>
      <c r="RLZ119" s="225"/>
      <c r="RMA119" s="225"/>
      <c r="RMB119" s="225"/>
      <c r="RMC119" s="225"/>
      <c r="RMD119" s="225"/>
      <c r="RME119" s="225"/>
      <c r="RMF119" s="225"/>
      <c r="RMG119" s="225"/>
      <c r="RMH119" s="225"/>
      <c r="RMI119" s="225"/>
      <c r="RMJ119" s="225"/>
      <c r="RMK119" s="225"/>
      <c r="RML119" s="225"/>
      <c r="RMM119" s="225"/>
      <c r="RMN119" s="225"/>
      <c r="RMO119" s="225"/>
      <c r="RMP119" s="225"/>
      <c r="RMQ119" s="225"/>
      <c r="RMR119" s="225"/>
      <c r="RMS119" s="225"/>
      <c r="RMT119" s="225"/>
      <c r="RMU119" s="225"/>
      <c r="RMV119" s="225"/>
      <c r="RMW119" s="225"/>
      <c r="RMX119" s="225"/>
      <c r="RMY119" s="225"/>
      <c r="RMZ119" s="225"/>
      <c r="RNA119" s="225"/>
      <c r="RNB119" s="225"/>
      <c r="RNC119" s="225"/>
      <c r="RND119" s="225"/>
      <c r="RNE119" s="225"/>
      <c r="RNF119" s="225"/>
      <c r="RNG119" s="225"/>
      <c r="RNH119" s="225"/>
      <c r="RNI119" s="225"/>
      <c r="RNJ119" s="225"/>
      <c r="RNK119" s="225"/>
      <c r="RNL119" s="225"/>
      <c r="RNM119" s="225"/>
      <c r="RNN119" s="225"/>
      <c r="RNO119" s="225"/>
      <c r="RNP119" s="225"/>
      <c r="RNQ119" s="225"/>
      <c r="RNR119" s="225"/>
      <c r="RNS119" s="225"/>
      <c r="RNT119" s="225"/>
      <c r="RNU119" s="225"/>
      <c r="RNV119" s="225"/>
      <c r="RNW119" s="225"/>
      <c r="RNX119" s="225"/>
      <c r="RNY119" s="225"/>
      <c r="RNZ119" s="225"/>
      <c r="ROA119" s="225"/>
      <c r="ROB119" s="225"/>
      <c r="ROC119" s="225"/>
      <c r="ROD119" s="225"/>
      <c r="ROE119" s="225"/>
      <c r="ROF119" s="225"/>
      <c r="ROG119" s="225"/>
      <c r="ROH119" s="225"/>
      <c r="ROI119" s="225"/>
      <c r="ROJ119" s="225"/>
      <c r="ROK119" s="225"/>
      <c r="ROL119" s="225"/>
      <c r="ROM119" s="225"/>
      <c r="RON119" s="225"/>
      <c r="ROO119" s="225"/>
      <c r="ROP119" s="225"/>
      <c r="ROQ119" s="225"/>
      <c r="ROR119" s="225"/>
      <c r="ROS119" s="225"/>
      <c r="ROT119" s="225"/>
      <c r="ROU119" s="225"/>
      <c r="ROV119" s="225"/>
      <c r="ROW119" s="225"/>
      <c r="ROX119" s="225"/>
      <c r="ROY119" s="225"/>
      <c r="ROZ119" s="225"/>
      <c r="RPA119" s="225"/>
      <c r="RPB119" s="225"/>
      <c r="RPC119" s="225"/>
      <c r="RPD119" s="225"/>
      <c r="RPE119" s="225"/>
      <c r="RPF119" s="225"/>
      <c r="RPG119" s="225"/>
      <c r="RPH119" s="225"/>
      <c r="RPI119" s="225"/>
      <c r="RPJ119" s="225"/>
      <c r="RPK119" s="225"/>
      <c r="RPL119" s="225"/>
      <c r="RPM119" s="225"/>
      <c r="RPN119" s="225"/>
      <c r="RPO119" s="225"/>
      <c r="RPP119" s="225"/>
      <c r="RPQ119" s="225"/>
      <c r="RPR119" s="225"/>
      <c r="RPS119" s="225"/>
      <c r="RPT119" s="225"/>
      <c r="RPU119" s="225"/>
      <c r="RPV119" s="225"/>
      <c r="RPW119" s="225"/>
      <c r="RPX119" s="225"/>
      <c r="RPY119" s="225"/>
      <c r="RPZ119" s="225"/>
      <c r="RQA119" s="225"/>
      <c r="RQB119" s="225"/>
      <c r="RQC119" s="225"/>
      <c r="RQD119" s="225"/>
      <c r="RQE119" s="225"/>
      <c r="RQF119" s="225"/>
      <c r="RQG119" s="225"/>
      <c r="RQH119" s="225"/>
      <c r="RQI119" s="225"/>
      <c r="RQJ119" s="225"/>
      <c r="RQK119" s="225"/>
      <c r="RQL119" s="225"/>
      <c r="RQM119" s="225"/>
      <c r="RQN119" s="225"/>
      <c r="RQO119" s="225"/>
      <c r="RQP119" s="225"/>
      <c r="RQQ119" s="225"/>
      <c r="RQR119" s="225"/>
      <c r="RQS119" s="225"/>
      <c r="RQT119" s="225"/>
      <c r="RQU119" s="225"/>
      <c r="RQV119" s="225"/>
      <c r="RQW119" s="225"/>
      <c r="RQX119" s="225"/>
      <c r="RQY119" s="225"/>
      <c r="RQZ119" s="225"/>
      <c r="RRA119" s="225"/>
      <c r="RRB119" s="225"/>
      <c r="RRC119" s="225"/>
      <c r="RRD119" s="225"/>
      <c r="RRE119" s="225"/>
      <c r="RRF119" s="225"/>
      <c r="RRG119" s="225"/>
      <c r="RRH119" s="225"/>
      <c r="RRI119" s="225"/>
      <c r="RRJ119" s="225"/>
      <c r="RRK119" s="225"/>
      <c r="RRL119" s="225"/>
      <c r="RRM119" s="225"/>
      <c r="RRN119" s="225"/>
      <c r="RRO119" s="225"/>
      <c r="RRP119" s="225"/>
      <c r="RRQ119" s="225"/>
      <c r="RRR119" s="225"/>
      <c r="RRS119" s="225"/>
      <c r="RRT119" s="225"/>
      <c r="RRU119" s="225"/>
      <c r="RRV119" s="225"/>
      <c r="RRW119" s="225"/>
      <c r="RRX119" s="225"/>
      <c r="RRY119" s="225"/>
      <c r="RRZ119" s="225"/>
      <c r="RSA119" s="225"/>
      <c r="RSB119" s="225"/>
      <c r="RSC119" s="225"/>
      <c r="RSD119" s="225"/>
      <c r="RSE119" s="225"/>
      <c r="RSF119" s="225"/>
      <c r="RSG119" s="225"/>
      <c r="RSH119" s="225"/>
      <c r="RSI119" s="225"/>
      <c r="RSJ119" s="225"/>
      <c r="RSK119" s="225"/>
      <c r="RSL119" s="225"/>
      <c r="RSM119" s="225"/>
      <c r="RSN119" s="225"/>
      <c r="RSO119" s="225"/>
      <c r="RSP119" s="225"/>
      <c r="RSQ119" s="225"/>
      <c r="RSR119" s="225"/>
      <c r="RSS119" s="225"/>
      <c r="RST119" s="225"/>
      <c r="RSU119" s="225"/>
      <c r="RSV119" s="225"/>
      <c r="RSW119" s="225"/>
      <c r="RSX119" s="225"/>
      <c r="RSY119" s="225"/>
      <c r="RSZ119" s="225"/>
      <c r="RTA119" s="225"/>
      <c r="RTB119" s="225"/>
      <c r="RTC119" s="225"/>
      <c r="RTD119" s="225"/>
      <c r="RTE119" s="225"/>
      <c r="RTF119" s="225"/>
      <c r="RTG119" s="225"/>
      <c r="RTH119" s="225"/>
      <c r="RTI119" s="225"/>
      <c r="RTJ119" s="225"/>
      <c r="RTK119" s="225"/>
      <c r="RTL119" s="225"/>
      <c r="RTM119" s="225"/>
      <c r="RTN119" s="225"/>
      <c r="RTO119" s="225"/>
      <c r="RTP119" s="225"/>
      <c r="RTQ119" s="225"/>
      <c r="RTR119" s="225"/>
      <c r="RTS119" s="225"/>
      <c r="RTT119" s="225"/>
      <c r="RTU119" s="225"/>
      <c r="RTV119" s="225"/>
      <c r="RTW119" s="225"/>
      <c r="RTX119" s="225"/>
      <c r="RTY119" s="225"/>
      <c r="RTZ119" s="225"/>
      <c r="RUA119" s="225"/>
      <c r="RUB119" s="225"/>
      <c r="RUC119" s="225"/>
      <c r="RUD119" s="225"/>
      <c r="RUE119" s="225"/>
      <c r="RUF119" s="225"/>
      <c r="RUG119" s="225"/>
      <c r="RUH119" s="225"/>
      <c r="RUI119" s="225"/>
      <c r="RUJ119" s="225"/>
      <c r="RUK119" s="225"/>
      <c r="RUL119" s="225"/>
      <c r="RUM119" s="225"/>
      <c r="RUN119" s="225"/>
      <c r="RUO119" s="225"/>
      <c r="RUP119" s="225"/>
      <c r="RUQ119" s="225"/>
      <c r="RUR119" s="225"/>
      <c r="RUS119" s="225"/>
      <c r="RUT119" s="225"/>
      <c r="RUU119" s="225"/>
      <c r="RUV119" s="225"/>
      <c r="RUW119" s="225"/>
      <c r="RUX119" s="225"/>
      <c r="RUY119" s="225"/>
      <c r="RUZ119" s="225"/>
      <c r="RVA119" s="225"/>
      <c r="RVB119" s="225"/>
      <c r="RVC119" s="225"/>
      <c r="RVD119" s="225"/>
      <c r="RVE119" s="225"/>
      <c r="RVF119" s="225"/>
      <c r="RVG119" s="225"/>
      <c r="RVH119" s="225"/>
      <c r="RVI119" s="225"/>
      <c r="RVJ119" s="225"/>
      <c r="RVK119" s="225"/>
      <c r="RVL119" s="225"/>
      <c r="RVM119" s="225"/>
      <c r="RVN119" s="225"/>
      <c r="RVO119" s="225"/>
      <c r="RVP119" s="225"/>
      <c r="RVQ119" s="225"/>
      <c r="RVR119" s="225"/>
      <c r="RVS119" s="225"/>
      <c r="RVT119" s="225"/>
      <c r="RVU119" s="225"/>
      <c r="RVV119" s="225"/>
      <c r="RVW119" s="225"/>
      <c r="RVX119" s="225"/>
      <c r="RVY119" s="225"/>
      <c r="RVZ119" s="225"/>
      <c r="RWA119" s="225"/>
      <c r="RWB119" s="225"/>
      <c r="RWC119" s="225"/>
      <c r="RWD119" s="225"/>
      <c r="RWE119" s="225"/>
      <c r="RWF119" s="225"/>
      <c r="RWG119" s="225"/>
      <c r="RWH119" s="225"/>
      <c r="RWI119" s="225"/>
      <c r="RWJ119" s="225"/>
      <c r="RWK119" s="225"/>
      <c r="RWL119" s="225"/>
      <c r="RWM119" s="225"/>
      <c r="RWN119" s="225"/>
      <c r="RWO119" s="225"/>
      <c r="RWP119" s="225"/>
      <c r="RWQ119" s="225"/>
      <c r="RWR119" s="225"/>
      <c r="RWS119" s="225"/>
      <c r="RWT119" s="225"/>
      <c r="RWU119" s="225"/>
      <c r="RWV119" s="225"/>
      <c r="RWW119" s="225"/>
      <c r="RWX119" s="225"/>
      <c r="RWY119" s="225"/>
      <c r="RWZ119" s="225"/>
      <c r="RXA119" s="225"/>
      <c r="RXB119" s="225"/>
      <c r="RXC119" s="225"/>
      <c r="RXD119" s="225"/>
      <c r="RXE119" s="225"/>
      <c r="RXF119" s="225"/>
      <c r="RXG119" s="225"/>
      <c r="RXH119" s="225"/>
      <c r="RXI119" s="225"/>
      <c r="RXJ119" s="225"/>
      <c r="RXK119" s="225"/>
      <c r="RXL119" s="225"/>
      <c r="RXM119" s="225"/>
      <c r="RXN119" s="225"/>
      <c r="RXO119" s="225"/>
      <c r="RXP119" s="225"/>
      <c r="RXQ119" s="225"/>
      <c r="RXR119" s="225"/>
      <c r="RXS119" s="225"/>
      <c r="RXT119" s="225"/>
      <c r="RXU119" s="225"/>
      <c r="RXV119" s="225"/>
      <c r="RXW119" s="225"/>
      <c r="RXX119" s="225"/>
      <c r="RXY119" s="225"/>
      <c r="RXZ119" s="225"/>
      <c r="RYA119" s="225"/>
      <c r="RYB119" s="225"/>
      <c r="RYC119" s="225"/>
      <c r="RYD119" s="225"/>
      <c r="RYE119" s="225"/>
      <c r="RYF119" s="225"/>
      <c r="RYG119" s="225"/>
      <c r="RYH119" s="225"/>
      <c r="RYI119" s="225"/>
      <c r="RYJ119" s="225"/>
      <c r="RYK119" s="225"/>
      <c r="RYL119" s="225"/>
      <c r="RYM119" s="225"/>
      <c r="RYN119" s="225"/>
      <c r="RYO119" s="225"/>
      <c r="RYP119" s="225"/>
      <c r="RYQ119" s="225"/>
      <c r="RYR119" s="225"/>
      <c r="RYS119" s="225"/>
      <c r="RYT119" s="225"/>
      <c r="RYU119" s="225"/>
      <c r="RYV119" s="225"/>
      <c r="RYW119" s="225"/>
      <c r="RYX119" s="225"/>
      <c r="RYY119" s="225"/>
      <c r="RYZ119" s="225"/>
      <c r="RZA119" s="225"/>
      <c r="RZB119" s="225"/>
      <c r="RZC119" s="225"/>
      <c r="RZD119" s="225"/>
      <c r="RZE119" s="225"/>
      <c r="RZF119" s="225"/>
      <c r="RZG119" s="225"/>
      <c r="RZH119" s="225"/>
      <c r="RZI119" s="225"/>
      <c r="RZJ119" s="225"/>
      <c r="RZK119" s="225"/>
      <c r="RZL119" s="225"/>
      <c r="RZM119" s="225"/>
      <c r="RZN119" s="225"/>
      <c r="RZO119" s="225"/>
      <c r="RZP119" s="225"/>
      <c r="RZQ119" s="225"/>
      <c r="RZR119" s="225"/>
      <c r="RZS119" s="225"/>
      <c r="RZT119" s="225"/>
      <c r="RZU119" s="225"/>
      <c r="RZV119" s="225"/>
      <c r="RZW119" s="225"/>
      <c r="RZX119" s="225"/>
      <c r="RZY119" s="225"/>
      <c r="RZZ119" s="225"/>
      <c r="SAA119" s="225"/>
      <c r="SAB119" s="225"/>
      <c r="SAC119" s="225"/>
      <c r="SAD119" s="225"/>
      <c r="SAE119" s="225"/>
      <c r="SAF119" s="225"/>
      <c r="SAG119" s="225"/>
      <c r="SAH119" s="225"/>
      <c r="SAI119" s="225"/>
      <c r="SAJ119" s="225"/>
      <c r="SAK119" s="225"/>
      <c r="SAL119" s="225"/>
      <c r="SAM119" s="225"/>
      <c r="SAN119" s="225"/>
      <c r="SAO119" s="225"/>
      <c r="SAP119" s="225"/>
      <c r="SAQ119" s="225"/>
      <c r="SAR119" s="225"/>
      <c r="SAS119" s="225"/>
      <c r="SAT119" s="225"/>
      <c r="SAU119" s="225"/>
      <c r="SAV119" s="225"/>
      <c r="SAW119" s="225"/>
      <c r="SAX119" s="225"/>
      <c r="SAY119" s="225"/>
      <c r="SAZ119" s="225"/>
      <c r="SBA119" s="225"/>
      <c r="SBB119" s="225"/>
      <c r="SBC119" s="225"/>
      <c r="SBD119" s="225"/>
      <c r="SBE119" s="225"/>
      <c r="SBF119" s="225"/>
      <c r="SBG119" s="225"/>
      <c r="SBH119" s="225"/>
      <c r="SBI119" s="225"/>
      <c r="SBJ119" s="225"/>
      <c r="SBK119" s="225"/>
      <c r="SBL119" s="225"/>
      <c r="SBM119" s="225"/>
      <c r="SBN119" s="225"/>
      <c r="SBO119" s="225"/>
      <c r="SBP119" s="225"/>
      <c r="SBQ119" s="225"/>
      <c r="SBR119" s="225"/>
      <c r="SBS119" s="225"/>
      <c r="SBT119" s="225"/>
      <c r="SBU119" s="225"/>
      <c r="SBV119" s="225"/>
      <c r="SBW119" s="225"/>
      <c r="SBX119" s="225"/>
      <c r="SBY119" s="225"/>
      <c r="SBZ119" s="225"/>
      <c r="SCA119" s="225"/>
      <c r="SCB119" s="225"/>
      <c r="SCC119" s="225"/>
      <c r="SCD119" s="225"/>
      <c r="SCE119" s="225"/>
      <c r="SCF119" s="225"/>
      <c r="SCG119" s="225"/>
      <c r="SCH119" s="225"/>
      <c r="SCI119" s="225"/>
      <c r="SCJ119" s="225"/>
      <c r="SCK119" s="225"/>
      <c r="SCL119" s="225"/>
      <c r="SCM119" s="225"/>
      <c r="SCN119" s="225"/>
      <c r="SCO119" s="225"/>
      <c r="SCP119" s="225"/>
      <c r="SCQ119" s="225"/>
      <c r="SCR119" s="225"/>
      <c r="SCS119" s="225"/>
      <c r="SCT119" s="225"/>
      <c r="SCU119" s="225"/>
      <c r="SCV119" s="225"/>
      <c r="SCW119" s="225"/>
      <c r="SCX119" s="225"/>
      <c r="SCY119" s="225"/>
      <c r="SCZ119" s="225"/>
      <c r="SDA119" s="225"/>
      <c r="SDB119" s="225"/>
      <c r="SDC119" s="225"/>
      <c r="SDD119" s="225"/>
      <c r="SDE119" s="225"/>
      <c r="SDF119" s="225"/>
      <c r="SDG119" s="225"/>
      <c r="SDH119" s="225"/>
      <c r="SDI119" s="225"/>
      <c r="SDJ119" s="225"/>
      <c r="SDK119" s="225"/>
      <c r="SDL119" s="225"/>
      <c r="SDM119" s="225"/>
      <c r="SDN119" s="225"/>
      <c r="SDO119" s="225"/>
      <c r="SDP119" s="225"/>
      <c r="SDQ119" s="225"/>
      <c r="SDR119" s="225"/>
      <c r="SDS119" s="225"/>
      <c r="SDT119" s="225"/>
      <c r="SDU119" s="225"/>
      <c r="SDV119" s="225"/>
      <c r="SDW119" s="225"/>
      <c r="SDX119" s="225"/>
      <c r="SDY119" s="225"/>
      <c r="SDZ119" s="225"/>
      <c r="SEA119" s="225"/>
      <c r="SEB119" s="225"/>
      <c r="SEC119" s="225"/>
      <c r="SED119" s="225"/>
      <c r="SEE119" s="225"/>
      <c r="SEF119" s="225"/>
      <c r="SEG119" s="225"/>
      <c r="SEH119" s="225"/>
      <c r="SEI119" s="225"/>
      <c r="SEJ119" s="225"/>
      <c r="SEK119" s="225"/>
      <c r="SEL119" s="225"/>
      <c r="SEM119" s="225"/>
      <c r="SEN119" s="225"/>
      <c r="SEO119" s="225"/>
      <c r="SEP119" s="225"/>
      <c r="SEQ119" s="225"/>
      <c r="SER119" s="225"/>
      <c r="SES119" s="225"/>
      <c r="SET119" s="225"/>
      <c r="SEU119" s="225"/>
      <c r="SEV119" s="225"/>
      <c r="SEW119" s="225"/>
      <c r="SEX119" s="225"/>
      <c r="SEY119" s="225"/>
      <c r="SEZ119" s="225"/>
      <c r="SFA119" s="225"/>
      <c r="SFB119" s="225"/>
      <c r="SFC119" s="225"/>
      <c r="SFD119" s="225"/>
      <c r="SFE119" s="225"/>
      <c r="SFF119" s="225"/>
      <c r="SFG119" s="225"/>
      <c r="SFH119" s="225"/>
      <c r="SFI119" s="225"/>
      <c r="SFJ119" s="225"/>
      <c r="SFK119" s="225"/>
      <c r="SFL119" s="225"/>
      <c r="SFM119" s="225"/>
      <c r="SFN119" s="225"/>
      <c r="SFO119" s="225"/>
      <c r="SFP119" s="225"/>
      <c r="SFQ119" s="225"/>
      <c r="SFR119" s="225"/>
      <c r="SFS119" s="225"/>
      <c r="SFT119" s="225"/>
      <c r="SFU119" s="225"/>
      <c r="SFV119" s="225"/>
      <c r="SFW119" s="225"/>
      <c r="SFX119" s="225"/>
      <c r="SFY119" s="225"/>
      <c r="SFZ119" s="225"/>
      <c r="SGA119" s="225"/>
      <c r="SGB119" s="225"/>
      <c r="SGC119" s="225"/>
      <c r="SGD119" s="225"/>
      <c r="SGE119" s="225"/>
      <c r="SGF119" s="225"/>
      <c r="SGG119" s="225"/>
      <c r="SGH119" s="225"/>
      <c r="SGI119" s="225"/>
      <c r="SGJ119" s="225"/>
      <c r="SGK119" s="225"/>
      <c r="SGL119" s="225"/>
      <c r="SGM119" s="225"/>
      <c r="SGN119" s="225"/>
      <c r="SGO119" s="225"/>
      <c r="SGP119" s="225"/>
      <c r="SGQ119" s="225"/>
      <c r="SGR119" s="225"/>
      <c r="SGS119" s="225"/>
      <c r="SGT119" s="225"/>
      <c r="SGU119" s="225"/>
      <c r="SGV119" s="225"/>
      <c r="SGW119" s="225"/>
      <c r="SGX119" s="225"/>
      <c r="SGY119" s="225"/>
      <c r="SGZ119" s="225"/>
      <c r="SHA119" s="225"/>
      <c r="SHB119" s="225"/>
      <c r="SHC119" s="225"/>
      <c r="SHD119" s="225"/>
      <c r="SHE119" s="225"/>
      <c r="SHF119" s="225"/>
      <c r="SHG119" s="225"/>
      <c r="SHH119" s="225"/>
      <c r="SHI119" s="225"/>
      <c r="SHJ119" s="225"/>
      <c r="SHK119" s="225"/>
      <c r="SHL119" s="225"/>
      <c r="SHM119" s="225"/>
      <c r="SHN119" s="225"/>
      <c r="SHO119" s="225"/>
      <c r="SHP119" s="225"/>
      <c r="SHQ119" s="225"/>
      <c r="SHR119" s="225"/>
      <c r="SHS119" s="225"/>
      <c r="SHT119" s="225"/>
      <c r="SHU119" s="225"/>
      <c r="SHV119" s="225"/>
      <c r="SHW119" s="225"/>
      <c r="SHX119" s="225"/>
      <c r="SHY119" s="225"/>
      <c r="SHZ119" s="225"/>
      <c r="SIA119" s="225"/>
      <c r="SIB119" s="225"/>
      <c r="SIC119" s="225"/>
      <c r="SID119" s="225"/>
      <c r="SIE119" s="225"/>
      <c r="SIF119" s="225"/>
      <c r="SIG119" s="225"/>
      <c r="SIH119" s="225"/>
      <c r="SII119" s="225"/>
      <c r="SIJ119" s="225"/>
      <c r="SIK119" s="225"/>
      <c r="SIL119" s="225"/>
      <c r="SIM119" s="225"/>
      <c r="SIN119" s="225"/>
      <c r="SIO119" s="225"/>
      <c r="SIP119" s="225"/>
      <c r="SIQ119" s="225"/>
      <c r="SIR119" s="225"/>
      <c r="SIS119" s="225"/>
      <c r="SIT119" s="225"/>
      <c r="SIU119" s="225"/>
      <c r="SIV119" s="225"/>
      <c r="SIW119" s="225"/>
      <c r="SIX119" s="225"/>
      <c r="SIY119" s="225"/>
      <c r="SIZ119" s="225"/>
      <c r="SJA119" s="225"/>
      <c r="SJB119" s="225"/>
      <c r="SJC119" s="225"/>
      <c r="SJD119" s="225"/>
      <c r="SJE119" s="225"/>
      <c r="SJF119" s="225"/>
      <c r="SJG119" s="225"/>
      <c r="SJH119" s="225"/>
      <c r="SJI119" s="225"/>
      <c r="SJJ119" s="225"/>
      <c r="SJK119" s="225"/>
      <c r="SJL119" s="225"/>
      <c r="SJM119" s="225"/>
      <c r="SJN119" s="225"/>
      <c r="SJO119" s="225"/>
      <c r="SJP119" s="225"/>
      <c r="SJQ119" s="225"/>
      <c r="SJR119" s="225"/>
      <c r="SJS119" s="225"/>
      <c r="SJT119" s="225"/>
      <c r="SJU119" s="225"/>
      <c r="SJV119" s="225"/>
      <c r="SJW119" s="225"/>
      <c r="SJX119" s="225"/>
      <c r="SJY119" s="225"/>
      <c r="SJZ119" s="225"/>
      <c r="SKA119" s="225"/>
      <c r="SKB119" s="225"/>
      <c r="SKC119" s="225"/>
      <c r="SKD119" s="225"/>
      <c r="SKE119" s="225"/>
      <c r="SKF119" s="225"/>
      <c r="SKG119" s="225"/>
      <c r="SKH119" s="225"/>
      <c r="SKI119" s="225"/>
      <c r="SKJ119" s="225"/>
      <c r="SKK119" s="225"/>
      <c r="SKL119" s="225"/>
      <c r="SKM119" s="225"/>
      <c r="SKN119" s="225"/>
      <c r="SKO119" s="225"/>
      <c r="SKP119" s="225"/>
      <c r="SKQ119" s="225"/>
      <c r="SKR119" s="225"/>
      <c r="SKS119" s="225"/>
      <c r="SKT119" s="225"/>
      <c r="SKU119" s="225"/>
      <c r="SKV119" s="225"/>
      <c r="SKW119" s="225"/>
      <c r="SKX119" s="225"/>
      <c r="SKY119" s="225"/>
      <c r="SKZ119" s="225"/>
      <c r="SLA119" s="225"/>
      <c r="SLB119" s="225"/>
      <c r="SLC119" s="225"/>
      <c r="SLD119" s="225"/>
      <c r="SLE119" s="225"/>
      <c r="SLF119" s="225"/>
      <c r="SLG119" s="225"/>
      <c r="SLH119" s="225"/>
      <c r="SLI119" s="225"/>
      <c r="SLJ119" s="225"/>
      <c r="SLK119" s="225"/>
      <c r="SLL119" s="225"/>
      <c r="SLM119" s="225"/>
      <c r="SLN119" s="225"/>
      <c r="SLO119" s="225"/>
      <c r="SLP119" s="225"/>
      <c r="SLQ119" s="225"/>
      <c r="SLR119" s="225"/>
      <c r="SLS119" s="225"/>
      <c r="SLT119" s="225"/>
      <c r="SLU119" s="225"/>
      <c r="SLV119" s="225"/>
      <c r="SLW119" s="225"/>
      <c r="SLX119" s="225"/>
      <c r="SLY119" s="225"/>
      <c r="SLZ119" s="225"/>
      <c r="SMA119" s="225"/>
      <c r="SMB119" s="225"/>
      <c r="SMC119" s="225"/>
      <c r="SMD119" s="225"/>
      <c r="SME119" s="225"/>
      <c r="SMF119" s="225"/>
      <c r="SMG119" s="225"/>
      <c r="SMH119" s="225"/>
      <c r="SMI119" s="225"/>
      <c r="SMJ119" s="225"/>
      <c r="SMK119" s="225"/>
      <c r="SML119" s="225"/>
      <c r="SMM119" s="225"/>
      <c r="SMN119" s="225"/>
      <c r="SMO119" s="225"/>
      <c r="SMP119" s="225"/>
      <c r="SMQ119" s="225"/>
      <c r="SMR119" s="225"/>
      <c r="SMS119" s="225"/>
      <c r="SMT119" s="225"/>
      <c r="SMU119" s="225"/>
      <c r="SMV119" s="225"/>
      <c r="SMW119" s="225"/>
      <c r="SMX119" s="225"/>
      <c r="SMY119" s="225"/>
      <c r="SMZ119" s="225"/>
      <c r="SNA119" s="225"/>
      <c r="SNB119" s="225"/>
      <c r="SNC119" s="225"/>
      <c r="SND119" s="225"/>
      <c r="SNE119" s="225"/>
      <c r="SNF119" s="225"/>
      <c r="SNG119" s="225"/>
      <c r="SNH119" s="225"/>
      <c r="SNI119" s="225"/>
      <c r="SNJ119" s="225"/>
      <c r="SNK119" s="225"/>
      <c r="SNL119" s="225"/>
      <c r="SNM119" s="225"/>
      <c r="SNN119" s="225"/>
      <c r="SNO119" s="225"/>
      <c r="SNP119" s="225"/>
      <c r="SNQ119" s="225"/>
      <c r="SNR119" s="225"/>
      <c r="SNS119" s="225"/>
      <c r="SNT119" s="225"/>
      <c r="SNU119" s="225"/>
      <c r="SNV119" s="225"/>
      <c r="SNW119" s="225"/>
      <c r="SNX119" s="225"/>
      <c r="SNY119" s="225"/>
      <c r="SNZ119" s="225"/>
      <c r="SOA119" s="225"/>
      <c r="SOB119" s="225"/>
      <c r="SOC119" s="225"/>
      <c r="SOD119" s="225"/>
      <c r="SOE119" s="225"/>
      <c r="SOF119" s="225"/>
      <c r="SOG119" s="225"/>
      <c r="SOH119" s="225"/>
      <c r="SOI119" s="225"/>
      <c r="SOJ119" s="225"/>
      <c r="SOK119" s="225"/>
      <c r="SOL119" s="225"/>
      <c r="SOM119" s="225"/>
      <c r="SON119" s="225"/>
      <c r="SOO119" s="225"/>
      <c r="SOP119" s="225"/>
      <c r="SOQ119" s="225"/>
      <c r="SOR119" s="225"/>
      <c r="SOS119" s="225"/>
      <c r="SOT119" s="225"/>
      <c r="SOU119" s="225"/>
      <c r="SOV119" s="225"/>
      <c r="SOW119" s="225"/>
      <c r="SOX119" s="225"/>
      <c r="SOY119" s="225"/>
      <c r="SOZ119" s="225"/>
      <c r="SPA119" s="225"/>
      <c r="SPB119" s="225"/>
      <c r="SPC119" s="225"/>
      <c r="SPD119" s="225"/>
      <c r="SPE119" s="225"/>
      <c r="SPF119" s="225"/>
      <c r="SPG119" s="225"/>
      <c r="SPH119" s="225"/>
      <c r="SPI119" s="225"/>
      <c r="SPJ119" s="225"/>
      <c r="SPK119" s="225"/>
      <c r="SPL119" s="225"/>
      <c r="SPM119" s="225"/>
      <c r="SPN119" s="225"/>
      <c r="SPO119" s="225"/>
      <c r="SPP119" s="225"/>
      <c r="SPQ119" s="225"/>
      <c r="SPR119" s="225"/>
      <c r="SPS119" s="225"/>
      <c r="SPT119" s="225"/>
      <c r="SPU119" s="225"/>
      <c r="SPV119" s="225"/>
      <c r="SPW119" s="225"/>
      <c r="SPX119" s="225"/>
      <c r="SPY119" s="225"/>
      <c r="SPZ119" s="225"/>
      <c r="SQA119" s="225"/>
      <c r="SQB119" s="225"/>
      <c r="SQC119" s="225"/>
      <c r="SQD119" s="225"/>
      <c r="SQE119" s="225"/>
      <c r="SQF119" s="225"/>
      <c r="SQG119" s="225"/>
      <c r="SQH119" s="225"/>
      <c r="SQI119" s="225"/>
      <c r="SQJ119" s="225"/>
      <c r="SQK119" s="225"/>
      <c r="SQL119" s="225"/>
      <c r="SQM119" s="225"/>
      <c r="SQN119" s="225"/>
      <c r="SQO119" s="225"/>
      <c r="SQP119" s="225"/>
      <c r="SQQ119" s="225"/>
      <c r="SQR119" s="225"/>
      <c r="SQS119" s="225"/>
      <c r="SQT119" s="225"/>
      <c r="SQU119" s="225"/>
      <c r="SQV119" s="225"/>
      <c r="SQW119" s="225"/>
      <c r="SQX119" s="225"/>
      <c r="SQY119" s="225"/>
      <c r="SQZ119" s="225"/>
      <c r="SRA119" s="225"/>
      <c r="SRB119" s="225"/>
      <c r="SRC119" s="225"/>
      <c r="SRD119" s="225"/>
      <c r="SRE119" s="225"/>
      <c r="SRF119" s="225"/>
      <c r="SRG119" s="225"/>
      <c r="SRH119" s="225"/>
      <c r="SRI119" s="225"/>
      <c r="SRJ119" s="225"/>
      <c r="SRK119" s="225"/>
      <c r="SRL119" s="225"/>
      <c r="SRM119" s="225"/>
      <c r="SRN119" s="225"/>
      <c r="SRO119" s="225"/>
      <c r="SRP119" s="225"/>
      <c r="SRQ119" s="225"/>
      <c r="SRR119" s="225"/>
      <c r="SRS119" s="225"/>
      <c r="SRT119" s="225"/>
      <c r="SRU119" s="225"/>
      <c r="SRV119" s="225"/>
      <c r="SRW119" s="225"/>
      <c r="SRX119" s="225"/>
      <c r="SRY119" s="225"/>
      <c r="SRZ119" s="225"/>
      <c r="SSA119" s="225"/>
      <c r="SSB119" s="225"/>
      <c r="SSC119" s="225"/>
      <c r="SSD119" s="225"/>
      <c r="SSE119" s="225"/>
      <c r="SSF119" s="225"/>
      <c r="SSG119" s="225"/>
      <c r="SSH119" s="225"/>
      <c r="SSI119" s="225"/>
      <c r="SSJ119" s="225"/>
      <c r="SSK119" s="225"/>
      <c r="SSL119" s="225"/>
      <c r="SSM119" s="225"/>
      <c r="SSN119" s="225"/>
      <c r="SSO119" s="225"/>
      <c r="SSP119" s="225"/>
      <c r="SSQ119" s="225"/>
      <c r="SSR119" s="225"/>
      <c r="SSS119" s="225"/>
      <c r="SST119" s="225"/>
      <c r="SSU119" s="225"/>
      <c r="SSV119" s="225"/>
      <c r="SSW119" s="225"/>
      <c r="SSX119" s="225"/>
      <c r="SSY119" s="225"/>
      <c r="SSZ119" s="225"/>
      <c r="STA119" s="225"/>
      <c r="STB119" s="225"/>
      <c r="STC119" s="225"/>
      <c r="STD119" s="225"/>
      <c r="STE119" s="225"/>
      <c r="STF119" s="225"/>
      <c r="STG119" s="225"/>
      <c r="STH119" s="225"/>
      <c r="STI119" s="225"/>
      <c r="STJ119" s="225"/>
      <c r="STK119" s="225"/>
      <c r="STL119" s="225"/>
      <c r="STM119" s="225"/>
      <c r="STN119" s="225"/>
      <c r="STO119" s="225"/>
      <c r="STP119" s="225"/>
      <c r="STQ119" s="225"/>
      <c r="STR119" s="225"/>
      <c r="STS119" s="225"/>
      <c r="STT119" s="225"/>
      <c r="STU119" s="225"/>
      <c r="STV119" s="225"/>
      <c r="STW119" s="225"/>
      <c r="STX119" s="225"/>
      <c r="STY119" s="225"/>
      <c r="STZ119" s="225"/>
      <c r="SUA119" s="225"/>
      <c r="SUB119" s="225"/>
      <c r="SUC119" s="225"/>
      <c r="SUD119" s="225"/>
      <c r="SUE119" s="225"/>
      <c r="SUF119" s="225"/>
      <c r="SUG119" s="225"/>
      <c r="SUH119" s="225"/>
      <c r="SUI119" s="225"/>
      <c r="SUJ119" s="225"/>
      <c r="SUK119" s="225"/>
      <c r="SUL119" s="225"/>
      <c r="SUM119" s="225"/>
      <c r="SUN119" s="225"/>
      <c r="SUO119" s="225"/>
      <c r="SUP119" s="225"/>
      <c r="SUQ119" s="225"/>
      <c r="SUR119" s="225"/>
      <c r="SUS119" s="225"/>
      <c r="SUT119" s="225"/>
      <c r="SUU119" s="225"/>
      <c r="SUV119" s="225"/>
      <c r="SUW119" s="225"/>
      <c r="SUX119" s="225"/>
      <c r="SUY119" s="225"/>
      <c r="SUZ119" s="225"/>
      <c r="SVA119" s="225"/>
      <c r="SVB119" s="225"/>
      <c r="SVC119" s="225"/>
      <c r="SVD119" s="225"/>
      <c r="SVE119" s="225"/>
      <c r="SVF119" s="225"/>
      <c r="SVG119" s="225"/>
      <c r="SVH119" s="225"/>
      <c r="SVI119" s="225"/>
      <c r="SVJ119" s="225"/>
      <c r="SVK119" s="225"/>
      <c r="SVL119" s="225"/>
      <c r="SVM119" s="225"/>
      <c r="SVN119" s="225"/>
      <c r="SVO119" s="225"/>
      <c r="SVP119" s="225"/>
      <c r="SVQ119" s="225"/>
      <c r="SVR119" s="225"/>
      <c r="SVS119" s="225"/>
      <c r="SVT119" s="225"/>
      <c r="SVU119" s="225"/>
      <c r="SVV119" s="225"/>
      <c r="SVW119" s="225"/>
      <c r="SVX119" s="225"/>
      <c r="SVY119" s="225"/>
      <c r="SVZ119" s="225"/>
      <c r="SWA119" s="225"/>
      <c r="SWB119" s="225"/>
      <c r="SWC119" s="225"/>
      <c r="SWD119" s="225"/>
      <c r="SWE119" s="225"/>
      <c r="SWF119" s="225"/>
      <c r="SWG119" s="225"/>
      <c r="SWH119" s="225"/>
      <c r="SWI119" s="225"/>
      <c r="SWJ119" s="225"/>
      <c r="SWK119" s="225"/>
      <c r="SWL119" s="225"/>
      <c r="SWM119" s="225"/>
      <c r="SWN119" s="225"/>
      <c r="SWO119" s="225"/>
      <c r="SWP119" s="225"/>
      <c r="SWQ119" s="225"/>
      <c r="SWR119" s="225"/>
      <c r="SWS119" s="225"/>
      <c r="SWT119" s="225"/>
      <c r="SWU119" s="225"/>
      <c r="SWV119" s="225"/>
      <c r="SWW119" s="225"/>
      <c r="SWX119" s="225"/>
      <c r="SWY119" s="225"/>
      <c r="SWZ119" s="225"/>
      <c r="SXA119" s="225"/>
      <c r="SXB119" s="225"/>
      <c r="SXC119" s="225"/>
      <c r="SXD119" s="225"/>
      <c r="SXE119" s="225"/>
      <c r="SXF119" s="225"/>
      <c r="SXG119" s="225"/>
      <c r="SXH119" s="225"/>
      <c r="SXI119" s="225"/>
      <c r="SXJ119" s="225"/>
      <c r="SXK119" s="225"/>
      <c r="SXL119" s="225"/>
      <c r="SXM119" s="225"/>
      <c r="SXN119" s="225"/>
      <c r="SXO119" s="225"/>
      <c r="SXP119" s="225"/>
      <c r="SXQ119" s="225"/>
      <c r="SXR119" s="225"/>
      <c r="SXS119" s="225"/>
      <c r="SXT119" s="225"/>
      <c r="SXU119" s="225"/>
      <c r="SXV119" s="225"/>
      <c r="SXW119" s="225"/>
      <c r="SXX119" s="225"/>
      <c r="SXY119" s="225"/>
      <c r="SXZ119" s="225"/>
      <c r="SYA119" s="225"/>
      <c r="SYB119" s="225"/>
      <c r="SYC119" s="225"/>
      <c r="SYD119" s="225"/>
      <c r="SYE119" s="225"/>
      <c r="SYF119" s="225"/>
      <c r="SYG119" s="225"/>
      <c r="SYH119" s="225"/>
      <c r="SYI119" s="225"/>
      <c r="SYJ119" s="225"/>
      <c r="SYK119" s="225"/>
      <c r="SYL119" s="225"/>
      <c r="SYM119" s="225"/>
      <c r="SYN119" s="225"/>
      <c r="SYO119" s="225"/>
      <c r="SYP119" s="225"/>
      <c r="SYQ119" s="225"/>
      <c r="SYR119" s="225"/>
      <c r="SYS119" s="225"/>
      <c r="SYT119" s="225"/>
      <c r="SYU119" s="225"/>
      <c r="SYV119" s="225"/>
      <c r="SYW119" s="225"/>
      <c r="SYX119" s="225"/>
      <c r="SYY119" s="225"/>
      <c r="SYZ119" s="225"/>
      <c r="SZA119" s="225"/>
      <c r="SZB119" s="225"/>
      <c r="SZC119" s="225"/>
      <c r="SZD119" s="225"/>
      <c r="SZE119" s="225"/>
      <c r="SZF119" s="225"/>
      <c r="SZG119" s="225"/>
      <c r="SZH119" s="225"/>
      <c r="SZI119" s="225"/>
      <c r="SZJ119" s="225"/>
      <c r="SZK119" s="225"/>
      <c r="SZL119" s="225"/>
      <c r="SZM119" s="225"/>
      <c r="SZN119" s="225"/>
      <c r="SZO119" s="225"/>
      <c r="SZP119" s="225"/>
      <c r="SZQ119" s="225"/>
      <c r="SZR119" s="225"/>
      <c r="SZS119" s="225"/>
      <c r="SZT119" s="225"/>
      <c r="SZU119" s="225"/>
      <c r="SZV119" s="225"/>
      <c r="SZW119" s="225"/>
      <c r="SZX119" s="225"/>
      <c r="SZY119" s="225"/>
      <c r="SZZ119" s="225"/>
      <c r="TAA119" s="225"/>
      <c r="TAB119" s="225"/>
      <c r="TAC119" s="225"/>
      <c r="TAD119" s="225"/>
      <c r="TAE119" s="225"/>
      <c r="TAF119" s="225"/>
      <c r="TAG119" s="225"/>
      <c r="TAH119" s="225"/>
      <c r="TAI119" s="225"/>
      <c r="TAJ119" s="225"/>
      <c r="TAK119" s="225"/>
      <c r="TAL119" s="225"/>
      <c r="TAM119" s="225"/>
      <c r="TAN119" s="225"/>
      <c r="TAO119" s="225"/>
      <c r="TAP119" s="225"/>
      <c r="TAQ119" s="225"/>
      <c r="TAR119" s="225"/>
      <c r="TAS119" s="225"/>
      <c r="TAT119" s="225"/>
      <c r="TAU119" s="225"/>
      <c r="TAV119" s="225"/>
      <c r="TAW119" s="225"/>
      <c r="TAX119" s="225"/>
      <c r="TAY119" s="225"/>
      <c r="TAZ119" s="225"/>
      <c r="TBA119" s="225"/>
      <c r="TBB119" s="225"/>
      <c r="TBC119" s="225"/>
      <c r="TBD119" s="225"/>
      <c r="TBE119" s="225"/>
      <c r="TBF119" s="225"/>
      <c r="TBG119" s="225"/>
      <c r="TBH119" s="225"/>
      <c r="TBI119" s="225"/>
      <c r="TBJ119" s="225"/>
      <c r="TBK119" s="225"/>
      <c r="TBL119" s="225"/>
      <c r="TBM119" s="225"/>
      <c r="TBN119" s="225"/>
      <c r="TBO119" s="225"/>
      <c r="TBP119" s="225"/>
      <c r="TBQ119" s="225"/>
      <c r="TBR119" s="225"/>
      <c r="TBS119" s="225"/>
      <c r="TBT119" s="225"/>
      <c r="TBU119" s="225"/>
      <c r="TBV119" s="225"/>
      <c r="TBW119" s="225"/>
      <c r="TBX119" s="225"/>
      <c r="TBY119" s="225"/>
      <c r="TBZ119" s="225"/>
      <c r="TCA119" s="225"/>
      <c r="TCB119" s="225"/>
      <c r="TCC119" s="225"/>
      <c r="TCD119" s="225"/>
      <c r="TCE119" s="225"/>
      <c r="TCF119" s="225"/>
      <c r="TCG119" s="225"/>
      <c r="TCH119" s="225"/>
      <c r="TCI119" s="225"/>
      <c r="TCJ119" s="225"/>
      <c r="TCK119" s="225"/>
      <c r="TCL119" s="225"/>
      <c r="TCM119" s="225"/>
      <c r="TCN119" s="225"/>
      <c r="TCO119" s="225"/>
      <c r="TCP119" s="225"/>
      <c r="TCQ119" s="225"/>
      <c r="TCR119" s="225"/>
      <c r="TCS119" s="225"/>
      <c r="TCT119" s="225"/>
      <c r="TCU119" s="225"/>
      <c r="TCV119" s="225"/>
      <c r="TCW119" s="225"/>
      <c r="TCX119" s="225"/>
      <c r="TCY119" s="225"/>
      <c r="TCZ119" s="225"/>
      <c r="TDA119" s="225"/>
      <c r="TDB119" s="225"/>
      <c r="TDC119" s="225"/>
      <c r="TDD119" s="225"/>
      <c r="TDE119" s="225"/>
      <c r="TDF119" s="225"/>
      <c r="TDG119" s="225"/>
      <c r="TDH119" s="225"/>
      <c r="TDI119" s="225"/>
      <c r="TDJ119" s="225"/>
      <c r="TDK119" s="225"/>
      <c r="TDL119" s="225"/>
      <c r="TDM119" s="225"/>
      <c r="TDN119" s="225"/>
      <c r="TDO119" s="225"/>
      <c r="TDP119" s="225"/>
      <c r="TDQ119" s="225"/>
      <c r="TDR119" s="225"/>
      <c r="TDS119" s="225"/>
      <c r="TDT119" s="225"/>
      <c r="TDU119" s="225"/>
      <c r="TDV119" s="225"/>
      <c r="TDW119" s="225"/>
      <c r="TDX119" s="225"/>
      <c r="TDY119" s="225"/>
      <c r="TDZ119" s="225"/>
      <c r="TEA119" s="225"/>
      <c r="TEB119" s="225"/>
      <c r="TEC119" s="225"/>
      <c r="TED119" s="225"/>
      <c r="TEE119" s="225"/>
      <c r="TEF119" s="225"/>
      <c r="TEG119" s="225"/>
      <c r="TEH119" s="225"/>
      <c r="TEI119" s="225"/>
      <c r="TEJ119" s="225"/>
      <c r="TEK119" s="225"/>
      <c r="TEL119" s="225"/>
      <c r="TEM119" s="225"/>
      <c r="TEN119" s="225"/>
      <c r="TEO119" s="225"/>
      <c r="TEP119" s="225"/>
      <c r="TEQ119" s="225"/>
      <c r="TER119" s="225"/>
      <c r="TES119" s="225"/>
      <c r="TET119" s="225"/>
      <c r="TEU119" s="225"/>
      <c r="TEV119" s="225"/>
      <c r="TEW119" s="225"/>
      <c r="TEX119" s="225"/>
      <c r="TEY119" s="225"/>
      <c r="TEZ119" s="225"/>
      <c r="TFA119" s="225"/>
      <c r="TFB119" s="225"/>
      <c r="TFC119" s="225"/>
      <c r="TFD119" s="225"/>
      <c r="TFE119" s="225"/>
      <c r="TFF119" s="225"/>
      <c r="TFG119" s="225"/>
      <c r="TFH119" s="225"/>
      <c r="TFI119" s="225"/>
      <c r="TFJ119" s="225"/>
      <c r="TFK119" s="225"/>
      <c r="TFL119" s="225"/>
      <c r="TFM119" s="225"/>
      <c r="TFN119" s="225"/>
      <c r="TFO119" s="225"/>
      <c r="TFP119" s="225"/>
      <c r="TFQ119" s="225"/>
      <c r="TFR119" s="225"/>
      <c r="TFS119" s="225"/>
      <c r="TFT119" s="225"/>
      <c r="TFU119" s="225"/>
      <c r="TFV119" s="225"/>
      <c r="TFW119" s="225"/>
      <c r="TFX119" s="225"/>
      <c r="TFY119" s="225"/>
      <c r="TFZ119" s="225"/>
      <c r="TGA119" s="225"/>
      <c r="TGB119" s="225"/>
      <c r="TGC119" s="225"/>
      <c r="TGD119" s="225"/>
      <c r="TGE119" s="225"/>
      <c r="TGF119" s="225"/>
      <c r="TGG119" s="225"/>
      <c r="TGH119" s="225"/>
      <c r="TGI119" s="225"/>
      <c r="TGJ119" s="225"/>
      <c r="TGK119" s="225"/>
      <c r="TGL119" s="225"/>
      <c r="TGM119" s="225"/>
      <c r="TGN119" s="225"/>
      <c r="TGO119" s="225"/>
      <c r="TGP119" s="225"/>
      <c r="TGQ119" s="225"/>
      <c r="TGR119" s="225"/>
      <c r="TGS119" s="225"/>
      <c r="TGT119" s="225"/>
      <c r="TGU119" s="225"/>
      <c r="TGV119" s="225"/>
      <c r="TGW119" s="225"/>
      <c r="TGX119" s="225"/>
      <c r="TGY119" s="225"/>
      <c r="TGZ119" s="225"/>
      <c r="THA119" s="225"/>
      <c r="THB119" s="225"/>
      <c r="THC119" s="225"/>
      <c r="THD119" s="225"/>
      <c r="THE119" s="225"/>
      <c r="THF119" s="225"/>
      <c r="THG119" s="225"/>
      <c r="THH119" s="225"/>
      <c r="THI119" s="225"/>
      <c r="THJ119" s="225"/>
      <c r="THK119" s="225"/>
      <c r="THL119" s="225"/>
      <c r="THM119" s="225"/>
      <c r="THN119" s="225"/>
      <c r="THO119" s="225"/>
      <c r="THP119" s="225"/>
      <c r="THQ119" s="225"/>
      <c r="THR119" s="225"/>
      <c r="THS119" s="225"/>
      <c r="THT119" s="225"/>
      <c r="THU119" s="225"/>
      <c r="THV119" s="225"/>
      <c r="THW119" s="225"/>
      <c r="THX119" s="225"/>
      <c r="THY119" s="225"/>
      <c r="THZ119" s="225"/>
      <c r="TIA119" s="225"/>
      <c r="TIB119" s="225"/>
      <c r="TIC119" s="225"/>
      <c r="TID119" s="225"/>
      <c r="TIE119" s="225"/>
      <c r="TIF119" s="225"/>
      <c r="TIG119" s="225"/>
      <c r="TIH119" s="225"/>
      <c r="TII119" s="225"/>
      <c r="TIJ119" s="225"/>
      <c r="TIK119" s="225"/>
      <c r="TIL119" s="225"/>
      <c r="TIM119" s="225"/>
      <c r="TIN119" s="225"/>
      <c r="TIO119" s="225"/>
      <c r="TIP119" s="225"/>
      <c r="TIQ119" s="225"/>
      <c r="TIR119" s="225"/>
      <c r="TIS119" s="225"/>
      <c r="TIT119" s="225"/>
      <c r="TIU119" s="225"/>
      <c r="TIV119" s="225"/>
      <c r="TIW119" s="225"/>
      <c r="TIX119" s="225"/>
      <c r="TIY119" s="225"/>
      <c r="TIZ119" s="225"/>
      <c r="TJA119" s="225"/>
      <c r="TJB119" s="225"/>
      <c r="TJC119" s="225"/>
      <c r="TJD119" s="225"/>
      <c r="TJE119" s="225"/>
      <c r="TJF119" s="225"/>
      <c r="TJG119" s="225"/>
      <c r="TJH119" s="225"/>
      <c r="TJI119" s="225"/>
      <c r="TJJ119" s="225"/>
      <c r="TJK119" s="225"/>
      <c r="TJL119" s="225"/>
      <c r="TJM119" s="225"/>
      <c r="TJN119" s="225"/>
      <c r="TJO119" s="225"/>
      <c r="TJP119" s="225"/>
      <c r="TJQ119" s="225"/>
      <c r="TJR119" s="225"/>
      <c r="TJS119" s="225"/>
      <c r="TJT119" s="225"/>
      <c r="TJU119" s="225"/>
      <c r="TJV119" s="225"/>
      <c r="TJW119" s="225"/>
      <c r="TJX119" s="225"/>
      <c r="TJY119" s="225"/>
      <c r="TJZ119" s="225"/>
      <c r="TKA119" s="225"/>
      <c r="TKB119" s="225"/>
      <c r="TKC119" s="225"/>
      <c r="TKD119" s="225"/>
      <c r="TKE119" s="225"/>
      <c r="TKF119" s="225"/>
      <c r="TKG119" s="225"/>
      <c r="TKH119" s="225"/>
      <c r="TKI119" s="225"/>
      <c r="TKJ119" s="225"/>
      <c r="TKK119" s="225"/>
      <c r="TKL119" s="225"/>
      <c r="TKM119" s="225"/>
      <c r="TKN119" s="225"/>
      <c r="TKO119" s="225"/>
      <c r="TKP119" s="225"/>
      <c r="TKQ119" s="225"/>
      <c r="TKR119" s="225"/>
      <c r="TKS119" s="225"/>
      <c r="TKT119" s="225"/>
      <c r="TKU119" s="225"/>
      <c r="TKV119" s="225"/>
      <c r="TKW119" s="225"/>
      <c r="TKX119" s="225"/>
      <c r="TKY119" s="225"/>
      <c r="TKZ119" s="225"/>
      <c r="TLA119" s="225"/>
      <c r="TLB119" s="225"/>
      <c r="TLC119" s="225"/>
      <c r="TLD119" s="225"/>
      <c r="TLE119" s="225"/>
      <c r="TLF119" s="225"/>
      <c r="TLG119" s="225"/>
      <c r="TLH119" s="225"/>
      <c r="TLI119" s="225"/>
      <c r="TLJ119" s="225"/>
      <c r="TLK119" s="225"/>
      <c r="TLL119" s="225"/>
      <c r="TLM119" s="225"/>
      <c r="TLN119" s="225"/>
      <c r="TLO119" s="225"/>
      <c r="TLP119" s="225"/>
      <c r="TLQ119" s="225"/>
      <c r="TLR119" s="225"/>
      <c r="TLS119" s="225"/>
      <c r="TLT119" s="225"/>
      <c r="TLU119" s="225"/>
      <c r="TLV119" s="225"/>
      <c r="TLW119" s="225"/>
      <c r="TLX119" s="225"/>
      <c r="TLY119" s="225"/>
      <c r="TLZ119" s="225"/>
      <c r="TMA119" s="225"/>
      <c r="TMB119" s="225"/>
      <c r="TMC119" s="225"/>
      <c r="TMD119" s="225"/>
      <c r="TME119" s="225"/>
      <c r="TMF119" s="225"/>
      <c r="TMG119" s="225"/>
      <c r="TMH119" s="225"/>
      <c r="TMI119" s="225"/>
      <c r="TMJ119" s="225"/>
      <c r="TMK119" s="225"/>
      <c r="TML119" s="225"/>
      <c r="TMM119" s="225"/>
      <c r="TMN119" s="225"/>
      <c r="TMO119" s="225"/>
      <c r="TMP119" s="225"/>
      <c r="TMQ119" s="225"/>
      <c r="TMR119" s="225"/>
      <c r="TMS119" s="225"/>
      <c r="TMT119" s="225"/>
      <c r="TMU119" s="225"/>
      <c r="TMV119" s="225"/>
      <c r="TMW119" s="225"/>
      <c r="TMX119" s="225"/>
      <c r="TMY119" s="225"/>
      <c r="TMZ119" s="225"/>
      <c r="TNA119" s="225"/>
      <c r="TNB119" s="225"/>
      <c r="TNC119" s="225"/>
      <c r="TND119" s="225"/>
      <c r="TNE119" s="225"/>
      <c r="TNF119" s="225"/>
      <c r="TNG119" s="225"/>
      <c r="TNH119" s="225"/>
      <c r="TNI119" s="225"/>
      <c r="TNJ119" s="225"/>
      <c r="TNK119" s="225"/>
      <c r="TNL119" s="225"/>
      <c r="TNM119" s="225"/>
      <c r="TNN119" s="225"/>
      <c r="TNO119" s="225"/>
      <c r="TNP119" s="225"/>
      <c r="TNQ119" s="225"/>
      <c r="TNR119" s="225"/>
      <c r="TNS119" s="225"/>
      <c r="TNT119" s="225"/>
      <c r="TNU119" s="225"/>
      <c r="TNV119" s="225"/>
      <c r="TNW119" s="225"/>
      <c r="TNX119" s="225"/>
      <c r="TNY119" s="225"/>
      <c r="TNZ119" s="225"/>
      <c r="TOA119" s="225"/>
      <c r="TOB119" s="225"/>
      <c r="TOC119" s="225"/>
      <c r="TOD119" s="225"/>
      <c r="TOE119" s="225"/>
      <c r="TOF119" s="225"/>
      <c r="TOG119" s="225"/>
      <c r="TOH119" s="225"/>
      <c r="TOI119" s="225"/>
      <c r="TOJ119" s="225"/>
      <c r="TOK119" s="225"/>
      <c r="TOL119" s="225"/>
      <c r="TOM119" s="225"/>
      <c r="TON119" s="225"/>
      <c r="TOO119" s="225"/>
      <c r="TOP119" s="225"/>
      <c r="TOQ119" s="225"/>
      <c r="TOR119" s="225"/>
      <c r="TOS119" s="225"/>
      <c r="TOT119" s="225"/>
      <c r="TOU119" s="225"/>
      <c r="TOV119" s="225"/>
      <c r="TOW119" s="225"/>
      <c r="TOX119" s="225"/>
      <c r="TOY119" s="225"/>
      <c r="TOZ119" s="225"/>
      <c r="TPA119" s="225"/>
      <c r="TPB119" s="225"/>
      <c r="TPC119" s="225"/>
      <c r="TPD119" s="225"/>
      <c r="TPE119" s="225"/>
      <c r="TPF119" s="225"/>
      <c r="TPG119" s="225"/>
      <c r="TPH119" s="225"/>
      <c r="TPI119" s="225"/>
      <c r="TPJ119" s="225"/>
      <c r="TPK119" s="225"/>
      <c r="TPL119" s="225"/>
      <c r="TPM119" s="225"/>
      <c r="TPN119" s="225"/>
      <c r="TPO119" s="225"/>
      <c r="TPP119" s="225"/>
      <c r="TPQ119" s="225"/>
      <c r="TPR119" s="225"/>
      <c r="TPS119" s="225"/>
      <c r="TPT119" s="225"/>
      <c r="TPU119" s="225"/>
      <c r="TPV119" s="225"/>
      <c r="TPW119" s="225"/>
      <c r="TPX119" s="225"/>
      <c r="TPY119" s="225"/>
      <c r="TPZ119" s="225"/>
      <c r="TQA119" s="225"/>
      <c r="TQB119" s="225"/>
      <c r="TQC119" s="225"/>
      <c r="TQD119" s="225"/>
      <c r="TQE119" s="225"/>
      <c r="TQF119" s="225"/>
      <c r="TQG119" s="225"/>
      <c r="TQH119" s="225"/>
      <c r="TQI119" s="225"/>
      <c r="TQJ119" s="225"/>
      <c r="TQK119" s="225"/>
      <c r="TQL119" s="225"/>
      <c r="TQM119" s="225"/>
      <c r="TQN119" s="225"/>
      <c r="TQO119" s="225"/>
      <c r="TQP119" s="225"/>
      <c r="TQQ119" s="225"/>
      <c r="TQR119" s="225"/>
      <c r="TQS119" s="225"/>
      <c r="TQT119" s="225"/>
      <c r="TQU119" s="225"/>
      <c r="TQV119" s="225"/>
      <c r="TQW119" s="225"/>
      <c r="TQX119" s="225"/>
      <c r="TQY119" s="225"/>
      <c r="TQZ119" s="225"/>
      <c r="TRA119" s="225"/>
      <c r="TRB119" s="225"/>
      <c r="TRC119" s="225"/>
      <c r="TRD119" s="225"/>
      <c r="TRE119" s="225"/>
      <c r="TRF119" s="225"/>
      <c r="TRG119" s="225"/>
      <c r="TRH119" s="225"/>
      <c r="TRI119" s="225"/>
      <c r="TRJ119" s="225"/>
      <c r="TRK119" s="225"/>
      <c r="TRL119" s="225"/>
      <c r="TRM119" s="225"/>
      <c r="TRN119" s="225"/>
      <c r="TRO119" s="225"/>
      <c r="TRP119" s="225"/>
      <c r="TRQ119" s="225"/>
      <c r="TRR119" s="225"/>
      <c r="TRS119" s="225"/>
      <c r="TRT119" s="225"/>
      <c r="TRU119" s="225"/>
      <c r="TRV119" s="225"/>
      <c r="TRW119" s="225"/>
      <c r="TRX119" s="225"/>
      <c r="TRY119" s="225"/>
      <c r="TRZ119" s="225"/>
      <c r="TSA119" s="225"/>
      <c r="TSB119" s="225"/>
      <c r="TSC119" s="225"/>
      <c r="TSD119" s="225"/>
      <c r="TSE119" s="225"/>
      <c r="TSF119" s="225"/>
      <c r="TSG119" s="225"/>
      <c r="TSH119" s="225"/>
      <c r="TSI119" s="225"/>
      <c r="TSJ119" s="225"/>
      <c r="TSK119" s="225"/>
      <c r="TSL119" s="225"/>
      <c r="TSM119" s="225"/>
      <c r="TSN119" s="225"/>
      <c r="TSO119" s="225"/>
      <c r="TSP119" s="225"/>
      <c r="TSQ119" s="225"/>
      <c r="TSR119" s="225"/>
      <c r="TSS119" s="225"/>
      <c r="TST119" s="225"/>
      <c r="TSU119" s="225"/>
      <c r="TSV119" s="225"/>
      <c r="TSW119" s="225"/>
      <c r="TSX119" s="225"/>
      <c r="TSY119" s="225"/>
      <c r="TSZ119" s="225"/>
      <c r="TTA119" s="225"/>
      <c r="TTB119" s="225"/>
      <c r="TTC119" s="225"/>
      <c r="TTD119" s="225"/>
      <c r="TTE119" s="225"/>
      <c r="TTF119" s="225"/>
      <c r="TTG119" s="225"/>
      <c r="TTH119" s="225"/>
      <c r="TTI119" s="225"/>
      <c r="TTJ119" s="225"/>
      <c r="TTK119" s="225"/>
      <c r="TTL119" s="225"/>
      <c r="TTM119" s="225"/>
      <c r="TTN119" s="225"/>
      <c r="TTO119" s="225"/>
      <c r="TTP119" s="225"/>
      <c r="TTQ119" s="225"/>
      <c r="TTR119" s="225"/>
      <c r="TTS119" s="225"/>
      <c r="TTT119" s="225"/>
      <c r="TTU119" s="225"/>
      <c r="TTV119" s="225"/>
      <c r="TTW119" s="225"/>
      <c r="TTX119" s="225"/>
      <c r="TTY119" s="225"/>
      <c r="TTZ119" s="225"/>
      <c r="TUA119" s="225"/>
      <c r="TUB119" s="225"/>
      <c r="TUC119" s="225"/>
      <c r="TUD119" s="225"/>
      <c r="TUE119" s="225"/>
      <c r="TUF119" s="225"/>
      <c r="TUG119" s="225"/>
      <c r="TUH119" s="225"/>
      <c r="TUI119" s="225"/>
      <c r="TUJ119" s="225"/>
      <c r="TUK119" s="225"/>
      <c r="TUL119" s="225"/>
      <c r="TUM119" s="225"/>
      <c r="TUN119" s="225"/>
      <c r="TUO119" s="225"/>
      <c r="TUP119" s="225"/>
      <c r="TUQ119" s="225"/>
      <c r="TUR119" s="225"/>
      <c r="TUS119" s="225"/>
      <c r="TUT119" s="225"/>
      <c r="TUU119" s="225"/>
      <c r="TUV119" s="225"/>
      <c r="TUW119" s="225"/>
      <c r="TUX119" s="225"/>
      <c r="TUY119" s="225"/>
      <c r="TUZ119" s="225"/>
      <c r="TVA119" s="225"/>
      <c r="TVB119" s="225"/>
      <c r="TVC119" s="225"/>
      <c r="TVD119" s="225"/>
      <c r="TVE119" s="225"/>
      <c r="TVF119" s="225"/>
      <c r="TVG119" s="225"/>
      <c r="TVH119" s="225"/>
      <c r="TVI119" s="225"/>
      <c r="TVJ119" s="225"/>
      <c r="TVK119" s="225"/>
      <c r="TVL119" s="225"/>
      <c r="TVM119" s="225"/>
      <c r="TVN119" s="225"/>
      <c r="TVO119" s="225"/>
      <c r="TVP119" s="225"/>
      <c r="TVQ119" s="225"/>
      <c r="TVR119" s="225"/>
      <c r="TVS119" s="225"/>
      <c r="TVT119" s="225"/>
      <c r="TVU119" s="225"/>
      <c r="TVV119" s="225"/>
      <c r="TVW119" s="225"/>
      <c r="TVX119" s="225"/>
      <c r="TVY119" s="225"/>
      <c r="TVZ119" s="225"/>
      <c r="TWA119" s="225"/>
      <c r="TWB119" s="225"/>
      <c r="TWC119" s="225"/>
      <c r="TWD119" s="225"/>
      <c r="TWE119" s="225"/>
      <c r="TWF119" s="225"/>
      <c r="TWG119" s="225"/>
      <c r="TWH119" s="225"/>
      <c r="TWI119" s="225"/>
      <c r="TWJ119" s="225"/>
      <c r="TWK119" s="225"/>
      <c r="TWL119" s="225"/>
      <c r="TWM119" s="225"/>
      <c r="TWN119" s="225"/>
      <c r="TWO119" s="225"/>
      <c r="TWP119" s="225"/>
      <c r="TWQ119" s="225"/>
      <c r="TWR119" s="225"/>
      <c r="TWS119" s="225"/>
      <c r="TWT119" s="225"/>
      <c r="TWU119" s="225"/>
      <c r="TWV119" s="225"/>
      <c r="TWW119" s="225"/>
      <c r="TWX119" s="225"/>
      <c r="TWY119" s="225"/>
      <c r="TWZ119" s="225"/>
      <c r="TXA119" s="225"/>
      <c r="TXB119" s="225"/>
      <c r="TXC119" s="225"/>
      <c r="TXD119" s="225"/>
      <c r="TXE119" s="225"/>
      <c r="TXF119" s="225"/>
      <c r="TXG119" s="225"/>
      <c r="TXH119" s="225"/>
      <c r="TXI119" s="225"/>
      <c r="TXJ119" s="225"/>
      <c r="TXK119" s="225"/>
      <c r="TXL119" s="225"/>
      <c r="TXM119" s="225"/>
      <c r="TXN119" s="225"/>
      <c r="TXO119" s="225"/>
      <c r="TXP119" s="225"/>
      <c r="TXQ119" s="225"/>
      <c r="TXR119" s="225"/>
      <c r="TXS119" s="225"/>
      <c r="TXT119" s="225"/>
      <c r="TXU119" s="225"/>
      <c r="TXV119" s="225"/>
      <c r="TXW119" s="225"/>
      <c r="TXX119" s="225"/>
      <c r="TXY119" s="225"/>
      <c r="TXZ119" s="225"/>
      <c r="TYA119" s="225"/>
      <c r="TYB119" s="225"/>
      <c r="TYC119" s="225"/>
      <c r="TYD119" s="225"/>
      <c r="TYE119" s="225"/>
      <c r="TYF119" s="225"/>
      <c r="TYG119" s="225"/>
      <c r="TYH119" s="225"/>
      <c r="TYI119" s="225"/>
      <c r="TYJ119" s="225"/>
      <c r="TYK119" s="225"/>
      <c r="TYL119" s="225"/>
      <c r="TYM119" s="225"/>
      <c r="TYN119" s="225"/>
      <c r="TYO119" s="225"/>
      <c r="TYP119" s="225"/>
      <c r="TYQ119" s="225"/>
      <c r="TYR119" s="225"/>
      <c r="TYS119" s="225"/>
      <c r="TYT119" s="225"/>
      <c r="TYU119" s="225"/>
      <c r="TYV119" s="225"/>
      <c r="TYW119" s="225"/>
      <c r="TYX119" s="225"/>
      <c r="TYY119" s="225"/>
      <c r="TYZ119" s="225"/>
      <c r="TZA119" s="225"/>
      <c r="TZB119" s="225"/>
      <c r="TZC119" s="225"/>
      <c r="TZD119" s="225"/>
      <c r="TZE119" s="225"/>
      <c r="TZF119" s="225"/>
      <c r="TZG119" s="225"/>
      <c r="TZH119" s="225"/>
      <c r="TZI119" s="225"/>
      <c r="TZJ119" s="225"/>
      <c r="TZK119" s="225"/>
      <c r="TZL119" s="225"/>
      <c r="TZM119" s="225"/>
      <c r="TZN119" s="225"/>
      <c r="TZO119" s="225"/>
      <c r="TZP119" s="225"/>
      <c r="TZQ119" s="225"/>
      <c r="TZR119" s="225"/>
      <c r="TZS119" s="225"/>
      <c r="TZT119" s="225"/>
      <c r="TZU119" s="225"/>
      <c r="TZV119" s="225"/>
      <c r="TZW119" s="225"/>
      <c r="TZX119" s="225"/>
      <c r="TZY119" s="225"/>
      <c r="TZZ119" s="225"/>
      <c r="UAA119" s="225"/>
      <c r="UAB119" s="225"/>
      <c r="UAC119" s="225"/>
      <c r="UAD119" s="225"/>
      <c r="UAE119" s="225"/>
      <c r="UAF119" s="225"/>
      <c r="UAG119" s="225"/>
      <c r="UAH119" s="225"/>
      <c r="UAI119" s="225"/>
      <c r="UAJ119" s="225"/>
      <c r="UAK119" s="225"/>
      <c r="UAL119" s="225"/>
      <c r="UAM119" s="225"/>
      <c r="UAN119" s="225"/>
      <c r="UAO119" s="225"/>
      <c r="UAP119" s="225"/>
      <c r="UAQ119" s="225"/>
      <c r="UAR119" s="225"/>
      <c r="UAS119" s="225"/>
      <c r="UAT119" s="225"/>
      <c r="UAU119" s="225"/>
      <c r="UAV119" s="225"/>
      <c r="UAW119" s="225"/>
      <c r="UAX119" s="225"/>
      <c r="UAY119" s="225"/>
      <c r="UAZ119" s="225"/>
      <c r="UBA119" s="225"/>
      <c r="UBB119" s="225"/>
      <c r="UBC119" s="225"/>
      <c r="UBD119" s="225"/>
      <c r="UBE119" s="225"/>
      <c r="UBF119" s="225"/>
      <c r="UBG119" s="225"/>
      <c r="UBH119" s="225"/>
      <c r="UBI119" s="225"/>
      <c r="UBJ119" s="225"/>
      <c r="UBK119" s="225"/>
      <c r="UBL119" s="225"/>
      <c r="UBM119" s="225"/>
      <c r="UBN119" s="225"/>
      <c r="UBO119" s="225"/>
      <c r="UBP119" s="225"/>
      <c r="UBQ119" s="225"/>
      <c r="UBR119" s="225"/>
      <c r="UBS119" s="225"/>
      <c r="UBT119" s="225"/>
      <c r="UBU119" s="225"/>
      <c r="UBV119" s="225"/>
      <c r="UBW119" s="225"/>
      <c r="UBX119" s="225"/>
      <c r="UBY119" s="225"/>
      <c r="UBZ119" s="225"/>
      <c r="UCA119" s="225"/>
      <c r="UCB119" s="225"/>
      <c r="UCC119" s="225"/>
      <c r="UCD119" s="225"/>
      <c r="UCE119" s="225"/>
      <c r="UCF119" s="225"/>
      <c r="UCG119" s="225"/>
      <c r="UCH119" s="225"/>
      <c r="UCI119" s="225"/>
      <c r="UCJ119" s="225"/>
      <c r="UCK119" s="225"/>
      <c r="UCL119" s="225"/>
      <c r="UCM119" s="225"/>
      <c r="UCN119" s="225"/>
      <c r="UCO119" s="225"/>
      <c r="UCP119" s="225"/>
      <c r="UCQ119" s="225"/>
      <c r="UCR119" s="225"/>
      <c r="UCS119" s="225"/>
      <c r="UCT119" s="225"/>
      <c r="UCU119" s="225"/>
      <c r="UCV119" s="225"/>
      <c r="UCW119" s="225"/>
      <c r="UCX119" s="225"/>
      <c r="UCY119" s="225"/>
      <c r="UCZ119" s="225"/>
      <c r="UDA119" s="225"/>
      <c r="UDB119" s="225"/>
      <c r="UDC119" s="225"/>
      <c r="UDD119" s="225"/>
      <c r="UDE119" s="225"/>
      <c r="UDF119" s="225"/>
      <c r="UDG119" s="225"/>
      <c r="UDH119" s="225"/>
      <c r="UDI119" s="225"/>
      <c r="UDJ119" s="225"/>
      <c r="UDK119" s="225"/>
      <c r="UDL119" s="225"/>
      <c r="UDM119" s="225"/>
      <c r="UDN119" s="225"/>
      <c r="UDO119" s="225"/>
      <c r="UDP119" s="225"/>
      <c r="UDQ119" s="225"/>
      <c r="UDR119" s="225"/>
      <c r="UDS119" s="225"/>
      <c r="UDT119" s="225"/>
      <c r="UDU119" s="225"/>
      <c r="UDV119" s="225"/>
      <c r="UDW119" s="225"/>
      <c r="UDX119" s="225"/>
      <c r="UDY119" s="225"/>
      <c r="UDZ119" s="225"/>
      <c r="UEA119" s="225"/>
      <c r="UEB119" s="225"/>
      <c r="UEC119" s="225"/>
      <c r="UED119" s="225"/>
      <c r="UEE119" s="225"/>
      <c r="UEF119" s="225"/>
      <c r="UEG119" s="225"/>
      <c r="UEH119" s="225"/>
      <c r="UEI119" s="225"/>
      <c r="UEJ119" s="225"/>
      <c r="UEK119" s="225"/>
      <c r="UEL119" s="225"/>
      <c r="UEM119" s="225"/>
      <c r="UEN119" s="225"/>
      <c r="UEO119" s="225"/>
      <c r="UEP119" s="225"/>
      <c r="UEQ119" s="225"/>
      <c r="UER119" s="225"/>
      <c r="UES119" s="225"/>
      <c r="UET119" s="225"/>
      <c r="UEU119" s="225"/>
      <c r="UEV119" s="225"/>
      <c r="UEW119" s="225"/>
      <c r="UEX119" s="225"/>
      <c r="UEY119" s="225"/>
      <c r="UEZ119" s="225"/>
      <c r="UFA119" s="225"/>
      <c r="UFB119" s="225"/>
      <c r="UFC119" s="225"/>
      <c r="UFD119" s="225"/>
      <c r="UFE119" s="225"/>
      <c r="UFF119" s="225"/>
      <c r="UFG119" s="225"/>
      <c r="UFH119" s="225"/>
      <c r="UFI119" s="225"/>
      <c r="UFJ119" s="225"/>
      <c r="UFK119" s="225"/>
      <c r="UFL119" s="225"/>
      <c r="UFM119" s="225"/>
      <c r="UFN119" s="225"/>
      <c r="UFO119" s="225"/>
      <c r="UFP119" s="225"/>
      <c r="UFQ119" s="225"/>
      <c r="UFR119" s="225"/>
      <c r="UFS119" s="225"/>
      <c r="UFT119" s="225"/>
      <c r="UFU119" s="225"/>
      <c r="UFV119" s="225"/>
      <c r="UFW119" s="225"/>
      <c r="UFX119" s="225"/>
      <c r="UFY119" s="225"/>
      <c r="UFZ119" s="225"/>
      <c r="UGA119" s="225"/>
      <c r="UGB119" s="225"/>
      <c r="UGC119" s="225"/>
      <c r="UGD119" s="225"/>
      <c r="UGE119" s="225"/>
      <c r="UGF119" s="225"/>
      <c r="UGG119" s="225"/>
      <c r="UGH119" s="225"/>
      <c r="UGI119" s="225"/>
      <c r="UGJ119" s="225"/>
      <c r="UGK119" s="225"/>
      <c r="UGL119" s="225"/>
      <c r="UGM119" s="225"/>
      <c r="UGN119" s="225"/>
      <c r="UGO119" s="225"/>
      <c r="UGP119" s="225"/>
      <c r="UGQ119" s="225"/>
      <c r="UGR119" s="225"/>
      <c r="UGS119" s="225"/>
      <c r="UGT119" s="225"/>
      <c r="UGU119" s="225"/>
      <c r="UGV119" s="225"/>
      <c r="UGW119" s="225"/>
      <c r="UGX119" s="225"/>
      <c r="UGY119" s="225"/>
      <c r="UGZ119" s="225"/>
      <c r="UHA119" s="225"/>
      <c r="UHB119" s="225"/>
      <c r="UHC119" s="225"/>
      <c r="UHD119" s="225"/>
      <c r="UHE119" s="225"/>
      <c r="UHF119" s="225"/>
      <c r="UHG119" s="225"/>
      <c r="UHH119" s="225"/>
      <c r="UHI119" s="225"/>
      <c r="UHJ119" s="225"/>
      <c r="UHK119" s="225"/>
      <c r="UHL119" s="225"/>
      <c r="UHM119" s="225"/>
      <c r="UHN119" s="225"/>
      <c r="UHO119" s="225"/>
      <c r="UHP119" s="225"/>
      <c r="UHQ119" s="225"/>
      <c r="UHR119" s="225"/>
      <c r="UHS119" s="225"/>
      <c r="UHT119" s="225"/>
      <c r="UHU119" s="225"/>
      <c r="UHV119" s="225"/>
      <c r="UHW119" s="225"/>
      <c r="UHX119" s="225"/>
      <c r="UHY119" s="225"/>
      <c r="UHZ119" s="225"/>
      <c r="UIA119" s="225"/>
      <c r="UIB119" s="225"/>
      <c r="UIC119" s="225"/>
      <c r="UID119" s="225"/>
      <c r="UIE119" s="225"/>
      <c r="UIF119" s="225"/>
      <c r="UIG119" s="225"/>
      <c r="UIH119" s="225"/>
      <c r="UII119" s="225"/>
      <c r="UIJ119" s="225"/>
      <c r="UIK119" s="225"/>
      <c r="UIL119" s="225"/>
      <c r="UIM119" s="225"/>
      <c r="UIN119" s="225"/>
      <c r="UIO119" s="225"/>
      <c r="UIP119" s="225"/>
      <c r="UIQ119" s="225"/>
      <c r="UIR119" s="225"/>
      <c r="UIS119" s="225"/>
      <c r="UIT119" s="225"/>
      <c r="UIU119" s="225"/>
      <c r="UIV119" s="225"/>
      <c r="UIW119" s="225"/>
      <c r="UIX119" s="225"/>
      <c r="UIY119" s="225"/>
      <c r="UIZ119" s="225"/>
      <c r="UJA119" s="225"/>
      <c r="UJB119" s="225"/>
      <c r="UJC119" s="225"/>
      <c r="UJD119" s="225"/>
      <c r="UJE119" s="225"/>
      <c r="UJF119" s="225"/>
      <c r="UJG119" s="225"/>
      <c r="UJH119" s="225"/>
      <c r="UJI119" s="225"/>
      <c r="UJJ119" s="225"/>
      <c r="UJK119" s="225"/>
      <c r="UJL119" s="225"/>
      <c r="UJM119" s="225"/>
      <c r="UJN119" s="225"/>
      <c r="UJO119" s="225"/>
      <c r="UJP119" s="225"/>
      <c r="UJQ119" s="225"/>
      <c r="UJR119" s="225"/>
      <c r="UJS119" s="225"/>
      <c r="UJT119" s="225"/>
      <c r="UJU119" s="225"/>
      <c r="UJV119" s="225"/>
      <c r="UJW119" s="225"/>
      <c r="UJX119" s="225"/>
      <c r="UJY119" s="225"/>
      <c r="UJZ119" s="225"/>
      <c r="UKA119" s="225"/>
      <c r="UKB119" s="225"/>
      <c r="UKC119" s="225"/>
      <c r="UKD119" s="225"/>
      <c r="UKE119" s="225"/>
      <c r="UKF119" s="225"/>
      <c r="UKG119" s="225"/>
      <c r="UKH119" s="225"/>
      <c r="UKI119" s="225"/>
      <c r="UKJ119" s="225"/>
      <c r="UKK119" s="225"/>
      <c r="UKL119" s="225"/>
      <c r="UKM119" s="225"/>
      <c r="UKN119" s="225"/>
      <c r="UKO119" s="225"/>
      <c r="UKP119" s="225"/>
      <c r="UKQ119" s="225"/>
      <c r="UKR119" s="225"/>
      <c r="UKS119" s="225"/>
      <c r="UKT119" s="225"/>
      <c r="UKU119" s="225"/>
      <c r="UKV119" s="225"/>
      <c r="UKW119" s="225"/>
      <c r="UKX119" s="225"/>
      <c r="UKY119" s="225"/>
      <c r="UKZ119" s="225"/>
      <c r="ULA119" s="225"/>
      <c r="ULB119" s="225"/>
      <c r="ULC119" s="225"/>
      <c r="ULD119" s="225"/>
      <c r="ULE119" s="225"/>
      <c r="ULF119" s="225"/>
      <c r="ULG119" s="225"/>
      <c r="ULH119" s="225"/>
      <c r="ULI119" s="225"/>
      <c r="ULJ119" s="225"/>
      <c r="ULK119" s="225"/>
      <c r="ULL119" s="225"/>
      <c r="ULM119" s="225"/>
      <c r="ULN119" s="225"/>
      <c r="ULO119" s="225"/>
      <c r="ULP119" s="225"/>
      <c r="ULQ119" s="225"/>
      <c r="ULR119" s="225"/>
      <c r="ULS119" s="225"/>
      <c r="ULT119" s="225"/>
      <c r="ULU119" s="225"/>
      <c r="ULV119" s="225"/>
      <c r="ULW119" s="225"/>
      <c r="ULX119" s="225"/>
      <c r="ULY119" s="225"/>
      <c r="ULZ119" s="225"/>
      <c r="UMA119" s="225"/>
      <c r="UMB119" s="225"/>
      <c r="UMC119" s="225"/>
      <c r="UMD119" s="225"/>
      <c r="UME119" s="225"/>
      <c r="UMF119" s="225"/>
      <c r="UMG119" s="225"/>
      <c r="UMH119" s="225"/>
      <c r="UMI119" s="225"/>
      <c r="UMJ119" s="225"/>
      <c r="UMK119" s="225"/>
      <c r="UML119" s="225"/>
      <c r="UMM119" s="225"/>
      <c r="UMN119" s="225"/>
      <c r="UMO119" s="225"/>
      <c r="UMP119" s="225"/>
      <c r="UMQ119" s="225"/>
      <c r="UMR119" s="225"/>
      <c r="UMS119" s="225"/>
      <c r="UMT119" s="225"/>
      <c r="UMU119" s="225"/>
      <c r="UMV119" s="225"/>
      <c r="UMW119" s="225"/>
      <c r="UMX119" s="225"/>
      <c r="UMY119" s="225"/>
      <c r="UMZ119" s="225"/>
      <c r="UNA119" s="225"/>
      <c r="UNB119" s="225"/>
      <c r="UNC119" s="225"/>
      <c r="UND119" s="225"/>
      <c r="UNE119" s="225"/>
      <c r="UNF119" s="225"/>
      <c r="UNG119" s="225"/>
      <c r="UNH119" s="225"/>
      <c r="UNI119" s="225"/>
      <c r="UNJ119" s="225"/>
      <c r="UNK119" s="225"/>
      <c r="UNL119" s="225"/>
      <c r="UNM119" s="225"/>
      <c r="UNN119" s="225"/>
      <c r="UNO119" s="225"/>
      <c r="UNP119" s="225"/>
      <c r="UNQ119" s="225"/>
      <c r="UNR119" s="225"/>
      <c r="UNS119" s="225"/>
      <c r="UNT119" s="225"/>
      <c r="UNU119" s="225"/>
      <c r="UNV119" s="225"/>
      <c r="UNW119" s="225"/>
      <c r="UNX119" s="225"/>
      <c r="UNY119" s="225"/>
      <c r="UNZ119" s="225"/>
      <c r="UOA119" s="225"/>
      <c r="UOB119" s="225"/>
      <c r="UOC119" s="225"/>
      <c r="UOD119" s="225"/>
      <c r="UOE119" s="225"/>
      <c r="UOF119" s="225"/>
      <c r="UOG119" s="225"/>
      <c r="UOH119" s="225"/>
      <c r="UOI119" s="225"/>
      <c r="UOJ119" s="225"/>
      <c r="UOK119" s="225"/>
      <c r="UOL119" s="225"/>
      <c r="UOM119" s="225"/>
      <c r="UON119" s="225"/>
      <c r="UOO119" s="225"/>
      <c r="UOP119" s="225"/>
      <c r="UOQ119" s="225"/>
      <c r="UOR119" s="225"/>
      <c r="UOS119" s="225"/>
      <c r="UOT119" s="225"/>
      <c r="UOU119" s="225"/>
      <c r="UOV119" s="225"/>
      <c r="UOW119" s="225"/>
      <c r="UOX119" s="225"/>
      <c r="UOY119" s="225"/>
      <c r="UOZ119" s="225"/>
      <c r="UPA119" s="225"/>
      <c r="UPB119" s="225"/>
      <c r="UPC119" s="225"/>
      <c r="UPD119" s="225"/>
      <c r="UPE119" s="225"/>
      <c r="UPF119" s="225"/>
      <c r="UPG119" s="225"/>
      <c r="UPH119" s="225"/>
      <c r="UPI119" s="225"/>
      <c r="UPJ119" s="225"/>
      <c r="UPK119" s="225"/>
      <c r="UPL119" s="225"/>
      <c r="UPM119" s="225"/>
      <c r="UPN119" s="225"/>
      <c r="UPO119" s="225"/>
      <c r="UPP119" s="225"/>
      <c r="UPQ119" s="225"/>
      <c r="UPR119" s="225"/>
      <c r="UPS119" s="225"/>
      <c r="UPT119" s="225"/>
      <c r="UPU119" s="225"/>
      <c r="UPV119" s="225"/>
      <c r="UPW119" s="225"/>
      <c r="UPX119" s="225"/>
      <c r="UPY119" s="225"/>
      <c r="UPZ119" s="225"/>
      <c r="UQA119" s="225"/>
      <c r="UQB119" s="225"/>
      <c r="UQC119" s="225"/>
      <c r="UQD119" s="225"/>
      <c r="UQE119" s="225"/>
      <c r="UQF119" s="225"/>
      <c r="UQG119" s="225"/>
      <c r="UQH119" s="225"/>
      <c r="UQI119" s="225"/>
      <c r="UQJ119" s="225"/>
      <c r="UQK119" s="225"/>
      <c r="UQL119" s="225"/>
      <c r="UQM119" s="225"/>
      <c r="UQN119" s="225"/>
      <c r="UQO119" s="225"/>
      <c r="UQP119" s="225"/>
      <c r="UQQ119" s="225"/>
      <c r="UQR119" s="225"/>
      <c r="UQS119" s="225"/>
      <c r="UQT119" s="225"/>
      <c r="UQU119" s="225"/>
      <c r="UQV119" s="225"/>
      <c r="UQW119" s="225"/>
      <c r="UQX119" s="225"/>
      <c r="UQY119" s="225"/>
      <c r="UQZ119" s="225"/>
      <c r="URA119" s="225"/>
      <c r="URB119" s="225"/>
      <c r="URC119" s="225"/>
      <c r="URD119" s="225"/>
      <c r="URE119" s="225"/>
      <c r="URF119" s="225"/>
      <c r="URG119" s="225"/>
      <c r="URH119" s="225"/>
      <c r="URI119" s="225"/>
      <c r="URJ119" s="225"/>
      <c r="URK119" s="225"/>
      <c r="URL119" s="225"/>
      <c r="URM119" s="225"/>
      <c r="URN119" s="225"/>
      <c r="URO119" s="225"/>
      <c r="URP119" s="225"/>
      <c r="URQ119" s="225"/>
      <c r="URR119" s="225"/>
      <c r="URS119" s="225"/>
      <c r="URT119" s="225"/>
      <c r="URU119" s="225"/>
      <c r="URV119" s="225"/>
      <c r="URW119" s="225"/>
      <c r="URX119" s="225"/>
      <c r="URY119" s="225"/>
      <c r="URZ119" s="225"/>
      <c r="USA119" s="225"/>
      <c r="USB119" s="225"/>
      <c r="USC119" s="225"/>
      <c r="USD119" s="225"/>
      <c r="USE119" s="225"/>
      <c r="USF119" s="225"/>
      <c r="USG119" s="225"/>
      <c r="USH119" s="225"/>
      <c r="USI119" s="225"/>
      <c r="USJ119" s="225"/>
      <c r="USK119" s="225"/>
      <c r="USL119" s="225"/>
      <c r="USM119" s="225"/>
      <c r="USN119" s="225"/>
      <c r="USO119" s="225"/>
      <c r="USP119" s="225"/>
      <c r="USQ119" s="225"/>
      <c r="USR119" s="225"/>
      <c r="USS119" s="225"/>
      <c r="UST119" s="225"/>
      <c r="USU119" s="225"/>
      <c r="USV119" s="225"/>
      <c r="USW119" s="225"/>
      <c r="USX119" s="225"/>
      <c r="USY119" s="225"/>
      <c r="USZ119" s="225"/>
      <c r="UTA119" s="225"/>
      <c r="UTB119" s="225"/>
      <c r="UTC119" s="225"/>
      <c r="UTD119" s="225"/>
      <c r="UTE119" s="225"/>
      <c r="UTF119" s="225"/>
      <c r="UTG119" s="225"/>
      <c r="UTH119" s="225"/>
      <c r="UTI119" s="225"/>
      <c r="UTJ119" s="225"/>
      <c r="UTK119" s="225"/>
      <c r="UTL119" s="225"/>
      <c r="UTM119" s="225"/>
      <c r="UTN119" s="225"/>
      <c r="UTO119" s="225"/>
      <c r="UTP119" s="225"/>
      <c r="UTQ119" s="225"/>
      <c r="UTR119" s="225"/>
      <c r="UTS119" s="225"/>
      <c r="UTT119" s="225"/>
      <c r="UTU119" s="225"/>
      <c r="UTV119" s="225"/>
      <c r="UTW119" s="225"/>
      <c r="UTX119" s="225"/>
      <c r="UTY119" s="225"/>
      <c r="UTZ119" s="225"/>
      <c r="UUA119" s="225"/>
      <c r="UUB119" s="225"/>
      <c r="UUC119" s="225"/>
      <c r="UUD119" s="225"/>
      <c r="UUE119" s="225"/>
      <c r="UUF119" s="225"/>
      <c r="UUG119" s="225"/>
      <c r="UUH119" s="225"/>
      <c r="UUI119" s="225"/>
      <c r="UUJ119" s="225"/>
      <c r="UUK119" s="225"/>
      <c r="UUL119" s="225"/>
      <c r="UUM119" s="225"/>
      <c r="UUN119" s="225"/>
      <c r="UUO119" s="225"/>
      <c r="UUP119" s="225"/>
      <c r="UUQ119" s="225"/>
      <c r="UUR119" s="225"/>
      <c r="UUS119" s="225"/>
      <c r="UUT119" s="225"/>
      <c r="UUU119" s="225"/>
      <c r="UUV119" s="225"/>
      <c r="UUW119" s="225"/>
      <c r="UUX119" s="225"/>
      <c r="UUY119" s="225"/>
      <c r="UUZ119" s="225"/>
      <c r="UVA119" s="225"/>
      <c r="UVB119" s="225"/>
      <c r="UVC119" s="225"/>
      <c r="UVD119" s="225"/>
      <c r="UVE119" s="225"/>
      <c r="UVF119" s="225"/>
      <c r="UVG119" s="225"/>
      <c r="UVH119" s="225"/>
      <c r="UVI119" s="225"/>
      <c r="UVJ119" s="225"/>
      <c r="UVK119" s="225"/>
      <c r="UVL119" s="225"/>
      <c r="UVM119" s="225"/>
      <c r="UVN119" s="225"/>
      <c r="UVO119" s="225"/>
      <c r="UVP119" s="225"/>
      <c r="UVQ119" s="225"/>
      <c r="UVR119" s="225"/>
      <c r="UVS119" s="225"/>
      <c r="UVT119" s="225"/>
      <c r="UVU119" s="225"/>
      <c r="UVV119" s="225"/>
      <c r="UVW119" s="225"/>
      <c r="UVX119" s="225"/>
      <c r="UVY119" s="225"/>
      <c r="UVZ119" s="225"/>
      <c r="UWA119" s="225"/>
      <c r="UWB119" s="225"/>
      <c r="UWC119" s="225"/>
      <c r="UWD119" s="225"/>
      <c r="UWE119" s="225"/>
      <c r="UWF119" s="225"/>
      <c r="UWG119" s="225"/>
      <c r="UWH119" s="225"/>
      <c r="UWI119" s="225"/>
      <c r="UWJ119" s="225"/>
      <c r="UWK119" s="225"/>
      <c r="UWL119" s="225"/>
      <c r="UWM119" s="225"/>
      <c r="UWN119" s="225"/>
      <c r="UWO119" s="225"/>
      <c r="UWP119" s="225"/>
      <c r="UWQ119" s="225"/>
      <c r="UWR119" s="225"/>
      <c r="UWS119" s="225"/>
      <c r="UWT119" s="225"/>
      <c r="UWU119" s="225"/>
      <c r="UWV119" s="225"/>
      <c r="UWW119" s="225"/>
      <c r="UWX119" s="225"/>
      <c r="UWY119" s="225"/>
      <c r="UWZ119" s="225"/>
      <c r="UXA119" s="225"/>
      <c r="UXB119" s="225"/>
      <c r="UXC119" s="225"/>
      <c r="UXD119" s="225"/>
      <c r="UXE119" s="225"/>
      <c r="UXF119" s="225"/>
      <c r="UXG119" s="225"/>
      <c r="UXH119" s="225"/>
      <c r="UXI119" s="225"/>
      <c r="UXJ119" s="225"/>
      <c r="UXK119" s="225"/>
      <c r="UXL119" s="225"/>
      <c r="UXM119" s="225"/>
      <c r="UXN119" s="225"/>
      <c r="UXO119" s="225"/>
      <c r="UXP119" s="225"/>
      <c r="UXQ119" s="225"/>
      <c r="UXR119" s="225"/>
      <c r="UXS119" s="225"/>
      <c r="UXT119" s="225"/>
      <c r="UXU119" s="225"/>
      <c r="UXV119" s="225"/>
      <c r="UXW119" s="225"/>
      <c r="UXX119" s="225"/>
      <c r="UXY119" s="225"/>
      <c r="UXZ119" s="225"/>
      <c r="UYA119" s="225"/>
      <c r="UYB119" s="225"/>
      <c r="UYC119" s="225"/>
      <c r="UYD119" s="225"/>
      <c r="UYE119" s="225"/>
      <c r="UYF119" s="225"/>
      <c r="UYG119" s="225"/>
      <c r="UYH119" s="225"/>
      <c r="UYI119" s="225"/>
      <c r="UYJ119" s="225"/>
      <c r="UYK119" s="225"/>
      <c r="UYL119" s="225"/>
      <c r="UYM119" s="225"/>
      <c r="UYN119" s="225"/>
      <c r="UYO119" s="225"/>
      <c r="UYP119" s="225"/>
      <c r="UYQ119" s="225"/>
      <c r="UYR119" s="225"/>
      <c r="UYS119" s="225"/>
      <c r="UYT119" s="225"/>
      <c r="UYU119" s="225"/>
      <c r="UYV119" s="225"/>
      <c r="UYW119" s="225"/>
      <c r="UYX119" s="225"/>
      <c r="UYY119" s="225"/>
      <c r="UYZ119" s="225"/>
      <c r="UZA119" s="225"/>
      <c r="UZB119" s="225"/>
      <c r="UZC119" s="225"/>
      <c r="UZD119" s="225"/>
      <c r="UZE119" s="225"/>
      <c r="UZF119" s="225"/>
      <c r="UZG119" s="225"/>
      <c r="UZH119" s="225"/>
      <c r="UZI119" s="225"/>
      <c r="UZJ119" s="225"/>
      <c r="UZK119" s="225"/>
      <c r="UZL119" s="225"/>
      <c r="UZM119" s="225"/>
      <c r="UZN119" s="225"/>
      <c r="UZO119" s="225"/>
      <c r="UZP119" s="225"/>
      <c r="UZQ119" s="225"/>
      <c r="UZR119" s="225"/>
      <c r="UZS119" s="225"/>
      <c r="UZT119" s="225"/>
      <c r="UZU119" s="225"/>
      <c r="UZV119" s="225"/>
      <c r="UZW119" s="225"/>
      <c r="UZX119" s="225"/>
      <c r="UZY119" s="225"/>
      <c r="UZZ119" s="225"/>
      <c r="VAA119" s="225"/>
      <c r="VAB119" s="225"/>
      <c r="VAC119" s="225"/>
      <c r="VAD119" s="225"/>
      <c r="VAE119" s="225"/>
      <c r="VAF119" s="225"/>
      <c r="VAG119" s="225"/>
      <c r="VAH119" s="225"/>
      <c r="VAI119" s="225"/>
      <c r="VAJ119" s="225"/>
      <c r="VAK119" s="225"/>
      <c r="VAL119" s="225"/>
      <c r="VAM119" s="225"/>
      <c r="VAN119" s="225"/>
      <c r="VAO119" s="225"/>
      <c r="VAP119" s="225"/>
      <c r="VAQ119" s="225"/>
      <c r="VAR119" s="225"/>
      <c r="VAS119" s="225"/>
      <c r="VAT119" s="225"/>
      <c r="VAU119" s="225"/>
      <c r="VAV119" s="225"/>
      <c r="VAW119" s="225"/>
      <c r="VAX119" s="225"/>
      <c r="VAY119" s="225"/>
      <c r="VAZ119" s="225"/>
      <c r="VBA119" s="225"/>
      <c r="VBB119" s="225"/>
      <c r="VBC119" s="225"/>
      <c r="VBD119" s="225"/>
      <c r="VBE119" s="225"/>
      <c r="VBF119" s="225"/>
      <c r="VBG119" s="225"/>
      <c r="VBH119" s="225"/>
      <c r="VBI119" s="225"/>
      <c r="VBJ119" s="225"/>
      <c r="VBK119" s="225"/>
      <c r="VBL119" s="225"/>
      <c r="VBM119" s="225"/>
      <c r="VBN119" s="225"/>
      <c r="VBO119" s="225"/>
      <c r="VBP119" s="225"/>
      <c r="VBQ119" s="225"/>
      <c r="VBR119" s="225"/>
      <c r="VBS119" s="225"/>
      <c r="VBT119" s="225"/>
      <c r="VBU119" s="225"/>
      <c r="VBV119" s="225"/>
      <c r="VBW119" s="225"/>
      <c r="VBX119" s="225"/>
      <c r="VBY119" s="225"/>
      <c r="VBZ119" s="225"/>
      <c r="VCA119" s="225"/>
      <c r="VCB119" s="225"/>
      <c r="VCC119" s="225"/>
      <c r="VCD119" s="225"/>
      <c r="VCE119" s="225"/>
      <c r="VCF119" s="225"/>
      <c r="VCG119" s="225"/>
      <c r="VCH119" s="225"/>
      <c r="VCI119" s="225"/>
      <c r="VCJ119" s="225"/>
      <c r="VCK119" s="225"/>
      <c r="VCL119" s="225"/>
      <c r="VCM119" s="225"/>
      <c r="VCN119" s="225"/>
      <c r="VCO119" s="225"/>
      <c r="VCP119" s="225"/>
      <c r="VCQ119" s="225"/>
      <c r="VCR119" s="225"/>
      <c r="VCS119" s="225"/>
      <c r="VCT119" s="225"/>
      <c r="VCU119" s="225"/>
      <c r="VCV119" s="225"/>
      <c r="VCW119" s="225"/>
      <c r="VCX119" s="225"/>
      <c r="VCY119" s="225"/>
      <c r="VCZ119" s="225"/>
      <c r="VDA119" s="225"/>
      <c r="VDB119" s="225"/>
      <c r="VDC119" s="225"/>
      <c r="VDD119" s="225"/>
      <c r="VDE119" s="225"/>
      <c r="VDF119" s="225"/>
      <c r="VDG119" s="225"/>
      <c r="VDH119" s="225"/>
      <c r="VDI119" s="225"/>
      <c r="VDJ119" s="225"/>
      <c r="VDK119" s="225"/>
      <c r="VDL119" s="225"/>
      <c r="VDM119" s="225"/>
      <c r="VDN119" s="225"/>
      <c r="VDO119" s="225"/>
      <c r="VDP119" s="225"/>
      <c r="VDQ119" s="225"/>
      <c r="VDR119" s="225"/>
      <c r="VDS119" s="225"/>
      <c r="VDT119" s="225"/>
      <c r="VDU119" s="225"/>
      <c r="VDV119" s="225"/>
      <c r="VDW119" s="225"/>
      <c r="VDX119" s="225"/>
      <c r="VDY119" s="225"/>
      <c r="VDZ119" s="225"/>
      <c r="VEA119" s="225"/>
      <c r="VEB119" s="225"/>
      <c r="VEC119" s="225"/>
      <c r="VED119" s="225"/>
      <c r="VEE119" s="225"/>
      <c r="VEF119" s="225"/>
      <c r="VEG119" s="225"/>
      <c r="VEH119" s="225"/>
      <c r="VEI119" s="225"/>
      <c r="VEJ119" s="225"/>
      <c r="VEK119" s="225"/>
      <c r="VEL119" s="225"/>
      <c r="VEM119" s="225"/>
      <c r="VEN119" s="225"/>
      <c r="VEO119" s="225"/>
      <c r="VEP119" s="225"/>
      <c r="VEQ119" s="225"/>
      <c r="VER119" s="225"/>
      <c r="VES119" s="225"/>
      <c r="VET119" s="225"/>
      <c r="VEU119" s="225"/>
      <c r="VEV119" s="225"/>
      <c r="VEW119" s="225"/>
      <c r="VEX119" s="225"/>
      <c r="VEY119" s="225"/>
      <c r="VEZ119" s="225"/>
      <c r="VFA119" s="225"/>
      <c r="VFB119" s="225"/>
      <c r="VFC119" s="225"/>
      <c r="VFD119" s="225"/>
      <c r="VFE119" s="225"/>
      <c r="VFF119" s="225"/>
      <c r="VFG119" s="225"/>
      <c r="VFH119" s="225"/>
      <c r="VFI119" s="225"/>
      <c r="VFJ119" s="225"/>
      <c r="VFK119" s="225"/>
      <c r="VFL119" s="225"/>
      <c r="VFM119" s="225"/>
      <c r="VFN119" s="225"/>
      <c r="VFO119" s="225"/>
      <c r="VFP119" s="225"/>
      <c r="VFQ119" s="225"/>
      <c r="VFR119" s="225"/>
      <c r="VFS119" s="225"/>
      <c r="VFT119" s="225"/>
      <c r="VFU119" s="225"/>
      <c r="VFV119" s="225"/>
      <c r="VFW119" s="225"/>
      <c r="VFX119" s="225"/>
      <c r="VFY119" s="225"/>
      <c r="VFZ119" s="225"/>
      <c r="VGA119" s="225"/>
      <c r="VGB119" s="225"/>
      <c r="VGC119" s="225"/>
      <c r="VGD119" s="225"/>
      <c r="VGE119" s="225"/>
      <c r="VGF119" s="225"/>
      <c r="VGG119" s="225"/>
      <c r="VGH119" s="225"/>
      <c r="VGI119" s="225"/>
      <c r="VGJ119" s="225"/>
      <c r="VGK119" s="225"/>
      <c r="VGL119" s="225"/>
      <c r="VGM119" s="225"/>
      <c r="VGN119" s="225"/>
      <c r="VGO119" s="225"/>
      <c r="VGP119" s="225"/>
      <c r="VGQ119" s="225"/>
      <c r="VGR119" s="225"/>
      <c r="VGS119" s="225"/>
      <c r="VGT119" s="225"/>
      <c r="VGU119" s="225"/>
      <c r="VGV119" s="225"/>
      <c r="VGW119" s="225"/>
      <c r="VGX119" s="225"/>
      <c r="VGY119" s="225"/>
      <c r="VGZ119" s="225"/>
      <c r="VHA119" s="225"/>
      <c r="VHB119" s="225"/>
      <c r="VHC119" s="225"/>
      <c r="VHD119" s="225"/>
      <c r="VHE119" s="225"/>
      <c r="VHF119" s="225"/>
      <c r="VHG119" s="225"/>
      <c r="VHH119" s="225"/>
      <c r="VHI119" s="225"/>
      <c r="VHJ119" s="225"/>
      <c r="VHK119" s="225"/>
      <c r="VHL119" s="225"/>
      <c r="VHM119" s="225"/>
      <c r="VHN119" s="225"/>
      <c r="VHO119" s="225"/>
      <c r="VHP119" s="225"/>
      <c r="VHQ119" s="225"/>
      <c r="VHR119" s="225"/>
      <c r="VHS119" s="225"/>
      <c r="VHT119" s="225"/>
      <c r="VHU119" s="225"/>
      <c r="VHV119" s="225"/>
      <c r="VHW119" s="225"/>
      <c r="VHX119" s="225"/>
      <c r="VHY119" s="225"/>
      <c r="VHZ119" s="225"/>
      <c r="VIA119" s="225"/>
      <c r="VIB119" s="225"/>
      <c r="VIC119" s="225"/>
      <c r="VID119" s="225"/>
      <c r="VIE119" s="225"/>
      <c r="VIF119" s="225"/>
      <c r="VIG119" s="225"/>
      <c r="VIH119" s="225"/>
      <c r="VII119" s="225"/>
      <c r="VIJ119" s="225"/>
      <c r="VIK119" s="225"/>
      <c r="VIL119" s="225"/>
      <c r="VIM119" s="225"/>
      <c r="VIN119" s="225"/>
      <c r="VIO119" s="225"/>
      <c r="VIP119" s="225"/>
      <c r="VIQ119" s="225"/>
      <c r="VIR119" s="225"/>
      <c r="VIS119" s="225"/>
      <c r="VIT119" s="225"/>
      <c r="VIU119" s="225"/>
      <c r="VIV119" s="225"/>
      <c r="VIW119" s="225"/>
      <c r="VIX119" s="225"/>
      <c r="VIY119" s="225"/>
      <c r="VIZ119" s="225"/>
      <c r="VJA119" s="225"/>
      <c r="VJB119" s="225"/>
      <c r="VJC119" s="225"/>
      <c r="VJD119" s="225"/>
      <c r="VJE119" s="225"/>
      <c r="VJF119" s="225"/>
      <c r="VJG119" s="225"/>
      <c r="VJH119" s="225"/>
      <c r="VJI119" s="225"/>
      <c r="VJJ119" s="225"/>
      <c r="VJK119" s="225"/>
      <c r="VJL119" s="225"/>
      <c r="VJM119" s="225"/>
      <c r="VJN119" s="225"/>
      <c r="VJO119" s="225"/>
      <c r="VJP119" s="225"/>
      <c r="VJQ119" s="225"/>
      <c r="VJR119" s="225"/>
      <c r="VJS119" s="225"/>
      <c r="VJT119" s="225"/>
      <c r="VJU119" s="225"/>
      <c r="VJV119" s="225"/>
      <c r="VJW119" s="225"/>
      <c r="VJX119" s="225"/>
      <c r="VJY119" s="225"/>
      <c r="VJZ119" s="225"/>
      <c r="VKA119" s="225"/>
      <c r="VKB119" s="225"/>
      <c r="VKC119" s="225"/>
      <c r="VKD119" s="225"/>
      <c r="VKE119" s="225"/>
      <c r="VKF119" s="225"/>
      <c r="VKG119" s="225"/>
      <c r="VKH119" s="225"/>
      <c r="VKI119" s="225"/>
      <c r="VKJ119" s="225"/>
      <c r="VKK119" s="225"/>
      <c r="VKL119" s="225"/>
      <c r="VKM119" s="225"/>
      <c r="VKN119" s="225"/>
      <c r="VKO119" s="225"/>
      <c r="VKP119" s="225"/>
      <c r="VKQ119" s="225"/>
      <c r="VKR119" s="225"/>
      <c r="VKS119" s="225"/>
      <c r="VKT119" s="225"/>
      <c r="VKU119" s="225"/>
      <c r="VKV119" s="225"/>
      <c r="VKW119" s="225"/>
      <c r="VKX119" s="225"/>
      <c r="VKY119" s="225"/>
      <c r="VKZ119" s="225"/>
      <c r="VLA119" s="225"/>
      <c r="VLB119" s="225"/>
      <c r="VLC119" s="225"/>
      <c r="VLD119" s="225"/>
      <c r="VLE119" s="225"/>
      <c r="VLF119" s="225"/>
      <c r="VLG119" s="225"/>
      <c r="VLH119" s="225"/>
      <c r="VLI119" s="225"/>
      <c r="VLJ119" s="225"/>
      <c r="VLK119" s="225"/>
      <c r="VLL119" s="225"/>
      <c r="VLM119" s="225"/>
      <c r="VLN119" s="225"/>
      <c r="VLO119" s="225"/>
      <c r="VLP119" s="225"/>
      <c r="VLQ119" s="225"/>
      <c r="VLR119" s="225"/>
      <c r="VLS119" s="225"/>
      <c r="VLT119" s="225"/>
      <c r="VLU119" s="225"/>
      <c r="VLV119" s="225"/>
      <c r="VLW119" s="225"/>
      <c r="VLX119" s="225"/>
      <c r="VLY119" s="225"/>
      <c r="VLZ119" s="225"/>
      <c r="VMA119" s="225"/>
      <c r="VMB119" s="225"/>
      <c r="VMC119" s="225"/>
      <c r="VMD119" s="225"/>
      <c r="VME119" s="225"/>
      <c r="VMF119" s="225"/>
      <c r="VMG119" s="225"/>
      <c r="VMH119" s="225"/>
      <c r="VMI119" s="225"/>
      <c r="VMJ119" s="225"/>
      <c r="VMK119" s="225"/>
      <c r="VML119" s="225"/>
      <c r="VMM119" s="225"/>
      <c r="VMN119" s="225"/>
      <c r="VMO119" s="225"/>
      <c r="VMP119" s="225"/>
      <c r="VMQ119" s="225"/>
      <c r="VMR119" s="225"/>
      <c r="VMS119" s="225"/>
      <c r="VMT119" s="225"/>
      <c r="VMU119" s="225"/>
      <c r="VMV119" s="225"/>
      <c r="VMW119" s="225"/>
      <c r="VMX119" s="225"/>
      <c r="VMY119" s="225"/>
      <c r="VMZ119" s="225"/>
      <c r="VNA119" s="225"/>
      <c r="VNB119" s="225"/>
      <c r="VNC119" s="225"/>
      <c r="VND119" s="225"/>
      <c r="VNE119" s="225"/>
      <c r="VNF119" s="225"/>
      <c r="VNG119" s="225"/>
      <c r="VNH119" s="225"/>
      <c r="VNI119" s="225"/>
      <c r="VNJ119" s="225"/>
      <c r="VNK119" s="225"/>
      <c r="VNL119" s="225"/>
      <c r="VNM119" s="225"/>
      <c r="VNN119" s="225"/>
      <c r="VNO119" s="225"/>
      <c r="VNP119" s="225"/>
      <c r="VNQ119" s="225"/>
      <c r="VNR119" s="225"/>
      <c r="VNS119" s="225"/>
      <c r="VNT119" s="225"/>
      <c r="VNU119" s="225"/>
      <c r="VNV119" s="225"/>
      <c r="VNW119" s="225"/>
      <c r="VNX119" s="225"/>
      <c r="VNY119" s="225"/>
      <c r="VNZ119" s="225"/>
      <c r="VOA119" s="225"/>
      <c r="VOB119" s="225"/>
      <c r="VOC119" s="225"/>
      <c r="VOD119" s="225"/>
      <c r="VOE119" s="225"/>
      <c r="VOF119" s="225"/>
      <c r="VOG119" s="225"/>
      <c r="VOH119" s="225"/>
      <c r="VOI119" s="225"/>
      <c r="VOJ119" s="225"/>
      <c r="VOK119" s="225"/>
      <c r="VOL119" s="225"/>
      <c r="VOM119" s="225"/>
      <c r="VON119" s="225"/>
      <c r="VOO119" s="225"/>
      <c r="VOP119" s="225"/>
      <c r="VOQ119" s="225"/>
      <c r="VOR119" s="225"/>
      <c r="VOS119" s="225"/>
      <c r="VOT119" s="225"/>
      <c r="VOU119" s="225"/>
      <c r="VOV119" s="225"/>
      <c r="VOW119" s="225"/>
      <c r="VOX119" s="225"/>
      <c r="VOY119" s="225"/>
      <c r="VOZ119" s="225"/>
      <c r="VPA119" s="225"/>
      <c r="VPB119" s="225"/>
      <c r="VPC119" s="225"/>
      <c r="VPD119" s="225"/>
      <c r="VPE119" s="225"/>
      <c r="VPF119" s="225"/>
      <c r="VPG119" s="225"/>
      <c r="VPH119" s="225"/>
      <c r="VPI119" s="225"/>
      <c r="VPJ119" s="225"/>
      <c r="VPK119" s="225"/>
      <c r="VPL119" s="225"/>
      <c r="VPM119" s="225"/>
      <c r="VPN119" s="225"/>
      <c r="VPO119" s="225"/>
      <c r="VPP119" s="225"/>
      <c r="VPQ119" s="225"/>
      <c r="VPR119" s="225"/>
      <c r="VPS119" s="225"/>
      <c r="VPT119" s="225"/>
      <c r="VPU119" s="225"/>
      <c r="VPV119" s="225"/>
      <c r="VPW119" s="225"/>
      <c r="VPX119" s="225"/>
      <c r="VPY119" s="225"/>
      <c r="VPZ119" s="225"/>
      <c r="VQA119" s="225"/>
      <c r="VQB119" s="225"/>
      <c r="VQC119" s="225"/>
      <c r="VQD119" s="225"/>
      <c r="VQE119" s="225"/>
      <c r="VQF119" s="225"/>
      <c r="VQG119" s="225"/>
      <c r="VQH119" s="225"/>
      <c r="VQI119" s="225"/>
      <c r="VQJ119" s="225"/>
      <c r="VQK119" s="225"/>
      <c r="VQL119" s="225"/>
      <c r="VQM119" s="225"/>
      <c r="VQN119" s="225"/>
      <c r="VQO119" s="225"/>
      <c r="VQP119" s="225"/>
      <c r="VQQ119" s="225"/>
      <c r="VQR119" s="225"/>
      <c r="VQS119" s="225"/>
      <c r="VQT119" s="225"/>
      <c r="VQU119" s="225"/>
      <c r="VQV119" s="225"/>
      <c r="VQW119" s="225"/>
      <c r="VQX119" s="225"/>
      <c r="VQY119" s="225"/>
      <c r="VQZ119" s="225"/>
      <c r="VRA119" s="225"/>
      <c r="VRB119" s="225"/>
      <c r="VRC119" s="225"/>
      <c r="VRD119" s="225"/>
      <c r="VRE119" s="225"/>
      <c r="VRF119" s="225"/>
      <c r="VRG119" s="225"/>
      <c r="VRH119" s="225"/>
      <c r="VRI119" s="225"/>
      <c r="VRJ119" s="225"/>
      <c r="VRK119" s="225"/>
      <c r="VRL119" s="225"/>
      <c r="VRM119" s="225"/>
      <c r="VRN119" s="225"/>
      <c r="VRO119" s="225"/>
      <c r="VRP119" s="225"/>
      <c r="VRQ119" s="225"/>
      <c r="VRR119" s="225"/>
      <c r="VRS119" s="225"/>
      <c r="VRT119" s="225"/>
      <c r="VRU119" s="225"/>
      <c r="VRV119" s="225"/>
      <c r="VRW119" s="225"/>
      <c r="VRX119" s="225"/>
      <c r="VRY119" s="225"/>
      <c r="VRZ119" s="225"/>
      <c r="VSA119" s="225"/>
      <c r="VSB119" s="225"/>
      <c r="VSC119" s="225"/>
      <c r="VSD119" s="225"/>
      <c r="VSE119" s="225"/>
      <c r="VSF119" s="225"/>
      <c r="VSG119" s="225"/>
      <c r="VSH119" s="225"/>
      <c r="VSI119" s="225"/>
      <c r="VSJ119" s="225"/>
      <c r="VSK119" s="225"/>
      <c r="VSL119" s="225"/>
      <c r="VSM119" s="225"/>
      <c r="VSN119" s="225"/>
      <c r="VSO119" s="225"/>
      <c r="VSP119" s="225"/>
      <c r="VSQ119" s="225"/>
      <c r="VSR119" s="225"/>
      <c r="VSS119" s="225"/>
      <c r="VST119" s="225"/>
      <c r="VSU119" s="225"/>
      <c r="VSV119" s="225"/>
      <c r="VSW119" s="225"/>
      <c r="VSX119" s="225"/>
      <c r="VSY119" s="225"/>
      <c r="VSZ119" s="225"/>
      <c r="VTA119" s="225"/>
      <c r="VTB119" s="225"/>
      <c r="VTC119" s="225"/>
      <c r="VTD119" s="225"/>
      <c r="VTE119" s="225"/>
      <c r="VTF119" s="225"/>
      <c r="VTG119" s="225"/>
      <c r="VTH119" s="225"/>
      <c r="VTI119" s="225"/>
      <c r="VTJ119" s="225"/>
      <c r="VTK119" s="225"/>
      <c r="VTL119" s="225"/>
      <c r="VTM119" s="225"/>
      <c r="VTN119" s="225"/>
      <c r="VTO119" s="225"/>
      <c r="VTP119" s="225"/>
      <c r="VTQ119" s="225"/>
      <c r="VTR119" s="225"/>
      <c r="VTS119" s="225"/>
      <c r="VTT119" s="225"/>
      <c r="VTU119" s="225"/>
      <c r="VTV119" s="225"/>
      <c r="VTW119" s="225"/>
      <c r="VTX119" s="225"/>
      <c r="VTY119" s="225"/>
      <c r="VTZ119" s="225"/>
      <c r="VUA119" s="225"/>
      <c r="VUB119" s="225"/>
      <c r="VUC119" s="225"/>
      <c r="VUD119" s="225"/>
      <c r="VUE119" s="225"/>
      <c r="VUF119" s="225"/>
      <c r="VUG119" s="225"/>
      <c r="VUH119" s="225"/>
      <c r="VUI119" s="225"/>
      <c r="VUJ119" s="225"/>
      <c r="VUK119" s="225"/>
      <c r="VUL119" s="225"/>
      <c r="VUM119" s="225"/>
      <c r="VUN119" s="225"/>
      <c r="VUO119" s="225"/>
      <c r="VUP119" s="225"/>
      <c r="VUQ119" s="225"/>
      <c r="VUR119" s="225"/>
      <c r="VUS119" s="225"/>
      <c r="VUT119" s="225"/>
      <c r="VUU119" s="225"/>
      <c r="VUV119" s="225"/>
      <c r="VUW119" s="225"/>
      <c r="VUX119" s="225"/>
      <c r="VUY119" s="225"/>
      <c r="VUZ119" s="225"/>
      <c r="VVA119" s="225"/>
      <c r="VVB119" s="225"/>
      <c r="VVC119" s="225"/>
      <c r="VVD119" s="225"/>
      <c r="VVE119" s="225"/>
      <c r="VVF119" s="225"/>
      <c r="VVG119" s="225"/>
      <c r="VVH119" s="225"/>
      <c r="VVI119" s="225"/>
      <c r="VVJ119" s="225"/>
      <c r="VVK119" s="225"/>
      <c r="VVL119" s="225"/>
      <c r="VVM119" s="225"/>
      <c r="VVN119" s="225"/>
      <c r="VVO119" s="225"/>
      <c r="VVP119" s="225"/>
      <c r="VVQ119" s="225"/>
      <c r="VVR119" s="225"/>
      <c r="VVS119" s="225"/>
      <c r="VVT119" s="225"/>
      <c r="VVU119" s="225"/>
      <c r="VVV119" s="225"/>
      <c r="VVW119" s="225"/>
      <c r="VVX119" s="225"/>
      <c r="VVY119" s="225"/>
      <c r="VVZ119" s="225"/>
      <c r="VWA119" s="225"/>
      <c r="VWB119" s="225"/>
      <c r="VWC119" s="225"/>
      <c r="VWD119" s="225"/>
      <c r="VWE119" s="225"/>
      <c r="VWF119" s="225"/>
      <c r="VWG119" s="225"/>
      <c r="VWH119" s="225"/>
      <c r="VWI119" s="225"/>
      <c r="VWJ119" s="225"/>
      <c r="VWK119" s="225"/>
      <c r="VWL119" s="225"/>
      <c r="VWM119" s="225"/>
      <c r="VWN119" s="225"/>
      <c r="VWO119" s="225"/>
      <c r="VWP119" s="225"/>
      <c r="VWQ119" s="225"/>
      <c r="VWR119" s="225"/>
      <c r="VWS119" s="225"/>
      <c r="VWT119" s="225"/>
      <c r="VWU119" s="225"/>
      <c r="VWV119" s="225"/>
      <c r="VWW119" s="225"/>
      <c r="VWX119" s="225"/>
      <c r="VWY119" s="225"/>
      <c r="VWZ119" s="225"/>
      <c r="VXA119" s="225"/>
      <c r="VXB119" s="225"/>
      <c r="VXC119" s="225"/>
      <c r="VXD119" s="225"/>
      <c r="VXE119" s="225"/>
      <c r="VXF119" s="225"/>
      <c r="VXG119" s="225"/>
      <c r="VXH119" s="225"/>
      <c r="VXI119" s="225"/>
      <c r="VXJ119" s="225"/>
      <c r="VXK119" s="225"/>
      <c r="VXL119" s="225"/>
      <c r="VXM119" s="225"/>
      <c r="VXN119" s="225"/>
      <c r="VXO119" s="225"/>
      <c r="VXP119" s="225"/>
      <c r="VXQ119" s="225"/>
      <c r="VXR119" s="225"/>
      <c r="VXS119" s="225"/>
      <c r="VXT119" s="225"/>
      <c r="VXU119" s="225"/>
      <c r="VXV119" s="225"/>
      <c r="VXW119" s="225"/>
      <c r="VXX119" s="225"/>
      <c r="VXY119" s="225"/>
      <c r="VXZ119" s="225"/>
      <c r="VYA119" s="225"/>
      <c r="VYB119" s="225"/>
      <c r="VYC119" s="225"/>
      <c r="VYD119" s="225"/>
      <c r="VYE119" s="225"/>
      <c r="VYF119" s="225"/>
      <c r="VYG119" s="225"/>
      <c r="VYH119" s="225"/>
      <c r="VYI119" s="225"/>
      <c r="VYJ119" s="225"/>
      <c r="VYK119" s="225"/>
      <c r="VYL119" s="225"/>
      <c r="VYM119" s="225"/>
      <c r="VYN119" s="225"/>
      <c r="VYO119" s="225"/>
      <c r="VYP119" s="225"/>
      <c r="VYQ119" s="225"/>
      <c r="VYR119" s="225"/>
      <c r="VYS119" s="225"/>
      <c r="VYT119" s="225"/>
      <c r="VYU119" s="225"/>
      <c r="VYV119" s="225"/>
      <c r="VYW119" s="225"/>
      <c r="VYX119" s="225"/>
      <c r="VYY119" s="225"/>
      <c r="VYZ119" s="225"/>
      <c r="VZA119" s="225"/>
      <c r="VZB119" s="225"/>
      <c r="VZC119" s="225"/>
      <c r="VZD119" s="225"/>
      <c r="VZE119" s="225"/>
      <c r="VZF119" s="225"/>
      <c r="VZG119" s="225"/>
      <c r="VZH119" s="225"/>
      <c r="VZI119" s="225"/>
      <c r="VZJ119" s="225"/>
      <c r="VZK119" s="225"/>
      <c r="VZL119" s="225"/>
      <c r="VZM119" s="225"/>
      <c r="VZN119" s="225"/>
      <c r="VZO119" s="225"/>
      <c r="VZP119" s="225"/>
      <c r="VZQ119" s="225"/>
      <c r="VZR119" s="225"/>
      <c r="VZS119" s="225"/>
      <c r="VZT119" s="225"/>
      <c r="VZU119" s="225"/>
      <c r="VZV119" s="225"/>
      <c r="VZW119" s="225"/>
      <c r="VZX119" s="225"/>
      <c r="VZY119" s="225"/>
      <c r="VZZ119" s="225"/>
      <c r="WAA119" s="225"/>
      <c r="WAB119" s="225"/>
      <c r="WAC119" s="225"/>
      <c r="WAD119" s="225"/>
      <c r="WAE119" s="225"/>
      <c r="WAF119" s="225"/>
      <c r="WAG119" s="225"/>
      <c r="WAH119" s="225"/>
      <c r="WAI119" s="225"/>
      <c r="WAJ119" s="225"/>
      <c r="WAK119" s="225"/>
      <c r="WAL119" s="225"/>
      <c r="WAM119" s="225"/>
      <c r="WAN119" s="225"/>
      <c r="WAO119" s="225"/>
      <c r="WAP119" s="225"/>
      <c r="WAQ119" s="225"/>
      <c r="WAR119" s="225"/>
      <c r="WAS119" s="225"/>
      <c r="WAT119" s="225"/>
      <c r="WAU119" s="225"/>
      <c r="WAV119" s="225"/>
      <c r="WAW119" s="225"/>
      <c r="WAX119" s="225"/>
      <c r="WAY119" s="225"/>
      <c r="WAZ119" s="225"/>
      <c r="WBA119" s="225"/>
      <c r="WBB119" s="225"/>
      <c r="WBC119" s="225"/>
      <c r="WBD119" s="225"/>
      <c r="WBE119" s="225"/>
      <c r="WBF119" s="225"/>
      <c r="WBG119" s="225"/>
      <c r="WBH119" s="225"/>
      <c r="WBI119" s="225"/>
      <c r="WBJ119" s="225"/>
      <c r="WBK119" s="225"/>
      <c r="WBL119" s="225"/>
      <c r="WBM119" s="225"/>
      <c r="WBN119" s="225"/>
      <c r="WBO119" s="225"/>
      <c r="WBP119" s="225"/>
      <c r="WBQ119" s="225"/>
      <c r="WBR119" s="225"/>
      <c r="WBS119" s="225"/>
      <c r="WBT119" s="225"/>
      <c r="WBU119" s="225"/>
      <c r="WBV119" s="225"/>
      <c r="WBW119" s="225"/>
      <c r="WBX119" s="225"/>
      <c r="WBY119" s="225"/>
      <c r="WBZ119" s="225"/>
      <c r="WCA119" s="225"/>
      <c r="WCB119" s="225"/>
      <c r="WCC119" s="225"/>
      <c r="WCD119" s="225"/>
      <c r="WCE119" s="225"/>
      <c r="WCF119" s="225"/>
      <c r="WCG119" s="225"/>
      <c r="WCH119" s="225"/>
      <c r="WCI119" s="225"/>
      <c r="WCJ119" s="225"/>
      <c r="WCK119" s="225"/>
      <c r="WCL119" s="225"/>
      <c r="WCM119" s="225"/>
      <c r="WCN119" s="225"/>
      <c r="WCO119" s="225"/>
      <c r="WCP119" s="225"/>
      <c r="WCQ119" s="225"/>
      <c r="WCR119" s="225"/>
      <c r="WCS119" s="225"/>
      <c r="WCT119" s="225"/>
      <c r="WCU119" s="225"/>
      <c r="WCV119" s="225"/>
      <c r="WCW119" s="225"/>
      <c r="WCX119" s="225"/>
      <c r="WCY119" s="225"/>
      <c r="WCZ119" s="225"/>
      <c r="WDA119" s="225"/>
      <c r="WDB119" s="225"/>
      <c r="WDC119" s="225"/>
      <c r="WDD119" s="225"/>
      <c r="WDE119" s="225"/>
      <c r="WDF119" s="225"/>
      <c r="WDG119" s="225"/>
      <c r="WDH119" s="225"/>
      <c r="WDI119" s="225"/>
      <c r="WDJ119" s="225"/>
      <c r="WDK119" s="225"/>
      <c r="WDL119" s="225"/>
      <c r="WDM119" s="225"/>
      <c r="WDN119" s="225"/>
      <c r="WDO119" s="225"/>
      <c r="WDP119" s="225"/>
      <c r="WDQ119" s="225"/>
      <c r="WDR119" s="225"/>
      <c r="WDS119" s="225"/>
      <c r="WDT119" s="225"/>
      <c r="WDU119" s="225"/>
      <c r="WDV119" s="225"/>
      <c r="WDW119" s="225"/>
      <c r="WDX119" s="225"/>
      <c r="WDY119" s="225"/>
      <c r="WDZ119" s="225"/>
      <c r="WEA119" s="225"/>
      <c r="WEB119" s="225"/>
      <c r="WEC119" s="225"/>
      <c r="WED119" s="225"/>
      <c r="WEE119" s="225"/>
      <c r="WEF119" s="225"/>
      <c r="WEG119" s="225"/>
      <c r="WEH119" s="225"/>
      <c r="WEI119" s="225"/>
      <c r="WEJ119" s="225"/>
      <c r="WEK119" s="225"/>
      <c r="WEL119" s="225"/>
      <c r="WEM119" s="225"/>
      <c r="WEN119" s="225"/>
      <c r="WEO119" s="225"/>
      <c r="WEP119" s="225"/>
      <c r="WEQ119" s="225"/>
      <c r="WER119" s="225"/>
      <c r="WES119" s="225"/>
      <c r="WET119" s="225"/>
      <c r="WEU119" s="225"/>
      <c r="WEV119" s="225"/>
      <c r="WEW119" s="225"/>
      <c r="WEX119" s="225"/>
      <c r="WEY119" s="225"/>
      <c r="WEZ119" s="225"/>
      <c r="WFA119" s="225"/>
      <c r="WFB119" s="225"/>
      <c r="WFC119" s="225"/>
      <c r="WFD119" s="225"/>
      <c r="WFE119" s="225"/>
      <c r="WFF119" s="225"/>
      <c r="WFG119" s="225"/>
      <c r="WFH119" s="225"/>
      <c r="WFI119" s="225"/>
      <c r="WFJ119" s="225"/>
      <c r="WFK119" s="225"/>
      <c r="WFL119" s="225"/>
      <c r="WFM119" s="225"/>
      <c r="WFN119" s="225"/>
      <c r="WFO119" s="225"/>
      <c r="WFP119" s="225"/>
      <c r="WFQ119" s="225"/>
      <c r="WFR119" s="225"/>
      <c r="WFS119" s="225"/>
      <c r="WFT119" s="225"/>
      <c r="WFU119" s="225"/>
      <c r="WFV119" s="225"/>
      <c r="WFW119" s="225"/>
      <c r="WFX119" s="225"/>
      <c r="WFY119" s="225"/>
      <c r="WFZ119" s="225"/>
      <c r="WGA119" s="225"/>
      <c r="WGB119" s="225"/>
      <c r="WGC119" s="225"/>
      <c r="WGD119" s="225"/>
      <c r="WGE119" s="225"/>
      <c r="WGF119" s="225"/>
      <c r="WGG119" s="225"/>
      <c r="WGH119" s="225"/>
      <c r="WGI119" s="225"/>
      <c r="WGJ119" s="225"/>
      <c r="WGK119" s="225"/>
      <c r="WGL119" s="225"/>
      <c r="WGM119" s="225"/>
      <c r="WGN119" s="225"/>
      <c r="WGO119" s="225"/>
      <c r="WGP119" s="225"/>
      <c r="WGQ119" s="225"/>
      <c r="WGR119" s="225"/>
      <c r="WGS119" s="225"/>
      <c r="WGT119" s="225"/>
      <c r="WGU119" s="225"/>
      <c r="WGV119" s="225"/>
      <c r="WGW119" s="225"/>
      <c r="WGX119" s="225"/>
      <c r="WGY119" s="225"/>
      <c r="WGZ119" s="225"/>
      <c r="WHA119" s="225"/>
      <c r="WHB119" s="225"/>
      <c r="WHC119" s="225"/>
      <c r="WHD119" s="225"/>
      <c r="WHE119" s="225"/>
      <c r="WHF119" s="225"/>
      <c r="WHG119" s="225"/>
      <c r="WHH119" s="225"/>
      <c r="WHI119" s="225"/>
      <c r="WHJ119" s="225"/>
      <c r="WHK119" s="225"/>
      <c r="WHL119" s="225"/>
      <c r="WHM119" s="225"/>
      <c r="WHN119" s="225"/>
      <c r="WHO119" s="225"/>
      <c r="WHP119" s="225"/>
      <c r="WHQ119" s="225"/>
      <c r="WHR119" s="225"/>
      <c r="WHS119" s="225"/>
      <c r="WHT119" s="225"/>
      <c r="WHU119" s="225"/>
      <c r="WHV119" s="225"/>
      <c r="WHW119" s="225"/>
      <c r="WHX119" s="225"/>
      <c r="WHY119" s="225"/>
      <c r="WHZ119" s="225"/>
      <c r="WIA119" s="225"/>
      <c r="WIB119" s="225"/>
      <c r="WIC119" s="225"/>
      <c r="WID119" s="225"/>
      <c r="WIE119" s="225"/>
      <c r="WIF119" s="225"/>
      <c r="WIG119" s="225"/>
      <c r="WIH119" s="225"/>
      <c r="WII119" s="225"/>
      <c r="WIJ119" s="225"/>
      <c r="WIK119" s="225"/>
      <c r="WIL119" s="225"/>
      <c r="WIM119" s="225"/>
      <c r="WIN119" s="225"/>
      <c r="WIO119" s="225"/>
      <c r="WIP119" s="225"/>
      <c r="WIQ119" s="225"/>
      <c r="WIR119" s="225"/>
      <c r="WIS119" s="225"/>
      <c r="WIT119" s="225"/>
      <c r="WIU119" s="225"/>
      <c r="WIV119" s="225"/>
      <c r="WIW119" s="225"/>
      <c r="WIX119" s="225"/>
      <c r="WIY119" s="225"/>
      <c r="WIZ119" s="225"/>
      <c r="WJA119" s="225"/>
      <c r="WJB119" s="225"/>
      <c r="WJC119" s="225"/>
      <c r="WJD119" s="225"/>
      <c r="WJE119" s="225"/>
      <c r="WJF119" s="225"/>
      <c r="WJG119" s="225"/>
      <c r="WJH119" s="225"/>
      <c r="WJI119" s="225"/>
      <c r="WJJ119" s="225"/>
      <c r="WJK119" s="225"/>
      <c r="WJL119" s="225"/>
      <c r="WJM119" s="225"/>
      <c r="WJN119" s="225"/>
      <c r="WJO119" s="225"/>
      <c r="WJP119" s="225"/>
      <c r="WJQ119" s="225"/>
      <c r="WJR119" s="225"/>
      <c r="WJS119" s="225"/>
      <c r="WJT119" s="225"/>
      <c r="WJU119" s="225"/>
      <c r="WJV119" s="225"/>
      <c r="WJW119" s="225"/>
      <c r="WJX119" s="225"/>
      <c r="WJY119" s="225"/>
      <c r="WJZ119" s="225"/>
      <c r="WKA119" s="225"/>
      <c r="WKB119" s="225"/>
      <c r="WKC119" s="225"/>
      <c r="WKD119" s="225"/>
      <c r="WKE119" s="225"/>
      <c r="WKF119" s="225"/>
      <c r="WKG119" s="225"/>
      <c r="WKH119" s="225"/>
      <c r="WKI119" s="225"/>
      <c r="WKJ119" s="225"/>
      <c r="WKK119" s="225"/>
      <c r="WKL119" s="225"/>
      <c r="WKM119" s="225"/>
      <c r="WKN119" s="225"/>
      <c r="WKO119" s="225"/>
      <c r="WKP119" s="225"/>
      <c r="WKQ119" s="225"/>
      <c r="WKR119" s="225"/>
      <c r="WKS119" s="225"/>
      <c r="WKT119" s="225"/>
      <c r="WKU119" s="225"/>
      <c r="WKV119" s="225"/>
      <c r="WKW119" s="225"/>
      <c r="WKX119" s="225"/>
      <c r="WKY119" s="225"/>
      <c r="WKZ119" s="225"/>
      <c r="WLA119" s="225"/>
      <c r="WLB119" s="225"/>
      <c r="WLC119" s="225"/>
      <c r="WLD119" s="225"/>
      <c r="WLE119" s="225"/>
      <c r="WLF119" s="225"/>
      <c r="WLG119" s="225"/>
      <c r="WLH119" s="225"/>
      <c r="WLI119" s="225"/>
      <c r="WLJ119" s="225"/>
      <c r="WLK119" s="225"/>
      <c r="WLL119" s="225"/>
      <c r="WLM119" s="225"/>
      <c r="WLN119" s="225"/>
      <c r="WLO119" s="225"/>
      <c r="WLP119" s="225"/>
      <c r="WLQ119" s="225"/>
      <c r="WLR119" s="225"/>
      <c r="WLS119" s="225"/>
      <c r="WLT119" s="225"/>
      <c r="WLU119" s="225"/>
      <c r="WLV119" s="225"/>
      <c r="WLW119" s="225"/>
      <c r="WLX119" s="225"/>
      <c r="WLY119" s="225"/>
      <c r="WLZ119" s="225"/>
      <c r="WMA119" s="225"/>
      <c r="WMB119" s="225"/>
      <c r="WMC119" s="225"/>
      <c r="WMD119" s="225"/>
      <c r="WME119" s="225"/>
      <c r="WMF119" s="225"/>
      <c r="WMG119" s="225"/>
      <c r="WMH119" s="225"/>
      <c r="WMI119" s="225"/>
      <c r="WMJ119" s="225"/>
      <c r="WMK119" s="225"/>
      <c r="WML119" s="225"/>
      <c r="WMM119" s="225"/>
      <c r="WMN119" s="225"/>
      <c r="WMO119" s="225"/>
      <c r="WMP119" s="225"/>
      <c r="WMQ119" s="225"/>
      <c r="WMR119" s="225"/>
      <c r="WMS119" s="225"/>
      <c r="WMT119" s="225"/>
      <c r="WMU119" s="225"/>
      <c r="WMV119" s="225"/>
      <c r="WMW119" s="225"/>
      <c r="WMX119" s="225"/>
      <c r="WMY119" s="225"/>
      <c r="WMZ119" s="225"/>
      <c r="WNA119" s="225"/>
      <c r="WNB119" s="225"/>
      <c r="WNC119" s="225"/>
      <c r="WND119" s="225"/>
      <c r="WNE119" s="225"/>
      <c r="WNF119" s="225"/>
      <c r="WNG119" s="225"/>
      <c r="WNH119" s="225"/>
      <c r="WNI119" s="225"/>
      <c r="WNJ119" s="225"/>
      <c r="WNK119" s="225"/>
      <c r="WNL119" s="225"/>
      <c r="WNM119" s="225"/>
      <c r="WNN119" s="225"/>
      <c r="WNO119" s="225"/>
      <c r="WNP119" s="225"/>
      <c r="WNQ119" s="225"/>
      <c r="WNR119" s="225"/>
      <c r="WNS119" s="225"/>
      <c r="WNT119" s="225"/>
      <c r="WNU119" s="225"/>
      <c r="WNV119" s="225"/>
      <c r="WNW119" s="225"/>
      <c r="WNX119" s="225"/>
      <c r="WNY119" s="225"/>
      <c r="WNZ119" s="225"/>
      <c r="WOA119" s="225"/>
      <c r="WOB119" s="225"/>
      <c r="WOC119" s="225"/>
      <c r="WOD119" s="225"/>
      <c r="WOE119" s="225"/>
      <c r="WOF119" s="225"/>
      <c r="WOG119" s="225"/>
      <c r="WOH119" s="225"/>
      <c r="WOI119" s="225"/>
      <c r="WOJ119" s="225"/>
      <c r="WOK119" s="225"/>
      <c r="WOL119" s="225"/>
      <c r="WOM119" s="225"/>
      <c r="WON119" s="225"/>
      <c r="WOO119" s="225"/>
      <c r="WOP119" s="225"/>
      <c r="WOQ119" s="225"/>
      <c r="WOR119" s="225"/>
      <c r="WOS119" s="225"/>
      <c r="WOT119" s="225"/>
      <c r="WOU119" s="225"/>
      <c r="WOV119" s="225"/>
      <c r="WOW119" s="225"/>
      <c r="WOX119" s="225"/>
      <c r="WOY119" s="225"/>
      <c r="WOZ119" s="225"/>
      <c r="WPA119" s="225"/>
      <c r="WPB119" s="225"/>
      <c r="WPC119" s="225"/>
      <c r="WPD119" s="225"/>
      <c r="WPE119" s="225"/>
      <c r="WPF119" s="225"/>
      <c r="WPG119" s="225"/>
      <c r="WPH119" s="225"/>
      <c r="WPI119" s="225"/>
      <c r="WPJ119" s="225"/>
      <c r="WPK119" s="225"/>
      <c r="WPL119" s="225"/>
      <c r="WPM119" s="225"/>
      <c r="WPN119" s="225"/>
      <c r="WPO119" s="225"/>
      <c r="WPP119" s="225"/>
      <c r="WPQ119" s="225"/>
      <c r="WPR119" s="225"/>
      <c r="WPS119" s="225"/>
      <c r="WPT119" s="225"/>
      <c r="WPU119" s="225"/>
      <c r="WPV119" s="225"/>
      <c r="WPW119" s="225"/>
      <c r="WPX119" s="225"/>
      <c r="WPY119" s="225"/>
      <c r="WPZ119" s="225"/>
      <c r="WQA119" s="225"/>
      <c r="WQB119" s="225"/>
      <c r="WQC119" s="225"/>
      <c r="WQD119" s="225"/>
      <c r="WQE119" s="225"/>
      <c r="WQF119" s="225"/>
      <c r="WQG119" s="225"/>
      <c r="WQH119" s="225"/>
      <c r="WQI119" s="225"/>
      <c r="WQJ119" s="225"/>
      <c r="WQK119" s="225"/>
      <c r="WQL119" s="225"/>
      <c r="WQM119" s="225"/>
      <c r="WQN119" s="225"/>
      <c r="WQO119" s="225"/>
      <c r="WQP119" s="225"/>
      <c r="WQQ119" s="225"/>
      <c r="WQR119" s="225"/>
      <c r="WQS119" s="225"/>
      <c r="WQT119" s="225"/>
      <c r="WQU119" s="225"/>
      <c r="WQV119" s="225"/>
      <c r="WQW119" s="225"/>
      <c r="WQX119" s="225"/>
      <c r="WQY119" s="225"/>
      <c r="WQZ119" s="225"/>
      <c r="WRA119" s="225"/>
      <c r="WRB119" s="225"/>
      <c r="WRC119" s="225"/>
      <c r="WRD119" s="225"/>
      <c r="WRE119" s="225"/>
      <c r="WRF119" s="225"/>
      <c r="WRG119" s="225"/>
      <c r="WRH119" s="225"/>
      <c r="WRI119" s="225"/>
      <c r="WRJ119" s="225"/>
      <c r="WRK119" s="225"/>
      <c r="WRL119" s="225"/>
      <c r="WRM119" s="225"/>
      <c r="WRN119" s="225"/>
      <c r="WRO119" s="225"/>
      <c r="WRP119" s="225"/>
      <c r="WRQ119" s="225"/>
      <c r="WRR119" s="225"/>
      <c r="WRS119" s="225"/>
      <c r="WRT119" s="225"/>
      <c r="WRU119" s="225"/>
      <c r="WRV119" s="225"/>
      <c r="WRW119" s="225"/>
      <c r="WRX119" s="225"/>
      <c r="WRY119" s="225"/>
      <c r="WRZ119" s="225"/>
      <c r="WSA119" s="225"/>
      <c r="WSB119" s="225"/>
      <c r="WSC119" s="225"/>
      <c r="WSD119" s="225"/>
      <c r="WSE119" s="225"/>
      <c r="WSF119" s="225"/>
      <c r="WSG119" s="225"/>
      <c r="WSH119" s="225"/>
      <c r="WSI119" s="225"/>
      <c r="WSJ119" s="225"/>
      <c r="WSK119" s="225"/>
      <c r="WSL119" s="225"/>
      <c r="WSM119" s="225"/>
      <c r="WSN119" s="225"/>
      <c r="WSO119" s="225"/>
      <c r="WSP119" s="225"/>
      <c r="WSQ119" s="225"/>
      <c r="WSR119" s="225"/>
      <c r="WSS119" s="225"/>
      <c r="WST119" s="225"/>
      <c r="WSU119" s="225"/>
      <c r="WSV119" s="225"/>
      <c r="WSW119" s="225"/>
      <c r="WSX119" s="225"/>
      <c r="WSY119" s="225"/>
      <c r="WSZ119" s="225"/>
      <c r="WTA119" s="225"/>
      <c r="WTB119" s="225"/>
      <c r="WTC119" s="225"/>
      <c r="WTD119" s="225"/>
      <c r="WTE119" s="225"/>
      <c r="WTF119" s="225"/>
      <c r="WTG119" s="225"/>
      <c r="WTH119" s="225"/>
      <c r="WTI119" s="225"/>
      <c r="WTJ119" s="225"/>
      <c r="WTK119" s="225"/>
      <c r="WTL119" s="225"/>
      <c r="WTM119" s="225"/>
      <c r="WTN119" s="225"/>
      <c r="WTO119" s="225"/>
      <c r="WTP119" s="225"/>
      <c r="WTQ119" s="225"/>
      <c r="WTR119" s="225"/>
      <c r="WTS119" s="225"/>
      <c r="WTT119" s="225"/>
      <c r="WTU119" s="225"/>
      <c r="WTV119" s="225"/>
      <c r="WTW119" s="225"/>
      <c r="WTX119" s="225"/>
      <c r="WTY119" s="225"/>
      <c r="WTZ119" s="225"/>
      <c r="WUA119" s="225"/>
      <c r="WUB119" s="225"/>
      <c r="WUC119" s="225"/>
      <c r="WUD119" s="225"/>
      <c r="WUE119" s="225"/>
      <c r="WUF119" s="225"/>
      <c r="WUG119" s="225"/>
      <c r="WUH119" s="225"/>
      <c r="WUI119" s="225"/>
      <c r="WUJ119" s="225"/>
      <c r="WUK119" s="225"/>
      <c r="WUL119" s="225"/>
      <c r="WUM119" s="225"/>
      <c r="WUN119" s="225"/>
      <c r="WUO119" s="225"/>
      <c r="WUP119" s="225"/>
      <c r="WUQ119" s="225"/>
      <c r="WUR119" s="225"/>
      <c r="WUS119" s="225"/>
      <c r="WUT119" s="225"/>
      <c r="WUU119" s="225"/>
      <c r="WUV119" s="225"/>
      <c r="WUW119" s="225"/>
      <c r="WUX119" s="225"/>
      <c r="WUY119" s="225"/>
      <c r="WUZ119" s="225"/>
      <c r="WVA119" s="225"/>
      <c r="WVB119" s="225"/>
      <c r="WVC119" s="225"/>
      <c r="WVD119" s="225"/>
      <c r="WVE119" s="225"/>
      <c r="WVF119" s="225"/>
      <c r="WVG119" s="225"/>
      <c r="WVH119" s="225"/>
      <c r="WVI119" s="225"/>
      <c r="WVJ119" s="225"/>
      <c r="WVK119" s="225"/>
      <c r="WVL119" s="225"/>
      <c r="WVM119" s="225"/>
      <c r="WVN119" s="225"/>
      <c r="WVO119" s="225"/>
      <c r="WVP119" s="225"/>
      <c r="WVQ119" s="225"/>
      <c r="WVR119" s="225"/>
      <c r="WVS119" s="225"/>
      <c r="WVT119" s="225"/>
      <c r="WVU119" s="225"/>
      <c r="WVV119" s="225"/>
      <c r="WVW119" s="225"/>
    </row>
    <row r="120" spans="1:16143" s="230" customFormat="1" x14ac:dyDescent="0.2">
      <c r="A120" s="225"/>
      <c r="B120" s="574" t="s">
        <v>478</v>
      </c>
      <c r="C120" s="576" t="str">
        <f t="shared" ref="C120:N120" si="30">+IF(C8&lt;&gt;0,"Ok","")</f>
        <v>Ok</v>
      </c>
      <c r="D120" s="576" t="str">
        <f t="shared" si="30"/>
        <v>Ok</v>
      </c>
      <c r="E120" s="576" t="str">
        <f t="shared" si="30"/>
        <v>Ok</v>
      </c>
      <c r="F120" s="576" t="str">
        <f t="shared" si="30"/>
        <v>Ok</v>
      </c>
      <c r="G120" s="576" t="str">
        <f t="shared" si="30"/>
        <v>Ok</v>
      </c>
      <c r="H120" s="576" t="str">
        <f t="shared" si="30"/>
        <v>Ok</v>
      </c>
      <c r="I120" s="576" t="str">
        <f t="shared" si="30"/>
        <v>Ok</v>
      </c>
      <c r="J120" s="576" t="str">
        <f t="shared" si="30"/>
        <v>Ok</v>
      </c>
      <c r="K120" s="576" t="str">
        <f t="shared" si="30"/>
        <v>Ok</v>
      </c>
      <c r="L120" s="576" t="str">
        <f t="shared" si="30"/>
        <v>Ok</v>
      </c>
      <c r="M120" s="576" t="str">
        <f t="shared" si="30"/>
        <v>Ok</v>
      </c>
      <c r="N120" s="576" t="str">
        <f t="shared" si="30"/>
        <v>Ok</v>
      </c>
      <c r="Q120" s="284"/>
      <c r="R120" s="284"/>
      <c r="S120" s="225"/>
      <c r="T120" s="225"/>
      <c r="U120" s="225"/>
      <c r="V120" s="225"/>
      <c r="W120" s="225"/>
      <c r="X120" s="225"/>
      <c r="Y120" s="225"/>
      <c r="Z120" s="225"/>
      <c r="AA120" s="225"/>
      <c r="AB120" s="225"/>
      <c r="AC120" s="225"/>
      <c r="AD120" s="225"/>
      <c r="AE120" s="225"/>
      <c r="AF120" s="225"/>
      <c r="AG120" s="225"/>
      <c r="AH120" s="225"/>
      <c r="AI120" s="225"/>
      <c r="AJ120" s="225"/>
      <c r="AK120" s="225"/>
      <c r="AL120" s="225"/>
      <c r="AM120" s="225"/>
      <c r="AN120" s="225"/>
      <c r="AO120" s="225"/>
      <c r="AP120" s="225"/>
      <c r="AQ120" s="225"/>
      <c r="AR120" s="225"/>
      <c r="AS120" s="225"/>
      <c r="AT120" s="225"/>
      <c r="AU120" s="225"/>
      <c r="AV120" s="225"/>
      <c r="AW120" s="225"/>
      <c r="AX120" s="225"/>
      <c r="AY120" s="225"/>
      <c r="AZ120" s="225"/>
      <c r="BA120" s="225"/>
      <c r="BB120" s="225"/>
      <c r="BC120" s="225"/>
      <c r="BD120" s="225"/>
      <c r="BE120" s="225"/>
      <c r="BF120" s="225"/>
      <c r="BG120" s="225"/>
      <c r="BH120" s="225"/>
      <c r="BI120" s="225"/>
      <c r="BJ120" s="225"/>
      <c r="BK120" s="225"/>
      <c r="BL120" s="225"/>
      <c r="BM120" s="225"/>
      <c r="BN120" s="225"/>
      <c r="BO120" s="225"/>
      <c r="BP120" s="225"/>
      <c r="BQ120" s="225"/>
      <c r="BR120" s="225"/>
      <c r="BS120" s="225"/>
      <c r="BT120" s="225"/>
      <c r="BU120" s="225"/>
      <c r="BV120" s="225"/>
      <c r="BW120" s="225"/>
      <c r="BX120" s="225"/>
      <c r="BY120" s="225"/>
      <c r="BZ120" s="225"/>
      <c r="CA120" s="225"/>
      <c r="CB120" s="225"/>
      <c r="CC120" s="225"/>
      <c r="CD120" s="225"/>
      <c r="CE120" s="225"/>
      <c r="CF120" s="225"/>
      <c r="CG120" s="225"/>
      <c r="CH120" s="225"/>
      <c r="CI120" s="225"/>
      <c r="CJ120" s="225"/>
      <c r="CK120" s="225"/>
      <c r="CL120" s="225"/>
      <c r="CM120" s="225"/>
      <c r="CN120" s="225"/>
      <c r="CO120" s="225"/>
      <c r="CP120" s="225"/>
      <c r="CQ120" s="225"/>
      <c r="CR120" s="225"/>
      <c r="CS120" s="225"/>
      <c r="CT120" s="225"/>
      <c r="CU120" s="225"/>
      <c r="CV120" s="225"/>
      <c r="CW120" s="225"/>
      <c r="CX120" s="225"/>
      <c r="CY120" s="225"/>
      <c r="CZ120" s="225"/>
      <c r="DA120" s="225"/>
      <c r="DB120" s="225"/>
      <c r="DC120" s="225"/>
      <c r="DD120" s="225"/>
      <c r="DE120" s="225"/>
      <c r="DF120" s="225"/>
      <c r="DG120" s="225"/>
      <c r="DH120" s="225"/>
      <c r="DI120" s="225"/>
      <c r="DJ120" s="225"/>
      <c r="DK120" s="225"/>
      <c r="DL120" s="225"/>
      <c r="DM120" s="225"/>
      <c r="DN120" s="225"/>
      <c r="DO120" s="225"/>
      <c r="DP120" s="225"/>
      <c r="DQ120" s="225"/>
      <c r="DR120" s="225"/>
      <c r="DS120" s="225"/>
      <c r="DT120" s="225"/>
      <c r="DU120" s="225"/>
      <c r="DV120" s="225"/>
      <c r="DW120" s="225"/>
      <c r="DX120" s="225"/>
      <c r="DY120" s="225"/>
      <c r="DZ120" s="225"/>
      <c r="EA120" s="225"/>
      <c r="EB120" s="225"/>
      <c r="EC120" s="225"/>
      <c r="ED120" s="225"/>
      <c r="EE120" s="225"/>
      <c r="EF120" s="225"/>
      <c r="EG120" s="225"/>
      <c r="EH120" s="225"/>
      <c r="EI120" s="225"/>
      <c r="EJ120" s="225"/>
      <c r="EK120" s="225"/>
      <c r="EL120" s="225"/>
      <c r="EM120" s="225"/>
      <c r="EN120" s="225"/>
      <c r="EO120" s="225"/>
      <c r="EP120" s="225"/>
      <c r="EQ120" s="225"/>
      <c r="ER120" s="225"/>
      <c r="ES120" s="225"/>
      <c r="ET120" s="225"/>
      <c r="EU120" s="225"/>
      <c r="EV120" s="225"/>
      <c r="EW120" s="225"/>
      <c r="EX120" s="225"/>
      <c r="EY120" s="225"/>
      <c r="EZ120" s="225"/>
      <c r="FA120" s="225"/>
      <c r="FB120" s="225"/>
      <c r="FC120" s="225"/>
      <c r="FD120" s="225"/>
      <c r="FE120" s="225"/>
      <c r="FF120" s="225"/>
      <c r="FG120" s="225"/>
      <c r="FH120" s="225"/>
      <c r="FI120" s="225"/>
      <c r="FJ120" s="225"/>
      <c r="FK120" s="225"/>
      <c r="FL120" s="225"/>
      <c r="FM120" s="225"/>
      <c r="FN120" s="225"/>
      <c r="FO120" s="225"/>
      <c r="FP120" s="225"/>
      <c r="FQ120" s="225"/>
      <c r="FR120" s="225"/>
      <c r="FS120" s="225"/>
      <c r="FT120" s="225"/>
      <c r="FU120" s="225"/>
      <c r="FV120" s="225"/>
      <c r="FW120" s="225"/>
      <c r="FX120" s="225"/>
      <c r="FY120" s="225"/>
      <c r="FZ120" s="225"/>
      <c r="GA120" s="225"/>
      <c r="GB120" s="225"/>
      <c r="GC120" s="225"/>
      <c r="GD120" s="225"/>
      <c r="GE120" s="225"/>
      <c r="GF120" s="225"/>
      <c r="GG120" s="225"/>
      <c r="GH120" s="225"/>
      <c r="GI120" s="225"/>
      <c r="GJ120" s="225"/>
      <c r="GK120" s="225"/>
      <c r="GL120" s="225"/>
      <c r="GM120" s="225"/>
      <c r="GN120" s="225"/>
      <c r="GO120" s="225"/>
      <c r="GP120" s="225"/>
      <c r="GQ120" s="225"/>
      <c r="GR120" s="225"/>
      <c r="GS120" s="225"/>
      <c r="GT120" s="225"/>
      <c r="GU120" s="225"/>
      <c r="GV120" s="225"/>
      <c r="GW120" s="225"/>
      <c r="GX120" s="225"/>
      <c r="GY120" s="225"/>
      <c r="GZ120" s="225"/>
      <c r="HA120" s="225"/>
      <c r="HB120" s="225"/>
      <c r="HC120" s="225"/>
      <c r="HD120" s="225"/>
      <c r="HE120" s="225"/>
      <c r="HF120" s="225"/>
      <c r="HG120" s="225"/>
      <c r="HH120" s="225"/>
      <c r="HI120" s="225"/>
      <c r="HJ120" s="225"/>
      <c r="HK120" s="225"/>
      <c r="HL120" s="225"/>
      <c r="HM120" s="225"/>
      <c r="HN120" s="225"/>
      <c r="HO120" s="225"/>
      <c r="HP120" s="225"/>
      <c r="HQ120" s="225"/>
      <c r="HR120" s="225"/>
      <c r="HS120" s="225"/>
      <c r="HT120" s="225"/>
      <c r="HU120" s="225"/>
      <c r="HV120" s="225"/>
      <c r="HW120" s="225"/>
      <c r="HX120" s="225"/>
      <c r="HY120" s="225"/>
      <c r="HZ120" s="225"/>
      <c r="IA120" s="225"/>
      <c r="IB120" s="225"/>
      <c r="IC120" s="225"/>
      <c r="ID120" s="225"/>
      <c r="IE120" s="225"/>
      <c r="IF120" s="225"/>
      <c r="IG120" s="225"/>
      <c r="IH120" s="225"/>
      <c r="II120" s="225"/>
      <c r="IJ120" s="225"/>
      <c r="IK120" s="225"/>
      <c r="IL120" s="225"/>
      <c r="IM120" s="225"/>
      <c r="IN120" s="225"/>
      <c r="IO120" s="225"/>
      <c r="IP120" s="225"/>
      <c r="IQ120" s="225"/>
      <c r="IR120" s="225"/>
      <c r="IS120" s="225"/>
      <c r="IT120" s="225"/>
      <c r="IU120" s="225"/>
      <c r="IV120" s="225"/>
      <c r="IW120" s="225"/>
      <c r="IX120" s="225"/>
      <c r="IY120" s="225"/>
      <c r="IZ120" s="225"/>
      <c r="JA120" s="225"/>
      <c r="JB120" s="225"/>
      <c r="JC120" s="225"/>
      <c r="JD120" s="225"/>
      <c r="JE120" s="225"/>
      <c r="JF120" s="225"/>
      <c r="JG120" s="225"/>
      <c r="JH120" s="225"/>
      <c r="JI120" s="225"/>
      <c r="JJ120" s="225"/>
      <c r="JK120" s="225"/>
      <c r="JL120" s="225"/>
      <c r="JM120" s="225"/>
      <c r="JN120" s="225"/>
      <c r="JO120" s="225"/>
      <c r="JP120" s="225"/>
      <c r="JQ120" s="225"/>
      <c r="JR120" s="225"/>
      <c r="JS120" s="225"/>
      <c r="JT120" s="225"/>
      <c r="JU120" s="225"/>
      <c r="JV120" s="225"/>
      <c r="JW120" s="225"/>
      <c r="JX120" s="225"/>
      <c r="JY120" s="225"/>
      <c r="JZ120" s="225"/>
      <c r="KA120" s="225"/>
      <c r="KB120" s="225"/>
      <c r="KC120" s="225"/>
      <c r="KD120" s="225"/>
      <c r="KE120" s="225"/>
      <c r="KF120" s="225"/>
      <c r="KG120" s="225"/>
      <c r="KH120" s="225"/>
      <c r="KI120" s="225"/>
      <c r="KJ120" s="225"/>
      <c r="KK120" s="225"/>
      <c r="KL120" s="225"/>
      <c r="KM120" s="225"/>
      <c r="KN120" s="225"/>
      <c r="KO120" s="225"/>
      <c r="KP120" s="225"/>
      <c r="KQ120" s="225"/>
      <c r="KR120" s="225"/>
      <c r="KS120" s="225"/>
      <c r="KT120" s="225"/>
      <c r="KU120" s="225"/>
      <c r="KV120" s="225"/>
      <c r="KW120" s="225"/>
      <c r="KX120" s="225"/>
      <c r="KY120" s="225"/>
      <c r="KZ120" s="225"/>
      <c r="LA120" s="225"/>
      <c r="LB120" s="225"/>
      <c r="LC120" s="225"/>
      <c r="LD120" s="225"/>
      <c r="LE120" s="225"/>
      <c r="LF120" s="225"/>
      <c r="LG120" s="225"/>
      <c r="LH120" s="225"/>
      <c r="LI120" s="225"/>
      <c r="LJ120" s="225"/>
      <c r="LK120" s="225"/>
      <c r="LL120" s="225"/>
      <c r="LM120" s="225"/>
      <c r="LN120" s="225"/>
      <c r="LO120" s="225"/>
      <c r="LP120" s="225"/>
      <c r="LQ120" s="225"/>
      <c r="LR120" s="225"/>
      <c r="LS120" s="225"/>
      <c r="LT120" s="225"/>
      <c r="LU120" s="225"/>
      <c r="LV120" s="225"/>
      <c r="LW120" s="225"/>
      <c r="LX120" s="225"/>
      <c r="LY120" s="225"/>
      <c r="LZ120" s="225"/>
      <c r="MA120" s="225"/>
      <c r="MB120" s="225"/>
      <c r="MC120" s="225"/>
      <c r="MD120" s="225"/>
      <c r="ME120" s="225"/>
      <c r="MF120" s="225"/>
      <c r="MG120" s="225"/>
      <c r="MH120" s="225"/>
      <c r="MI120" s="225"/>
      <c r="MJ120" s="225"/>
      <c r="MK120" s="225"/>
      <c r="ML120" s="225"/>
      <c r="MM120" s="225"/>
      <c r="MN120" s="225"/>
      <c r="MO120" s="225"/>
      <c r="MP120" s="225"/>
      <c r="MQ120" s="225"/>
      <c r="MR120" s="225"/>
      <c r="MS120" s="225"/>
      <c r="MT120" s="225"/>
      <c r="MU120" s="225"/>
      <c r="MV120" s="225"/>
      <c r="MW120" s="225"/>
      <c r="MX120" s="225"/>
      <c r="MY120" s="225"/>
      <c r="MZ120" s="225"/>
      <c r="NA120" s="225"/>
      <c r="NB120" s="225"/>
      <c r="NC120" s="225"/>
      <c r="ND120" s="225"/>
      <c r="NE120" s="225"/>
      <c r="NF120" s="225"/>
      <c r="NG120" s="225"/>
      <c r="NH120" s="225"/>
      <c r="NI120" s="225"/>
      <c r="NJ120" s="225"/>
      <c r="NK120" s="225"/>
      <c r="NL120" s="225"/>
      <c r="NM120" s="225"/>
      <c r="NN120" s="225"/>
      <c r="NO120" s="225"/>
      <c r="NP120" s="225"/>
      <c r="NQ120" s="225"/>
      <c r="NR120" s="225"/>
      <c r="NS120" s="225"/>
      <c r="NT120" s="225"/>
      <c r="NU120" s="225"/>
      <c r="NV120" s="225"/>
      <c r="NW120" s="225"/>
      <c r="NX120" s="225"/>
      <c r="NY120" s="225"/>
      <c r="NZ120" s="225"/>
      <c r="OA120" s="225"/>
      <c r="OB120" s="225"/>
      <c r="OC120" s="225"/>
      <c r="OD120" s="225"/>
      <c r="OE120" s="225"/>
      <c r="OF120" s="225"/>
      <c r="OG120" s="225"/>
      <c r="OH120" s="225"/>
      <c r="OI120" s="225"/>
      <c r="OJ120" s="225"/>
      <c r="OK120" s="225"/>
      <c r="OL120" s="225"/>
      <c r="OM120" s="225"/>
      <c r="ON120" s="225"/>
      <c r="OO120" s="225"/>
      <c r="OP120" s="225"/>
      <c r="OQ120" s="225"/>
      <c r="OR120" s="225"/>
      <c r="OS120" s="225"/>
      <c r="OT120" s="225"/>
      <c r="OU120" s="225"/>
      <c r="OV120" s="225"/>
      <c r="OW120" s="225"/>
      <c r="OX120" s="225"/>
      <c r="OY120" s="225"/>
      <c r="OZ120" s="225"/>
      <c r="PA120" s="225"/>
      <c r="PB120" s="225"/>
      <c r="PC120" s="225"/>
      <c r="PD120" s="225"/>
      <c r="PE120" s="225"/>
      <c r="PF120" s="225"/>
      <c r="PG120" s="225"/>
      <c r="PH120" s="225"/>
      <c r="PI120" s="225"/>
      <c r="PJ120" s="225"/>
      <c r="PK120" s="225"/>
      <c r="PL120" s="225"/>
      <c r="PM120" s="225"/>
      <c r="PN120" s="225"/>
      <c r="PO120" s="225"/>
      <c r="PP120" s="225"/>
      <c r="PQ120" s="225"/>
      <c r="PR120" s="225"/>
      <c r="PS120" s="225"/>
      <c r="PT120" s="225"/>
      <c r="PU120" s="225"/>
      <c r="PV120" s="225"/>
      <c r="PW120" s="225"/>
      <c r="PX120" s="225"/>
      <c r="PY120" s="225"/>
      <c r="PZ120" s="225"/>
      <c r="QA120" s="225"/>
      <c r="QB120" s="225"/>
      <c r="QC120" s="225"/>
      <c r="QD120" s="225"/>
      <c r="QE120" s="225"/>
      <c r="QF120" s="225"/>
      <c r="QG120" s="225"/>
      <c r="QH120" s="225"/>
      <c r="QI120" s="225"/>
      <c r="QJ120" s="225"/>
      <c r="QK120" s="225"/>
      <c r="QL120" s="225"/>
      <c r="QM120" s="225"/>
      <c r="QN120" s="225"/>
      <c r="QO120" s="225"/>
      <c r="QP120" s="225"/>
      <c r="QQ120" s="225"/>
      <c r="QR120" s="225"/>
      <c r="QS120" s="225"/>
      <c r="QT120" s="225"/>
      <c r="QU120" s="225"/>
      <c r="QV120" s="225"/>
      <c r="QW120" s="225"/>
      <c r="QX120" s="225"/>
      <c r="QY120" s="225"/>
      <c r="QZ120" s="225"/>
      <c r="RA120" s="225"/>
      <c r="RB120" s="225"/>
      <c r="RC120" s="225"/>
      <c r="RD120" s="225"/>
      <c r="RE120" s="225"/>
      <c r="RF120" s="225"/>
      <c r="RG120" s="225"/>
      <c r="RH120" s="225"/>
      <c r="RI120" s="225"/>
      <c r="RJ120" s="225"/>
      <c r="RK120" s="225"/>
      <c r="RL120" s="225"/>
      <c r="RM120" s="225"/>
      <c r="RN120" s="225"/>
      <c r="RO120" s="225"/>
      <c r="RP120" s="225"/>
      <c r="RQ120" s="225"/>
      <c r="RR120" s="225"/>
      <c r="RS120" s="225"/>
      <c r="RT120" s="225"/>
      <c r="RU120" s="225"/>
      <c r="RV120" s="225"/>
      <c r="RW120" s="225"/>
      <c r="RX120" s="225"/>
      <c r="RY120" s="225"/>
      <c r="RZ120" s="225"/>
      <c r="SA120" s="225"/>
      <c r="SB120" s="225"/>
      <c r="SC120" s="225"/>
      <c r="SD120" s="225"/>
      <c r="SE120" s="225"/>
      <c r="SF120" s="225"/>
      <c r="SG120" s="225"/>
      <c r="SH120" s="225"/>
      <c r="SI120" s="225"/>
      <c r="SJ120" s="225"/>
      <c r="SK120" s="225"/>
      <c r="SL120" s="225"/>
      <c r="SM120" s="225"/>
      <c r="SN120" s="225"/>
      <c r="SO120" s="225"/>
      <c r="SP120" s="225"/>
      <c r="SQ120" s="225"/>
      <c r="SR120" s="225"/>
      <c r="SS120" s="225"/>
      <c r="ST120" s="225"/>
      <c r="SU120" s="225"/>
      <c r="SV120" s="225"/>
      <c r="SW120" s="225"/>
      <c r="SX120" s="225"/>
      <c r="SY120" s="225"/>
      <c r="SZ120" s="225"/>
      <c r="TA120" s="225"/>
      <c r="TB120" s="225"/>
      <c r="TC120" s="225"/>
      <c r="TD120" s="225"/>
      <c r="TE120" s="225"/>
      <c r="TF120" s="225"/>
      <c r="TG120" s="225"/>
      <c r="TH120" s="225"/>
      <c r="TI120" s="225"/>
      <c r="TJ120" s="225"/>
      <c r="TK120" s="225"/>
      <c r="TL120" s="225"/>
      <c r="TM120" s="225"/>
      <c r="TN120" s="225"/>
      <c r="TO120" s="225"/>
      <c r="TP120" s="225"/>
      <c r="TQ120" s="225"/>
      <c r="TR120" s="225"/>
      <c r="TS120" s="225"/>
      <c r="TT120" s="225"/>
      <c r="TU120" s="225"/>
      <c r="TV120" s="225"/>
      <c r="TW120" s="225"/>
      <c r="TX120" s="225"/>
      <c r="TY120" s="225"/>
      <c r="TZ120" s="225"/>
      <c r="UA120" s="225"/>
      <c r="UB120" s="225"/>
      <c r="UC120" s="225"/>
      <c r="UD120" s="225"/>
      <c r="UE120" s="225"/>
      <c r="UF120" s="225"/>
      <c r="UG120" s="225"/>
      <c r="UH120" s="225"/>
      <c r="UI120" s="225"/>
      <c r="UJ120" s="225"/>
      <c r="UK120" s="225"/>
      <c r="UL120" s="225"/>
      <c r="UM120" s="225"/>
      <c r="UN120" s="225"/>
      <c r="UO120" s="225"/>
      <c r="UP120" s="225"/>
      <c r="UQ120" s="225"/>
      <c r="UR120" s="225"/>
      <c r="US120" s="225"/>
      <c r="UT120" s="225"/>
      <c r="UU120" s="225"/>
      <c r="UV120" s="225"/>
      <c r="UW120" s="225"/>
      <c r="UX120" s="225"/>
      <c r="UY120" s="225"/>
      <c r="UZ120" s="225"/>
      <c r="VA120" s="225"/>
      <c r="VB120" s="225"/>
      <c r="VC120" s="225"/>
      <c r="VD120" s="225"/>
      <c r="VE120" s="225"/>
      <c r="VF120" s="225"/>
      <c r="VG120" s="225"/>
      <c r="VH120" s="225"/>
      <c r="VI120" s="225"/>
      <c r="VJ120" s="225"/>
      <c r="VK120" s="225"/>
      <c r="VL120" s="225"/>
      <c r="VM120" s="225"/>
      <c r="VN120" s="225"/>
      <c r="VO120" s="225"/>
      <c r="VP120" s="225"/>
      <c r="VQ120" s="225"/>
      <c r="VR120" s="225"/>
      <c r="VS120" s="225"/>
      <c r="VT120" s="225"/>
      <c r="VU120" s="225"/>
      <c r="VV120" s="225"/>
      <c r="VW120" s="225"/>
      <c r="VX120" s="225"/>
      <c r="VY120" s="225"/>
      <c r="VZ120" s="225"/>
      <c r="WA120" s="225"/>
      <c r="WB120" s="225"/>
      <c r="WC120" s="225"/>
      <c r="WD120" s="225"/>
      <c r="WE120" s="225"/>
      <c r="WF120" s="225"/>
      <c r="WG120" s="225"/>
      <c r="WH120" s="225"/>
      <c r="WI120" s="225"/>
      <c r="WJ120" s="225"/>
      <c r="WK120" s="225"/>
      <c r="WL120" s="225"/>
      <c r="WM120" s="225"/>
      <c r="WN120" s="225"/>
      <c r="WO120" s="225"/>
      <c r="WP120" s="225"/>
      <c r="WQ120" s="225"/>
      <c r="WR120" s="225"/>
      <c r="WS120" s="225"/>
      <c r="WT120" s="225"/>
      <c r="WU120" s="225"/>
      <c r="WV120" s="225"/>
      <c r="WW120" s="225"/>
      <c r="WX120" s="225"/>
      <c r="WY120" s="225"/>
      <c r="WZ120" s="225"/>
      <c r="XA120" s="225"/>
      <c r="XB120" s="225"/>
      <c r="XC120" s="225"/>
      <c r="XD120" s="225"/>
      <c r="XE120" s="225"/>
      <c r="XF120" s="225"/>
      <c r="XG120" s="225"/>
      <c r="XH120" s="225"/>
      <c r="XI120" s="225"/>
      <c r="XJ120" s="225"/>
      <c r="XK120" s="225"/>
      <c r="XL120" s="225"/>
      <c r="XM120" s="225"/>
      <c r="XN120" s="225"/>
      <c r="XO120" s="225"/>
      <c r="XP120" s="225"/>
      <c r="XQ120" s="225"/>
      <c r="XR120" s="225"/>
      <c r="XS120" s="225"/>
      <c r="XT120" s="225"/>
      <c r="XU120" s="225"/>
      <c r="XV120" s="225"/>
      <c r="XW120" s="225"/>
      <c r="XX120" s="225"/>
      <c r="XY120" s="225"/>
      <c r="XZ120" s="225"/>
      <c r="YA120" s="225"/>
      <c r="YB120" s="225"/>
      <c r="YC120" s="225"/>
      <c r="YD120" s="225"/>
      <c r="YE120" s="225"/>
      <c r="YF120" s="225"/>
      <c r="YG120" s="225"/>
      <c r="YH120" s="225"/>
      <c r="YI120" s="225"/>
      <c r="YJ120" s="225"/>
      <c r="YK120" s="225"/>
      <c r="YL120" s="225"/>
      <c r="YM120" s="225"/>
      <c r="YN120" s="225"/>
      <c r="YO120" s="225"/>
      <c r="YP120" s="225"/>
      <c r="YQ120" s="225"/>
      <c r="YR120" s="225"/>
      <c r="YS120" s="225"/>
      <c r="YT120" s="225"/>
      <c r="YU120" s="225"/>
      <c r="YV120" s="225"/>
      <c r="YW120" s="225"/>
      <c r="YX120" s="225"/>
      <c r="YY120" s="225"/>
      <c r="YZ120" s="225"/>
      <c r="ZA120" s="225"/>
      <c r="ZB120" s="225"/>
      <c r="ZC120" s="225"/>
      <c r="ZD120" s="225"/>
      <c r="ZE120" s="225"/>
      <c r="ZF120" s="225"/>
      <c r="ZG120" s="225"/>
      <c r="ZH120" s="225"/>
      <c r="ZI120" s="225"/>
      <c r="ZJ120" s="225"/>
      <c r="ZK120" s="225"/>
      <c r="ZL120" s="225"/>
      <c r="ZM120" s="225"/>
      <c r="ZN120" s="225"/>
      <c r="ZO120" s="225"/>
      <c r="ZP120" s="225"/>
      <c r="ZQ120" s="225"/>
      <c r="ZR120" s="225"/>
      <c r="ZS120" s="225"/>
      <c r="ZT120" s="225"/>
      <c r="ZU120" s="225"/>
      <c r="ZV120" s="225"/>
      <c r="ZW120" s="225"/>
      <c r="ZX120" s="225"/>
      <c r="ZY120" s="225"/>
      <c r="ZZ120" s="225"/>
      <c r="AAA120" s="225"/>
      <c r="AAB120" s="225"/>
      <c r="AAC120" s="225"/>
      <c r="AAD120" s="225"/>
      <c r="AAE120" s="225"/>
      <c r="AAF120" s="225"/>
      <c r="AAG120" s="225"/>
      <c r="AAH120" s="225"/>
      <c r="AAI120" s="225"/>
      <c r="AAJ120" s="225"/>
      <c r="AAK120" s="225"/>
      <c r="AAL120" s="225"/>
      <c r="AAM120" s="225"/>
      <c r="AAN120" s="225"/>
      <c r="AAO120" s="225"/>
      <c r="AAP120" s="225"/>
      <c r="AAQ120" s="225"/>
      <c r="AAR120" s="225"/>
      <c r="AAS120" s="225"/>
      <c r="AAT120" s="225"/>
      <c r="AAU120" s="225"/>
      <c r="AAV120" s="225"/>
      <c r="AAW120" s="225"/>
      <c r="AAX120" s="225"/>
      <c r="AAY120" s="225"/>
      <c r="AAZ120" s="225"/>
      <c r="ABA120" s="225"/>
      <c r="ABB120" s="225"/>
      <c r="ABC120" s="225"/>
      <c r="ABD120" s="225"/>
      <c r="ABE120" s="225"/>
      <c r="ABF120" s="225"/>
      <c r="ABG120" s="225"/>
      <c r="ABH120" s="225"/>
      <c r="ABI120" s="225"/>
      <c r="ABJ120" s="225"/>
      <c r="ABK120" s="225"/>
      <c r="ABL120" s="225"/>
      <c r="ABM120" s="225"/>
      <c r="ABN120" s="225"/>
      <c r="ABO120" s="225"/>
      <c r="ABP120" s="225"/>
      <c r="ABQ120" s="225"/>
      <c r="ABR120" s="225"/>
      <c r="ABS120" s="225"/>
      <c r="ABT120" s="225"/>
      <c r="ABU120" s="225"/>
      <c r="ABV120" s="225"/>
      <c r="ABW120" s="225"/>
      <c r="ABX120" s="225"/>
      <c r="ABY120" s="225"/>
      <c r="ABZ120" s="225"/>
      <c r="ACA120" s="225"/>
      <c r="ACB120" s="225"/>
      <c r="ACC120" s="225"/>
      <c r="ACD120" s="225"/>
      <c r="ACE120" s="225"/>
      <c r="ACF120" s="225"/>
      <c r="ACG120" s="225"/>
      <c r="ACH120" s="225"/>
      <c r="ACI120" s="225"/>
      <c r="ACJ120" s="225"/>
      <c r="ACK120" s="225"/>
      <c r="ACL120" s="225"/>
      <c r="ACM120" s="225"/>
      <c r="ACN120" s="225"/>
      <c r="ACO120" s="225"/>
      <c r="ACP120" s="225"/>
      <c r="ACQ120" s="225"/>
      <c r="ACR120" s="225"/>
      <c r="ACS120" s="225"/>
      <c r="ACT120" s="225"/>
      <c r="ACU120" s="225"/>
      <c r="ACV120" s="225"/>
      <c r="ACW120" s="225"/>
      <c r="ACX120" s="225"/>
      <c r="ACY120" s="225"/>
      <c r="ACZ120" s="225"/>
      <c r="ADA120" s="225"/>
      <c r="ADB120" s="225"/>
      <c r="ADC120" s="225"/>
      <c r="ADD120" s="225"/>
      <c r="ADE120" s="225"/>
      <c r="ADF120" s="225"/>
      <c r="ADG120" s="225"/>
      <c r="ADH120" s="225"/>
      <c r="ADI120" s="225"/>
      <c r="ADJ120" s="225"/>
      <c r="ADK120" s="225"/>
      <c r="ADL120" s="225"/>
      <c r="ADM120" s="225"/>
      <c r="ADN120" s="225"/>
      <c r="ADO120" s="225"/>
      <c r="ADP120" s="225"/>
      <c r="ADQ120" s="225"/>
      <c r="ADR120" s="225"/>
      <c r="ADS120" s="225"/>
      <c r="ADT120" s="225"/>
      <c r="ADU120" s="225"/>
      <c r="ADV120" s="225"/>
      <c r="ADW120" s="225"/>
      <c r="ADX120" s="225"/>
      <c r="ADY120" s="225"/>
      <c r="ADZ120" s="225"/>
      <c r="AEA120" s="225"/>
      <c r="AEB120" s="225"/>
      <c r="AEC120" s="225"/>
      <c r="AED120" s="225"/>
      <c r="AEE120" s="225"/>
      <c r="AEF120" s="225"/>
      <c r="AEG120" s="225"/>
      <c r="AEH120" s="225"/>
      <c r="AEI120" s="225"/>
      <c r="AEJ120" s="225"/>
      <c r="AEK120" s="225"/>
      <c r="AEL120" s="225"/>
      <c r="AEM120" s="225"/>
      <c r="AEN120" s="225"/>
      <c r="AEO120" s="225"/>
      <c r="AEP120" s="225"/>
      <c r="AEQ120" s="225"/>
      <c r="AER120" s="225"/>
      <c r="AES120" s="225"/>
      <c r="AET120" s="225"/>
      <c r="AEU120" s="225"/>
      <c r="AEV120" s="225"/>
      <c r="AEW120" s="225"/>
      <c r="AEX120" s="225"/>
      <c r="AEY120" s="225"/>
      <c r="AEZ120" s="225"/>
      <c r="AFA120" s="225"/>
      <c r="AFB120" s="225"/>
      <c r="AFC120" s="225"/>
      <c r="AFD120" s="225"/>
      <c r="AFE120" s="225"/>
      <c r="AFF120" s="225"/>
      <c r="AFG120" s="225"/>
      <c r="AFH120" s="225"/>
      <c r="AFI120" s="225"/>
      <c r="AFJ120" s="225"/>
      <c r="AFK120" s="225"/>
      <c r="AFL120" s="225"/>
      <c r="AFM120" s="225"/>
      <c r="AFN120" s="225"/>
      <c r="AFO120" s="225"/>
      <c r="AFP120" s="225"/>
      <c r="AFQ120" s="225"/>
      <c r="AFR120" s="225"/>
      <c r="AFS120" s="225"/>
      <c r="AFT120" s="225"/>
      <c r="AFU120" s="225"/>
      <c r="AFV120" s="225"/>
      <c r="AFW120" s="225"/>
      <c r="AFX120" s="225"/>
      <c r="AFY120" s="225"/>
      <c r="AFZ120" s="225"/>
      <c r="AGA120" s="225"/>
      <c r="AGB120" s="225"/>
      <c r="AGC120" s="225"/>
      <c r="AGD120" s="225"/>
      <c r="AGE120" s="225"/>
      <c r="AGF120" s="225"/>
      <c r="AGG120" s="225"/>
      <c r="AGH120" s="225"/>
      <c r="AGI120" s="225"/>
      <c r="AGJ120" s="225"/>
      <c r="AGK120" s="225"/>
      <c r="AGL120" s="225"/>
      <c r="AGM120" s="225"/>
      <c r="AGN120" s="225"/>
      <c r="AGO120" s="225"/>
      <c r="AGP120" s="225"/>
      <c r="AGQ120" s="225"/>
      <c r="AGR120" s="225"/>
      <c r="AGS120" s="225"/>
      <c r="AGT120" s="225"/>
      <c r="AGU120" s="225"/>
      <c r="AGV120" s="225"/>
      <c r="AGW120" s="225"/>
      <c r="AGX120" s="225"/>
      <c r="AGY120" s="225"/>
      <c r="AGZ120" s="225"/>
      <c r="AHA120" s="225"/>
      <c r="AHB120" s="225"/>
      <c r="AHC120" s="225"/>
      <c r="AHD120" s="225"/>
      <c r="AHE120" s="225"/>
      <c r="AHF120" s="225"/>
      <c r="AHG120" s="225"/>
      <c r="AHH120" s="225"/>
      <c r="AHI120" s="225"/>
      <c r="AHJ120" s="225"/>
      <c r="AHK120" s="225"/>
      <c r="AHL120" s="225"/>
      <c r="AHM120" s="225"/>
      <c r="AHN120" s="225"/>
      <c r="AHO120" s="225"/>
      <c r="AHP120" s="225"/>
      <c r="AHQ120" s="225"/>
      <c r="AHR120" s="225"/>
      <c r="AHS120" s="225"/>
      <c r="AHT120" s="225"/>
      <c r="AHU120" s="225"/>
      <c r="AHV120" s="225"/>
      <c r="AHW120" s="225"/>
      <c r="AHX120" s="225"/>
      <c r="AHY120" s="225"/>
      <c r="AHZ120" s="225"/>
      <c r="AIA120" s="225"/>
      <c r="AIB120" s="225"/>
      <c r="AIC120" s="225"/>
      <c r="AID120" s="225"/>
      <c r="AIE120" s="225"/>
      <c r="AIF120" s="225"/>
      <c r="AIG120" s="225"/>
      <c r="AIH120" s="225"/>
      <c r="AII120" s="225"/>
      <c r="AIJ120" s="225"/>
      <c r="AIK120" s="225"/>
      <c r="AIL120" s="225"/>
      <c r="AIM120" s="225"/>
      <c r="AIN120" s="225"/>
      <c r="AIO120" s="225"/>
      <c r="AIP120" s="225"/>
      <c r="AIQ120" s="225"/>
      <c r="AIR120" s="225"/>
      <c r="AIS120" s="225"/>
      <c r="AIT120" s="225"/>
      <c r="AIU120" s="225"/>
      <c r="AIV120" s="225"/>
      <c r="AIW120" s="225"/>
      <c r="AIX120" s="225"/>
      <c r="AIY120" s="225"/>
      <c r="AIZ120" s="225"/>
      <c r="AJA120" s="225"/>
      <c r="AJB120" s="225"/>
      <c r="AJC120" s="225"/>
      <c r="AJD120" s="225"/>
      <c r="AJE120" s="225"/>
      <c r="AJF120" s="225"/>
      <c r="AJG120" s="225"/>
      <c r="AJH120" s="225"/>
      <c r="AJI120" s="225"/>
      <c r="AJJ120" s="225"/>
      <c r="AJK120" s="225"/>
      <c r="AJL120" s="225"/>
      <c r="AJM120" s="225"/>
      <c r="AJN120" s="225"/>
      <c r="AJO120" s="225"/>
      <c r="AJP120" s="225"/>
      <c r="AJQ120" s="225"/>
      <c r="AJR120" s="225"/>
      <c r="AJS120" s="225"/>
      <c r="AJT120" s="225"/>
      <c r="AJU120" s="225"/>
      <c r="AJV120" s="225"/>
      <c r="AJW120" s="225"/>
      <c r="AJX120" s="225"/>
      <c r="AJY120" s="225"/>
      <c r="AJZ120" s="225"/>
      <c r="AKA120" s="225"/>
      <c r="AKB120" s="225"/>
      <c r="AKC120" s="225"/>
      <c r="AKD120" s="225"/>
      <c r="AKE120" s="225"/>
      <c r="AKF120" s="225"/>
      <c r="AKG120" s="225"/>
      <c r="AKH120" s="225"/>
      <c r="AKI120" s="225"/>
      <c r="AKJ120" s="225"/>
      <c r="AKK120" s="225"/>
      <c r="AKL120" s="225"/>
      <c r="AKM120" s="225"/>
      <c r="AKN120" s="225"/>
      <c r="AKO120" s="225"/>
      <c r="AKP120" s="225"/>
      <c r="AKQ120" s="225"/>
      <c r="AKR120" s="225"/>
      <c r="AKS120" s="225"/>
      <c r="AKT120" s="225"/>
      <c r="AKU120" s="225"/>
      <c r="AKV120" s="225"/>
      <c r="AKW120" s="225"/>
      <c r="AKX120" s="225"/>
      <c r="AKY120" s="225"/>
      <c r="AKZ120" s="225"/>
      <c r="ALA120" s="225"/>
      <c r="ALB120" s="225"/>
      <c r="ALC120" s="225"/>
      <c r="ALD120" s="225"/>
      <c r="ALE120" s="225"/>
      <c r="ALF120" s="225"/>
      <c r="ALG120" s="225"/>
      <c r="ALH120" s="225"/>
      <c r="ALI120" s="225"/>
      <c r="ALJ120" s="225"/>
      <c r="ALK120" s="225"/>
      <c r="ALL120" s="225"/>
      <c r="ALM120" s="225"/>
      <c r="ALN120" s="225"/>
      <c r="ALO120" s="225"/>
      <c r="ALP120" s="225"/>
      <c r="ALQ120" s="225"/>
      <c r="ALR120" s="225"/>
      <c r="ALS120" s="225"/>
      <c r="ALT120" s="225"/>
      <c r="ALU120" s="225"/>
      <c r="ALV120" s="225"/>
      <c r="ALW120" s="225"/>
      <c r="ALX120" s="225"/>
      <c r="ALY120" s="225"/>
      <c r="ALZ120" s="225"/>
      <c r="AMA120" s="225"/>
      <c r="AMB120" s="225"/>
      <c r="AMC120" s="225"/>
      <c r="AMD120" s="225"/>
      <c r="AME120" s="225"/>
      <c r="AMF120" s="225"/>
      <c r="AMG120" s="225"/>
      <c r="AMH120" s="225"/>
      <c r="AMI120" s="225"/>
      <c r="AMJ120" s="225"/>
      <c r="AMK120" s="225"/>
      <c r="AML120" s="225"/>
      <c r="AMM120" s="225"/>
      <c r="AMN120" s="225"/>
      <c r="AMO120" s="225"/>
      <c r="AMP120" s="225"/>
      <c r="AMQ120" s="225"/>
      <c r="AMR120" s="225"/>
      <c r="AMS120" s="225"/>
      <c r="AMT120" s="225"/>
      <c r="AMU120" s="225"/>
      <c r="AMV120" s="225"/>
      <c r="AMW120" s="225"/>
      <c r="AMX120" s="225"/>
      <c r="AMY120" s="225"/>
      <c r="AMZ120" s="225"/>
      <c r="ANA120" s="225"/>
      <c r="ANB120" s="225"/>
      <c r="ANC120" s="225"/>
      <c r="AND120" s="225"/>
      <c r="ANE120" s="225"/>
      <c r="ANF120" s="225"/>
      <c r="ANG120" s="225"/>
      <c r="ANH120" s="225"/>
      <c r="ANI120" s="225"/>
      <c r="ANJ120" s="225"/>
      <c r="ANK120" s="225"/>
      <c r="ANL120" s="225"/>
      <c r="ANM120" s="225"/>
      <c r="ANN120" s="225"/>
      <c r="ANO120" s="225"/>
      <c r="ANP120" s="225"/>
      <c r="ANQ120" s="225"/>
      <c r="ANR120" s="225"/>
      <c r="ANS120" s="225"/>
      <c r="ANT120" s="225"/>
      <c r="ANU120" s="225"/>
      <c r="ANV120" s="225"/>
      <c r="ANW120" s="225"/>
      <c r="ANX120" s="225"/>
      <c r="ANY120" s="225"/>
      <c r="ANZ120" s="225"/>
      <c r="AOA120" s="225"/>
      <c r="AOB120" s="225"/>
      <c r="AOC120" s="225"/>
      <c r="AOD120" s="225"/>
      <c r="AOE120" s="225"/>
      <c r="AOF120" s="225"/>
      <c r="AOG120" s="225"/>
      <c r="AOH120" s="225"/>
      <c r="AOI120" s="225"/>
      <c r="AOJ120" s="225"/>
      <c r="AOK120" s="225"/>
      <c r="AOL120" s="225"/>
      <c r="AOM120" s="225"/>
      <c r="AON120" s="225"/>
      <c r="AOO120" s="225"/>
      <c r="AOP120" s="225"/>
      <c r="AOQ120" s="225"/>
      <c r="AOR120" s="225"/>
      <c r="AOS120" s="225"/>
      <c r="AOT120" s="225"/>
      <c r="AOU120" s="225"/>
      <c r="AOV120" s="225"/>
      <c r="AOW120" s="225"/>
      <c r="AOX120" s="225"/>
      <c r="AOY120" s="225"/>
      <c r="AOZ120" s="225"/>
      <c r="APA120" s="225"/>
      <c r="APB120" s="225"/>
      <c r="APC120" s="225"/>
      <c r="APD120" s="225"/>
      <c r="APE120" s="225"/>
      <c r="APF120" s="225"/>
      <c r="APG120" s="225"/>
      <c r="APH120" s="225"/>
      <c r="API120" s="225"/>
      <c r="APJ120" s="225"/>
      <c r="APK120" s="225"/>
      <c r="APL120" s="225"/>
      <c r="APM120" s="225"/>
      <c r="APN120" s="225"/>
      <c r="APO120" s="225"/>
      <c r="APP120" s="225"/>
      <c r="APQ120" s="225"/>
      <c r="APR120" s="225"/>
      <c r="APS120" s="225"/>
      <c r="APT120" s="225"/>
      <c r="APU120" s="225"/>
      <c r="APV120" s="225"/>
      <c r="APW120" s="225"/>
      <c r="APX120" s="225"/>
      <c r="APY120" s="225"/>
      <c r="APZ120" s="225"/>
      <c r="AQA120" s="225"/>
      <c r="AQB120" s="225"/>
      <c r="AQC120" s="225"/>
      <c r="AQD120" s="225"/>
      <c r="AQE120" s="225"/>
      <c r="AQF120" s="225"/>
      <c r="AQG120" s="225"/>
      <c r="AQH120" s="225"/>
      <c r="AQI120" s="225"/>
      <c r="AQJ120" s="225"/>
      <c r="AQK120" s="225"/>
      <c r="AQL120" s="225"/>
      <c r="AQM120" s="225"/>
      <c r="AQN120" s="225"/>
      <c r="AQO120" s="225"/>
      <c r="AQP120" s="225"/>
      <c r="AQQ120" s="225"/>
      <c r="AQR120" s="225"/>
      <c r="AQS120" s="225"/>
      <c r="AQT120" s="225"/>
      <c r="AQU120" s="225"/>
      <c r="AQV120" s="225"/>
      <c r="AQW120" s="225"/>
      <c r="AQX120" s="225"/>
      <c r="AQY120" s="225"/>
      <c r="AQZ120" s="225"/>
      <c r="ARA120" s="225"/>
      <c r="ARB120" s="225"/>
      <c r="ARC120" s="225"/>
      <c r="ARD120" s="225"/>
      <c r="ARE120" s="225"/>
      <c r="ARF120" s="225"/>
      <c r="ARG120" s="225"/>
      <c r="ARH120" s="225"/>
      <c r="ARI120" s="225"/>
      <c r="ARJ120" s="225"/>
      <c r="ARK120" s="225"/>
      <c r="ARL120" s="225"/>
      <c r="ARM120" s="225"/>
      <c r="ARN120" s="225"/>
      <c r="ARO120" s="225"/>
      <c r="ARP120" s="225"/>
      <c r="ARQ120" s="225"/>
      <c r="ARR120" s="225"/>
      <c r="ARS120" s="225"/>
      <c r="ART120" s="225"/>
      <c r="ARU120" s="225"/>
      <c r="ARV120" s="225"/>
      <c r="ARW120" s="225"/>
      <c r="ARX120" s="225"/>
      <c r="ARY120" s="225"/>
      <c r="ARZ120" s="225"/>
      <c r="ASA120" s="225"/>
      <c r="ASB120" s="225"/>
      <c r="ASC120" s="225"/>
      <c r="ASD120" s="225"/>
      <c r="ASE120" s="225"/>
      <c r="ASF120" s="225"/>
      <c r="ASG120" s="225"/>
      <c r="ASH120" s="225"/>
      <c r="ASI120" s="225"/>
      <c r="ASJ120" s="225"/>
      <c r="ASK120" s="225"/>
      <c r="ASL120" s="225"/>
      <c r="ASM120" s="225"/>
      <c r="ASN120" s="225"/>
      <c r="ASO120" s="225"/>
      <c r="ASP120" s="225"/>
      <c r="ASQ120" s="225"/>
      <c r="ASR120" s="225"/>
      <c r="ASS120" s="225"/>
      <c r="AST120" s="225"/>
      <c r="ASU120" s="225"/>
      <c r="ASV120" s="225"/>
      <c r="ASW120" s="225"/>
      <c r="ASX120" s="225"/>
      <c r="ASY120" s="225"/>
      <c r="ASZ120" s="225"/>
      <c r="ATA120" s="225"/>
      <c r="ATB120" s="225"/>
      <c r="ATC120" s="225"/>
      <c r="ATD120" s="225"/>
      <c r="ATE120" s="225"/>
      <c r="ATF120" s="225"/>
      <c r="ATG120" s="225"/>
      <c r="ATH120" s="225"/>
      <c r="ATI120" s="225"/>
      <c r="ATJ120" s="225"/>
      <c r="ATK120" s="225"/>
      <c r="ATL120" s="225"/>
      <c r="ATM120" s="225"/>
      <c r="ATN120" s="225"/>
      <c r="ATO120" s="225"/>
      <c r="ATP120" s="225"/>
      <c r="ATQ120" s="225"/>
      <c r="ATR120" s="225"/>
      <c r="ATS120" s="225"/>
      <c r="ATT120" s="225"/>
      <c r="ATU120" s="225"/>
      <c r="ATV120" s="225"/>
      <c r="ATW120" s="225"/>
      <c r="ATX120" s="225"/>
      <c r="ATY120" s="225"/>
      <c r="ATZ120" s="225"/>
      <c r="AUA120" s="225"/>
      <c r="AUB120" s="225"/>
      <c r="AUC120" s="225"/>
      <c r="AUD120" s="225"/>
      <c r="AUE120" s="225"/>
      <c r="AUF120" s="225"/>
      <c r="AUG120" s="225"/>
      <c r="AUH120" s="225"/>
      <c r="AUI120" s="225"/>
      <c r="AUJ120" s="225"/>
      <c r="AUK120" s="225"/>
      <c r="AUL120" s="225"/>
      <c r="AUM120" s="225"/>
      <c r="AUN120" s="225"/>
      <c r="AUO120" s="225"/>
      <c r="AUP120" s="225"/>
      <c r="AUQ120" s="225"/>
      <c r="AUR120" s="225"/>
      <c r="AUS120" s="225"/>
      <c r="AUT120" s="225"/>
      <c r="AUU120" s="225"/>
      <c r="AUV120" s="225"/>
      <c r="AUW120" s="225"/>
      <c r="AUX120" s="225"/>
      <c r="AUY120" s="225"/>
      <c r="AUZ120" s="225"/>
      <c r="AVA120" s="225"/>
      <c r="AVB120" s="225"/>
      <c r="AVC120" s="225"/>
      <c r="AVD120" s="225"/>
      <c r="AVE120" s="225"/>
      <c r="AVF120" s="225"/>
      <c r="AVG120" s="225"/>
      <c r="AVH120" s="225"/>
      <c r="AVI120" s="225"/>
      <c r="AVJ120" s="225"/>
      <c r="AVK120" s="225"/>
      <c r="AVL120" s="225"/>
      <c r="AVM120" s="225"/>
      <c r="AVN120" s="225"/>
      <c r="AVO120" s="225"/>
      <c r="AVP120" s="225"/>
      <c r="AVQ120" s="225"/>
      <c r="AVR120" s="225"/>
      <c r="AVS120" s="225"/>
      <c r="AVT120" s="225"/>
      <c r="AVU120" s="225"/>
      <c r="AVV120" s="225"/>
      <c r="AVW120" s="225"/>
      <c r="AVX120" s="225"/>
      <c r="AVY120" s="225"/>
      <c r="AVZ120" s="225"/>
      <c r="AWA120" s="225"/>
      <c r="AWB120" s="225"/>
      <c r="AWC120" s="225"/>
      <c r="AWD120" s="225"/>
      <c r="AWE120" s="225"/>
      <c r="AWF120" s="225"/>
      <c r="AWG120" s="225"/>
      <c r="AWH120" s="225"/>
      <c r="AWI120" s="225"/>
      <c r="AWJ120" s="225"/>
      <c r="AWK120" s="225"/>
      <c r="AWL120" s="225"/>
      <c r="AWM120" s="225"/>
      <c r="AWN120" s="225"/>
      <c r="AWO120" s="225"/>
      <c r="AWP120" s="225"/>
      <c r="AWQ120" s="225"/>
      <c r="AWR120" s="225"/>
      <c r="AWS120" s="225"/>
      <c r="AWT120" s="225"/>
      <c r="AWU120" s="225"/>
      <c r="AWV120" s="225"/>
      <c r="AWW120" s="225"/>
      <c r="AWX120" s="225"/>
      <c r="AWY120" s="225"/>
      <c r="AWZ120" s="225"/>
      <c r="AXA120" s="225"/>
      <c r="AXB120" s="225"/>
      <c r="AXC120" s="225"/>
      <c r="AXD120" s="225"/>
      <c r="AXE120" s="225"/>
      <c r="AXF120" s="225"/>
      <c r="AXG120" s="225"/>
      <c r="AXH120" s="225"/>
      <c r="AXI120" s="225"/>
      <c r="AXJ120" s="225"/>
      <c r="AXK120" s="225"/>
      <c r="AXL120" s="225"/>
      <c r="AXM120" s="225"/>
      <c r="AXN120" s="225"/>
      <c r="AXO120" s="225"/>
      <c r="AXP120" s="225"/>
      <c r="AXQ120" s="225"/>
      <c r="AXR120" s="225"/>
      <c r="AXS120" s="225"/>
      <c r="AXT120" s="225"/>
      <c r="AXU120" s="225"/>
      <c r="AXV120" s="225"/>
      <c r="AXW120" s="225"/>
      <c r="AXX120" s="225"/>
      <c r="AXY120" s="225"/>
      <c r="AXZ120" s="225"/>
      <c r="AYA120" s="225"/>
      <c r="AYB120" s="225"/>
      <c r="AYC120" s="225"/>
      <c r="AYD120" s="225"/>
      <c r="AYE120" s="225"/>
      <c r="AYF120" s="225"/>
      <c r="AYG120" s="225"/>
      <c r="AYH120" s="225"/>
      <c r="AYI120" s="225"/>
      <c r="AYJ120" s="225"/>
      <c r="AYK120" s="225"/>
      <c r="AYL120" s="225"/>
      <c r="AYM120" s="225"/>
      <c r="AYN120" s="225"/>
      <c r="AYO120" s="225"/>
      <c r="AYP120" s="225"/>
      <c r="AYQ120" s="225"/>
      <c r="AYR120" s="225"/>
      <c r="AYS120" s="225"/>
      <c r="AYT120" s="225"/>
      <c r="AYU120" s="225"/>
      <c r="AYV120" s="225"/>
      <c r="AYW120" s="225"/>
      <c r="AYX120" s="225"/>
      <c r="AYY120" s="225"/>
      <c r="AYZ120" s="225"/>
      <c r="AZA120" s="225"/>
      <c r="AZB120" s="225"/>
      <c r="AZC120" s="225"/>
      <c r="AZD120" s="225"/>
      <c r="AZE120" s="225"/>
      <c r="AZF120" s="225"/>
      <c r="AZG120" s="225"/>
      <c r="AZH120" s="225"/>
      <c r="AZI120" s="225"/>
      <c r="AZJ120" s="225"/>
      <c r="AZK120" s="225"/>
      <c r="AZL120" s="225"/>
      <c r="AZM120" s="225"/>
      <c r="AZN120" s="225"/>
      <c r="AZO120" s="225"/>
      <c r="AZP120" s="225"/>
      <c r="AZQ120" s="225"/>
      <c r="AZR120" s="225"/>
      <c r="AZS120" s="225"/>
      <c r="AZT120" s="225"/>
      <c r="AZU120" s="225"/>
      <c r="AZV120" s="225"/>
      <c r="AZW120" s="225"/>
      <c r="AZX120" s="225"/>
      <c r="AZY120" s="225"/>
      <c r="AZZ120" s="225"/>
      <c r="BAA120" s="225"/>
      <c r="BAB120" s="225"/>
      <c r="BAC120" s="225"/>
      <c r="BAD120" s="225"/>
      <c r="BAE120" s="225"/>
      <c r="BAF120" s="225"/>
      <c r="BAG120" s="225"/>
      <c r="BAH120" s="225"/>
      <c r="BAI120" s="225"/>
      <c r="BAJ120" s="225"/>
      <c r="BAK120" s="225"/>
      <c r="BAL120" s="225"/>
      <c r="BAM120" s="225"/>
      <c r="BAN120" s="225"/>
      <c r="BAO120" s="225"/>
      <c r="BAP120" s="225"/>
      <c r="BAQ120" s="225"/>
      <c r="BAR120" s="225"/>
      <c r="BAS120" s="225"/>
      <c r="BAT120" s="225"/>
      <c r="BAU120" s="225"/>
      <c r="BAV120" s="225"/>
      <c r="BAW120" s="225"/>
      <c r="BAX120" s="225"/>
      <c r="BAY120" s="225"/>
      <c r="BAZ120" s="225"/>
      <c r="BBA120" s="225"/>
      <c r="BBB120" s="225"/>
      <c r="BBC120" s="225"/>
      <c r="BBD120" s="225"/>
      <c r="BBE120" s="225"/>
      <c r="BBF120" s="225"/>
      <c r="BBG120" s="225"/>
      <c r="BBH120" s="225"/>
      <c r="BBI120" s="225"/>
      <c r="BBJ120" s="225"/>
      <c r="BBK120" s="225"/>
      <c r="BBL120" s="225"/>
      <c r="BBM120" s="225"/>
      <c r="BBN120" s="225"/>
      <c r="BBO120" s="225"/>
      <c r="BBP120" s="225"/>
      <c r="BBQ120" s="225"/>
      <c r="BBR120" s="225"/>
      <c r="BBS120" s="225"/>
      <c r="BBT120" s="225"/>
      <c r="BBU120" s="225"/>
      <c r="BBV120" s="225"/>
      <c r="BBW120" s="225"/>
      <c r="BBX120" s="225"/>
      <c r="BBY120" s="225"/>
      <c r="BBZ120" s="225"/>
      <c r="BCA120" s="225"/>
      <c r="BCB120" s="225"/>
      <c r="BCC120" s="225"/>
      <c r="BCD120" s="225"/>
      <c r="BCE120" s="225"/>
      <c r="BCF120" s="225"/>
      <c r="BCG120" s="225"/>
      <c r="BCH120" s="225"/>
      <c r="BCI120" s="225"/>
      <c r="BCJ120" s="225"/>
      <c r="BCK120" s="225"/>
      <c r="BCL120" s="225"/>
      <c r="BCM120" s="225"/>
      <c r="BCN120" s="225"/>
      <c r="BCO120" s="225"/>
      <c r="BCP120" s="225"/>
      <c r="BCQ120" s="225"/>
      <c r="BCR120" s="225"/>
      <c r="BCS120" s="225"/>
      <c r="BCT120" s="225"/>
      <c r="BCU120" s="225"/>
      <c r="BCV120" s="225"/>
      <c r="BCW120" s="225"/>
      <c r="BCX120" s="225"/>
      <c r="BCY120" s="225"/>
      <c r="BCZ120" s="225"/>
      <c r="BDA120" s="225"/>
      <c r="BDB120" s="225"/>
      <c r="BDC120" s="225"/>
      <c r="BDD120" s="225"/>
      <c r="BDE120" s="225"/>
      <c r="BDF120" s="225"/>
      <c r="BDG120" s="225"/>
      <c r="BDH120" s="225"/>
      <c r="BDI120" s="225"/>
      <c r="BDJ120" s="225"/>
      <c r="BDK120" s="225"/>
      <c r="BDL120" s="225"/>
      <c r="BDM120" s="225"/>
      <c r="BDN120" s="225"/>
      <c r="BDO120" s="225"/>
      <c r="BDP120" s="225"/>
      <c r="BDQ120" s="225"/>
      <c r="BDR120" s="225"/>
      <c r="BDS120" s="225"/>
      <c r="BDT120" s="225"/>
      <c r="BDU120" s="225"/>
      <c r="BDV120" s="225"/>
      <c r="BDW120" s="225"/>
      <c r="BDX120" s="225"/>
      <c r="BDY120" s="225"/>
      <c r="BDZ120" s="225"/>
      <c r="BEA120" s="225"/>
      <c r="BEB120" s="225"/>
      <c r="BEC120" s="225"/>
      <c r="BED120" s="225"/>
      <c r="BEE120" s="225"/>
      <c r="BEF120" s="225"/>
      <c r="BEG120" s="225"/>
      <c r="BEH120" s="225"/>
      <c r="BEI120" s="225"/>
      <c r="BEJ120" s="225"/>
      <c r="BEK120" s="225"/>
      <c r="BEL120" s="225"/>
      <c r="BEM120" s="225"/>
      <c r="BEN120" s="225"/>
      <c r="BEO120" s="225"/>
      <c r="BEP120" s="225"/>
      <c r="BEQ120" s="225"/>
      <c r="BER120" s="225"/>
      <c r="BES120" s="225"/>
      <c r="BET120" s="225"/>
      <c r="BEU120" s="225"/>
      <c r="BEV120" s="225"/>
      <c r="BEW120" s="225"/>
      <c r="BEX120" s="225"/>
      <c r="BEY120" s="225"/>
      <c r="BEZ120" s="225"/>
      <c r="BFA120" s="225"/>
      <c r="BFB120" s="225"/>
      <c r="BFC120" s="225"/>
      <c r="BFD120" s="225"/>
      <c r="BFE120" s="225"/>
      <c r="BFF120" s="225"/>
      <c r="BFG120" s="225"/>
      <c r="BFH120" s="225"/>
      <c r="BFI120" s="225"/>
      <c r="BFJ120" s="225"/>
      <c r="BFK120" s="225"/>
      <c r="BFL120" s="225"/>
      <c r="BFM120" s="225"/>
      <c r="BFN120" s="225"/>
      <c r="BFO120" s="225"/>
      <c r="BFP120" s="225"/>
      <c r="BFQ120" s="225"/>
      <c r="BFR120" s="225"/>
      <c r="BFS120" s="225"/>
      <c r="BFT120" s="225"/>
      <c r="BFU120" s="225"/>
      <c r="BFV120" s="225"/>
      <c r="BFW120" s="225"/>
      <c r="BFX120" s="225"/>
      <c r="BFY120" s="225"/>
      <c r="BFZ120" s="225"/>
      <c r="BGA120" s="225"/>
      <c r="BGB120" s="225"/>
      <c r="BGC120" s="225"/>
      <c r="BGD120" s="225"/>
      <c r="BGE120" s="225"/>
      <c r="BGF120" s="225"/>
      <c r="BGG120" s="225"/>
      <c r="BGH120" s="225"/>
      <c r="BGI120" s="225"/>
      <c r="BGJ120" s="225"/>
      <c r="BGK120" s="225"/>
      <c r="BGL120" s="225"/>
      <c r="BGM120" s="225"/>
      <c r="BGN120" s="225"/>
      <c r="BGO120" s="225"/>
      <c r="BGP120" s="225"/>
      <c r="BGQ120" s="225"/>
      <c r="BGR120" s="225"/>
      <c r="BGS120" s="225"/>
      <c r="BGT120" s="225"/>
      <c r="BGU120" s="225"/>
      <c r="BGV120" s="225"/>
      <c r="BGW120" s="225"/>
      <c r="BGX120" s="225"/>
      <c r="BGY120" s="225"/>
      <c r="BGZ120" s="225"/>
      <c r="BHA120" s="225"/>
      <c r="BHB120" s="225"/>
      <c r="BHC120" s="225"/>
      <c r="BHD120" s="225"/>
      <c r="BHE120" s="225"/>
      <c r="BHF120" s="225"/>
      <c r="BHG120" s="225"/>
      <c r="BHH120" s="225"/>
      <c r="BHI120" s="225"/>
      <c r="BHJ120" s="225"/>
      <c r="BHK120" s="225"/>
      <c r="BHL120" s="225"/>
      <c r="BHM120" s="225"/>
      <c r="BHN120" s="225"/>
      <c r="BHO120" s="225"/>
      <c r="BHP120" s="225"/>
      <c r="BHQ120" s="225"/>
      <c r="BHR120" s="225"/>
      <c r="BHS120" s="225"/>
      <c r="BHT120" s="225"/>
      <c r="BHU120" s="225"/>
      <c r="BHV120" s="225"/>
      <c r="BHW120" s="225"/>
      <c r="BHX120" s="225"/>
      <c r="BHY120" s="225"/>
      <c r="BHZ120" s="225"/>
      <c r="BIA120" s="225"/>
      <c r="BIB120" s="225"/>
      <c r="BIC120" s="225"/>
      <c r="BID120" s="225"/>
      <c r="BIE120" s="225"/>
      <c r="BIF120" s="225"/>
      <c r="BIG120" s="225"/>
      <c r="BIH120" s="225"/>
      <c r="BII120" s="225"/>
      <c r="BIJ120" s="225"/>
      <c r="BIK120" s="225"/>
      <c r="BIL120" s="225"/>
      <c r="BIM120" s="225"/>
      <c r="BIN120" s="225"/>
      <c r="BIO120" s="225"/>
      <c r="BIP120" s="225"/>
      <c r="BIQ120" s="225"/>
      <c r="BIR120" s="225"/>
      <c r="BIS120" s="225"/>
      <c r="BIT120" s="225"/>
      <c r="BIU120" s="225"/>
      <c r="BIV120" s="225"/>
      <c r="BIW120" s="225"/>
      <c r="BIX120" s="225"/>
      <c r="BIY120" s="225"/>
      <c r="BIZ120" s="225"/>
      <c r="BJA120" s="225"/>
      <c r="BJB120" s="225"/>
      <c r="BJC120" s="225"/>
      <c r="BJD120" s="225"/>
      <c r="BJE120" s="225"/>
      <c r="BJF120" s="225"/>
      <c r="BJG120" s="225"/>
      <c r="BJH120" s="225"/>
      <c r="BJI120" s="225"/>
      <c r="BJJ120" s="225"/>
      <c r="BJK120" s="225"/>
      <c r="BJL120" s="225"/>
      <c r="BJM120" s="225"/>
      <c r="BJN120" s="225"/>
      <c r="BJO120" s="225"/>
      <c r="BJP120" s="225"/>
      <c r="BJQ120" s="225"/>
      <c r="BJR120" s="225"/>
      <c r="BJS120" s="225"/>
      <c r="BJT120" s="225"/>
      <c r="BJU120" s="225"/>
      <c r="BJV120" s="225"/>
      <c r="BJW120" s="225"/>
      <c r="BJX120" s="225"/>
      <c r="BJY120" s="225"/>
      <c r="BJZ120" s="225"/>
      <c r="BKA120" s="225"/>
      <c r="BKB120" s="225"/>
      <c r="BKC120" s="225"/>
      <c r="BKD120" s="225"/>
      <c r="BKE120" s="225"/>
      <c r="BKF120" s="225"/>
      <c r="BKG120" s="225"/>
      <c r="BKH120" s="225"/>
      <c r="BKI120" s="225"/>
      <c r="BKJ120" s="225"/>
      <c r="BKK120" s="225"/>
      <c r="BKL120" s="225"/>
      <c r="BKM120" s="225"/>
      <c r="BKN120" s="225"/>
      <c r="BKO120" s="225"/>
      <c r="BKP120" s="225"/>
      <c r="BKQ120" s="225"/>
      <c r="BKR120" s="225"/>
      <c r="BKS120" s="225"/>
      <c r="BKT120" s="225"/>
      <c r="BKU120" s="225"/>
      <c r="BKV120" s="225"/>
      <c r="BKW120" s="225"/>
      <c r="BKX120" s="225"/>
      <c r="BKY120" s="225"/>
      <c r="BKZ120" s="225"/>
      <c r="BLA120" s="225"/>
      <c r="BLB120" s="225"/>
      <c r="BLC120" s="225"/>
      <c r="BLD120" s="225"/>
      <c r="BLE120" s="225"/>
      <c r="BLF120" s="225"/>
      <c r="BLG120" s="225"/>
      <c r="BLH120" s="225"/>
      <c r="BLI120" s="225"/>
      <c r="BLJ120" s="225"/>
      <c r="BLK120" s="225"/>
      <c r="BLL120" s="225"/>
      <c r="BLM120" s="225"/>
      <c r="BLN120" s="225"/>
      <c r="BLO120" s="225"/>
      <c r="BLP120" s="225"/>
      <c r="BLQ120" s="225"/>
      <c r="BLR120" s="225"/>
      <c r="BLS120" s="225"/>
      <c r="BLT120" s="225"/>
      <c r="BLU120" s="225"/>
      <c r="BLV120" s="225"/>
      <c r="BLW120" s="225"/>
      <c r="BLX120" s="225"/>
      <c r="BLY120" s="225"/>
      <c r="BLZ120" s="225"/>
      <c r="BMA120" s="225"/>
      <c r="BMB120" s="225"/>
      <c r="BMC120" s="225"/>
      <c r="BMD120" s="225"/>
      <c r="BME120" s="225"/>
      <c r="BMF120" s="225"/>
      <c r="BMG120" s="225"/>
      <c r="BMH120" s="225"/>
      <c r="BMI120" s="225"/>
      <c r="BMJ120" s="225"/>
      <c r="BMK120" s="225"/>
      <c r="BML120" s="225"/>
      <c r="BMM120" s="225"/>
      <c r="BMN120" s="225"/>
      <c r="BMO120" s="225"/>
      <c r="BMP120" s="225"/>
      <c r="BMQ120" s="225"/>
      <c r="BMR120" s="225"/>
      <c r="BMS120" s="225"/>
      <c r="BMT120" s="225"/>
      <c r="BMU120" s="225"/>
      <c r="BMV120" s="225"/>
      <c r="BMW120" s="225"/>
      <c r="BMX120" s="225"/>
      <c r="BMY120" s="225"/>
      <c r="BMZ120" s="225"/>
      <c r="BNA120" s="225"/>
      <c r="BNB120" s="225"/>
      <c r="BNC120" s="225"/>
      <c r="BND120" s="225"/>
      <c r="BNE120" s="225"/>
      <c r="BNF120" s="225"/>
      <c r="BNG120" s="225"/>
      <c r="BNH120" s="225"/>
      <c r="BNI120" s="225"/>
      <c r="BNJ120" s="225"/>
      <c r="BNK120" s="225"/>
      <c r="BNL120" s="225"/>
      <c r="BNM120" s="225"/>
      <c r="BNN120" s="225"/>
      <c r="BNO120" s="225"/>
      <c r="BNP120" s="225"/>
      <c r="BNQ120" s="225"/>
      <c r="BNR120" s="225"/>
      <c r="BNS120" s="225"/>
      <c r="BNT120" s="225"/>
      <c r="BNU120" s="225"/>
      <c r="BNV120" s="225"/>
      <c r="BNW120" s="225"/>
      <c r="BNX120" s="225"/>
      <c r="BNY120" s="225"/>
      <c r="BNZ120" s="225"/>
      <c r="BOA120" s="225"/>
      <c r="BOB120" s="225"/>
      <c r="BOC120" s="225"/>
      <c r="BOD120" s="225"/>
      <c r="BOE120" s="225"/>
      <c r="BOF120" s="225"/>
      <c r="BOG120" s="225"/>
      <c r="BOH120" s="225"/>
      <c r="BOI120" s="225"/>
      <c r="BOJ120" s="225"/>
      <c r="BOK120" s="225"/>
      <c r="BOL120" s="225"/>
      <c r="BOM120" s="225"/>
      <c r="BON120" s="225"/>
      <c r="BOO120" s="225"/>
      <c r="BOP120" s="225"/>
      <c r="BOQ120" s="225"/>
      <c r="BOR120" s="225"/>
      <c r="BOS120" s="225"/>
      <c r="BOT120" s="225"/>
      <c r="BOU120" s="225"/>
      <c r="BOV120" s="225"/>
      <c r="BOW120" s="225"/>
      <c r="BOX120" s="225"/>
      <c r="BOY120" s="225"/>
      <c r="BOZ120" s="225"/>
      <c r="BPA120" s="225"/>
      <c r="BPB120" s="225"/>
      <c r="BPC120" s="225"/>
      <c r="BPD120" s="225"/>
      <c r="BPE120" s="225"/>
      <c r="BPF120" s="225"/>
      <c r="BPG120" s="225"/>
      <c r="BPH120" s="225"/>
      <c r="BPI120" s="225"/>
      <c r="BPJ120" s="225"/>
      <c r="BPK120" s="225"/>
      <c r="BPL120" s="225"/>
      <c r="BPM120" s="225"/>
      <c r="BPN120" s="225"/>
      <c r="BPO120" s="225"/>
      <c r="BPP120" s="225"/>
      <c r="BPQ120" s="225"/>
      <c r="BPR120" s="225"/>
      <c r="BPS120" s="225"/>
      <c r="BPT120" s="225"/>
      <c r="BPU120" s="225"/>
      <c r="BPV120" s="225"/>
      <c r="BPW120" s="225"/>
      <c r="BPX120" s="225"/>
      <c r="BPY120" s="225"/>
      <c r="BPZ120" s="225"/>
      <c r="BQA120" s="225"/>
      <c r="BQB120" s="225"/>
      <c r="BQC120" s="225"/>
      <c r="BQD120" s="225"/>
      <c r="BQE120" s="225"/>
      <c r="BQF120" s="225"/>
      <c r="BQG120" s="225"/>
      <c r="BQH120" s="225"/>
      <c r="BQI120" s="225"/>
      <c r="BQJ120" s="225"/>
      <c r="BQK120" s="225"/>
      <c r="BQL120" s="225"/>
      <c r="BQM120" s="225"/>
      <c r="BQN120" s="225"/>
      <c r="BQO120" s="225"/>
      <c r="BQP120" s="225"/>
      <c r="BQQ120" s="225"/>
      <c r="BQR120" s="225"/>
      <c r="BQS120" s="225"/>
      <c r="BQT120" s="225"/>
      <c r="BQU120" s="225"/>
      <c r="BQV120" s="225"/>
      <c r="BQW120" s="225"/>
      <c r="BQX120" s="225"/>
      <c r="BQY120" s="225"/>
      <c r="BQZ120" s="225"/>
      <c r="BRA120" s="225"/>
      <c r="BRB120" s="225"/>
      <c r="BRC120" s="225"/>
      <c r="BRD120" s="225"/>
      <c r="BRE120" s="225"/>
      <c r="BRF120" s="225"/>
      <c r="BRG120" s="225"/>
      <c r="BRH120" s="225"/>
      <c r="BRI120" s="225"/>
      <c r="BRJ120" s="225"/>
      <c r="BRK120" s="225"/>
      <c r="BRL120" s="225"/>
      <c r="BRM120" s="225"/>
      <c r="BRN120" s="225"/>
      <c r="BRO120" s="225"/>
      <c r="BRP120" s="225"/>
      <c r="BRQ120" s="225"/>
      <c r="BRR120" s="225"/>
      <c r="BRS120" s="225"/>
      <c r="BRT120" s="225"/>
      <c r="BRU120" s="225"/>
      <c r="BRV120" s="225"/>
      <c r="BRW120" s="225"/>
      <c r="BRX120" s="225"/>
      <c r="BRY120" s="225"/>
      <c r="BRZ120" s="225"/>
      <c r="BSA120" s="225"/>
      <c r="BSB120" s="225"/>
      <c r="BSC120" s="225"/>
      <c r="BSD120" s="225"/>
      <c r="BSE120" s="225"/>
      <c r="BSF120" s="225"/>
      <c r="BSG120" s="225"/>
      <c r="BSH120" s="225"/>
      <c r="BSI120" s="225"/>
      <c r="BSJ120" s="225"/>
      <c r="BSK120" s="225"/>
      <c r="BSL120" s="225"/>
      <c r="BSM120" s="225"/>
      <c r="BSN120" s="225"/>
      <c r="BSO120" s="225"/>
      <c r="BSP120" s="225"/>
      <c r="BSQ120" s="225"/>
      <c r="BSR120" s="225"/>
      <c r="BSS120" s="225"/>
      <c r="BST120" s="225"/>
      <c r="BSU120" s="225"/>
      <c r="BSV120" s="225"/>
      <c r="BSW120" s="225"/>
      <c r="BSX120" s="225"/>
      <c r="BSY120" s="225"/>
      <c r="BSZ120" s="225"/>
      <c r="BTA120" s="225"/>
      <c r="BTB120" s="225"/>
      <c r="BTC120" s="225"/>
      <c r="BTD120" s="225"/>
      <c r="BTE120" s="225"/>
      <c r="BTF120" s="225"/>
      <c r="BTG120" s="225"/>
      <c r="BTH120" s="225"/>
      <c r="BTI120" s="225"/>
      <c r="BTJ120" s="225"/>
      <c r="BTK120" s="225"/>
      <c r="BTL120" s="225"/>
      <c r="BTM120" s="225"/>
      <c r="BTN120" s="225"/>
      <c r="BTO120" s="225"/>
      <c r="BTP120" s="225"/>
      <c r="BTQ120" s="225"/>
      <c r="BTR120" s="225"/>
      <c r="BTS120" s="225"/>
      <c r="BTT120" s="225"/>
      <c r="BTU120" s="225"/>
      <c r="BTV120" s="225"/>
      <c r="BTW120" s="225"/>
      <c r="BTX120" s="225"/>
      <c r="BTY120" s="225"/>
      <c r="BTZ120" s="225"/>
      <c r="BUA120" s="225"/>
      <c r="BUB120" s="225"/>
      <c r="BUC120" s="225"/>
      <c r="BUD120" s="225"/>
      <c r="BUE120" s="225"/>
      <c r="BUF120" s="225"/>
      <c r="BUG120" s="225"/>
      <c r="BUH120" s="225"/>
      <c r="BUI120" s="225"/>
      <c r="BUJ120" s="225"/>
      <c r="BUK120" s="225"/>
      <c r="BUL120" s="225"/>
      <c r="BUM120" s="225"/>
      <c r="BUN120" s="225"/>
      <c r="BUO120" s="225"/>
      <c r="BUP120" s="225"/>
      <c r="BUQ120" s="225"/>
      <c r="BUR120" s="225"/>
      <c r="BUS120" s="225"/>
      <c r="BUT120" s="225"/>
      <c r="BUU120" s="225"/>
      <c r="BUV120" s="225"/>
      <c r="BUW120" s="225"/>
      <c r="BUX120" s="225"/>
      <c r="BUY120" s="225"/>
      <c r="BUZ120" s="225"/>
      <c r="BVA120" s="225"/>
      <c r="BVB120" s="225"/>
      <c r="BVC120" s="225"/>
      <c r="BVD120" s="225"/>
      <c r="BVE120" s="225"/>
      <c r="BVF120" s="225"/>
      <c r="BVG120" s="225"/>
      <c r="BVH120" s="225"/>
      <c r="BVI120" s="225"/>
      <c r="BVJ120" s="225"/>
      <c r="BVK120" s="225"/>
      <c r="BVL120" s="225"/>
      <c r="BVM120" s="225"/>
      <c r="BVN120" s="225"/>
      <c r="BVO120" s="225"/>
      <c r="BVP120" s="225"/>
      <c r="BVQ120" s="225"/>
      <c r="BVR120" s="225"/>
      <c r="BVS120" s="225"/>
      <c r="BVT120" s="225"/>
      <c r="BVU120" s="225"/>
      <c r="BVV120" s="225"/>
      <c r="BVW120" s="225"/>
      <c r="BVX120" s="225"/>
      <c r="BVY120" s="225"/>
      <c r="BVZ120" s="225"/>
      <c r="BWA120" s="225"/>
      <c r="BWB120" s="225"/>
      <c r="BWC120" s="225"/>
      <c r="BWD120" s="225"/>
      <c r="BWE120" s="225"/>
      <c r="BWF120" s="225"/>
      <c r="BWG120" s="225"/>
      <c r="BWH120" s="225"/>
      <c r="BWI120" s="225"/>
      <c r="BWJ120" s="225"/>
      <c r="BWK120" s="225"/>
      <c r="BWL120" s="225"/>
      <c r="BWM120" s="225"/>
      <c r="BWN120" s="225"/>
      <c r="BWO120" s="225"/>
      <c r="BWP120" s="225"/>
      <c r="BWQ120" s="225"/>
      <c r="BWR120" s="225"/>
      <c r="BWS120" s="225"/>
      <c r="BWT120" s="225"/>
      <c r="BWU120" s="225"/>
      <c r="BWV120" s="225"/>
      <c r="BWW120" s="225"/>
      <c r="BWX120" s="225"/>
      <c r="BWY120" s="225"/>
      <c r="BWZ120" s="225"/>
      <c r="BXA120" s="225"/>
      <c r="BXB120" s="225"/>
      <c r="BXC120" s="225"/>
      <c r="BXD120" s="225"/>
      <c r="BXE120" s="225"/>
      <c r="BXF120" s="225"/>
      <c r="BXG120" s="225"/>
      <c r="BXH120" s="225"/>
      <c r="BXI120" s="225"/>
      <c r="BXJ120" s="225"/>
      <c r="BXK120" s="225"/>
      <c r="BXL120" s="225"/>
      <c r="BXM120" s="225"/>
      <c r="BXN120" s="225"/>
      <c r="BXO120" s="225"/>
      <c r="BXP120" s="225"/>
      <c r="BXQ120" s="225"/>
      <c r="BXR120" s="225"/>
      <c r="BXS120" s="225"/>
      <c r="BXT120" s="225"/>
      <c r="BXU120" s="225"/>
      <c r="BXV120" s="225"/>
      <c r="BXW120" s="225"/>
      <c r="BXX120" s="225"/>
      <c r="BXY120" s="225"/>
      <c r="BXZ120" s="225"/>
      <c r="BYA120" s="225"/>
      <c r="BYB120" s="225"/>
      <c r="BYC120" s="225"/>
      <c r="BYD120" s="225"/>
      <c r="BYE120" s="225"/>
      <c r="BYF120" s="225"/>
      <c r="BYG120" s="225"/>
      <c r="BYH120" s="225"/>
      <c r="BYI120" s="225"/>
      <c r="BYJ120" s="225"/>
      <c r="BYK120" s="225"/>
      <c r="BYL120" s="225"/>
      <c r="BYM120" s="225"/>
      <c r="BYN120" s="225"/>
      <c r="BYO120" s="225"/>
      <c r="BYP120" s="225"/>
      <c r="BYQ120" s="225"/>
      <c r="BYR120" s="225"/>
      <c r="BYS120" s="225"/>
      <c r="BYT120" s="225"/>
      <c r="BYU120" s="225"/>
      <c r="BYV120" s="225"/>
      <c r="BYW120" s="225"/>
      <c r="BYX120" s="225"/>
      <c r="BYY120" s="225"/>
      <c r="BYZ120" s="225"/>
      <c r="BZA120" s="225"/>
      <c r="BZB120" s="225"/>
      <c r="BZC120" s="225"/>
      <c r="BZD120" s="225"/>
      <c r="BZE120" s="225"/>
      <c r="BZF120" s="225"/>
      <c r="BZG120" s="225"/>
      <c r="BZH120" s="225"/>
      <c r="BZI120" s="225"/>
      <c r="BZJ120" s="225"/>
      <c r="BZK120" s="225"/>
      <c r="BZL120" s="225"/>
      <c r="BZM120" s="225"/>
      <c r="BZN120" s="225"/>
      <c r="BZO120" s="225"/>
      <c r="BZP120" s="225"/>
      <c r="BZQ120" s="225"/>
      <c r="BZR120" s="225"/>
      <c r="BZS120" s="225"/>
      <c r="BZT120" s="225"/>
      <c r="BZU120" s="225"/>
      <c r="BZV120" s="225"/>
      <c r="BZW120" s="225"/>
      <c r="BZX120" s="225"/>
      <c r="BZY120" s="225"/>
      <c r="BZZ120" s="225"/>
      <c r="CAA120" s="225"/>
      <c r="CAB120" s="225"/>
      <c r="CAC120" s="225"/>
      <c r="CAD120" s="225"/>
      <c r="CAE120" s="225"/>
      <c r="CAF120" s="225"/>
      <c r="CAG120" s="225"/>
      <c r="CAH120" s="225"/>
      <c r="CAI120" s="225"/>
      <c r="CAJ120" s="225"/>
      <c r="CAK120" s="225"/>
      <c r="CAL120" s="225"/>
      <c r="CAM120" s="225"/>
      <c r="CAN120" s="225"/>
      <c r="CAO120" s="225"/>
      <c r="CAP120" s="225"/>
      <c r="CAQ120" s="225"/>
      <c r="CAR120" s="225"/>
      <c r="CAS120" s="225"/>
      <c r="CAT120" s="225"/>
      <c r="CAU120" s="225"/>
      <c r="CAV120" s="225"/>
      <c r="CAW120" s="225"/>
      <c r="CAX120" s="225"/>
      <c r="CAY120" s="225"/>
      <c r="CAZ120" s="225"/>
      <c r="CBA120" s="225"/>
      <c r="CBB120" s="225"/>
      <c r="CBC120" s="225"/>
      <c r="CBD120" s="225"/>
      <c r="CBE120" s="225"/>
      <c r="CBF120" s="225"/>
      <c r="CBG120" s="225"/>
      <c r="CBH120" s="225"/>
      <c r="CBI120" s="225"/>
      <c r="CBJ120" s="225"/>
      <c r="CBK120" s="225"/>
      <c r="CBL120" s="225"/>
      <c r="CBM120" s="225"/>
      <c r="CBN120" s="225"/>
      <c r="CBO120" s="225"/>
      <c r="CBP120" s="225"/>
      <c r="CBQ120" s="225"/>
      <c r="CBR120" s="225"/>
      <c r="CBS120" s="225"/>
      <c r="CBT120" s="225"/>
      <c r="CBU120" s="225"/>
      <c r="CBV120" s="225"/>
      <c r="CBW120" s="225"/>
      <c r="CBX120" s="225"/>
      <c r="CBY120" s="225"/>
      <c r="CBZ120" s="225"/>
      <c r="CCA120" s="225"/>
      <c r="CCB120" s="225"/>
      <c r="CCC120" s="225"/>
      <c r="CCD120" s="225"/>
      <c r="CCE120" s="225"/>
      <c r="CCF120" s="225"/>
      <c r="CCG120" s="225"/>
      <c r="CCH120" s="225"/>
      <c r="CCI120" s="225"/>
      <c r="CCJ120" s="225"/>
      <c r="CCK120" s="225"/>
      <c r="CCL120" s="225"/>
      <c r="CCM120" s="225"/>
      <c r="CCN120" s="225"/>
      <c r="CCO120" s="225"/>
      <c r="CCP120" s="225"/>
      <c r="CCQ120" s="225"/>
      <c r="CCR120" s="225"/>
      <c r="CCS120" s="225"/>
      <c r="CCT120" s="225"/>
      <c r="CCU120" s="225"/>
      <c r="CCV120" s="225"/>
      <c r="CCW120" s="225"/>
      <c r="CCX120" s="225"/>
      <c r="CCY120" s="225"/>
      <c r="CCZ120" s="225"/>
      <c r="CDA120" s="225"/>
      <c r="CDB120" s="225"/>
      <c r="CDC120" s="225"/>
      <c r="CDD120" s="225"/>
      <c r="CDE120" s="225"/>
      <c r="CDF120" s="225"/>
      <c r="CDG120" s="225"/>
      <c r="CDH120" s="225"/>
      <c r="CDI120" s="225"/>
      <c r="CDJ120" s="225"/>
      <c r="CDK120" s="225"/>
      <c r="CDL120" s="225"/>
      <c r="CDM120" s="225"/>
      <c r="CDN120" s="225"/>
      <c r="CDO120" s="225"/>
      <c r="CDP120" s="225"/>
      <c r="CDQ120" s="225"/>
      <c r="CDR120" s="225"/>
      <c r="CDS120" s="225"/>
      <c r="CDT120" s="225"/>
      <c r="CDU120" s="225"/>
      <c r="CDV120" s="225"/>
      <c r="CDW120" s="225"/>
      <c r="CDX120" s="225"/>
      <c r="CDY120" s="225"/>
      <c r="CDZ120" s="225"/>
      <c r="CEA120" s="225"/>
      <c r="CEB120" s="225"/>
      <c r="CEC120" s="225"/>
      <c r="CED120" s="225"/>
      <c r="CEE120" s="225"/>
      <c r="CEF120" s="225"/>
      <c r="CEG120" s="225"/>
      <c r="CEH120" s="225"/>
      <c r="CEI120" s="225"/>
      <c r="CEJ120" s="225"/>
      <c r="CEK120" s="225"/>
      <c r="CEL120" s="225"/>
      <c r="CEM120" s="225"/>
      <c r="CEN120" s="225"/>
      <c r="CEO120" s="225"/>
      <c r="CEP120" s="225"/>
      <c r="CEQ120" s="225"/>
      <c r="CER120" s="225"/>
      <c r="CES120" s="225"/>
      <c r="CET120" s="225"/>
      <c r="CEU120" s="225"/>
      <c r="CEV120" s="225"/>
      <c r="CEW120" s="225"/>
      <c r="CEX120" s="225"/>
      <c r="CEY120" s="225"/>
      <c r="CEZ120" s="225"/>
      <c r="CFA120" s="225"/>
      <c r="CFB120" s="225"/>
      <c r="CFC120" s="225"/>
      <c r="CFD120" s="225"/>
      <c r="CFE120" s="225"/>
      <c r="CFF120" s="225"/>
      <c r="CFG120" s="225"/>
      <c r="CFH120" s="225"/>
      <c r="CFI120" s="225"/>
      <c r="CFJ120" s="225"/>
      <c r="CFK120" s="225"/>
      <c r="CFL120" s="225"/>
      <c r="CFM120" s="225"/>
      <c r="CFN120" s="225"/>
      <c r="CFO120" s="225"/>
      <c r="CFP120" s="225"/>
      <c r="CFQ120" s="225"/>
      <c r="CFR120" s="225"/>
      <c r="CFS120" s="225"/>
      <c r="CFT120" s="225"/>
      <c r="CFU120" s="225"/>
      <c r="CFV120" s="225"/>
      <c r="CFW120" s="225"/>
      <c r="CFX120" s="225"/>
      <c r="CFY120" s="225"/>
      <c r="CFZ120" s="225"/>
      <c r="CGA120" s="225"/>
      <c r="CGB120" s="225"/>
      <c r="CGC120" s="225"/>
      <c r="CGD120" s="225"/>
      <c r="CGE120" s="225"/>
      <c r="CGF120" s="225"/>
      <c r="CGG120" s="225"/>
      <c r="CGH120" s="225"/>
      <c r="CGI120" s="225"/>
      <c r="CGJ120" s="225"/>
      <c r="CGK120" s="225"/>
      <c r="CGL120" s="225"/>
      <c r="CGM120" s="225"/>
      <c r="CGN120" s="225"/>
      <c r="CGO120" s="225"/>
      <c r="CGP120" s="225"/>
      <c r="CGQ120" s="225"/>
      <c r="CGR120" s="225"/>
      <c r="CGS120" s="225"/>
      <c r="CGT120" s="225"/>
      <c r="CGU120" s="225"/>
      <c r="CGV120" s="225"/>
      <c r="CGW120" s="225"/>
      <c r="CGX120" s="225"/>
      <c r="CGY120" s="225"/>
      <c r="CGZ120" s="225"/>
      <c r="CHA120" s="225"/>
      <c r="CHB120" s="225"/>
      <c r="CHC120" s="225"/>
      <c r="CHD120" s="225"/>
      <c r="CHE120" s="225"/>
      <c r="CHF120" s="225"/>
      <c r="CHG120" s="225"/>
      <c r="CHH120" s="225"/>
      <c r="CHI120" s="225"/>
      <c r="CHJ120" s="225"/>
      <c r="CHK120" s="225"/>
      <c r="CHL120" s="225"/>
      <c r="CHM120" s="225"/>
      <c r="CHN120" s="225"/>
      <c r="CHO120" s="225"/>
      <c r="CHP120" s="225"/>
      <c r="CHQ120" s="225"/>
      <c r="CHR120" s="225"/>
      <c r="CHS120" s="225"/>
      <c r="CHT120" s="225"/>
      <c r="CHU120" s="225"/>
      <c r="CHV120" s="225"/>
      <c r="CHW120" s="225"/>
      <c r="CHX120" s="225"/>
      <c r="CHY120" s="225"/>
      <c r="CHZ120" s="225"/>
      <c r="CIA120" s="225"/>
      <c r="CIB120" s="225"/>
      <c r="CIC120" s="225"/>
      <c r="CID120" s="225"/>
      <c r="CIE120" s="225"/>
      <c r="CIF120" s="225"/>
      <c r="CIG120" s="225"/>
      <c r="CIH120" s="225"/>
      <c r="CII120" s="225"/>
      <c r="CIJ120" s="225"/>
      <c r="CIK120" s="225"/>
      <c r="CIL120" s="225"/>
      <c r="CIM120" s="225"/>
      <c r="CIN120" s="225"/>
      <c r="CIO120" s="225"/>
      <c r="CIP120" s="225"/>
      <c r="CIQ120" s="225"/>
      <c r="CIR120" s="225"/>
      <c r="CIS120" s="225"/>
      <c r="CIT120" s="225"/>
      <c r="CIU120" s="225"/>
      <c r="CIV120" s="225"/>
      <c r="CIW120" s="225"/>
      <c r="CIX120" s="225"/>
      <c r="CIY120" s="225"/>
      <c r="CIZ120" s="225"/>
      <c r="CJA120" s="225"/>
      <c r="CJB120" s="225"/>
      <c r="CJC120" s="225"/>
      <c r="CJD120" s="225"/>
      <c r="CJE120" s="225"/>
      <c r="CJF120" s="225"/>
      <c r="CJG120" s="225"/>
      <c r="CJH120" s="225"/>
      <c r="CJI120" s="225"/>
      <c r="CJJ120" s="225"/>
      <c r="CJK120" s="225"/>
      <c r="CJL120" s="225"/>
      <c r="CJM120" s="225"/>
      <c r="CJN120" s="225"/>
      <c r="CJO120" s="225"/>
      <c r="CJP120" s="225"/>
      <c r="CJQ120" s="225"/>
      <c r="CJR120" s="225"/>
      <c r="CJS120" s="225"/>
      <c r="CJT120" s="225"/>
      <c r="CJU120" s="225"/>
      <c r="CJV120" s="225"/>
      <c r="CJW120" s="225"/>
      <c r="CJX120" s="225"/>
      <c r="CJY120" s="225"/>
      <c r="CJZ120" s="225"/>
      <c r="CKA120" s="225"/>
      <c r="CKB120" s="225"/>
      <c r="CKC120" s="225"/>
      <c r="CKD120" s="225"/>
      <c r="CKE120" s="225"/>
      <c r="CKF120" s="225"/>
      <c r="CKG120" s="225"/>
      <c r="CKH120" s="225"/>
      <c r="CKI120" s="225"/>
      <c r="CKJ120" s="225"/>
      <c r="CKK120" s="225"/>
      <c r="CKL120" s="225"/>
      <c r="CKM120" s="225"/>
      <c r="CKN120" s="225"/>
      <c r="CKO120" s="225"/>
      <c r="CKP120" s="225"/>
      <c r="CKQ120" s="225"/>
      <c r="CKR120" s="225"/>
      <c r="CKS120" s="225"/>
      <c r="CKT120" s="225"/>
      <c r="CKU120" s="225"/>
      <c r="CKV120" s="225"/>
      <c r="CKW120" s="225"/>
      <c r="CKX120" s="225"/>
      <c r="CKY120" s="225"/>
      <c r="CKZ120" s="225"/>
      <c r="CLA120" s="225"/>
      <c r="CLB120" s="225"/>
      <c r="CLC120" s="225"/>
      <c r="CLD120" s="225"/>
      <c r="CLE120" s="225"/>
      <c r="CLF120" s="225"/>
      <c r="CLG120" s="225"/>
      <c r="CLH120" s="225"/>
      <c r="CLI120" s="225"/>
      <c r="CLJ120" s="225"/>
      <c r="CLK120" s="225"/>
      <c r="CLL120" s="225"/>
      <c r="CLM120" s="225"/>
      <c r="CLN120" s="225"/>
      <c r="CLO120" s="225"/>
      <c r="CLP120" s="225"/>
      <c r="CLQ120" s="225"/>
      <c r="CLR120" s="225"/>
      <c r="CLS120" s="225"/>
      <c r="CLT120" s="225"/>
      <c r="CLU120" s="225"/>
      <c r="CLV120" s="225"/>
      <c r="CLW120" s="225"/>
      <c r="CLX120" s="225"/>
      <c r="CLY120" s="225"/>
      <c r="CLZ120" s="225"/>
      <c r="CMA120" s="225"/>
      <c r="CMB120" s="225"/>
      <c r="CMC120" s="225"/>
      <c r="CMD120" s="225"/>
      <c r="CME120" s="225"/>
      <c r="CMF120" s="225"/>
      <c r="CMG120" s="225"/>
      <c r="CMH120" s="225"/>
      <c r="CMI120" s="225"/>
      <c r="CMJ120" s="225"/>
      <c r="CMK120" s="225"/>
      <c r="CML120" s="225"/>
      <c r="CMM120" s="225"/>
      <c r="CMN120" s="225"/>
      <c r="CMO120" s="225"/>
      <c r="CMP120" s="225"/>
      <c r="CMQ120" s="225"/>
      <c r="CMR120" s="225"/>
      <c r="CMS120" s="225"/>
      <c r="CMT120" s="225"/>
      <c r="CMU120" s="225"/>
      <c r="CMV120" s="225"/>
      <c r="CMW120" s="225"/>
      <c r="CMX120" s="225"/>
      <c r="CMY120" s="225"/>
      <c r="CMZ120" s="225"/>
      <c r="CNA120" s="225"/>
      <c r="CNB120" s="225"/>
      <c r="CNC120" s="225"/>
      <c r="CND120" s="225"/>
      <c r="CNE120" s="225"/>
      <c r="CNF120" s="225"/>
      <c r="CNG120" s="225"/>
      <c r="CNH120" s="225"/>
      <c r="CNI120" s="225"/>
      <c r="CNJ120" s="225"/>
      <c r="CNK120" s="225"/>
      <c r="CNL120" s="225"/>
      <c r="CNM120" s="225"/>
      <c r="CNN120" s="225"/>
      <c r="CNO120" s="225"/>
      <c r="CNP120" s="225"/>
      <c r="CNQ120" s="225"/>
      <c r="CNR120" s="225"/>
      <c r="CNS120" s="225"/>
      <c r="CNT120" s="225"/>
      <c r="CNU120" s="225"/>
      <c r="CNV120" s="225"/>
      <c r="CNW120" s="225"/>
      <c r="CNX120" s="225"/>
      <c r="CNY120" s="225"/>
      <c r="CNZ120" s="225"/>
      <c r="COA120" s="225"/>
      <c r="COB120" s="225"/>
      <c r="COC120" s="225"/>
      <c r="COD120" s="225"/>
      <c r="COE120" s="225"/>
      <c r="COF120" s="225"/>
      <c r="COG120" s="225"/>
      <c r="COH120" s="225"/>
      <c r="COI120" s="225"/>
      <c r="COJ120" s="225"/>
      <c r="COK120" s="225"/>
      <c r="COL120" s="225"/>
      <c r="COM120" s="225"/>
      <c r="CON120" s="225"/>
      <c r="COO120" s="225"/>
      <c r="COP120" s="225"/>
      <c r="COQ120" s="225"/>
      <c r="COR120" s="225"/>
      <c r="COS120" s="225"/>
      <c r="COT120" s="225"/>
      <c r="COU120" s="225"/>
      <c r="COV120" s="225"/>
      <c r="COW120" s="225"/>
      <c r="COX120" s="225"/>
      <c r="COY120" s="225"/>
      <c r="COZ120" s="225"/>
      <c r="CPA120" s="225"/>
      <c r="CPB120" s="225"/>
      <c r="CPC120" s="225"/>
      <c r="CPD120" s="225"/>
      <c r="CPE120" s="225"/>
      <c r="CPF120" s="225"/>
      <c r="CPG120" s="225"/>
      <c r="CPH120" s="225"/>
      <c r="CPI120" s="225"/>
      <c r="CPJ120" s="225"/>
      <c r="CPK120" s="225"/>
      <c r="CPL120" s="225"/>
      <c r="CPM120" s="225"/>
      <c r="CPN120" s="225"/>
      <c r="CPO120" s="225"/>
      <c r="CPP120" s="225"/>
      <c r="CPQ120" s="225"/>
      <c r="CPR120" s="225"/>
      <c r="CPS120" s="225"/>
      <c r="CPT120" s="225"/>
      <c r="CPU120" s="225"/>
      <c r="CPV120" s="225"/>
      <c r="CPW120" s="225"/>
      <c r="CPX120" s="225"/>
      <c r="CPY120" s="225"/>
      <c r="CPZ120" s="225"/>
      <c r="CQA120" s="225"/>
      <c r="CQB120" s="225"/>
      <c r="CQC120" s="225"/>
      <c r="CQD120" s="225"/>
      <c r="CQE120" s="225"/>
      <c r="CQF120" s="225"/>
      <c r="CQG120" s="225"/>
      <c r="CQH120" s="225"/>
      <c r="CQI120" s="225"/>
      <c r="CQJ120" s="225"/>
      <c r="CQK120" s="225"/>
      <c r="CQL120" s="225"/>
      <c r="CQM120" s="225"/>
      <c r="CQN120" s="225"/>
      <c r="CQO120" s="225"/>
      <c r="CQP120" s="225"/>
      <c r="CQQ120" s="225"/>
      <c r="CQR120" s="225"/>
      <c r="CQS120" s="225"/>
      <c r="CQT120" s="225"/>
      <c r="CQU120" s="225"/>
      <c r="CQV120" s="225"/>
      <c r="CQW120" s="225"/>
      <c r="CQX120" s="225"/>
      <c r="CQY120" s="225"/>
      <c r="CQZ120" s="225"/>
      <c r="CRA120" s="225"/>
      <c r="CRB120" s="225"/>
      <c r="CRC120" s="225"/>
      <c r="CRD120" s="225"/>
      <c r="CRE120" s="225"/>
      <c r="CRF120" s="225"/>
      <c r="CRG120" s="225"/>
      <c r="CRH120" s="225"/>
      <c r="CRI120" s="225"/>
      <c r="CRJ120" s="225"/>
      <c r="CRK120" s="225"/>
      <c r="CRL120" s="225"/>
      <c r="CRM120" s="225"/>
      <c r="CRN120" s="225"/>
      <c r="CRO120" s="225"/>
      <c r="CRP120" s="225"/>
      <c r="CRQ120" s="225"/>
      <c r="CRR120" s="225"/>
      <c r="CRS120" s="225"/>
      <c r="CRT120" s="225"/>
      <c r="CRU120" s="225"/>
      <c r="CRV120" s="225"/>
      <c r="CRW120" s="225"/>
      <c r="CRX120" s="225"/>
      <c r="CRY120" s="225"/>
      <c r="CRZ120" s="225"/>
      <c r="CSA120" s="225"/>
      <c r="CSB120" s="225"/>
      <c r="CSC120" s="225"/>
      <c r="CSD120" s="225"/>
      <c r="CSE120" s="225"/>
      <c r="CSF120" s="225"/>
      <c r="CSG120" s="225"/>
      <c r="CSH120" s="225"/>
      <c r="CSI120" s="225"/>
      <c r="CSJ120" s="225"/>
      <c r="CSK120" s="225"/>
      <c r="CSL120" s="225"/>
      <c r="CSM120" s="225"/>
      <c r="CSN120" s="225"/>
      <c r="CSO120" s="225"/>
      <c r="CSP120" s="225"/>
      <c r="CSQ120" s="225"/>
      <c r="CSR120" s="225"/>
      <c r="CSS120" s="225"/>
      <c r="CST120" s="225"/>
      <c r="CSU120" s="225"/>
      <c r="CSV120" s="225"/>
      <c r="CSW120" s="225"/>
      <c r="CSX120" s="225"/>
      <c r="CSY120" s="225"/>
      <c r="CSZ120" s="225"/>
      <c r="CTA120" s="225"/>
      <c r="CTB120" s="225"/>
      <c r="CTC120" s="225"/>
      <c r="CTD120" s="225"/>
      <c r="CTE120" s="225"/>
      <c r="CTF120" s="225"/>
      <c r="CTG120" s="225"/>
      <c r="CTH120" s="225"/>
      <c r="CTI120" s="225"/>
      <c r="CTJ120" s="225"/>
      <c r="CTK120" s="225"/>
      <c r="CTL120" s="225"/>
      <c r="CTM120" s="225"/>
      <c r="CTN120" s="225"/>
      <c r="CTO120" s="225"/>
      <c r="CTP120" s="225"/>
      <c r="CTQ120" s="225"/>
      <c r="CTR120" s="225"/>
      <c r="CTS120" s="225"/>
      <c r="CTT120" s="225"/>
      <c r="CTU120" s="225"/>
      <c r="CTV120" s="225"/>
      <c r="CTW120" s="225"/>
      <c r="CTX120" s="225"/>
      <c r="CTY120" s="225"/>
      <c r="CTZ120" s="225"/>
      <c r="CUA120" s="225"/>
      <c r="CUB120" s="225"/>
      <c r="CUC120" s="225"/>
      <c r="CUD120" s="225"/>
      <c r="CUE120" s="225"/>
      <c r="CUF120" s="225"/>
      <c r="CUG120" s="225"/>
      <c r="CUH120" s="225"/>
      <c r="CUI120" s="225"/>
      <c r="CUJ120" s="225"/>
      <c r="CUK120" s="225"/>
      <c r="CUL120" s="225"/>
      <c r="CUM120" s="225"/>
      <c r="CUN120" s="225"/>
      <c r="CUO120" s="225"/>
      <c r="CUP120" s="225"/>
      <c r="CUQ120" s="225"/>
      <c r="CUR120" s="225"/>
      <c r="CUS120" s="225"/>
      <c r="CUT120" s="225"/>
      <c r="CUU120" s="225"/>
      <c r="CUV120" s="225"/>
      <c r="CUW120" s="225"/>
      <c r="CUX120" s="225"/>
      <c r="CUY120" s="225"/>
      <c r="CUZ120" s="225"/>
      <c r="CVA120" s="225"/>
      <c r="CVB120" s="225"/>
      <c r="CVC120" s="225"/>
      <c r="CVD120" s="225"/>
      <c r="CVE120" s="225"/>
      <c r="CVF120" s="225"/>
      <c r="CVG120" s="225"/>
      <c r="CVH120" s="225"/>
      <c r="CVI120" s="225"/>
      <c r="CVJ120" s="225"/>
      <c r="CVK120" s="225"/>
      <c r="CVL120" s="225"/>
      <c r="CVM120" s="225"/>
      <c r="CVN120" s="225"/>
      <c r="CVO120" s="225"/>
      <c r="CVP120" s="225"/>
      <c r="CVQ120" s="225"/>
      <c r="CVR120" s="225"/>
      <c r="CVS120" s="225"/>
      <c r="CVT120" s="225"/>
      <c r="CVU120" s="225"/>
      <c r="CVV120" s="225"/>
      <c r="CVW120" s="225"/>
      <c r="CVX120" s="225"/>
      <c r="CVY120" s="225"/>
      <c r="CVZ120" s="225"/>
      <c r="CWA120" s="225"/>
      <c r="CWB120" s="225"/>
      <c r="CWC120" s="225"/>
      <c r="CWD120" s="225"/>
      <c r="CWE120" s="225"/>
      <c r="CWF120" s="225"/>
      <c r="CWG120" s="225"/>
      <c r="CWH120" s="225"/>
      <c r="CWI120" s="225"/>
      <c r="CWJ120" s="225"/>
      <c r="CWK120" s="225"/>
      <c r="CWL120" s="225"/>
      <c r="CWM120" s="225"/>
      <c r="CWN120" s="225"/>
      <c r="CWO120" s="225"/>
      <c r="CWP120" s="225"/>
      <c r="CWQ120" s="225"/>
      <c r="CWR120" s="225"/>
      <c r="CWS120" s="225"/>
      <c r="CWT120" s="225"/>
      <c r="CWU120" s="225"/>
      <c r="CWV120" s="225"/>
      <c r="CWW120" s="225"/>
      <c r="CWX120" s="225"/>
      <c r="CWY120" s="225"/>
      <c r="CWZ120" s="225"/>
      <c r="CXA120" s="225"/>
      <c r="CXB120" s="225"/>
      <c r="CXC120" s="225"/>
      <c r="CXD120" s="225"/>
      <c r="CXE120" s="225"/>
      <c r="CXF120" s="225"/>
      <c r="CXG120" s="225"/>
      <c r="CXH120" s="225"/>
      <c r="CXI120" s="225"/>
      <c r="CXJ120" s="225"/>
      <c r="CXK120" s="225"/>
      <c r="CXL120" s="225"/>
      <c r="CXM120" s="225"/>
      <c r="CXN120" s="225"/>
      <c r="CXO120" s="225"/>
      <c r="CXP120" s="225"/>
      <c r="CXQ120" s="225"/>
      <c r="CXR120" s="225"/>
      <c r="CXS120" s="225"/>
      <c r="CXT120" s="225"/>
      <c r="CXU120" s="225"/>
      <c r="CXV120" s="225"/>
      <c r="CXW120" s="225"/>
      <c r="CXX120" s="225"/>
      <c r="CXY120" s="225"/>
      <c r="CXZ120" s="225"/>
      <c r="CYA120" s="225"/>
      <c r="CYB120" s="225"/>
      <c r="CYC120" s="225"/>
      <c r="CYD120" s="225"/>
      <c r="CYE120" s="225"/>
      <c r="CYF120" s="225"/>
      <c r="CYG120" s="225"/>
      <c r="CYH120" s="225"/>
      <c r="CYI120" s="225"/>
      <c r="CYJ120" s="225"/>
      <c r="CYK120" s="225"/>
      <c r="CYL120" s="225"/>
      <c r="CYM120" s="225"/>
      <c r="CYN120" s="225"/>
      <c r="CYO120" s="225"/>
      <c r="CYP120" s="225"/>
      <c r="CYQ120" s="225"/>
      <c r="CYR120" s="225"/>
      <c r="CYS120" s="225"/>
      <c r="CYT120" s="225"/>
      <c r="CYU120" s="225"/>
      <c r="CYV120" s="225"/>
      <c r="CYW120" s="225"/>
      <c r="CYX120" s="225"/>
      <c r="CYY120" s="225"/>
      <c r="CYZ120" s="225"/>
      <c r="CZA120" s="225"/>
      <c r="CZB120" s="225"/>
      <c r="CZC120" s="225"/>
      <c r="CZD120" s="225"/>
      <c r="CZE120" s="225"/>
      <c r="CZF120" s="225"/>
      <c r="CZG120" s="225"/>
      <c r="CZH120" s="225"/>
      <c r="CZI120" s="225"/>
      <c r="CZJ120" s="225"/>
      <c r="CZK120" s="225"/>
      <c r="CZL120" s="225"/>
      <c r="CZM120" s="225"/>
      <c r="CZN120" s="225"/>
      <c r="CZO120" s="225"/>
      <c r="CZP120" s="225"/>
      <c r="CZQ120" s="225"/>
      <c r="CZR120" s="225"/>
      <c r="CZS120" s="225"/>
      <c r="CZT120" s="225"/>
      <c r="CZU120" s="225"/>
      <c r="CZV120" s="225"/>
      <c r="CZW120" s="225"/>
      <c r="CZX120" s="225"/>
      <c r="CZY120" s="225"/>
      <c r="CZZ120" s="225"/>
      <c r="DAA120" s="225"/>
      <c r="DAB120" s="225"/>
      <c r="DAC120" s="225"/>
      <c r="DAD120" s="225"/>
      <c r="DAE120" s="225"/>
      <c r="DAF120" s="225"/>
      <c r="DAG120" s="225"/>
      <c r="DAH120" s="225"/>
      <c r="DAI120" s="225"/>
      <c r="DAJ120" s="225"/>
      <c r="DAK120" s="225"/>
      <c r="DAL120" s="225"/>
      <c r="DAM120" s="225"/>
      <c r="DAN120" s="225"/>
      <c r="DAO120" s="225"/>
      <c r="DAP120" s="225"/>
      <c r="DAQ120" s="225"/>
      <c r="DAR120" s="225"/>
      <c r="DAS120" s="225"/>
      <c r="DAT120" s="225"/>
      <c r="DAU120" s="225"/>
      <c r="DAV120" s="225"/>
      <c r="DAW120" s="225"/>
      <c r="DAX120" s="225"/>
      <c r="DAY120" s="225"/>
      <c r="DAZ120" s="225"/>
      <c r="DBA120" s="225"/>
      <c r="DBB120" s="225"/>
      <c r="DBC120" s="225"/>
      <c r="DBD120" s="225"/>
      <c r="DBE120" s="225"/>
      <c r="DBF120" s="225"/>
      <c r="DBG120" s="225"/>
      <c r="DBH120" s="225"/>
      <c r="DBI120" s="225"/>
      <c r="DBJ120" s="225"/>
      <c r="DBK120" s="225"/>
      <c r="DBL120" s="225"/>
      <c r="DBM120" s="225"/>
      <c r="DBN120" s="225"/>
      <c r="DBO120" s="225"/>
      <c r="DBP120" s="225"/>
      <c r="DBQ120" s="225"/>
      <c r="DBR120" s="225"/>
      <c r="DBS120" s="225"/>
      <c r="DBT120" s="225"/>
      <c r="DBU120" s="225"/>
      <c r="DBV120" s="225"/>
      <c r="DBW120" s="225"/>
      <c r="DBX120" s="225"/>
      <c r="DBY120" s="225"/>
      <c r="DBZ120" s="225"/>
      <c r="DCA120" s="225"/>
      <c r="DCB120" s="225"/>
      <c r="DCC120" s="225"/>
      <c r="DCD120" s="225"/>
      <c r="DCE120" s="225"/>
      <c r="DCF120" s="225"/>
      <c r="DCG120" s="225"/>
      <c r="DCH120" s="225"/>
      <c r="DCI120" s="225"/>
      <c r="DCJ120" s="225"/>
      <c r="DCK120" s="225"/>
      <c r="DCL120" s="225"/>
      <c r="DCM120" s="225"/>
      <c r="DCN120" s="225"/>
      <c r="DCO120" s="225"/>
      <c r="DCP120" s="225"/>
      <c r="DCQ120" s="225"/>
      <c r="DCR120" s="225"/>
      <c r="DCS120" s="225"/>
      <c r="DCT120" s="225"/>
      <c r="DCU120" s="225"/>
      <c r="DCV120" s="225"/>
      <c r="DCW120" s="225"/>
      <c r="DCX120" s="225"/>
      <c r="DCY120" s="225"/>
      <c r="DCZ120" s="225"/>
      <c r="DDA120" s="225"/>
      <c r="DDB120" s="225"/>
      <c r="DDC120" s="225"/>
      <c r="DDD120" s="225"/>
      <c r="DDE120" s="225"/>
      <c r="DDF120" s="225"/>
      <c r="DDG120" s="225"/>
      <c r="DDH120" s="225"/>
      <c r="DDI120" s="225"/>
      <c r="DDJ120" s="225"/>
      <c r="DDK120" s="225"/>
      <c r="DDL120" s="225"/>
      <c r="DDM120" s="225"/>
      <c r="DDN120" s="225"/>
      <c r="DDO120" s="225"/>
      <c r="DDP120" s="225"/>
      <c r="DDQ120" s="225"/>
      <c r="DDR120" s="225"/>
      <c r="DDS120" s="225"/>
      <c r="DDT120" s="225"/>
      <c r="DDU120" s="225"/>
      <c r="DDV120" s="225"/>
      <c r="DDW120" s="225"/>
      <c r="DDX120" s="225"/>
      <c r="DDY120" s="225"/>
      <c r="DDZ120" s="225"/>
      <c r="DEA120" s="225"/>
      <c r="DEB120" s="225"/>
      <c r="DEC120" s="225"/>
      <c r="DED120" s="225"/>
      <c r="DEE120" s="225"/>
      <c r="DEF120" s="225"/>
      <c r="DEG120" s="225"/>
      <c r="DEH120" s="225"/>
      <c r="DEI120" s="225"/>
      <c r="DEJ120" s="225"/>
      <c r="DEK120" s="225"/>
      <c r="DEL120" s="225"/>
      <c r="DEM120" s="225"/>
      <c r="DEN120" s="225"/>
      <c r="DEO120" s="225"/>
      <c r="DEP120" s="225"/>
      <c r="DEQ120" s="225"/>
      <c r="DER120" s="225"/>
      <c r="DES120" s="225"/>
      <c r="DET120" s="225"/>
      <c r="DEU120" s="225"/>
      <c r="DEV120" s="225"/>
      <c r="DEW120" s="225"/>
      <c r="DEX120" s="225"/>
      <c r="DEY120" s="225"/>
      <c r="DEZ120" s="225"/>
      <c r="DFA120" s="225"/>
      <c r="DFB120" s="225"/>
      <c r="DFC120" s="225"/>
      <c r="DFD120" s="225"/>
      <c r="DFE120" s="225"/>
      <c r="DFF120" s="225"/>
      <c r="DFG120" s="225"/>
      <c r="DFH120" s="225"/>
      <c r="DFI120" s="225"/>
      <c r="DFJ120" s="225"/>
      <c r="DFK120" s="225"/>
      <c r="DFL120" s="225"/>
      <c r="DFM120" s="225"/>
      <c r="DFN120" s="225"/>
      <c r="DFO120" s="225"/>
      <c r="DFP120" s="225"/>
      <c r="DFQ120" s="225"/>
      <c r="DFR120" s="225"/>
      <c r="DFS120" s="225"/>
      <c r="DFT120" s="225"/>
      <c r="DFU120" s="225"/>
      <c r="DFV120" s="225"/>
      <c r="DFW120" s="225"/>
      <c r="DFX120" s="225"/>
      <c r="DFY120" s="225"/>
      <c r="DFZ120" s="225"/>
      <c r="DGA120" s="225"/>
      <c r="DGB120" s="225"/>
      <c r="DGC120" s="225"/>
      <c r="DGD120" s="225"/>
      <c r="DGE120" s="225"/>
      <c r="DGF120" s="225"/>
      <c r="DGG120" s="225"/>
      <c r="DGH120" s="225"/>
      <c r="DGI120" s="225"/>
      <c r="DGJ120" s="225"/>
      <c r="DGK120" s="225"/>
      <c r="DGL120" s="225"/>
      <c r="DGM120" s="225"/>
      <c r="DGN120" s="225"/>
      <c r="DGO120" s="225"/>
      <c r="DGP120" s="225"/>
      <c r="DGQ120" s="225"/>
      <c r="DGR120" s="225"/>
      <c r="DGS120" s="225"/>
      <c r="DGT120" s="225"/>
      <c r="DGU120" s="225"/>
      <c r="DGV120" s="225"/>
      <c r="DGW120" s="225"/>
      <c r="DGX120" s="225"/>
      <c r="DGY120" s="225"/>
      <c r="DGZ120" s="225"/>
      <c r="DHA120" s="225"/>
      <c r="DHB120" s="225"/>
      <c r="DHC120" s="225"/>
      <c r="DHD120" s="225"/>
      <c r="DHE120" s="225"/>
      <c r="DHF120" s="225"/>
      <c r="DHG120" s="225"/>
      <c r="DHH120" s="225"/>
      <c r="DHI120" s="225"/>
      <c r="DHJ120" s="225"/>
      <c r="DHK120" s="225"/>
      <c r="DHL120" s="225"/>
      <c r="DHM120" s="225"/>
      <c r="DHN120" s="225"/>
      <c r="DHO120" s="225"/>
      <c r="DHP120" s="225"/>
      <c r="DHQ120" s="225"/>
      <c r="DHR120" s="225"/>
      <c r="DHS120" s="225"/>
      <c r="DHT120" s="225"/>
      <c r="DHU120" s="225"/>
      <c r="DHV120" s="225"/>
      <c r="DHW120" s="225"/>
      <c r="DHX120" s="225"/>
      <c r="DHY120" s="225"/>
      <c r="DHZ120" s="225"/>
      <c r="DIA120" s="225"/>
      <c r="DIB120" s="225"/>
      <c r="DIC120" s="225"/>
      <c r="DID120" s="225"/>
      <c r="DIE120" s="225"/>
      <c r="DIF120" s="225"/>
      <c r="DIG120" s="225"/>
      <c r="DIH120" s="225"/>
      <c r="DII120" s="225"/>
      <c r="DIJ120" s="225"/>
      <c r="DIK120" s="225"/>
      <c r="DIL120" s="225"/>
      <c r="DIM120" s="225"/>
      <c r="DIN120" s="225"/>
      <c r="DIO120" s="225"/>
      <c r="DIP120" s="225"/>
      <c r="DIQ120" s="225"/>
      <c r="DIR120" s="225"/>
      <c r="DIS120" s="225"/>
      <c r="DIT120" s="225"/>
      <c r="DIU120" s="225"/>
      <c r="DIV120" s="225"/>
      <c r="DIW120" s="225"/>
      <c r="DIX120" s="225"/>
      <c r="DIY120" s="225"/>
      <c r="DIZ120" s="225"/>
      <c r="DJA120" s="225"/>
      <c r="DJB120" s="225"/>
      <c r="DJC120" s="225"/>
      <c r="DJD120" s="225"/>
      <c r="DJE120" s="225"/>
      <c r="DJF120" s="225"/>
      <c r="DJG120" s="225"/>
      <c r="DJH120" s="225"/>
      <c r="DJI120" s="225"/>
      <c r="DJJ120" s="225"/>
      <c r="DJK120" s="225"/>
      <c r="DJL120" s="225"/>
      <c r="DJM120" s="225"/>
      <c r="DJN120" s="225"/>
      <c r="DJO120" s="225"/>
      <c r="DJP120" s="225"/>
      <c r="DJQ120" s="225"/>
      <c r="DJR120" s="225"/>
      <c r="DJS120" s="225"/>
      <c r="DJT120" s="225"/>
      <c r="DJU120" s="225"/>
      <c r="DJV120" s="225"/>
      <c r="DJW120" s="225"/>
      <c r="DJX120" s="225"/>
      <c r="DJY120" s="225"/>
      <c r="DJZ120" s="225"/>
      <c r="DKA120" s="225"/>
      <c r="DKB120" s="225"/>
      <c r="DKC120" s="225"/>
      <c r="DKD120" s="225"/>
      <c r="DKE120" s="225"/>
      <c r="DKF120" s="225"/>
      <c r="DKG120" s="225"/>
      <c r="DKH120" s="225"/>
      <c r="DKI120" s="225"/>
      <c r="DKJ120" s="225"/>
      <c r="DKK120" s="225"/>
      <c r="DKL120" s="225"/>
      <c r="DKM120" s="225"/>
      <c r="DKN120" s="225"/>
      <c r="DKO120" s="225"/>
      <c r="DKP120" s="225"/>
      <c r="DKQ120" s="225"/>
      <c r="DKR120" s="225"/>
      <c r="DKS120" s="225"/>
      <c r="DKT120" s="225"/>
      <c r="DKU120" s="225"/>
      <c r="DKV120" s="225"/>
      <c r="DKW120" s="225"/>
      <c r="DKX120" s="225"/>
      <c r="DKY120" s="225"/>
      <c r="DKZ120" s="225"/>
      <c r="DLA120" s="225"/>
      <c r="DLB120" s="225"/>
      <c r="DLC120" s="225"/>
      <c r="DLD120" s="225"/>
      <c r="DLE120" s="225"/>
      <c r="DLF120" s="225"/>
      <c r="DLG120" s="225"/>
      <c r="DLH120" s="225"/>
      <c r="DLI120" s="225"/>
      <c r="DLJ120" s="225"/>
      <c r="DLK120" s="225"/>
      <c r="DLL120" s="225"/>
      <c r="DLM120" s="225"/>
      <c r="DLN120" s="225"/>
      <c r="DLO120" s="225"/>
      <c r="DLP120" s="225"/>
      <c r="DLQ120" s="225"/>
      <c r="DLR120" s="225"/>
      <c r="DLS120" s="225"/>
      <c r="DLT120" s="225"/>
      <c r="DLU120" s="225"/>
      <c r="DLV120" s="225"/>
      <c r="DLW120" s="225"/>
      <c r="DLX120" s="225"/>
      <c r="DLY120" s="225"/>
      <c r="DLZ120" s="225"/>
      <c r="DMA120" s="225"/>
      <c r="DMB120" s="225"/>
      <c r="DMC120" s="225"/>
      <c r="DMD120" s="225"/>
      <c r="DME120" s="225"/>
      <c r="DMF120" s="225"/>
      <c r="DMG120" s="225"/>
      <c r="DMH120" s="225"/>
      <c r="DMI120" s="225"/>
      <c r="DMJ120" s="225"/>
      <c r="DMK120" s="225"/>
      <c r="DML120" s="225"/>
      <c r="DMM120" s="225"/>
      <c r="DMN120" s="225"/>
      <c r="DMO120" s="225"/>
      <c r="DMP120" s="225"/>
      <c r="DMQ120" s="225"/>
      <c r="DMR120" s="225"/>
      <c r="DMS120" s="225"/>
      <c r="DMT120" s="225"/>
      <c r="DMU120" s="225"/>
      <c r="DMV120" s="225"/>
      <c r="DMW120" s="225"/>
      <c r="DMX120" s="225"/>
      <c r="DMY120" s="225"/>
      <c r="DMZ120" s="225"/>
      <c r="DNA120" s="225"/>
      <c r="DNB120" s="225"/>
      <c r="DNC120" s="225"/>
      <c r="DND120" s="225"/>
      <c r="DNE120" s="225"/>
      <c r="DNF120" s="225"/>
      <c r="DNG120" s="225"/>
      <c r="DNH120" s="225"/>
      <c r="DNI120" s="225"/>
      <c r="DNJ120" s="225"/>
      <c r="DNK120" s="225"/>
      <c r="DNL120" s="225"/>
      <c r="DNM120" s="225"/>
      <c r="DNN120" s="225"/>
      <c r="DNO120" s="225"/>
      <c r="DNP120" s="225"/>
      <c r="DNQ120" s="225"/>
      <c r="DNR120" s="225"/>
      <c r="DNS120" s="225"/>
      <c r="DNT120" s="225"/>
      <c r="DNU120" s="225"/>
      <c r="DNV120" s="225"/>
      <c r="DNW120" s="225"/>
      <c r="DNX120" s="225"/>
      <c r="DNY120" s="225"/>
      <c r="DNZ120" s="225"/>
      <c r="DOA120" s="225"/>
      <c r="DOB120" s="225"/>
      <c r="DOC120" s="225"/>
      <c r="DOD120" s="225"/>
      <c r="DOE120" s="225"/>
      <c r="DOF120" s="225"/>
      <c r="DOG120" s="225"/>
      <c r="DOH120" s="225"/>
      <c r="DOI120" s="225"/>
      <c r="DOJ120" s="225"/>
      <c r="DOK120" s="225"/>
      <c r="DOL120" s="225"/>
      <c r="DOM120" s="225"/>
      <c r="DON120" s="225"/>
      <c r="DOO120" s="225"/>
      <c r="DOP120" s="225"/>
      <c r="DOQ120" s="225"/>
      <c r="DOR120" s="225"/>
      <c r="DOS120" s="225"/>
      <c r="DOT120" s="225"/>
      <c r="DOU120" s="225"/>
      <c r="DOV120" s="225"/>
      <c r="DOW120" s="225"/>
      <c r="DOX120" s="225"/>
      <c r="DOY120" s="225"/>
      <c r="DOZ120" s="225"/>
      <c r="DPA120" s="225"/>
      <c r="DPB120" s="225"/>
      <c r="DPC120" s="225"/>
      <c r="DPD120" s="225"/>
      <c r="DPE120" s="225"/>
      <c r="DPF120" s="225"/>
      <c r="DPG120" s="225"/>
      <c r="DPH120" s="225"/>
      <c r="DPI120" s="225"/>
      <c r="DPJ120" s="225"/>
      <c r="DPK120" s="225"/>
      <c r="DPL120" s="225"/>
      <c r="DPM120" s="225"/>
      <c r="DPN120" s="225"/>
      <c r="DPO120" s="225"/>
      <c r="DPP120" s="225"/>
      <c r="DPQ120" s="225"/>
      <c r="DPR120" s="225"/>
      <c r="DPS120" s="225"/>
      <c r="DPT120" s="225"/>
      <c r="DPU120" s="225"/>
      <c r="DPV120" s="225"/>
      <c r="DPW120" s="225"/>
      <c r="DPX120" s="225"/>
      <c r="DPY120" s="225"/>
      <c r="DPZ120" s="225"/>
      <c r="DQA120" s="225"/>
      <c r="DQB120" s="225"/>
      <c r="DQC120" s="225"/>
      <c r="DQD120" s="225"/>
      <c r="DQE120" s="225"/>
      <c r="DQF120" s="225"/>
      <c r="DQG120" s="225"/>
      <c r="DQH120" s="225"/>
      <c r="DQI120" s="225"/>
      <c r="DQJ120" s="225"/>
      <c r="DQK120" s="225"/>
      <c r="DQL120" s="225"/>
      <c r="DQM120" s="225"/>
      <c r="DQN120" s="225"/>
      <c r="DQO120" s="225"/>
      <c r="DQP120" s="225"/>
      <c r="DQQ120" s="225"/>
      <c r="DQR120" s="225"/>
      <c r="DQS120" s="225"/>
      <c r="DQT120" s="225"/>
      <c r="DQU120" s="225"/>
      <c r="DQV120" s="225"/>
      <c r="DQW120" s="225"/>
      <c r="DQX120" s="225"/>
      <c r="DQY120" s="225"/>
      <c r="DQZ120" s="225"/>
      <c r="DRA120" s="225"/>
      <c r="DRB120" s="225"/>
      <c r="DRC120" s="225"/>
      <c r="DRD120" s="225"/>
      <c r="DRE120" s="225"/>
      <c r="DRF120" s="225"/>
      <c r="DRG120" s="225"/>
      <c r="DRH120" s="225"/>
      <c r="DRI120" s="225"/>
      <c r="DRJ120" s="225"/>
      <c r="DRK120" s="225"/>
      <c r="DRL120" s="225"/>
      <c r="DRM120" s="225"/>
      <c r="DRN120" s="225"/>
      <c r="DRO120" s="225"/>
      <c r="DRP120" s="225"/>
      <c r="DRQ120" s="225"/>
      <c r="DRR120" s="225"/>
      <c r="DRS120" s="225"/>
      <c r="DRT120" s="225"/>
      <c r="DRU120" s="225"/>
      <c r="DRV120" s="225"/>
      <c r="DRW120" s="225"/>
      <c r="DRX120" s="225"/>
      <c r="DRY120" s="225"/>
      <c r="DRZ120" s="225"/>
      <c r="DSA120" s="225"/>
      <c r="DSB120" s="225"/>
      <c r="DSC120" s="225"/>
      <c r="DSD120" s="225"/>
      <c r="DSE120" s="225"/>
      <c r="DSF120" s="225"/>
      <c r="DSG120" s="225"/>
      <c r="DSH120" s="225"/>
      <c r="DSI120" s="225"/>
      <c r="DSJ120" s="225"/>
      <c r="DSK120" s="225"/>
      <c r="DSL120" s="225"/>
      <c r="DSM120" s="225"/>
      <c r="DSN120" s="225"/>
      <c r="DSO120" s="225"/>
      <c r="DSP120" s="225"/>
      <c r="DSQ120" s="225"/>
      <c r="DSR120" s="225"/>
      <c r="DSS120" s="225"/>
      <c r="DST120" s="225"/>
      <c r="DSU120" s="225"/>
      <c r="DSV120" s="225"/>
      <c r="DSW120" s="225"/>
      <c r="DSX120" s="225"/>
      <c r="DSY120" s="225"/>
      <c r="DSZ120" s="225"/>
      <c r="DTA120" s="225"/>
      <c r="DTB120" s="225"/>
      <c r="DTC120" s="225"/>
      <c r="DTD120" s="225"/>
      <c r="DTE120" s="225"/>
      <c r="DTF120" s="225"/>
      <c r="DTG120" s="225"/>
      <c r="DTH120" s="225"/>
      <c r="DTI120" s="225"/>
      <c r="DTJ120" s="225"/>
      <c r="DTK120" s="225"/>
      <c r="DTL120" s="225"/>
      <c r="DTM120" s="225"/>
      <c r="DTN120" s="225"/>
      <c r="DTO120" s="225"/>
      <c r="DTP120" s="225"/>
      <c r="DTQ120" s="225"/>
      <c r="DTR120" s="225"/>
      <c r="DTS120" s="225"/>
      <c r="DTT120" s="225"/>
      <c r="DTU120" s="225"/>
      <c r="DTV120" s="225"/>
      <c r="DTW120" s="225"/>
      <c r="DTX120" s="225"/>
      <c r="DTY120" s="225"/>
      <c r="DTZ120" s="225"/>
      <c r="DUA120" s="225"/>
      <c r="DUB120" s="225"/>
      <c r="DUC120" s="225"/>
      <c r="DUD120" s="225"/>
      <c r="DUE120" s="225"/>
      <c r="DUF120" s="225"/>
      <c r="DUG120" s="225"/>
      <c r="DUH120" s="225"/>
      <c r="DUI120" s="225"/>
      <c r="DUJ120" s="225"/>
      <c r="DUK120" s="225"/>
      <c r="DUL120" s="225"/>
      <c r="DUM120" s="225"/>
      <c r="DUN120" s="225"/>
      <c r="DUO120" s="225"/>
      <c r="DUP120" s="225"/>
      <c r="DUQ120" s="225"/>
      <c r="DUR120" s="225"/>
      <c r="DUS120" s="225"/>
      <c r="DUT120" s="225"/>
      <c r="DUU120" s="225"/>
      <c r="DUV120" s="225"/>
      <c r="DUW120" s="225"/>
      <c r="DUX120" s="225"/>
      <c r="DUY120" s="225"/>
      <c r="DUZ120" s="225"/>
      <c r="DVA120" s="225"/>
      <c r="DVB120" s="225"/>
      <c r="DVC120" s="225"/>
      <c r="DVD120" s="225"/>
      <c r="DVE120" s="225"/>
      <c r="DVF120" s="225"/>
      <c r="DVG120" s="225"/>
      <c r="DVH120" s="225"/>
      <c r="DVI120" s="225"/>
      <c r="DVJ120" s="225"/>
      <c r="DVK120" s="225"/>
      <c r="DVL120" s="225"/>
      <c r="DVM120" s="225"/>
      <c r="DVN120" s="225"/>
      <c r="DVO120" s="225"/>
      <c r="DVP120" s="225"/>
      <c r="DVQ120" s="225"/>
      <c r="DVR120" s="225"/>
      <c r="DVS120" s="225"/>
      <c r="DVT120" s="225"/>
      <c r="DVU120" s="225"/>
      <c r="DVV120" s="225"/>
      <c r="DVW120" s="225"/>
      <c r="DVX120" s="225"/>
      <c r="DVY120" s="225"/>
      <c r="DVZ120" s="225"/>
      <c r="DWA120" s="225"/>
      <c r="DWB120" s="225"/>
      <c r="DWC120" s="225"/>
      <c r="DWD120" s="225"/>
      <c r="DWE120" s="225"/>
      <c r="DWF120" s="225"/>
      <c r="DWG120" s="225"/>
      <c r="DWH120" s="225"/>
      <c r="DWI120" s="225"/>
      <c r="DWJ120" s="225"/>
      <c r="DWK120" s="225"/>
      <c r="DWL120" s="225"/>
      <c r="DWM120" s="225"/>
      <c r="DWN120" s="225"/>
      <c r="DWO120" s="225"/>
      <c r="DWP120" s="225"/>
      <c r="DWQ120" s="225"/>
      <c r="DWR120" s="225"/>
      <c r="DWS120" s="225"/>
      <c r="DWT120" s="225"/>
      <c r="DWU120" s="225"/>
      <c r="DWV120" s="225"/>
      <c r="DWW120" s="225"/>
      <c r="DWX120" s="225"/>
      <c r="DWY120" s="225"/>
      <c r="DWZ120" s="225"/>
      <c r="DXA120" s="225"/>
      <c r="DXB120" s="225"/>
      <c r="DXC120" s="225"/>
      <c r="DXD120" s="225"/>
      <c r="DXE120" s="225"/>
      <c r="DXF120" s="225"/>
      <c r="DXG120" s="225"/>
      <c r="DXH120" s="225"/>
      <c r="DXI120" s="225"/>
      <c r="DXJ120" s="225"/>
      <c r="DXK120" s="225"/>
      <c r="DXL120" s="225"/>
      <c r="DXM120" s="225"/>
      <c r="DXN120" s="225"/>
      <c r="DXO120" s="225"/>
      <c r="DXP120" s="225"/>
      <c r="DXQ120" s="225"/>
      <c r="DXR120" s="225"/>
      <c r="DXS120" s="225"/>
      <c r="DXT120" s="225"/>
      <c r="DXU120" s="225"/>
      <c r="DXV120" s="225"/>
      <c r="DXW120" s="225"/>
      <c r="DXX120" s="225"/>
      <c r="DXY120" s="225"/>
      <c r="DXZ120" s="225"/>
      <c r="DYA120" s="225"/>
      <c r="DYB120" s="225"/>
      <c r="DYC120" s="225"/>
      <c r="DYD120" s="225"/>
      <c r="DYE120" s="225"/>
      <c r="DYF120" s="225"/>
      <c r="DYG120" s="225"/>
      <c r="DYH120" s="225"/>
      <c r="DYI120" s="225"/>
      <c r="DYJ120" s="225"/>
      <c r="DYK120" s="225"/>
      <c r="DYL120" s="225"/>
      <c r="DYM120" s="225"/>
      <c r="DYN120" s="225"/>
      <c r="DYO120" s="225"/>
      <c r="DYP120" s="225"/>
      <c r="DYQ120" s="225"/>
      <c r="DYR120" s="225"/>
      <c r="DYS120" s="225"/>
      <c r="DYT120" s="225"/>
      <c r="DYU120" s="225"/>
      <c r="DYV120" s="225"/>
      <c r="DYW120" s="225"/>
      <c r="DYX120" s="225"/>
      <c r="DYY120" s="225"/>
      <c r="DYZ120" s="225"/>
      <c r="DZA120" s="225"/>
      <c r="DZB120" s="225"/>
      <c r="DZC120" s="225"/>
      <c r="DZD120" s="225"/>
      <c r="DZE120" s="225"/>
      <c r="DZF120" s="225"/>
      <c r="DZG120" s="225"/>
      <c r="DZH120" s="225"/>
      <c r="DZI120" s="225"/>
      <c r="DZJ120" s="225"/>
      <c r="DZK120" s="225"/>
      <c r="DZL120" s="225"/>
      <c r="DZM120" s="225"/>
      <c r="DZN120" s="225"/>
      <c r="DZO120" s="225"/>
      <c r="DZP120" s="225"/>
      <c r="DZQ120" s="225"/>
      <c r="DZR120" s="225"/>
      <c r="DZS120" s="225"/>
      <c r="DZT120" s="225"/>
      <c r="DZU120" s="225"/>
      <c r="DZV120" s="225"/>
      <c r="DZW120" s="225"/>
      <c r="DZX120" s="225"/>
      <c r="DZY120" s="225"/>
      <c r="DZZ120" s="225"/>
      <c r="EAA120" s="225"/>
      <c r="EAB120" s="225"/>
      <c r="EAC120" s="225"/>
      <c r="EAD120" s="225"/>
      <c r="EAE120" s="225"/>
      <c r="EAF120" s="225"/>
      <c r="EAG120" s="225"/>
      <c r="EAH120" s="225"/>
      <c r="EAI120" s="225"/>
      <c r="EAJ120" s="225"/>
      <c r="EAK120" s="225"/>
      <c r="EAL120" s="225"/>
      <c r="EAM120" s="225"/>
      <c r="EAN120" s="225"/>
      <c r="EAO120" s="225"/>
      <c r="EAP120" s="225"/>
      <c r="EAQ120" s="225"/>
      <c r="EAR120" s="225"/>
      <c r="EAS120" s="225"/>
      <c r="EAT120" s="225"/>
      <c r="EAU120" s="225"/>
      <c r="EAV120" s="225"/>
      <c r="EAW120" s="225"/>
      <c r="EAX120" s="225"/>
      <c r="EAY120" s="225"/>
      <c r="EAZ120" s="225"/>
      <c r="EBA120" s="225"/>
      <c r="EBB120" s="225"/>
      <c r="EBC120" s="225"/>
      <c r="EBD120" s="225"/>
      <c r="EBE120" s="225"/>
      <c r="EBF120" s="225"/>
      <c r="EBG120" s="225"/>
      <c r="EBH120" s="225"/>
      <c r="EBI120" s="225"/>
      <c r="EBJ120" s="225"/>
      <c r="EBK120" s="225"/>
      <c r="EBL120" s="225"/>
      <c r="EBM120" s="225"/>
      <c r="EBN120" s="225"/>
      <c r="EBO120" s="225"/>
      <c r="EBP120" s="225"/>
      <c r="EBQ120" s="225"/>
      <c r="EBR120" s="225"/>
      <c r="EBS120" s="225"/>
      <c r="EBT120" s="225"/>
      <c r="EBU120" s="225"/>
      <c r="EBV120" s="225"/>
      <c r="EBW120" s="225"/>
      <c r="EBX120" s="225"/>
      <c r="EBY120" s="225"/>
      <c r="EBZ120" s="225"/>
      <c r="ECA120" s="225"/>
      <c r="ECB120" s="225"/>
      <c r="ECC120" s="225"/>
      <c r="ECD120" s="225"/>
      <c r="ECE120" s="225"/>
      <c r="ECF120" s="225"/>
      <c r="ECG120" s="225"/>
      <c r="ECH120" s="225"/>
      <c r="ECI120" s="225"/>
      <c r="ECJ120" s="225"/>
      <c r="ECK120" s="225"/>
      <c r="ECL120" s="225"/>
      <c r="ECM120" s="225"/>
      <c r="ECN120" s="225"/>
      <c r="ECO120" s="225"/>
      <c r="ECP120" s="225"/>
      <c r="ECQ120" s="225"/>
      <c r="ECR120" s="225"/>
      <c r="ECS120" s="225"/>
      <c r="ECT120" s="225"/>
      <c r="ECU120" s="225"/>
      <c r="ECV120" s="225"/>
      <c r="ECW120" s="225"/>
      <c r="ECX120" s="225"/>
      <c r="ECY120" s="225"/>
      <c r="ECZ120" s="225"/>
      <c r="EDA120" s="225"/>
      <c r="EDB120" s="225"/>
      <c r="EDC120" s="225"/>
      <c r="EDD120" s="225"/>
      <c r="EDE120" s="225"/>
      <c r="EDF120" s="225"/>
      <c r="EDG120" s="225"/>
      <c r="EDH120" s="225"/>
      <c r="EDI120" s="225"/>
      <c r="EDJ120" s="225"/>
      <c r="EDK120" s="225"/>
      <c r="EDL120" s="225"/>
      <c r="EDM120" s="225"/>
      <c r="EDN120" s="225"/>
      <c r="EDO120" s="225"/>
      <c r="EDP120" s="225"/>
      <c r="EDQ120" s="225"/>
      <c r="EDR120" s="225"/>
      <c r="EDS120" s="225"/>
      <c r="EDT120" s="225"/>
      <c r="EDU120" s="225"/>
      <c r="EDV120" s="225"/>
      <c r="EDW120" s="225"/>
      <c r="EDX120" s="225"/>
      <c r="EDY120" s="225"/>
      <c r="EDZ120" s="225"/>
      <c r="EEA120" s="225"/>
      <c r="EEB120" s="225"/>
      <c r="EEC120" s="225"/>
      <c r="EED120" s="225"/>
      <c r="EEE120" s="225"/>
      <c r="EEF120" s="225"/>
      <c r="EEG120" s="225"/>
      <c r="EEH120" s="225"/>
      <c r="EEI120" s="225"/>
      <c r="EEJ120" s="225"/>
      <c r="EEK120" s="225"/>
      <c r="EEL120" s="225"/>
      <c r="EEM120" s="225"/>
      <c r="EEN120" s="225"/>
      <c r="EEO120" s="225"/>
      <c r="EEP120" s="225"/>
      <c r="EEQ120" s="225"/>
      <c r="EER120" s="225"/>
      <c r="EES120" s="225"/>
      <c r="EET120" s="225"/>
      <c r="EEU120" s="225"/>
      <c r="EEV120" s="225"/>
      <c r="EEW120" s="225"/>
      <c r="EEX120" s="225"/>
      <c r="EEY120" s="225"/>
      <c r="EEZ120" s="225"/>
      <c r="EFA120" s="225"/>
      <c r="EFB120" s="225"/>
      <c r="EFC120" s="225"/>
      <c r="EFD120" s="225"/>
      <c r="EFE120" s="225"/>
      <c r="EFF120" s="225"/>
      <c r="EFG120" s="225"/>
      <c r="EFH120" s="225"/>
      <c r="EFI120" s="225"/>
      <c r="EFJ120" s="225"/>
      <c r="EFK120" s="225"/>
      <c r="EFL120" s="225"/>
      <c r="EFM120" s="225"/>
      <c r="EFN120" s="225"/>
      <c r="EFO120" s="225"/>
      <c r="EFP120" s="225"/>
      <c r="EFQ120" s="225"/>
      <c r="EFR120" s="225"/>
      <c r="EFS120" s="225"/>
      <c r="EFT120" s="225"/>
      <c r="EFU120" s="225"/>
      <c r="EFV120" s="225"/>
      <c r="EFW120" s="225"/>
      <c r="EFX120" s="225"/>
      <c r="EFY120" s="225"/>
      <c r="EFZ120" s="225"/>
      <c r="EGA120" s="225"/>
      <c r="EGB120" s="225"/>
      <c r="EGC120" s="225"/>
      <c r="EGD120" s="225"/>
      <c r="EGE120" s="225"/>
      <c r="EGF120" s="225"/>
      <c r="EGG120" s="225"/>
      <c r="EGH120" s="225"/>
      <c r="EGI120" s="225"/>
      <c r="EGJ120" s="225"/>
      <c r="EGK120" s="225"/>
      <c r="EGL120" s="225"/>
      <c r="EGM120" s="225"/>
      <c r="EGN120" s="225"/>
      <c r="EGO120" s="225"/>
      <c r="EGP120" s="225"/>
      <c r="EGQ120" s="225"/>
      <c r="EGR120" s="225"/>
      <c r="EGS120" s="225"/>
      <c r="EGT120" s="225"/>
      <c r="EGU120" s="225"/>
      <c r="EGV120" s="225"/>
      <c r="EGW120" s="225"/>
      <c r="EGX120" s="225"/>
      <c r="EGY120" s="225"/>
      <c r="EGZ120" s="225"/>
      <c r="EHA120" s="225"/>
      <c r="EHB120" s="225"/>
      <c r="EHC120" s="225"/>
      <c r="EHD120" s="225"/>
      <c r="EHE120" s="225"/>
      <c r="EHF120" s="225"/>
      <c r="EHG120" s="225"/>
      <c r="EHH120" s="225"/>
      <c r="EHI120" s="225"/>
      <c r="EHJ120" s="225"/>
      <c r="EHK120" s="225"/>
      <c r="EHL120" s="225"/>
      <c r="EHM120" s="225"/>
      <c r="EHN120" s="225"/>
      <c r="EHO120" s="225"/>
      <c r="EHP120" s="225"/>
      <c r="EHQ120" s="225"/>
      <c r="EHR120" s="225"/>
      <c r="EHS120" s="225"/>
      <c r="EHT120" s="225"/>
      <c r="EHU120" s="225"/>
      <c r="EHV120" s="225"/>
      <c r="EHW120" s="225"/>
      <c r="EHX120" s="225"/>
      <c r="EHY120" s="225"/>
      <c r="EHZ120" s="225"/>
      <c r="EIA120" s="225"/>
      <c r="EIB120" s="225"/>
      <c r="EIC120" s="225"/>
      <c r="EID120" s="225"/>
      <c r="EIE120" s="225"/>
      <c r="EIF120" s="225"/>
      <c r="EIG120" s="225"/>
      <c r="EIH120" s="225"/>
      <c r="EII120" s="225"/>
      <c r="EIJ120" s="225"/>
      <c r="EIK120" s="225"/>
      <c r="EIL120" s="225"/>
      <c r="EIM120" s="225"/>
      <c r="EIN120" s="225"/>
      <c r="EIO120" s="225"/>
      <c r="EIP120" s="225"/>
      <c r="EIQ120" s="225"/>
      <c r="EIR120" s="225"/>
      <c r="EIS120" s="225"/>
      <c r="EIT120" s="225"/>
      <c r="EIU120" s="225"/>
      <c r="EIV120" s="225"/>
      <c r="EIW120" s="225"/>
      <c r="EIX120" s="225"/>
      <c r="EIY120" s="225"/>
      <c r="EIZ120" s="225"/>
      <c r="EJA120" s="225"/>
      <c r="EJB120" s="225"/>
      <c r="EJC120" s="225"/>
      <c r="EJD120" s="225"/>
      <c r="EJE120" s="225"/>
      <c r="EJF120" s="225"/>
      <c r="EJG120" s="225"/>
      <c r="EJH120" s="225"/>
      <c r="EJI120" s="225"/>
      <c r="EJJ120" s="225"/>
      <c r="EJK120" s="225"/>
      <c r="EJL120" s="225"/>
      <c r="EJM120" s="225"/>
      <c r="EJN120" s="225"/>
      <c r="EJO120" s="225"/>
      <c r="EJP120" s="225"/>
      <c r="EJQ120" s="225"/>
      <c r="EJR120" s="225"/>
      <c r="EJS120" s="225"/>
      <c r="EJT120" s="225"/>
      <c r="EJU120" s="225"/>
      <c r="EJV120" s="225"/>
      <c r="EJW120" s="225"/>
      <c r="EJX120" s="225"/>
      <c r="EJY120" s="225"/>
      <c r="EJZ120" s="225"/>
      <c r="EKA120" s="225"/>
      <c r="EKB120" s="225"/>
      <c r="EKC120" s="225"/>
      <c r="EKD120" s="225"/>
      <c r="EKE120" s="225"/>
      <c r="EKF120" s="225"/>
      <c r="EKG120" s="225"/>
      <c r="EKH120" s="225"/>
      <c r="EKI120" s="225"/>
      <c r="EKJ120" s="225"/>
      <c r="EKK120" s="225"/>
      <c r="EKL120" s="225"/>
      <c r="EKM120" s="225"/>
      <c r="EKN120" s="225"/>
      <c r="EKO120" s="225"/>
      <c r="EKP120" s="225"/>
      <c r="EKQ120" s="225"/>
      <c r="EKR120" s="225"/>
      <c r="EKS120" s="225"/>
      <c r="EKT120" s="225"/>
      <c r="EKU120" s="225"/>
      <c r="EKV120" s="225"/>
      <c r="EKW120" s="225"/>
      <c r="EKX120" s="225"/>
      <c r="EKY120" s="225"/>
      <c r="EKZ120" s="225"/>
      <c r="ELA120" s="225"/>
      <c r="ELB120" s="225"/>
      <c r="ELC120" s="225"/>
      <c r="ELD120" s="225"/>
      <c r="ELE120" s="225"/>
      <c r="ELF120" s="225"/>
      <c r="ELG120" s="225"/>
      <c r="ELH120" s="225"/>
      <c r="ELI120" s="225"/>
      <c r="ELJ120" s="225"/>
      <c r="ELK120" s="225"/>
      <c r="ELL120" s="225"/>
      <c r="ELM120" s="225"/>
      <c r="ELN120" s="225"/>
      <c r="ELO120" s="225"/>
      <c r="ELP120" s="225"/>
      <c r="ELQ120" s="225"/>
      <c r="ELR120" s="225"/>
      <c r="ELS120" s="225"/>
      <c r="ELT120" s="225"/>
      <c r="ELU120" s="225"/>
      <c r="ELV120" s="225"/>
      <c r="ELW120" s="225"/>
      <c r="ELX120" s="225"/>
      <c r="ELY120" s="225"/>
      <c r="ELZ120" s="225"/>
      <c r="EMA120" s="225"/>
      <c r="EMB120" s="225"/>
      <c r="EMC120" s="225"/>
      <c r="EMD120" s="225"/>
      <c r="EME120" s="225"/>
      <c r="EMF120" s="225"/>
      <c r="EMG120" s="225"/>
      <c r="EMH120" s="225"/>
      <c r="EMI120" s="225"/>
      <c r="EMJ120" s="225"/>
      <c r="EMK120" s="225"/>
      <c r="EML120" s="225"/>
      <c r="EMM120" s="225"/>
      <c r="EMN120" s="225"/>
      <c r="EMO120" s="225"/>
      <c r="EMP120" s="225"/>
      <c r="EMQ120" s="225"/>
      <c r="EMR120" s="225"/>
      <c r="EMS120" s="225"/>
      <c r="EMT120" s="225"/>
      <c r="EMU120" s="225"/>
      <c r="EMV120" s="225"/>
      <c r="EMW120" s="225"/>
      <c r="EMX120" s="225"/>
      <c r="EMY120" s="225"/>
      <c r="EMZ120" s="225"/>
      <c r="ENA120" s="225"/>
      <c r="ENB120" s="225"/>
      <c r="ENC120" s="225"/>
      <c r="END120" s="225"/>
      <c r="ENE120" s="225"/>
      <c r="ENF120" s="225"/>
      <c r="ENG120" s="225"/>
      <c r="ENH120" s="225"/>
      <c r="ENI120" s="225"/>
      <c r="ENJ120" s="225"/>
      <c r="ENK120" s="225"/>
      <c r="ENL120" s="225"/>
      <c r="ENM120" s="225"/>
      <c r="ENN120" s="225"/>
      <c r="ENO120" s="225"/>
      <c r="ENP120" s="225"/>
      <c r="ENQ120" s="225"/>
      <c r="ENR120" s="225"/>
      <c r="ENS120" s="225"/>
      <c r="ENT120" s="225"/>
      <c r="ENU120" s="225"/>
      <c r="ENV120" s="225"/>
      <c r="ENW120" s="225"/>
      <c r="ENX120" s="225"/>
      <c r="ENY120" s="225"/>
      <c r="ENZ120" s="225"/>
      <c r="EOA120" s="225"/>
      <c r="EOB120" s="225"/>
      <c r="EOC120" s="225"/>
      <c r="EOD120" s="225"/>
      <c r="EOE120" s="225"/>
      <c r="EOF120" s="225"/>
      <c r="EOG120" s="225"/>
      <c r="EOH120" s="225"/>
      <c r="EOI120" s="225"/>
      <c r="EOJ120" s="225"/>
      <c r="EOK120" s="225"/>
      <c r="EOL120" s="225"/>
      <c r="EOM120" s="225"/>
      <c r="EON120" s="225"/>
      <c r="EOO120" s="225"/>
      <c r="EOP120" s="225"/>
      <c r="EOQ120" s="225"/>
      <c r="EOR120" s="225"/>
      <c r="EOS120" s="225"/>
      <c r="EOT120" s="225"/>
      <c r="EOU120" s="225"/>
      <c r="EOV120" s="225"/>
      <c r="EOW120" s="225"/>
      <c r="EOX120" s="225"/>
      <c r="EOY120" s="225"/>
      <c r="EOZ120" s="225"/>
      <c r="EPA120" s="225"/>
      <c r="EPB120" s="225"/>
      <c r="EPC120" s="225"/>
      <c r="EPD120" s="225"/>
      <c r="EPE120" s="225"/>
      <c r="EPF120" s="225"/>
      <c r="EPG120" s="225"/>
      <c r="EPH120" s="225"/>
      <c r="EPI120" s="225"/>
      <c r="EPJ120" s="225"/>
      <c r="EPK120" s="225"/>
      <c r="EPL120" s="225"/>
      <c r="EPM120" s="225"/>
      <c r="EPN120" s="225"/>
      <c r="EPO120" s="225"/>
      <c r="EPP120" s="225"/>
      <c r="EPQ120" s="225"/>
      <c r="EPR120" s="225"/>
      <c r="EPS120" s="225"/>
      <c r="EPT120" s="225"/>
      <c r="EPU120" s="225"/>
      <c r="EPV120" s="225"/>
      <c r="EPW120" s="225"/>
      <c r="EPX120" s="225"/>
      <c r="EPY120" s="225"/>
      <c r="EPZ120" s="225"/>
      <c r="EQA120" s="225"/>
      <c r="EQB120" s="225"/>
      <c r="EQC120" s="225"/>
      <c r="EQD120" s="225"/>
      <c r="EQE120" s="225"/>
      <c r="EQF120" s="225"/>
      <c r="EQG120" s="225"/>
      <c r="EQH120" s="225"/>
      <c r="EQI120" s="225"/>
      <c r="EQJ120" s="225"/>
      <c r="EQK120" s="225"/>
      <c r="EQL120" s="225"/>
      <c r="EQM120" s="225"/>
      <c r="EQN120" s="225"/>
      <c r="EQO120" s="225"/>
      <c r="EQP120" s="225"/>
      <c r="EQQ120" s="225"/>
      <c r="EQR120" s="225"/>
      <c r="EQS120" s="225"/>
      <c r="EQT120" s="225"/>
      <c r="EQU120" s="225"/>
      <c r="EQV120" s="225"/>
      <c r="EQW120" s="225"/>
      <c r="EQX120" s="225"/>
      <c r="EQY120" s="225"/>
      <c r="EQZ120" s="225"/>
      <c r="ERA120" s="225"/>
      <c r="ERB120" s="225"/>
      <c r="ERC120" s="225"/>
      <c r="ERD120" s="225"/>
      <c r="ERE120" s="225"/>
      <c r="ERF120" s="225"/>
      <c r="ERG120" s="225"/>
      <c r="ERH120" s="225"/>
      <c r="ERI120" s="225"/>
      <c r="ERJ120" s="225"/>
      <c r="ERK120" s="225"/>
      <c r="ERL120" s="225"/>
      <c r="ERM120" s="225"/>
      <c r="ERN120" s="225"/>
      <c r="ERO120" s="225"/>
      <c r="ERP120" s="225"/>
      <c r="ERQ120" s="225"/>
      <c r="ERR120" s="225"/>
      <c r="ERS120" s="225"/>
      <c r="ERT120" s="225"/>
      <c r="ERU120" s="225"/>
      <c r="ERV120" s="225"/>
      <c r="ERW120" s="225"/>
      <c r="ERX120" s="225"/>
      <c r="ERY120" s="225"/>
      <c r="ERZ120" s="225"/>
      <c r="ESA120" s="225"/>
      <c r="ESB120" s="225"/>
      <c r="ESC120" s="225"/>
      <c r="ESD120" s="225"/>
      <c r="ESE120" s="225"/>
      <c r="ESF120" s="225"/>
      <c r="ESG120" s="225"/>
      <c r="ESH120" s="225"/>
      <c r="ESI120" s="225"/>
      <c r="ESJ120" s="225"/>
      <c r="ESK120" s="225"/>
      <c r="ESL120" s="225"/>
      <c r="ESM120" s="225"/>
      <c r="ESN120" s="225"/>
      <c r="ESO120" s="225"/>
      <c r="ESP120" s="225"/>
      <c r="ESQ120" s="225"/>
      <c r="ESR120" s="225"/>
      <c r="ESS120" s="225"/>
      <c r="EST120" s="225"/>
      <c r="ESU120" s="225"/>
      <c r="ESV120" s="225"/>
      <c r="ESW120" s="225"/>
      <c r="ESX120" s="225"/>
      <c r="ESY120" s="225"/>
      <c r="ESZ120" s="225"/>
      <c r="ETA120" s="225"/>
      <c r="ETB120" s="225"/>
      <c r="ETC120" s="225"/>
      <c r="ETD120" s="225"/>
      <c r="ETE120" s="225"/>
      <c r="ETF120" s="225"/>
      <c r="ETG120" s="225"/>
      <c r="ETH120" s="225"/>
      <c r="ETI120" s="225"/>
      <c r="ETJ120" s="225"/>
      <c r="ETK120" s="225"/>
      <c r="ETL120" s="225"/>
      <c r="ETM120" s="225"/>
      <c r="ETN120" s="225"/>
      <c r="ETO120" s="225"/>
      <c r="ETP120" s="225"/>
      <c r="ETQ120" s="225"/>
      <c r="ETR120" s="225"/>
      <c r="ETS120" s="225"/>
      <c r="ETT120" s="225"/>
      <c r="ETU120" s="225"/>
      <c r="ETV120" s="225"/>
      <c r="ETW120" s="225"/>
      <c r="ETX120" s="225"/>
      <c r="ETY120" s="225"/>
      <c r="ETZ120" s="225"/>
      <c r="EUA120" s="225"/>
      <c r="EUB120" s="225"/>
      <c r="EUC120" s="225"/>
      <c r="EUD120" s="225"/>
      <c r="EUE120" s="225"/>
      <c r="EUF120" s="225"/>
      <c r="EUG120" s="225"/>
      <c r="EUH120" s="225"/>
      <c r="EUI120" s="225"/>
      <c r="EUJ120" s="225"/>
      <c r="EUK120" s="225"/>
      <c r="EUL120" s="225"/>
      <c r="EUM120" s="225"/>
      <c r="EUN120" s="225"/>
      <c r="EUO120" s="225"/>
      <c r="EUP120" s="225"/>
      <c r="EUQ120" s="225"/>
      <c r="EUR120" s="225"/>
      <c r="EUS120" s="225"/>
      <c r="EUT120" s="225"/>
      <c r="EUU120" s="225"/>
      <c r="EUV120" s="225"/>
      <c r="EUW120" s="225"/>
      <c r="EUX120" s="225"/>
      <c r="EUY120" s="225"/>
      <c r="EUZ120" s="225"/>
      <c r="EVA120" s="225"/>
      <c r="EVB120" s="225"/>
      <c r="EVC120" s="225"/>
      <c r="EVD120" s="225"/>
      <c r="EVE120" s="225"/>
      <c r="EVF120" s="225"/>
      <c r="EVG120" s="225"/>
      <c r="EVH120" s="225"/>
      <c r="EVI120" s="225"/>
      <c r="EVJ120" s="225"/>
      <c r="EVK120" s="225"/>
      <c r="EVL120" s="225"/>
      <c r="EVM120" s="225"/>
      <c r="EVN120" s="225"/>
      <c r="EVO120" s="225"/>
      <c r="EVP120" s="225"/>
      <c r="EVQ120" s="225"/>
      <c r="EVR120" s="225"/>
      <c r="EVS120" s="225"/>
      <c r="EVT120" s="225"/>
      <c r="EVU120" s="225"/>
      <c r="EVV120" s="225"/>
      <c r="EVW120" s="225"/>
      <c r="EVX120" s="225"/>
      <c r="EVY120" s="225"/>
      <c r="EVZ120" s="225"/>
      <c r="EWA120" s="225"/>
      <c r="EWB120" s="225"/>
      <c r="EWC120" s="225"/>
      <c r="EWD120" s="225"/>
      <c r="EWE120" s="225"/>
      <c r="EWF120" s="225"/>
      <c r="EWG120" s="225"/>
      <c r="EWH120" s="225"/>
      <c r="EWI120" s="225"/>
      <c r="EWJ120" s="225"/>
      <c r="EWK120" s="225"/>
      <c r="EWL120" s="225"/>
      <c r="EWM120" s="225"/>
      <c r="EWN120" s="225"/>
      <c r="EWO120" s="225"/>
      <c r="EWP120" s="225"/>
      <c r="EWQ120" s="225"/>
      <c r="EWR120" s="225"/>
      <c r="EWS120" s="225"/>
      <c r="EWT120" s="225"/>
      <c r="EWU120" s="225"/>
      <c r="EWV120" s="225"/>
      <c r="EWW120" s="225"/>
      <c r="EWX120" s="225"/>
      <c r="EWY120" s="225"/>
      <c r="EWZ120" s="225"/>
      <c r="EXA120" s="225"/>
      <c r="EXB120" s="225"/>
      <c r="EXC120" s="225"/>
      <c r="EXD120" s="225"/>
      <c r="EXE120" s="225"/>
      <c r="EXF120" s="225"/>
      <c r="EXG120" s="225"/>
      <c r="EXH120" s="225"/>
      <c r="EXI120" s="225"/>
      <c r="EXJ120" s="225"/>
      <c r="EXK120" s="225"/>
      <c r="EXL120" s="225"/>
      <c r="EXM120" s="225"/>
      <c r="EXN120" s="225"/>
      <c r="EXO120" s="225"/>
      <c r="EXP120" s="225"/>
      <c r="EXQ120" s="225"/>
      <c r="EXR120" s="225"/>
      <c r="EXS120" s="225"/>
      <c r="EXT120" s="225"/>
      <c r="EXU120" s="225"/>
      <c r="EXV120" s="225"/>
      <c r="EXW120" s="225"/>
      <c r="EXX120" s="225"/>
      <c r="EXY120" s="225"/>
      <c r="EXZ120" s="225"/>
      <c r="EYA120" s="225"/>
      <c r="EYB120" s="225"/>
      <c r="EYC120" s="225"/>
      <c r="EYD120" s="225"/>
      <c r="EYE120" s="225"/>
      <c r="EYF120" s="225"/>
      <c r="EYG120" s="225"/>
      <c r="EYH120" s="225"/>
      <c r="EYI120" s="225"/>
      <c r="EYJ120" s="225"/>
      <c r="EYK120" s="225"/>
      <c r="EYL120" s="225"/>
      <c r="EYM120" s="225"/>
      <c r="EYN120" s="225"/>
      <c r="EYO120" s="225"/>
      <c r="EYP120" s="225"/>
      <c r="EYQ120" s="225"/>
      <c r="EYR120" s="225"/>
      <c r="EYS120" s="225"/>
      <c r="EYT120" s="225"/>
      <c r="EYU120" s="225"/>
      <c r="EYV120" s="225"/>
      <c r="EYW120" s="225"/>
      <c r="EYX120" s="225"/>
      <c r="EYY120" s="225"/>
      <c r="EYZ120" s="225"/>
      <c r="EZA120" s="225"/>
      <c r="EZB120" s="225"/>
      <c r="EZC120" s="225"/>
      <c r="EZD120" s="225"/>
      <c r="EZE120" s="225"/>
      <c r="EZF120" s="225"/>
      <c r="EZG120" s="225"/>
      <c r="EZH120" s="225"/>
      <c r="EZI120" s="225"/>
      <c r="EZJ120" s="225"/>
      <c r="EZK120" s="225"/>
      <c r="EZL120" s="225"/>
      <c r="EZM120" s="225"/>
      <c r="EZN120" s="225"/>
      <c r="EZO120" s="225"/>
      <c r="EZP120" s="225"/>
      <c r="EZQ120" s="225"/>
      <c r="EZR120" s="225"/>
      <c r="EZS120" s="225"/>
      <c r="EZT120" s="225"/>
      <c r="EZU120" s="225"/>
      <c r="EZV120" s="225"/>
      <c r="EZW120" s="225"/>
      <c r="EZX120" s="225"/>
      <c r="EZY120" s="225"/>
      <c r="EZZ120" s="225"/>
      <c r="FAA120" s="225"/>
      <c r="FAB120" s="225"/>
      <c r="FAC120" s="225"/>
      <c r="FAD120" s="225"/>
      <c r="FAE120" s="225"/>
      <c r="FAF120" s="225"/>
      <c r="FAG120" s="225"/>
      <c r="FAH120" s="225"/>
      <c r="FAI120" s="225"/>
      <c r="FAJ120" s="225"/>
      <c r="FAK120" s="225"/>
      <c r="FAL120" s="225"/>
      <c r="FAM120" s="225"/>
      <c r="FAN120" s="225"/>
      <c r="FAO120" s="225"/>
      <c r="FAP120" s="225"/>
      <c r="FAQ120" s="225"/>
      <c r="FAR120" s="225"/>
      <c r="FAS120" s="225"/>
      <c r="FAT120" s="225"/>
      <c r="FAU120" s="225"/>
      <c r="FAV120" s="225"/>
      <c r="FAW120" s="225"/>
      <c r="FAX120" s="225"/>
      <c r="FAY120" s="225"/>
      <c r="FAZ120" s="225"/>
      <c r="FBA120" s="225"/>
      <c r="FBB120" s="225"/>
      <c r="FBC120" s="225"/>
      <c r="FBD120" s="225"/>
      <c r="FBE120" s="225"/>
      <c r="FBF120" s="225"/>
      <c r="FBG120" s="225"/>
      <c r="FBH120" s="225"/>
      <c r="FBI120" s="225"/>
      <c r="FBJ120" s="225"/>
      <c r="FBK120" s="225"/>
      <c r="FBL120" s="225"/>
      <c r="FBM120" s="225"/>
      <c r="FBN120" s="225"/>
      <c r="FBO120" s="225"/>
      <c r="FBP120" s="225"/>
      <c r="FBQ120" s="225"/>
      <c r="FBR120" s="225"/>
      <c r="FBS120" s="225"/>
      <c r="FBT120" s="225"/>
      <c r="FBU120" s="225"/>
      <c r="FBV120" s="225"/>
      <c r="FBW120" s="225"/>
      <c r="FBX120" s="225"/>
      <c r="FBY120" s="225"/>
      <c r="FBZ120" s="225"/>
      <c r="FCA120" s="225"/>
      <c r="FCB120" s="225"/>
      <c r="FCC120" s="225"/>
      <c r="FCD120" s="225"/>
      <c r="FCE120" s="225"/>
      <c r="FCF120" s="225"/>
      <c r="FCG120" s="225"/>
      <c r="FCH120" s="225"/>
      <c r="FCI120" s="225"/>
      <c r="FCJ120" s="225"/>
      <c r="FCK120" s="225"/>
      <c r="FCL120" s="225"/>
      <c r="FCM120" s="225"/>
      <c r="FCN120" s="225"/>
      <c r="FCO120" s="225"/>
      <c r="FCP120" s="225"/>
      <c r="FCQ120" s="225"/>
      <c r="FCR120" s="225"/>
      <c r="FCS120" s="225"/>
      <c r="FCT120" s="225"/>
      <c r="FCU120" s="225"/>
      <c r="FCV120" s="225"/>
      <c r="FCW120" s="225"/>
      <c r="FCX120" s="225"/>
      <c r="FCY120" s="225"/>
      <c r="FCZ120" s="225"/>
      <c r="FDA120" s="225"/>
      <c r="FDB120" s="225"/>
      <c r="FDC120" s="225"/>
      <c r="FDD120" s="225"/>
      <c r="FDE120" s="225"/>
      <c r="FDF120" s="225"/>
      <c r="FDG120" s="225"/>
      <c r="FDH120" s="225"/>
      <c r="FDI120" s="225"/>
      <c r="FDJ120" s="225"/>
      <c r="FDK120" s="225"/>
      <c r="FDL120" s="225"/>
      <c r="FDM120" s="225"/>
      <c r="FDN120" s="225"/>
      <c r="FDO120" s="225"/>
      <c r="FDP120" s="225"/>
      <c r="FDQ120" s="225"/>
      <c r="FDR120" s="225"/>
      <c r="FDS120" s="225"/>
      <c r="FDT120" s="225"/>
      <c r="FDU120" s="225"/>
      <c r="FDV120" s="225"/>
      <c r="FDW120" s="225"/>
      <c r="FDX120" s="225"/>
      <c r="FDY120" s="225"/>
      <c r="FDZ120" s="225"/>
      <c r="FEA120" s="225"/>
      <c r="FEB120" s="225"/>
      <c r="FEC120" s="225"/>
      <c r="FED120" s="225"/>
      <c r="FEE120" s="225"/>
      <c r="FEF120" s="225"/>
      <c r="FEG120" s="225"/>
      <c r="FEH120" s="225"/>
      <c r="FEI120" s="225"/>
      <c r="FEJ120" s="225"/>
      <c r="FEK120" s="225"/>
      <c r="FEL120" s="225"/>
      <c r="FEM120" s="225"/>
      <c r="FEN120" s="225"/>
      <c r="FEO120" s="225"/>
      <c r="FEP120" s="225"/>
      <c r="FEQ120" s="225"/>
      <c r="FER120" s="225"/>
      <c r="FES120" s="225"/>
      <c r="FET120" s="225"/>
      <c r="FEU120" s="225"/>
      <c r="FEV120" s="225"/>
      <c r="FEW120" s="225"/>
      <c r="FEX120" s="225"/>
      <c r="FEY120" s="225"/>
      <c r="FEZ120" s="225"/>
      <c r="FFA120" s="225"/>
      <c r="FFB120" s="225"/>
      <c r="FFC120" s="225"/>
      <c r="FFD120" s="225"/>
      <c r="FFE120" s="225"/>
      <c r="FFF120" s="225"/>
      <c r="FFG120" s="225"/>
      <c r="FFH120" s="225"/>
      <c r="FFI120" s="225"/>
      <c r="FFJ120" s="225"/>
      <c r="FFK120" s="225"/>
      <c r="FFL120" s="225"/>
      <c r="FFM120" s="225"/>
      <c r="FFN120" s="225"/>
      <c r="FFO120" s="225"/>
      <c r="FFP120" s="225"/>
      <c r="FFQ120" s="225"/>
      <c r="FFR120" s="225"/>
      <c r="FFS120" s="225"/>
      <c r="FFT120" s="225"/>
      <c r="FFU120" s="225"/>
      <c r="FFV120" s="225"/>
      <c r="FFW120" s="225"/>
      <c r="FFX120" s="225"/>
      <c r="FFY120" s="225"/>
      <c r="FFZ120" s="225"/>
      <c r="FGA120" s="225"/>
      <c r="FGB120" s="225"/>
      <c r="FGC120" s="225"/>
      <c r="FGD120" s="225"/>
      <c r="FGE120" s="225"/>
      <c r="FGF120" s="225"/>
      <c r="FGG120" s="225"/>
      <c r="FGH120" s="225"/>
      <c r="FGI120" s="225"/>
      <c r="FGJ120" s="225"/>
      <c r="FGK120" s="225"/>
      <c r="FGL120" s="225"/>
      <c r="FGM120" s="225"/>
      <c r="FGN120" s="225"/>
      <c r="FGO120" s="225"/>
      <c r="FGP120" s="225"/>
      <c r="FGQ120" s="225"/>
      <c r="FGR120" s="225"/>
      <c r="FGS120" s="225"/>
      <c r="FGT120" s="225"/>
      <c r="FGU120" s="225"/>
      <c r="FGV120" s="225"/>
      <c r="FGW120" s="225"/>
      <c r="FGX120" s="225"/>
      <c r="FGY120" s="225"/>
      <c r="FGZ120" s="225"/>
      <c r="FHA120" s="225"/>
      <c r="FHB120" s="225"/>
      <c r="FHC120" s="225"/>
      <c r="FHD120" s="225"/>
      <c r="FHE120" s="225"/>
      <c r="FHF120" s="225"/>
      <c r="FHG120" s="225"/>
      <c r="FHH120" s="225"/>
      <c r="FHI120" s="225"/>
      <c r="FHJ120" s="225"/>
      <c r="FHK120" s="225"/>
      <c r="FHL120" s="225"/>
      <c r="FHM120" s="225"/>
      <c r="FHN120" s="225"/>
      <c r="FHO120" s="225"/>
      <c r="FHP120" s="225"/>
      <c r="FHQ120" s="225"/>
      <c r="FHR120" s="225"/>
      <c r="FHS120" s="225"/>
      <c r="FHT120" s="225"/>
      <c r="FHU120" s="225"/>
      <c r="FHV120" s="225"/>
      <c r="FHW120" s="225"/>
      <c r="FHX120" s="225"/>
      <c r="FHY120" s="225"/>
      <c r="FHZ120" s="225"/>
      <c r="FIA120" s="225"/>
      <c r="FIB120" s="225"/>
      <c r="FIC120" s="225"/>
      <c r="FID120" s="225"/>
      <c r="FIE120" s="225"/>
      <c r="FIF120" s="225"/>
      <c r="FIG120" s="225"/>
      <c r="FIH120" s="225"/>
      <c r="FII120" s="225"/>
      <c r="FIJ120" s="225"/>
      <c r="FIK120" s="225"/>
      <c r="FIL120" s="225"/>
      <c r="FIM120" s="225"/>
      <c r="FIN120" s="225"/>
      <c r="FIO120" s="225"/>
      <c r="FIP120" s="225"/>
      <c r="FIQ120" s="225"/>
      <c r="FIR120" s="225"/>
      <c r="FIS120" s="225"/>
      <c r="FIT120" s="225"/>
      <c r="FIU120" s="225"/>
      <c r="FIV120" s="225"/>
      <c r="FIW120" s="225"/>
      <c r="FIX120" s="225"/>
      <c r="FIY120" s="225"/>
      <c r="FIZ120" s="225"/>
      <c r="FJA120" s="225"/>
      <c r="FJB120" s="225"/>
      <c r="FJC120" s="225"/>
      <c r="FJD120" s="225"/>
      <c r="FJE120" s="225"/>
      <c r="FJF120" s="225"/>
      <c r="FJG120" s="225"/>
      <c r="FJH120" s="225"/>
      <c r="FJI120" s="225"/>
      <c r="FJJ120" s="225"/>
      <c r="FJK120" s="225"/>
      <c r="FJL120" s="225"/>
      <c r="FJM120" s="225"/>
      <c r="FJN120" s="225"/>
      <c r="FJO120" s="225"/>
      <c r="FJP120" s="225"/>
      <c r="FJQ120" s="225"/>
      <c r="FJR120" s="225"/>
      <c r="FJS120" s="225"/>
      <c r="FJT120" s="225"/>
      <c r="FJU120" s="225"/>
      <c r="FJV120" s="225"/>
      <c r="FJW120" s="225"/>
      <c r="FJX120" s="225"/>
      <c r="FJY120" s="225"/>
      <c r="FJZ120" s="225"/>
      <c r="FKA120" s="225"/>
      <c r="FKB120" s="225"/>
      <c r="FKC120" s="225"/>
      <c r="FKD120" s="225"/>
      <c r="FKE120" s="225"/>
      <c r="FKF120" s="225"/>
      <c r="FKG120" s="225"/>
      <c r="FKH120" s="225"/>
      <c r="FKI120" s="225"/>
      <c r="FKJ120" s="225"/>
      <c r="FKK120" s="225"/>
      <c r="FKL120" s="225"/>
      <c r="FKM120" s="225"/>
      <c r="FKN120" s="225"/>
      <c r="FKO120" s="225"/>
      <c r="FKP120" s="225"/>
      <c r="FKQ120" s="225"/>
      <c r="FKR120" s="225"/>
      <c r="FKS120" s="225"/>
      <c r="FKT120" s="225"/>
      <c r="FKU120" s="225"/>
      <c r="FKV120" s="225"/>
      <c r="FKW120" s="225"/>
      <c r="FKX120" s="225"/>
      <c r="FKY120" s="225"/>
      <c r="FKZ120" s="225"/>
      <c r="FLA120" s="225"/>
      <c r="FLB120" s="225"/>
      <c r="FLC120" s="225"/>
      <c r="FLD120" s="225"/>
      <c r="FLE120" s="225"/>
      <c r="FLF120" s="225"/>
      <c r="FLG120" s="225"/>
      <c r="FLH120" s="225"/>
      <c r="FLI120" s="225"/>
      <c r="FLJ120" s="225"/>
      <c r="FLK120" s="225"/>
      <c r="FLL120" s="225"/>
      <c r="FLM120" s="225"/>
      <c r="FLN120" s="225"/>
      <c r="FLO120" s="225"/>
      <c r="FLP120" s="225"/>
      <c r="FLQ120" s="225"/>
      <c r="FLR120" s="225"/>
      <c r="FLS120" s="225"/>
      <c r="FLT120" s="225"/>
      <c r="FLU120" s="225"/>
      <c r="FLV120" s="225"/>
      <c r="FLW120" s="225"/>
      <c r="FLX120" s="225"/>
      <c r="FLY120" s="225"/>
      <c r="FLZ120" s="225"/>
      <c r="FMA120" s="225"/>
      <c r="FMB120" s="225"/>
      <c r="FMC120" s="225"/>
      <c r="FMD120" s="225"/>
      <c r="FME120" s="225"/>
      <c r="FMF120" s="225"/>
      <c r="FMG120" s="225"/>
      <c r="FMH120" s="225"/>
      <c r="FMI120" s="225"/>
      <c r="FMJ120" s="225"/>
      <c r="FMK120" s="225"/>
      <c r="FML120" s="225"/>
      <c r="FMM120" s="225"/>
      <c r="FMN120" s="225"/>
      <c r="FMO120" s="225"/>
      <c r="FMP120" s="225"/>
      <c r="FMQ120" s="225"/>
      <c r="FMR120" s="225"/>
      <c r="FMS120" s="225"/>
      <c r="FMT120" s="225"/>
      <c r="FMU120" s="225"/>
      <c r="FMV120" s="225"/>
      <c r="FMW120" s="225"/>
      <c r="FMX120" s="225"/>
      <c r="FMY120" s="225"/>
      <c r="FMZ120" s="225"/>
      <c r="FNA120" s="225"/>
      <c r="FNB120" s="225"/>
      <c r="FNC120" s="225"/>
      <c r="FND120" s="225"/>
      <c r="FNE120" s="225"/>
      <c r="FNF120" s="225"/>
      <c r="FNG120" s="225"/>
      <c r="FNH120" s="225"/>
      <c r="FNI120" s="225"/>
      <c r="FNJ120" s="225"/>
      <c r="FNK120" s="225"/>
      <c r="FNL120" s="225"/>
      <c r="FNM120" s="225"/>
      <c r="FNN120" s="225"/>
      <c r="FNO120" s="225"/>
      <c r="FNP120" s="225"/>
      <c r="FNQ120" s="225"/>
      <c r="FNR120" s="225"/>
      <c r="FNS120" s="225"/>
      <c r="FNT120" s="225"/>
      <c r="FNU120" s="225"/>
      <c r="FNV120" s="225"/>
      <c r="FNW120" s="225"/>
      <c r="FNX120" s="225"/>
      <c r="FNY120" s="225"/>
      <c r="FNZ120" s="225"/>
      <c r="FOA120" s="225"/>
      <c r="FOB120" s="225"/>
      <c r="FOC120" s="225"/>
      <c r="FOD120" s="225"/>
      <c r="FOE120" s="225"/>
      <c r="FOF120" s="225"/>
      <c r="FOG120" s="225"/>
      <c r="FOH120" s="225"/>
      <c r="FOI120" s="225"/>
      <c r="FOJ120" s="225"/>
      <c r="FOK120" s="225"/>
      <c r="FOL120" s="225"/>
      <c r="FOM120" s="225"/>
      <c r="FON120" s="225"/>
      <c r="FOO120" s="225"/>
      <c r="FOP120" s="225"/>
      <c r="FOQ120" s="225"/>
      <c r="FOR120" s="225"/>
      <c r="FOS120" s="225"/>
      <c r="FOT120" s="225"/>
      <c r="FOU120" s="225"/>
      <c r="FOV120" s="225"/>
      <c r="FOW120" s="225"/>
      <c r="FOX120" s="225"/>
      <c r="FOY120" s="225"/>
      <c r="FOZ120" s="225"/>
      <c r="FPA120" s="225"/>
      <c r="FPB120" s="225"/>
      <c r="FPC120" s="225"/>
      <c r="FPD120" s="225"/>
      <c r="FPE120" s="225"/>
      <c r="FPF120" s="225"/>
      <c r="FPG120" s="225"/>
      <c r="FPH120" s="225"/>
      <c r="FPI120" s="225"/>
      <c r="FPJ120" s="225"/>
      <c r="FPK120" s="225"/>
      <c r="FPL120" s="225"/>
      <c r="FPM120" s="225"/>
      <c r="FPN120" s="225"/>
      <c r="FPO120" s="225"/>
      <c r="FPP120" s="225"/>
      <c r="FPQ120" s="225"/>
      <c r="FPR120" s="225"/>
      <c r="FPS120" s="225"/>
      <c r="FPT120" s="225"/>
      <c r="FPU120" s="225"/>
      <c r="FPV120" s="225"/>
      <c r="FPW120" s="225"/>
      <c r="FPX120" s="225"/>
      <c r="FPY120" s="225"/>
      <c r="FPZ120" s="225"/>
      <c r="FQA120" s="225"/>
      <c r="FQB120" s="225"/>
      <c r="FQC120" s="225"/>
      <c r="FQD120" s="225"/>
      <c r="FQE120" s="225"/>
      <c r="FQF120" s="225"/>
      <c r="FQG120" s="225"/>
      <c r="FQH120" s="225"/>
      <c r="FQI120" s="225"/>
      <c r="FQJ120" s="225"/>
      <c r="FQK120" s="225"/>
      <c r="FQL120" s="225"/>
      <c r="FQM120" s="225"/>
      <c r="FQN120" s="225"/>
      <c r="FQO120" s="225"/>
      <c r="FQP120" s="225"/>
      <c r="FQQ120" s="225"/>
      <c r="FQR120" s="225"/>
      <c r="FQS120" s="225"/>
      <c r="FQT120" s="225"/>
      <c r="FQU120" s="225"/>
      <c r="FQV120" s="225"/>
      <c r="FQW120" s="225"/>
      <c r="FQX120" s="225"/>
      <c r="FQY120" s="225"/>
      <c r="FQZ120" s="225"/>
      <c r="FRA120" s="225"/>
      <c r="FRB120" s="225"/>
      <c r="FRC120" s="225"/>
      <c r="FRD120" s="225"/>
      <c r="FRE120" s="225"/>
      <c r="FRF120" s="225"/>
      <c r="FRG120" s="225"/>
      <c r="FRH120" s="225"/>
      <c r="FRI120" s="225"/>
      <c r="FRJ120" s="225"/>
      <c r="FRK120" s="225"/>
      <c r="FRL120" s="225"/>
      <c r="FRM120" s="225"/>
      <c r="FRN120" s="225"/>
      <c r="FRO120" s="225"/>
      <c r="FRP120" s="225"/>
      <c r="FRQ120" s="225"/>
      <c r="FRR120" s="225"/>
      <c r="FRS120" s="225"/>
      <c r="FRT120" s="225"/>
      <c r="FRU120" s="225"/>
      <c r="FRV120" s="225"/>
      <c r="FRW120" s="225"/>
      <c r="FRX120" s="225"/>
      <c r="FRY120" s="225"/>
      <c r="FRZ120" s="225"/>
      <c r="FSA120" s="225"/>
      <c r="FSB120" s="225"/>
      <c r="FSC120" s="225"/>
      <c r="FSD120" s="225"/>
      <c r="FSE120" s="225"/>
      <c r="FSF120" s="225"/>
      <c r="FSG120" s="225"/>
      <c r="FSH120" s="225"/>
      <c r="FSI120" s="225"/>
      <c r="FSJ120" s="225"/>
      <c r="FSK120" s="225"/>
      <c r="FSL120" s="225"/>
      <c r="FSM120" s="225"/>
      <c r="FSN120" s="225"/>
      <c r="FSO120" s="225"/>
      <c r="FSP120" s="225"/>
      <c r="FSQ120" s="225"/>
      <c r="FSR120" s="225"/>
      <c r="FSS120" s="225"/>
      <c r="FST120" s="225"/>
      <c r="FSU120" s="225"/>
      <c r="FSV120" s="225"/>
      <c r="FSW120" s="225"/>
      <c r="FSX120" s="225"/>
      <c r="FSY120" s="225"/>
      <c r="FSZ120" s="225"/>
      <c r="FTA120" s="225"/>
      <c r="FTB120" s="225"/>
      <c r="FTC120" s="225"/>
      <c r="FTD120" s="225"/>
      <c r="FTE120" s="225"/>
      <c r="FTF120" s="225"/>
      <c r="FTG120" s="225"/>
      <c r="FTH120" s="225"/>
      <c r="FTI120" s="225"/>
      <c r="FTJ120" s="225"/>
      <c r="FTK120" s="225"/>
      <c r="FTL120" s="225"/>
      <c r="FTM120" s="225"/>
      <c r="FTN120" s="225"/>
      <c r="FTO120" s="225"/>
      <c r="FTP120" s="225"/>
      <c r="FTQ120" s="225"/>
      <c r="FTR120" s="225"/>
      <c r="FTS120" s="225"/>
      <c r="FTT120" s="225"/>
      <c r="FTU120" s="225"/>
      <c r="FTV120" s="225"/>
      <c r="FTW120" s="225"/>
      <c r="FTX120" s="225"/>
      <c r="FTY120" s="225"/>
      <c r="FTZ120" s="225"/>
      <c r="FUA120" s="225"/>
      <c r="FUB120" s="225"/>
      <c r="FUC120" s="225"/>
      <c r="FUD120" s="225"/>
      <c r="FUE120" s="225"/>
      <c r="FUF120" s="225"/>
      <c r="FUG120" s="225"/>
      <c r="FUH120" s="225"/>
      <c r="FUI120" s="225"/>
      <c r="FUJ120" s="225"/>
      <c r="FUK120" s="225"/>
      <c r="FUL120" s="225"/>
      <c r="FUM120" s="225"/>
      <c r="FUN120" s="225"/>
      <c r="FUO120" s="225"/>
      <c r="FUP120" s="225"/>
      <c r="FUQ120" s="225"/>
      <c r="FUR120" s="225"/>
      <c r="FUS120" s="225"/>
      <c r="FUT120" s="225"/>
      <c r="FUU120" s="225"/>
      <c r="FUV120" s="225"/>
      <c r="FUW120" s="225"/>
      <c r="FUX120" s="225"/>
      <c r="FUY120" s="225"/>
      <c r="FUZ120" s="225"/>
      <c r="FVA120" s="225"/>
      <c r="FVB120" s="225"/>
      <c r="FVC120" s="225"/>
      <c r="FVD120" s="225"/>
      <c r="FVE120" s="225"/>
      <c r="FVF120" s="225"/>
      <c r="FVG120" s="225"/>
      <c r="FVH120" s="225"/>
      <c r="FVI120" s="225"/>
      <c r="FVJ120" s="225"/>
      <c r="FVK120" s="225"/>
      <c r="FVL120" s="225"/>
      <c r="FVM120" s="225"/>
      <c r="FVN120" s="225"/>
      <c r="FVO120" s="225"/>
      <c r="FVP120" s="225"/>
      <c r="FVQ120" s="225"/>
      <c r="FVR120" s="225"/>
      <c r="FVS120" s="225"/>
      <c r="FVT120" s="225"/>
      <c r="FVU120" s="225"/>
      <c r="FVV120" s="225"/>
      <c r="FVW120" s="225"/>
      <c r="FVX120" s="225"/>
      <c r="FVY120" s="225"/>
      <c r="FVZ120" s="225"/>
      <c r="FWA120" s="225"/>
      <c r="FWB120" s="225"/>
      <c r="FWC120" s="225"/>
      <c r="FWD120" s="225"/>
      <c r="FWE120" s="225"/>
      <c r="FWF120" s="225"/>
      <c r="FWG120" s="225"/>
      <c r="FWH120" s="225"/>
      <c r="FWI120" s="225"/>
      <c r="FWJ120" s="225"/>
      <c r="FWK120" s="225"/>
      <c r="FWL120" s="225"/>
      <c r="FWM120" s="225"/>
      <c r="FWN120" s="225"/>
      <c r="FWO120" s="225"/>
      <c r="FWP120" s="225"/>
      <c r="FWQ120" s="225"/>
      <c r="FWR120" s="225"/>
      <c r="FWS120" s="225"/>
      <c r="FWT120" s="225"/>
      <c r="FWU120" s="225"/>
      <c r="FWV120" s="225"/>
      <c r="FWW120" s="225"/>
      <c r="FWX120" s="225"/>
      <c r="FWY120" s="225"/>
      <c r="FWZ120" s="225"/>
      <c r="FXA120" s="225"/>
      <c r="FXB120" s="225"/>
      <c r="FXC120" s="225"/>
      <c r="FXD120" s="225"/>
      <c r="FXE120" s="225"/>
      <c r="FXF120" s="225"/>
      <c r="FXG120" s="225"/>
      <c r="FXH120" s="225"/>
      <c r="FXI120" s="225"/>
      <c r="FXJ120" s="225"/>
      <c r="FXK120" s="225"/>
      <c r="FXL120" s="225"/>
      <c r="FXM120" s="225"/>
      <c r="FXN120" s="225"/>
      <c r="FXO120" s="225"/>
      <c r="FXP120" s="225"/>
      <c r="FXQ120" s="225"/>
      <c r="FXR120" s="225"/>
      <c r="FXS120" s="225"/>
      <c r="FXT120" s="225"/>
      <c r="FXU120" s="225"/>
      <c r="FXV120" s="225"/>
      <c r="FXW120" s="225"/>
      <c r="FXX120" s="225"/>
      <c r="FXY120" s="225"/>
      <c r="FXZ120" s="225"/>
      <c r="FYA120" s="225"/>
      <c r="FYB120" s="225"/>
      <c r="FYC120" s="225"/>
      <c r="FYD120" s="225"/>
      <c r="FYE120" s="225"/>
      <c r="FYF120" s="225"/>
      <c r="FYG120" s="225"/>
      <c r="FYH120" s="225"/>
      <c r="FYI120" s="225"/>
      <c r="FYJ120" s="225"/>
      <c r="FYK120" s="225"/>
      <c r="FYL120" s="225"/>
      <c r="FYM120" s="225"/>
      <c r="FYN120" s="225"/>
      <c r="FYO120" s="225"/>
      <c r="FYP120" s="225"/>
      <c r="FYQ120" s="225"/>
      <c r="FYR120" s="225"/>
      <c r="FYS120" s="225"/>
      <c r="FYT120" s="225"/>
      <c r="FYU120" s="225"/>
      <c r="FYV120" s="225"/>
      <c r="FYW120" s="225"/>
      <c r="FYX120" s="225"/>
      <c r="FYY120" s="225"/>
      <c r="FYZ120" s="225"/>
      <c r="FZA120" s="225"/>
      <c r="FZB120" s="225"/>
      <c r="FZC120" s="225"/>
      <c r="FZD120" s="225"/>
      <c r="FZE120" s="225"/>
      <c r="FZF120" s="225"/>
      <c r="FZG120" s="225"/>
      <c r="FZH120" s="225"/>
      <c r="FZI120" s="225"/>
      <c r="FZJ120" s="225"/>
      <c r="FZK120" s="225"/>
      <c r="FZL120" s="225"/>
      <c r="FZM120" s="225"/>
      <c r="FZN120" s="225"/>
      <c r="FZO120" s="225"/>
      <c r="FZP120" s="225"/>
      <c r="FZQ120" s="225"/>
      <c r="FZR120" s="225"/>
      <c r="FZS120" s="225"/>
      <c r="FZT120" s="225"/>
      <c r="FZU120" s="225"/>
      <c r="FZV120" s="225"/>
      <c r="FZW120" s="225"/>
      <c r="FZX120" s="225"/>
      <c r="FZY120" s="225"/>
      <c r="FZZ120" s="225"/>
      <c r="GAA120" s="225"/>
      <c r="GAB120" s="225"/>
      <c r="GAC120" s="225"/>
      <c r="GAD120" s="225"/>
      <c r="GAE120" s="225"/>
      <c r="GAF120" s="225"/>
      <c r="GAG120" s="225"/>
      <c r="GAH120" s="225"/>
      <c r="GAI120" s="225"/>
      <c r="GAJ120" s="225"/>
      <c r="GAK120" s="225"/>
      <c r="GAL120" s="225"/>
      <c r="GAM120" s="225"/>
      <c r="GAN120" s="225"/>
      <c r="GAO120" s="225"/>
      <c r="GAP120" s="225"/>
      <c r="GAQ120" s="225"/>
      <c r="GAR120" s="225"/>
      <c r="GAS120" s="225"/>
      <c r="GAT120" s="225"/>
      <c r="GAU120" s="225"/>
      <c r="GAV120" s="225"/>
      <c r="GAW120" s="225"/>
      <c r="GAX120" s="225"/>
      <c r="GAY120" s="225"/>
      <c r="GAZ120" s="225"/>
      <c r="GBA120" s="225"/>
      <c r="GBB120" s="225"/>
      <c r="GBC120" s="225"/>
      <c r="GBD120" s="225"/>
      <c r="GBE120" s="225"/>
      <c r="GBF120" s="225"/>
      <c r="GBG120" s="225"/>
      <c r="GBH120" s="225"/>
      <c r="GBI120" s="225"/>
      <c r="GBJ120" s="225"/>
      <c r="GBK120" s="225"/>
      <c r="GBL120" s="225"/>
      <c r="GBM120" s="225"/>
      <c r="GBN120" s="225"/>
      <c r="GBO120" s="225"/>
      <c r="GBP120" s="225"/>
      <c r="GBQ120" s="225"/>
      <c r="GBR120" s="225"/>
      <c r="GBS120" s="225"/>
      <c r="GBT120" s="225"/>
      <c r="GBU120" s="225"/>
      <c r="GBV120" s="225"/>
      <c r="GBW120" s="225"/>
      <c r="GBX120" s="225"/>
      <c r="GBY120" s="225"/>
      <c r="GBZ120" s="225"/>
      <c r="GCA120" s="225"/>
      <c r="GCB120" s="225"/>
      <c r="GCC120" s="225"/>
      <c r="GCD120" s="225"/>
      <c r="GCE120" s="225"/>
      <c r="GCF120" s="225"/>
      <c r="GCG120" s="225"/>
      <c r="GCH120" s="225"/>
      <c r="GCI120" s="225"/>
      <c r="GCJ120" s="225"/>
      <c r="GCK120" s="225"/>
      <c r="GCL120" s="225"/>
      <c r="GCM120" s="225"/>
      <c r="GCN120" s="225"/>
      <c r="GCO120" s="225"/>
      <c r="GCP120" s="225"/>
      <c r="GCQ120" s="225"/>
      <c r="GCR120" s="225"/>
      <c r="GCS120" s="225"/>
      <c r="GCT120" s="225"/>
      <c r="GCU120" s="225"/>
      <c r="GCV120" s="225"/>
      <c r="GCW120" s="225"/>
      <c r="GCX120" s="225"/>
      <c r="GCY120" s="225"/>
      <c r="GCZ120" s="225"/>
      <c r="GDA120" s="225"/>
      <c r="GDB120" s="225"/>
      <c r="GDC120" s="225"/>
      <c r="GDD120" s="225"/>
      <c r="GDE120" s="225"/>
      <c r="GDF120" s="225"/>
      <c r="GDG120" s="225"/>
      <c r="GDH120" s="225"/>
      <c r="GDI120" s="225"/>
      <c r="GDJ120" s="225"/>
      <c r="GDK120" s="225"/>
      <c r="GDL120" s="225"/>
      <c r="GDM120" s="225"/>
      <c r="GDN120" s="225"/>
      <c r="GDO120" s="225"/>
      <c r="GDP120" s="225"/>
      <c r="GDQ120" s="225"/>
      <c r="GDR120" s="225"/>
      <c r="GDS120" s="225"/>
      <c r="GDT120" s="225"/>
      <c r="GDU120" s="225"/>
      <c r="GDV120" s="225"/>
      <c r="GDW120" s="225"/>
      <c r="GDX120" s="225"/>
      <c r="GDY120" s="225"/>
      <c r="GDZ120" s="225"/>
      <c r="GEA120" s="225"/>
      <c r="GEB120" s="225"/>
      <c r="GEC120" s="225"/>
      <c r="GED120" s="225"/>
      <c r="GEE120" s="225"/>
      <c r="GEF120" s="225"/>
      <c r="GEG120" s="225"/>
      <c r="GEH120" s="225"/>
      <c r="GEI120" s="225"/>
      <c r="GEJ120" s="225"/>
      <c r="GEK120" s="225"/>
      <c r="GEL120" s="225"/>
      <c r="GEM120" s="225"/>
      <c r="GEN120" s="225"/>
      <c r="GEO120" s="225"/>
      <c r="GEP120" s="225"/>
      <c r="GEQ120" s="225"/>
      <c r="GER120" s="225"/>
      <c r="GES120" s="225"/>
      <c r="GET120" s="225"/>
      <c r="GEU120" s="225"/>
      <c r="GEV120" s="225"/>
      <c r="GEW120" s="225"/>
      <c r="GEX120" s="225"/>
      <c r="GEY120" s="225"/>
      <c r="GEZ120" s="225"/>
      <c r="GFA120" s="225"/>
      <c r="GFB120" s="225"/>
      <c r="GFC120" s="225"/>
      <c r="GFD120" s="225"/>
      <c r="GFE120" s="225"/>
      <c r="GFF120" s="225"/>
      <c r="GFG120" s="225"/>
      <c r="GFH120" s="225"/>
      <c r="GFI120" s="225"/>
      <c r="GFJ120" s="225"/>
      <c r="GFK120" s="225"/>
      <c r="GFL120" s="225"/>
      <c r="GFM120" s="225"/>
      <c r="GFN120" s="225"/>
      <c r="GFO120" s="225"/>
      <c r="GFP120" s="225"/>
      <c r="GFQ120" s="225"/>
      <c r="GFR120" s="225"/>
      <c r="GFS120" s="225"/>
      <c r="GFT120" s="225"/>
      <c r="GFU120" s="225"/>
      <c r="GFV120" s="225"/>
      <c r="GFW120" s="225"/>
      <c r="GFX120" s="225"/>
      <c r="GFY120" s="225"/>
      <c r="GFZ120" s="225"/>
      <c r="GGA120" s="225"/>
      <c r="GGB120" s="225"/>
      <c r="GGC120" s="225"/>
      <c r="GGD120" s="225"/>
      <c r="GGE120" s="225"/>
      <c r="GGF120" s="225"/>
      <c r="GGG120" s="225"/>
      <c r="GGH120" s="225"/>
      <c r="GGI120" s="225"/>
      <c r="GGJ120" s="225"/>
      <c r="GGK120" s="225"/>
      <c r="GGL120" s="225"/>
      <c r="GGM120" s="225"/>
      <c r="GGN120" s="225"/>
      <c r="GGO120" s="225"/>
      <c r="GGP120" s="225"/>
      <c r="GGQ120" s="225"/>
      <c r="GGR120" s="225"/>
      <c r="GGS120" s="225"/>
      <c r="GGT120" s="225"/>
      <c r="GGU120" s="225"/>
      <c r="GGV120" s="225"/>
      <c r="GGW120" s="225"/>
      <c r="GGX120" s="225"/>
      <c r="GGY120" s="225"/>
      <c r="GGZ120" s="225"/>
      <c r="GHA120" s="225"/>
      <c r="GHB120" s="225"/>
      <c r="GHC120" s="225"/>
      <c r="GHD120" s="225"/>
      <c r="GHE120" s="225"/>
      <c r="GHF120" s="225"/>
      <c r="GHG120" s="225"/>
      <c r="GHH120" s="225"/>
      <c r="GHI120" s="225"/>
      <c r="GHJ120" s="225"/>
      <c r="GHK120" s="225"/>
      <c r="GHL120" s="225"/>
      <c r="GHM120" s="225"/>
      <c r="GHN120" s="225"/>
      <c r="GHO120" s="225"/>
      <c r="GHP120" s="225"/>
      <c r="GHQ120" s="225"/>
      <c r="GHR120" s="225"/>
      <c r="GHS120" s="225"/>
      <c r="GHT120" s="225"/>
      <c r="GHU120" s="225"/>
      <c r="GHV120" s="225"/>
      <c r="GHW120" s="225"/>
      <c r="GHX120" s="225"/>
      <c r="GHY120" s="225"/>
      <c r="GHZ120" s="225"/>
      <c r="GIA120" s="225"/>
      <c r="GIB120" s="225"/>
      <c r="GIC120" s="225"/>
      <c r="GID120" s="225"/>
      <c r="GIE120" s="225"/>
      <c r="GIF120" s="225"/>
      <c r="GIG120" s="225"/>
      <c r="GIH120" s="225"/>
      <c r="GII120" s="225"/>
      <c r="GIJ120" s="225"/>
      <c r="GIK120" s="225"/>
      <c r="GIL120" s="225"/>
      <c r="GIM120" s="225"/>
      <c r="GIN120" s="225"/>
      <c r="GIO120" s="225"/>
      <c r="GIP120" s="225"/>
      <c r="GIQ120" s="225"/>
      <c r="GIR120" s="225"/>
      <c r="GIS120" s="225"/>
      <c r="GIT120" s="225"/>
      <c r="GIU120" s="225"/>
      <c r="GIV120" s="225"/>
      <c r="GIW120" s="225"/>
      <c r="GIX120" s="225"/>
      <c r="GIY120" s="225"/>
      <c r="GIZ120" s="225"/>
      <c r="GJA120" s="225"/>
      <c r="GJB120" s="225"/>
      <c r="GJC120" s="225"/>
      <c r="GJD120" s="225"/>
      <c r="GJE120" s="225"/>
      <c r="GJF120" s="225"/>
      <c r="GJG120" s="225"/>
      <c r="GJH120" s="225"/>
      <c r="GJI120" s="225"/>
      <c r="GJJ120" s="225"/>
      <c r="GJK120" s="225"/>
      <c r="GJL120" s="225"/>
      <c r="GJM120" s="225"/>
      <c r="GJN120" s="225"/>
      <c r="GJO120" s="225"/>
      <c r="GJP120" s="225"/>
      <c r="GJQ120" s="225"/>
      <c r="GJR120" s="225"/>
      <c r="GJS120" s="225"/>
      <c r="GJT120" s="225"/>
      <c r="GJU120" s="225"/>
      <c r="GJV120" s="225"/>
      <c r="GJW120" s="225"/>
      <c r="GJX120" s="225"/>
      <c r="GJY120" s="225"/>
      <c r="GJZ120" s="225"/>
      <c r="GKA120" s="225"/>
      <c r="GKB120" s="225"/>
      <c r="GKC120" s="225"/>
      <c r="GKD120" s="225"/>
      <c r="GKE120" s="225"/>
      <c r="GKF120" s="225"/>
      <c r="GKG120" s="225"/>
      <c r="GKH120" s="225"/>
      <c r="GKI120" s="225"/>
      <c r="GKJ120" s="225"/>
      <c r="GKK120" s="225"/>
      <c r="GKL120" s="225"/>
      <c r="GKM120" s="225"/>
      <c r="GKN120" s="225"/>
      <c r="GKO120" s="225"/>
      <c r="GKP120" s="225"/>
      <c r="GKQ120" s="225"/>
      <c r="GKR120" s="225"/>
      <c r="GKS120" s="225"/>
      <c r="GKT120" s="225"/>
      <c r="GKU120" s="225"/>
      <c r="GKV120" s="225"/>
      <c r="GKW120" s="225"/>
      <c r="GKX120" s="225"/>
      <c r="GKY120" s="225"/>
      <c r="GKZ120" s="225"/>
      <c r="GLA120" s="225"/>
      <c r="GLB120" s="225"/>
      <c r="GLC120" s="225"/>
      <c r="GLD120" s="225"/>
      <c r="GLE120" s="225"/>
      <c r="GLF120" s="225"/>
      <c r="GLG120" s="225"/>
      <c r="GLH120" s="225"/>
      <c r="GLI120" s="225"/>
      <c r="GLJ120" s="225"/>
      <c r="GLK120" s="225"/>
      <c r="GLL120" s="225"/>
      <c r="GLM120" s="225"/>
      <c r="GLN120" s="225"/>
      <c r="GLO120" s="225"/>
      <c r="GLP120" s="225"/>
      <c r="GLQ120" s="225"/>
      <c r="GLR120" s="225"/>
      <c r="GLS120" s="225"/>
      <c r="GLT120" s="225"/>
      <c r="GLU120" s="225"/>
      <c r="GLV120" s="225"/>
      <c r="GLW120" s="225"/>
      <c r="GLX120" s="225"/>
      <c r="GLY120" s="225"/>
      <c r="GLZ120" s="225"/>
      <c r="GMA120" s="225"/>
      <c r="GMB120" s="225"/>
      <c r="GMC120" s="225"/>
      <c r="GMD120" s="225"/>
      <c r="GME120" s="225"/>
      <c r="GMF120" s="225"/>
      <c r="GMG120" s="225"/>
      <c r="GMH120" s="225"/>
      <c r="GMI120" s="225"/>
      <c r="GMJ120" s="225"/>
      <c r="GMK120" s="225"/>
      <c r="GML120" s="225"/>
      <c r="GMM120" s="225"/>
      <c r="GMN120" s="225"/>
      <c r="GMO120" s="225"/>
      <c r="GMP120" s="225"/>
      <c r="GMQ120" s="225"/>
      <c r="GMR120" s="225"/>
      <c r="GMS120" s="225"/>
      <c r="GMT120" s="225"/>
      <c r="GMU120" s="225"/>
      <c r="GMV120" s="225"/>
      <c r="GMW120" s="225"/>
      <c r="GMX120" s="225"/>
      <c r="GMY120" s="225"/>
      <c r="GMZ120" s="225"/>
      <c r="GNA120" s="225"/>
      <c r="GNB120" s="225"/>
      <c r="GNC120" s="225"/>
      <c r="GND120" s="225"/>
      <c r="GNE120" s="225"/>
      <c r="GNF120" s="225"/>
      <c r="GNG120" s="225"/>
      <c r="GNH120" s="225"/>
      <c r="GNI120" s="225"/>
      <c r="GNJ120" s="225"/>
      <c r="GNK120" s="225"/>
      <c r="GNL120" s="225"/>
      <c r="GNM120" s="225"/>
      <c r="GNN120" s="225"/>
      <c r="GNO120" s="225"/>
      <c r="GNP120" s="225"/>
      <c r="GNQ120" s="225"/>
      <c r="GNR120" s="225"/>
      <c r="GNS120" s="225"/>
      <c r="GNT120" s="225"/>
      <c r="GNU120" s="225"/>
      <c r="GNV120" s="225"/>
      <c r="GNW120" s="225"/>
      <c r="GNX120" s="225"/>
      <c r="GNY120" s="225"/>
      <c r="GNZ120" s="225"/>
      <c r="GOA120" s="225"/>
      <c r="GOB120" s="225"/>
      <c r="GOC120" s="225"/>
      <c r="GOD120" s="225"/>
      <c r="GOE120" s="225"/>
      <c r="GOF120" s="225"/>
      <c r="GOG120" s="225"/>
      <c r="GOH120" s="225"/>
      <c r="GOI120" s="225"/>
      <c r="GOJ120" s="225"/>
      <c r="GOK120" s="225"/>
      <c r="GOL120" s="225"/>
      <c r="GOM120" s="225"/>
      <c r="GON120" s="225"/>
      <c r="GOO120" s="225"/>
      <c r="GOP120" s="225"/>
      <c r="GOQ120" s="225"/>
      <c r="GOR120" s="225"/>
      <c r="GOS120" s="225"/>
      <c r="GOT120" s="225"/>
      <c r="GOU120" s="225"/>
      <c r="GOV120" s="225"/>
      <c r="GOW120" s="225"/>
      <c r="GOX120" s="225"/>
      <c r="GOY120" s="225"/>
      <c r="GOZ120" s="225"/>
      <c r="GPA120" s="225"/>
      <c r="GPB120" s="225"/>
      <c r="GPC120" s="225"/>
      <c r="GPD120" s="225"/>
      <c r="GPE120" s="225"/>
      <c r="GPF120" s="225"/>
      <c r="GPG120" s="225"/>
      <c r="GPH120" s="225"/>
      <c r="GPI120" s="225"/>
      <c r="GPJ120" s="225"/>
      <c r="GPK120" s="225"/>
      <c r="GPL120" s="225"/>
      <c r="GPM120" s="225"/>
      <c r="GPN120" s="225"/>
      <c r="GPO120" s="225"/>
      <c r="GPP120" s="225"/>
      <c r="GPQ120" s="225"/>
      <c r="GPR120" s="225"/>
      <c r="GPS120" s="225"/>
      <c r="GPT120" s="225"/>
      <c r="GPU120" s="225"/>
      <c r="GPV120" s="225"/>
      <c r="GPW120" s="225"/>
      <c r="GPX120" s="225"/>
      <c r="GPY120" s="225"/>
      <c r="GPZ120" s="225"/>
      <c r="GQA120" s="225"/>
      <c r="GQB120" s="225"/>
      <c r="GQC120" s="225"/>
      <c r="GQD120" s="225"/>
      <c r="GQE120" s="225"/>
      <c r="GQF120" s="225"/>
      <c r="GQG120" s="225"/>
      <c r="GQH120" s="225"/>
      <c r="GQI120" s="225"/>
      <c r="GQJ120" s="225"/>
      <c r="GQK120" s="225"/>
      <c r="GQL120" s="225"/>
      <c r="GQM120" s="225"/>
      <c r="GQN120" s="225"/>
      <c r="GQO120" s="225"/>
      <c r="GQP120" s="225"/>
      <c r="GQQ120" s="225"/>
      <c r="GQR120" s="225"/>
      <c r="GQS120" s="225"/>
      <c r="GQT120" s="225"/>
      <c r="GQU120" s="225"/>
      <c r="GQV120" s="225"/>
      <c r="GQW120" s="225"/>
      <c r="GQX120" s="225"/>
      <c r="GQY120" s="225"/>
      <c r="GQZ120" s="225"/>
      <c r="GRA120" s="225"/>
      <c r="GRB120" s="225"/>
      <c r="GRC120" s="225"/>
      <c r="GRD120" s="225"/>
      <c r="GRE120" s="225"/>
      <c r="GRF120" s="225"/>
      <c r="GRG120" s="225"/>
      <c r="GRH120" s="225"/>
      <c r="GRI120" s="225"/>
      <c r="GRJ120" s="225"/>
      <c r="GRK120" s="225"/>
      <c r="GRL120" s="225"/>
      <c r="GRM120" s="225"/>
      <c r="GRN120" s="225"/>
      <c r="GRO120" s="225"/>
      <c r="GRP120" s="225"/>
      <c r="GRQ120" s="225"/>
      <c r="GRR120" s="225"/>
      <c r="GRS120" s="225"/>
      <c r="GRT120" s="225"/>
      <c r="GRU120" s="225"/>
      <c r="GRV120" s="225"/>
      <c r="GRW120" s="225"/>
      <c r="GRX120" s="225"/>
      <c r="GRY120" s="225"/>
      <c r="GRZ120" s="225"/>
      <c r="GSA120" s="225"/>
      <c r="GSB120" s="225"/>
      <c r="GSC120" s="225"/>
      <c r="GSD120" s="225"/>
      <c r="GSE120" s="225"/>
      <c r="GSF120" s="225"/>
      <c r="GSG120" s="225"/>
      <c r="GSH120" s="225"/>
      <c r="GSI120" s="225"/>
      <c r="GSJ120" s="225"/>
      <c r="GSK120" s="225"/>
      <c r="GSL120" s="225"/>
      <c r="GSM120" s="225"/>
      <c r="GSN120" s="225"/>
      <c r="GSO120" s="225"/>
      <c r="GSP120" s="225"/>
      <c r="GSQ120" s="225"/>
      <c r="GSR120" s="225"/>
      <c r="GSS120" s="225"/>
      <c r="GST120" s="225"/>
      <c r="GSU120" s="225"/>
      <c r="GSV120" s="225"/>
      <c r="GSW120" s="225"/>
      <c r="GSX120" s="225"/>
      <c r="GSY120" s="225"/>
      <c r="GSZ120" s="225"/>
      <c r="GTA120" s="225"/>
      <c r="GTB120" s="225"/>
      <c r="GTC120" s="225"/>
      <c r="GTD120" s="225"/>
      <c r="GTE120" s="225"/>
      <c r="GTF120" s="225"/>
      <c r="GTG120" s="225"/>
      <c r="GTH120" s="225"/>
      <c r="GTI120" s="225"/>
      <c r="GTJ120" s="225"/>
      <c r="GTK120" s="225"/>
      <c r="GTL120" s="225"/>
      <c r="GTM120" s="225"/>
      <c r="GTN120" s="225"/>
      <c r="GTO120" s="225"/>
      <c r="GTP120" s="225"/>
      <c r="GTQ120" s="225"/>
      <c r="GTR120" s="225"/>
      <c r="GTS120" s="225"/>
      <c r="GTT120" s="225"/>
      <c r="GTU120" s="225"/>
      <c r="GTV120" s="225"/>
      <c r="GTW120" s="225"/>
      <c r="GTX120" s="225"/>
      <c r="GTY120" s="225"/>
      <c r="GTZ120" s="225"/>
      <c r="GUA120" s="225"/>
      <c r="GUB120" s="225"/>
      <c r="GUC120" s="225"/>
      <c r="GUD120" s="225"/>
      <c r="GUE120" s="225"/>
      <c r="GUF120" s="225"/>
      <c r="GUG120" s="225"/>
      <c r="GUH120" s="225"/>
      <c r="GUI120" s="225"/>
      <c r="GUJ120" s="225"/>
      <c r="GUK120" s="225"/>
      <c r="GUL120" s="225"/>
      <c r="GUM120" s="225"/>
      <c r="GUN120" s="225"/>
      <c r="GUO120" s="225"/>
      <c r="GUP120" s="225"/>
      <c r="GUQ120" s="225"/>
      <c r="GUR120" s="225"/>
      <c r="GUS120" s="225"/>
      <c r="GUT120" s="225"/>
      <c r="GUU120" s="225"/>
      <c r="GUV120" s="225"/>
      <c r="GUW120" s="225"/>
      <c r="GUX120" s="225"/>
      <c r="GUY120" s="225"/>
      <c r="GUZ120" s="225"/>
      <c r="GVA120" s="225"/>
      <c r="GVB120" s="225"/>
      <c r="GVC120" s="225"/>
      <c r="GVD120" s="225"/>
      <c r="GVE120" s="225"/>
      <c r="GVF120" s="225"/>
      <c r="GVG120" s="225"/>
      <c r="GVH120" s="225"/>
      <c r="GVI120" s="225"/>
      <c r="GVJ120" s="225"/>
      <c r="GVK120" s="225"/>
      <c r="GVL120" s="225"/>
      <c r="GVM120" s="225"/>
      <c r="GVN120" s="225"/>
      <c r="GVO120" s="225"/>
      <c r="GVP120" s="225"/>
      <c r="GVQ120" s="225"/>
      <c r="GVR120" s="225"/>
      <c r="GVS120" s="225"/>
      <c r="GVT120" s="225"/>
      <c r="GVU120" s="225"/>
      <c r="GVV120" s="225"/>
      <c r="GVW120" s="225"/>
      <c r="GVX120" s="225"/>
      <c r="GVY120" s="225"/>
      <c r="GVZ120" s="225"/>
      <c r="GWA120" s="225"/>
      <c r="GWB120" s="225"/>
      <c r="GWC120" s="225"/>
      <c r="GWD120" s="225"/>
      <c r="GWE120" s="225"/>
      <c r="GWF120" s="225"/>
      <c r="GWG120" s="225"/>
      <c r="GWH120" s="225"/>
      <c r="GWI120" s="225"/>
      <c r="GWJ120" s="225"/>
      <c r="GWK120" s="225"/>
      <c r="GWL120" s="225"/>
      <c r="GWM120" s="225"/>
      <c r="GWN120" s="225"/>
      <c r="GWO120" s="225"/>
      <c r="GWP120" s="225"/>
      <c r="GWQ120" s="225"/>
      <c r="GWR120" s="225"/>
      <c r="GWS120" s="225"/>
      <c r="GWT120" s="225"/>
      <c r="GWU120" s="225"/>
      <c r="GWV120" s="225"/>
      <c r="GWW120" s="225"/>
      <c r="GWX120" s="225"/>
      <c r="GWY120" s="225"/>
      <c r="GWZ120" s="225"/>
      <c r="GXA120" s="225"/>
      <c r="GXB120" s="225"/>
      <c r="GXC120" s="225"/>
      <c r="GXD120" s="225"/>
      <c r="GXE120" s="225"/>
      <c r="GXF120" s="225"/>
      <c r="GXG120" s="225"/>
      <c r="GXH120" s="225"/>
      <c r="GXI120" s="225"/>
      <c r="GXJ120" s="225"/>
      <c r="GXK120" s="225"/>
      <c r="GXL120" s="225"/>
      <c r="GXM120" s="225"/>
      <c r="GXN120" s="225"/>
      <c r="GXO120" s="225"/>
      <c r="GXP120" s="225"/>
      <c r="GXQ120" s="225"/>
      <c r="GXR120" s="225"/>
      <c r="GXS120" s="225"/>
      <c r="GXT120" s="225"/>
      <c r="GXU120" s="225"/>
      <c r="GXV120" s="225"/>
      <c r="GXW120" s="225"/>
      <c r="GXX120" s="225"/>
      <c r="GXY120" s="225"/>
      <c r="GXZ120" s="225"/>
      <c r="GYA120" s="225"/>
      <c r="GYB120" s="225"/>
      <c r="GYC120" s="225"/>
      <c r="GYD120" s="225"/>
      <c r="GYE120" s="225"/>
      <c r="GYF120" s="225"/>
      <c r="GYG120" s="225"/>
      <c r="GYH120" s="225"/>
      <c r="GYI120" s="225"/>
      <c r="GYJ120" s="225"/>
      <c r="GYK120" s="225"/>
      <c r="GYL120" s="225"/>
      <c r="GYM120" s="225"/>
      <c r="GYN120" s="225"/>
      <c r="GYO120" s="225"/>
      <c r="GYP120" s="225"/>
      <c r="GYQ120" s="225"/>
      <c r="GYR120" s="225"/>
      <c r="GYS120" s="225"/>
      <c r="GYT120" s="225"/>
      <c r="GYU120" s="225"/>
      <c r="GYV120" s="225"/>
      <c r="GYW120" s="225"/>
      <c r="GYX120" s="225"/>
      <c r="GYY120" s="225"/>
      <c r="GYZ120" s="225"/>
      <c r="GZA120" s="225"/>
      <c r="GZB120" s="225"/>
      <c r="GZC120" s="225"/>
      <c r="GZD120" s="225"/>
      <c r="GZE120" s="225"/>
      <c r="GZF120" s="225"/>
      <c r="GZG120" s="225"/>
      <c r="GZH120" s="225"/>
      <c r="GZI120" s="225"/>
      <c r="GZJ120" s="225"/>
      <c r="GZK120" s="225"/>
      <c r="GZL120" s="225"/>
      <c r="GZM120" s="225"/>
      <c r="GZN120" s="225"/>
      <c r="GZO120" s="225"/>
      <c r="GZP120" s="225"/>
      <c r="GZQ120" s="225"/>
      <c r="GZR120" s="225"/>
      <c r="GZS120" s="225"/>
      <c r="GZT120" s="225"/>
      <c r="GZU120" s="225"/>
      <c r="GZV120" s="225"/>
      <c r="GZW120" s="225"/>
      <c r="GZX120" s="225"/>
      <c r="GZY120" s="225"/>
      <c r="GZZ120" s="225"/>
      <c r="HAA120" s="225"/>
      <c r="HAB120" s="225"/>
      <c r="HAC120" s="225"/>
      <c r="HAD120" s="225"/>
      <c r="HAE120" s="225"/>
      <c r="HAF120" s="225"/>
      <c r="HAG120" s="225"/>
      <c r="HAH120" s="225"/>
      <c r="HAI120" s="225"/>
      <c r="HAJ120" s="225"/>
      <c r="HAK120" s="225"/>
      <c r="HAL120" s="225"/>
      <c r="HAM120" s="225"/>
      <c r="HAN120" s="225"/>
      <c r="HAO120" s="225"/>
      <c r="HAP120" s="225"/>
      <c r="HAQ120" s="225"/>
      <c r="HAR120" s="225"/>
      <c r="HAS120" s="225"/>
      <c r="HAT120" s="225"/>
      <c r="HAU120" s="225"/>
      <c r="HAV120" s="225"/>
      <c r="HAW120" s="225"/>
      <c r="HAX120" s="225"/>
      <c r="HAY120" s="225"/>
      <c r="HAZ120" s="225"/>
      <c r="HBA120" s="225"/>
      <c r="HBB120" s="225"/>
      <c r="HBC120" s="225"/>
      <c r="HBD120" s="225"/>
      <c r="HBE120" s="225"/>
      <c r="HBF120" s="225"/>
      <c r="HBG120" s="225"/>
      <c r="HBH120" s="225"/>
      <c r="HBI120" s="225"/>
      <c r="HBJ120" s="225"/>
      <c r="HBK120" s="225"/>
      <c r="HBL120" s="225"/>
      <c r="HBM120" s="225"/>
      <c r="HBN120" s="225"/>
      <c r="HBO120" s="225"/>
      <c r="HBP120" s="225"/>
      <c r="HBQ120" s="225"/>
      <c r="HBR120" s="225"/>
      <c r="HBS120" s="225"/>
      <c r="HBT120" s="225"/>
      <c r="HBU120" s="225"/>
      <c r="HBV120" s="225"/>
      <c r="HBW120" s="225"/>
      <c r="HBX120" s="225"/>
      <c r="HBY120" s="225"/>
      <c r="HBZ120" s="225"/>
      <c r="HCA120" s="225"/>
      <c r="HCB120" s="225"/>
      <c r="HCC120" s="225"/>
      <c r="HCD120" s="225"/>
      <c r="HCE120" s="225"/>
      <c r="HCF120" s="225"/>
      <c r="HCG120" s="225"/>
      <c r="HCH120" s="225"/>
      <c r="HCI120" s="225"/>
      <c r="HCJ120" s="225"/>
      <c r="HCK120" s="225"/>
      <c r="HCL120" s="225"/>
      <c r="HCM120" s="225"/>
      <c r="HCN120" s="225"/>
      <c r="HCO120" s="225"/>
      <c r="HCP120" s="225"/>
      <c r="HCQ120" s="225"/>
      <c r="HCR120" s="225"/>
      <c r="HCS120" s="225"/>
      <c r="HCT120" s="225"/>
      <c r="HCU120" s="225"/>
      <c r="HCV120" s="225"/>
      <c r="HCW120" s="225"/>
      <c r="HCX120" s="225"/>
      <c r="HCY120" s="225"/>
      <c r="HCZ120" s="225"/>
      <c r="HDA120" s="225"/>
      <c r="HDB120" s="225"/>
      <c r="HDC120" s="225"/>
      <c r="HDD120" s="225"/>
      <c r="HDE120" s="225"/>
      <c r="HDF120" s="225"/>
      <c r="HDG120" s="225"/>
      <c r="HDH120" s="225"/>
      <c r="HDI120" s="225"/>
      <c r="HDJ120" s="225"/>
      <c r="HDK120" s="225"/>
      <c r="HDL120" s="225"/>
      <c r="HDM120" s="225"/>
      <c r="HDN120" s="225"/>
      <c r="HDO120" s="225"/>
      <c r="HDP120" s="225"/>
      <c r="HDQ120" s="225"/>
      <c r="HDR120" s="225"/>
      <c r="HDS120" s="225"/>
      <c r="HDT120" s="225"/>
      <c r="HDU120" s="225"/>
      <c r="HDV120" s="225"/>
      <c r="HDW120" s="225"/>
      <c r="HDX120" s="225"/>
      <c r="HDY120" s="225"/>
      <c r="HDZ120" s="225"/>
      <c r="HEA120" s="225"/>
      <c r="HEB120" s="225"/>
      <c r="HEC120" s="225"/>
      <c r="HED120" s="225"/>
      <c r="HEE120" s="225"/>
      <c r="HEF120" s="225"/>
      <c r="HEG120" s="225"/>
      <c r="HEH120" s="225"/>
      <c r="HEI120" s="225"/>
      <c r="HEJ120" s="225"/>
      <c r="HEK120" s="225"/>
      <c r="HEL120" s="225"/>
      <c r="HEM120" s="225"/>
      <c r="HEN120" s="225"/>
      <c r="HEO120" s="225"/>
      <c r="HEP120" s="225"/>
      <c r="HEQ120" s="225"/>
      <c r="HER120" s="225"/>
      <c r="HES120" s="225"/>
      <c r="HET120" s="225"/>
      <c r="HEU120" s="225"/>
      <c r="HEV120" s="225"/>
      <c r="HEW120" s="225"/>
      <c r="HEX120" s="225"/>
      <c r="HEY120" s="225"/>
      <c r="HEZ120" s="225"/>
      <c r="HFA120" s="225"/>
      <c r="HFB120" s="225"/>
      <c r="HFC120" s="225"/>
      <c r="HFD120" s="225"/>
      <c r="HFE120" s="225"/>
      <c r="HFF120" s="225"/>
      <c r="HFG120" s="225"/>
      <c r="HFH120" s="225"/>
      <c r="HFI120" s="225"/>
      <c r="HFJ120" s="225"/>
      <c r="HFK120" s="225"/>
      <c r="HFL120" s="225"/>
      <c r="HFM120" s="225"/>
      <c r="HFN120" s="225"/>
      <c r="HFO120" s="225"/>
      <c r="HFP120" s="225"/>
      <c r="HFQ120" s="225"/>
      <c r="HFR120" s="225"/>
      <c r="HFS120" s="225"/>
      <c r="HFT120" s="225"/>
      <c r="HFU120" s="225"/>
      <c r="HFV120" s="225"/>
      <c r="HFW120" s="225"/>
      <c r="HFX120" s="225"/>
      <c r="HFY120" s="225"/>
      <c r="HFZ120" s="225"/>
      <c r="HGA120" s="225"/>
      <c r="HGB120" s="225"/>
      <c r="HGC120" s="225"/>
      <c r="HGD120" s="225"/>
      <c r="HGE120" s="225"/>
      <c r="HGF120" s="225"/>
      <c r="HGG120" s="225"/>
      <c r="HGH120" s="225"/>
      <c r="HGI120" s="225"/>
      <c r="HGJ120" s="225"/>
      <c r="HGK120" s="225"/>
      <c r="HGL120" s="225"/>
      <c r="HGM120" s="225"/>
      <c r="HGN120" s="225"/>
      <c r="HGO120" s="225"/>
      <c r="HGP120" s="225"/>
      <c r="HGQ120" s="225"/>
      <c r="HGR120" s="225"/>
      <c r="HGS120" s="225"/>
      <c r="HGT120" s="225"/>
      <c r="HGU120" s="225"/>
      <c r="HGV120" s="225"/>
      <c r="HGW120" s="225"/>
      <c r="HGX120" s="225"/>
      <c r="HGY120" s="225"/>
      <c r="HGZ120" s="225"/>
      <c r="HHA120" s="225"/>
      <c r="HHB120" s="225"/>
      <c r="HHC120" s="225"/>
      <c r="HHD120" s="225"/>
      <c r="HHE120" s="225"/>
      <c r="HHF120" s="225"/>
      <c r="HHG120" s="225"/>
      <c r="HHH120" s="225"/>
      <c r="HHI120" s="225"/>
      <c r="HHJ120" s="225"/>
      <c r="HHK120" s="225"/>
      <c r="HHL120" s="225"/>
      <c r="HHM120" s="225"/>
      <c r="HHN120" s="225"/>
      <c r="HHO120" s="225"/>
      <c r="HHP120" s="225"/>
      <c r="HHQ120" s="225"/>
      <c r="HHR120" s="225"/>
      <c r="HHS120" s="225"/>
      <c r="HHT120" s="225"/>
      <c r="HHU120" s="225"/>
      <c r="HHV120" s="225"/>
      <c r="HHW120" s="225"/>
      <c r="HHX120" s="225"/>
      <c r="HHY120" s="225"/>
      <c r="HHZ120" s="225"/>
      <c r="HIA120" s="225"/>
      <c r="HIB120" s="225"/>
      <c r="HIC120" s="225"/>
      <c r="HID120" s="225"/>
      <c r="HIE120" s="225"/>
      <c r="HIF120" s="225"/>
      <c r="HIG120" s="225"/>
      <c r="HIH120" s="225"/>
      <c r="HII120" s="225"/>
      <c r="HIJ120" s="225"/>
      <c r="HIK120" s="225"/>
      <c r="HIL120" s="225"/>
      <c r="HIM120" s="225"/>
      <c r="HIN120" s="225"/>
      <c r="HIO120" s="225"/>
      <c r="HIP120" s="225"/>
      <c r="HIQ120" s="225"/>
      <c r="HIR120" s="225"/>
      <c r="HIS120" s="225"/>
      <c r="HIT120" s="225"/>
      <c r="HIU120" s="225"/>
      <c r="HIV120" s="225"/>
      <c r="HIW120" s="225"/>
      <c r="HIX120" s="225"/>
      <c r="HIY120" s="225"/>
      <c r="HIZ120" s="225"/>
      <c r="HJA120" s="225"/>
      <c r="HJB120" s="225"/>
      <c r="HJC120" s="225"/>
      <c r="HJD120" s="225"/>
      <c r="HJE120" s="225"/>
      <c r="HJF120" s="225"/>
      <c r="HJG120" s="225"/>
      <c r="HJH120" s="225"/>
      <c r="HJI120" s="225"/>
      <c r="HJJ120" s="225"/>
      <c r="HJK120" s="225"/>
      <c r="HJL120" s="225"/>
      <c r="HJM120" s="225"/>
      <c r="HJN120" s="225"/>
      <c r="HJO120" s="225"/>
      <c r="HJP120" s="225"/>
      <c r="HJQ120" s="225"/>
      <c r="HJR120" s="225"/>
      <c r="HJS120" s="225"/>
      <c r="HJT120" s="225"/>
      <c r="HJU120" s="225"/>
      <c r="HJV120" s="225"/>
      <c r="HJW120" s="225"/>
      <c r="HJX120" s="225"/>
      <c r="HJY120" s="225"/>
      <c r="HJZ120" s="225"/>
      <c r="HKA120" s="225"/>
      <c r="HKB120" s="225"/>
      <c r="HKC120" s="225"/>
      <c r="HKD120" s="225"/>
      <c r="HKE120" s="225"/>
      <c r="HKF120" s="225"/>
      <c r="HKG120" s="225"/>
      <c r="HKH120" s="225"/>
      <c r="HKI120" s="225"/>
      <c r="HKJ120" s="225"/>
      <c r="HKK120" s="225"/>
      <c r="HKL120" s="225"/>
      <c r="HKM120" s="225"/>
      <c r="HKN120" s="225"/>
      <c r="HKO120" s="225"/>
      <c r="HKP120" s="225"/>
      <c r="HKQ120" s="225"/>
      <c r="HKR120" s="225"/>
      <c r="HKS120" s="225"/>
      <c r="HKT120" s="225"/>
      <c r="HKU120" s="225"/>
      <c r="HKV120" s="225"/>
      <c r="HKW120" s="225"/>
      <c r="HKX120" s="225"/>
      <c r="HKY120" s="225"/>
      <c r="HKZ120" s="225"/>
      <c r="HLA120" s="225"/>
      <c r="HLB120" s="225"/>
      <c r="HLC120" s="225"/>
      <c r="HLD120" s="225"/>
      <c r="HLE120" s="225"/>
      <c r="HLF120" s="225"/>
      <c r="HLG120" s="225"/>
      <c r="HLH120" s="225"/>
      <c r="HLI120" s="225"/>
      <c r="HLJ120" s="225"/>
      <c r="HLK120" s="225"/>
      <c r="HLL120" s="225"/>
      <c r="HLM120" s="225"/>
      <c r="HLN120" s="225"/>
      <c r="HLO120" s="225"/>
      <c r="HLP120" s="225"/>
      <c r="HLQ120" s="225"/>
      <c r="HLR120" s="225"/>
      <c r="HLS120" s="225"/>
      <c r="HLT120" s="225"/>
      <c r="HLU120" s="225"/>
      <c r="HLV120" s="225"/>
      <c r="HLW120" s="225"/>
      <c r="HLX120" s="225"/>
      <c r="HLY120" s="225"/>
      <c r="HLZ120" s="225"/>
      <c r="HMA120" s="225"/>
      <c r="HMB120" s="225"/>
      <c r="HMC120" s="225"/>
      <c r="HMD120" s="225"/>
      <c r="HME120" s="225"/>
      <c r="HMF120" s="225"/>
      <c r="HMG120" s="225"/>
      <c r="HMH120" s="225"/>
      <c r="HMI120" s="225"/>
      <c r="HMJ120" s="225"/>
      <c r="HMK120" s="225"/>
      <c r="HML120" s="225"/>
      <c r="HMM120" s="225"/>
      <c r="HMN120" s="225"/>
      <c r="HMO120" s="225"/>
      <c r="HMP120" s="225"/>
      <c r="HMQ120" s="225"/>
      <c r="HMR120" s="225"/>
      <c r="HMS120" s="225"/>
      <c r="HMT120" s="225"/>
      <c r="HMU120" s="225"/>
      <c r="HMV120" s="225"/>
      <c r="HMW120" s="225"/>
      <c r="HMX120" s="225"/>
      <c r="HMY120" s="225"/>
      <c r="HMZ120" s="225"/>
      <c r="HNA120" s="225"/>
      <c r="HNB120" s="225"/>
      <c r="HNC120" s="225"/>
      <c r="HND120" s="225"/>
      <c r="HNE120" s="225"/>
      <c r="HNF120" s="225"/>
      <c r="HNG120" s="225"/>
      <c r="HNH120" s="225"/>
      <c r="HNI120" s="225"/>
      <c r="HNJ120" s="225"/>
      <c r="HNK120" s="225"/>
      <c r="HNL120" s="225"/>
      <c r="HNM120" s="225"/>
      <c r="HNN120" s="225"/>
      <c r="HNO120" s="225"/>
      <c r="HNP120" s="225"/>
      <c r="HNQ120" s="225"/>
      <c r="HNR120" s="225"/>
      <c r="HNS120" s="225"/>
      <c r="HNT120" s="225"/>
      <c r="HNU120" s="225"/>
      <c r="HNV120" s="225"/>
      <c r="HNW120" s="225"/>
      <c r="HNX120" s="225"/>
      <c r="HNY120" s="225"/>
      <c r="HNZ120" s="225"/>
      <c r="HOA120" s="225"/>
      <c r="HOB120" s="225"/>
      <c r="HOC120" s="225"/>
      <c r="HOD120" s="225"/>
      <c r="HOE120" s="225"/>
      <c r="HOF120" s="225"/>
      <c r="HOG120" s="225"/>
      <c r="HOH120" s="225"/>
      <c r="HOI120" s="225"/>
      <c r="HOJ120" s="225"/>
      <c r="HOK120" s="225"/>
      <c r="HOL120" s="225"/>
      <c r="HOM120" s="225"/>
      <c r="HON120" s="225"/>
      <c r="HOO120" s="225"/>
      <c r="HOP120" s="225"/>
      <c r="HOQ120" s="225"/>
      <c r="HOR120" s="225"/>
      <c r="HOS120" s="225"/>
      <c r="HOT120" s="225"/>
      <c r="HOU120" s="225"/>
      <c r="HOV120" s="225"/>
      <c r="HOW120" s="225"/>
      <c r="HOX120" s="225"/>
      <c r="HOY120" s="225"/>
      <c r="HOZ120" s="225"/>
      <c r="HPA120" s="225"/>
      <c r="HPB120" s="225"/>
      <c r="HPC120" s="225"/>
      <c r="HPD120" s="225"/>
      <c r="HPE120" s="225"/>
      <c r="HPF120" s="225"/>
      <c r="HPG120" s="225"/>
      <c r="HPH120" s="225"/>
      <c r="HPI120" s="225"/>
      <c r="HPJ120" s="225"/>
      <c r="HPK120" s="225"/>
      <c r="HPL120" s="225"/>
      <c r="HPM120" s="225"/>
      <c r="HPN120" s="225"/>
      <c r="HPO120" s="225"/>
      <c r="HPP120" s="225"/>
      <c r="HPQ120" s="225"/>
      <c r="HPR120" s="225"/>
      <c r="HPS120" s="225"/>
      <c r="HPT120" s="225"/>
      <c r="HPU120" s="225"/>
      <c r="HPV120" s="225"/>
      <c r="HPW120" s="225"/>
      <c r="HPX120" s="225"/>
      <c r="HPY120" s="225"/>
      <c r="HPZ120" s="225"/>
      <c r="HQA120" s="225"/>
      <c r="HQB120" s="225"/>
      <c r="HQC120" s="225"/>
      <c r="HQD120" s="225"/>
      <c r="HQE120" s="225"/>
      <c r="HQF120" s="225"/>
      <c r="HQG120" s="225"/>
      <c r="HQH120" s="225"/>
      <c r="HQI120" s="225"/>
      <c r="HQJ120" s="225"/>
      <c r="HQK120" s="225"/>
      <c r="HQL120" s="225"/>
      <c r="HQM120" s="225"/>
      <c r="HQN120" s="225"/>
      <c r="HQO120" s="225"/>
      <c r="HQP120" s="225"/>
      <c r="HQQ120" s="225"/>
      <c r="HQR120" s="225"/>
      <c r="HQS120" s="225"/>
      <c r="HQT120" s="225"/>
      <c r="HQU120" s="225"/>
      <c r="HQV120" s="225"/>
      <c r="HQW120" s="225"/>
      <c r="HQX120" s="225"/>
      <c r="HQY120" s="225"/>
      <c r="HQZ120" s="225"/>
      <c r="HRA120" s="225"/>
      <c r="HRB120" s="225"/>
      <c r="HRC120" s="225"/>
      <c r="HRD120" s="225"/>
      <c r="HRE120" s="225"/>
      <c r="HRF120" s="225"/>
      <c r="HRG120" s="225"/>
      <c r="HRH120" s="225"/>
      <c r="HRI120" s="225"/>
      <c r="HRJ120" s="225"/>
      <c r="HRK120" s="225"/>
      <c r="HRL120" s="225"/>
      <c r="HRM120" s="225"/>
      <c r="HRN120" s="225"/>
      <c r="HRO120" s="225"/>
      <c r="HRP120" s="225"/>
      <c r="HRQ120" s="225"/>
      <c r="HRR120" s="225"/>
      <c r="HRS120" s="225"/>
      <c r="HRT120" s="225"/>
      <c r="HRU120" s="225"/>
      <c r="HRV120" s="225"/>
      <c r="HRW120" s="225"/>
      <c r="HRX120" s="225"/>
      <c r="HRY120" s="225"/>
      <c r="HRZ120" s="225"/>
      <c r="HSA120" s="225"/>
      <c r="HSB120" s="225"/>
      <c r="HSC120" s="225"/>
      <c r="HSD120" s="225"/>
      <c r="HSE120" s="225"/>
      <c r="HSF120" s="225"/>
      <c r="HSG120" s="225"/>
      <c r="HSH120" s="225"/>
      <c r="HSI120" s="225"/>
      <c r="HSJ120" s="225"/>
      <c r="HSK120" s="225"/>
      <c r="HSL120" s="225"/>
      <c r="HSM120" s="225"/>
      <c r="HSN120" s="225"/>
      <c r="HSO120" s="225"/>
      <c r="HSP120" s="225"/>
      <c r="HSQ120" s="225"/>
      <c r="HSR120" s="225"/>
      <c r="HSS120" s="225"/>
      <c r="HST120" s="225"/>
      <c r="HSU120" s="225"/>
      <c r="HSV120" s="225"/>
      <c r="HSW120" s="225"/>
      <c r="HSX120" s="225"/>
      <c r="HSY120" s="225"/>
      <c r="HSZ120" s="225"/>
      <c r="HTA120" s="225"/>
      <c r="HTB120" s="225"/>
      <c r="HTC120" s="225"/>
      <c r="HTD120" s="225"/>
      <c r="HTE120" s="225"/>
      <c r="HTF120" s="225"/>
      <c r="HTG120" s="225"/>
      <c r="HTH120" s="225"/>
      <c r="HTI120" s="225"/>
      <c r="HTJ120" s="225"/>
      <c r="HTK120" s="225"/>
      <c r="HTL120" s="225"/>
      <c r="HTM120" s="225"/>
      <c r="HTN120" s="225"/>
      <c r="HTO120" s="225"/>
      <c r="HTP120" s="225"/>
      <c r="HTQ120" s="225"/>
      <c r="HTR120" s="225"/>
      <c r="HTS120" s="225"/>
      <c r="HTT120" s="225"/>
      <c r="HTU120" s="225"/>
      <c r="HTV120" s="225"/>
      <c r="HTW120" s="225"/>
      <c r="HTX120" s="225"/>
      <c r="HTY120" s="225"/>
      <c r="HTZ120" s="225"/>
      <c r="HUA120" s="225"/>
      <c r="HUB120" s="225"/>
      <c r="HUC120" s="225"/>
      <c r="HUD120" s="225"/>
      <c r="HUE120" s="225"/>
      <c r="HUF120" s="225"/>
      <c r="HUG120" s="225"/>
      <c r="HUH120" s="225"/>
      <c r="HUI120" s="225"/>
      <c r="HUJ120" s="225"/>
      <c r="HUK120" s="225"/>
      <c r="HUL120" s="225"/>
      <c r="HUM120" s="225"/>
      <c r="HUN120" s="225"/>
      <c r="HUO120" s="225"/>
      <c r="HUP120" s="225"/>
      <c r="HUQ120" s="225"/>
      <c r="HUR120" s="225"/>
      <c r="HUS120" s="225"/>
      <c r="HUT120" s="225"/>
      <c r="HUU120" s="225"/>
      <c r="HUV120" s="225"/>
      <c r="HUW120" s="225"/>
      <c r="HUX120" s="225"/>
      <c r="HUY120" s="225"/>
      <c r="HUZ120" s="225"/>
      <c r="HVA120" s="225"/>
      <c r="HVB120" s="225"/>
      <c r="HVC120" s="225"/>
      <c r="HVD120" s="225"/>
      <c r="HVE120" s="225"/>
      <c r="HVF120" s="225"/>
      <c r="HVG120" s="225"/>
      <c r="HVH120" s="225"/>
      <c r="HVI120" s="225"/>
      <c r="HVJ120" s="225"/>
      <c r="HVK120" s="225"/>
      <c r="HVL120" s="225"/>
      <c r="HVM120" s="225"/>
      <c r="HVN120" s="225"/>
      <c r="HVO120" s="225"/>
      <c r="HVP120" s="225"/>
      <c r="HVQ120" s="225"/>
      <c r="HVR120" s="225"/>
      <c r="HVS120" s="225"/>
      <c r="HVT120" s="225"/>
      <c r="HVU120" s="225"/>
      <c r="HVV120" s="225"/>
      <c r="HVW120" s="225"/>
      <c r="HVX120" s="225"/>
      <c r="HVY120" s="225"/>
      <c r="HVZ120" s="225"/>
      <c r="HWA120" s="225"/>
      <c r="HWB120" s="225"/>
      <c r="HWC120" s="225"/>
      <c r="HWD120" s="225"/>
      <c r="HWE120" s="225"/>
      <c r="HWF120" s="225"/>
      <c r="HWG120" s="225"/>
      <c r="HWH120" s="225"/>
      <c r="HWI120" s="225"/>
      <c r="HWJ120" s="225"/>
      <c r="HWK120" s="225"/>
      <c r="HWL120" s="225"/>
      <c r="HWM120" s="225"/>
      <c r="HWN120" s="225"/>
      <c r="HWO120" s="225"/>
      <c r="HWP120" s="225"/>
      <c r="HWQ120" s="225"/>
      <c r="HWR120" s="225"/>
      <c r="HWS120" s="225"/>
      <c r="HWT120" s="225"/>
      <c r="HWU120" s="225"/>
      <c r="HWV120" s="225"/>
      <c r="HWW120" s="225"/>
      <c r="HWX120" s="225"/>
      <c r="HWY120" s="225"/>
      <c r="HWZ120" s="225"/>
      <c r="HXA120" s="225"/>
      <c r="HXB120" s="225"/>
      <c r="HXC120" s="225"/>
      <c r="HXD120" s="225"/>
      <c r="HXE120" s="225"/>
      <c r="HXF120" s="225"/>
      <c r="HXG120" s="225"/>
      <c r="HXH120" s="225"/>
      <c r="HXI120" s="225"/>
      <c r="HXJ120" s="225"/>
      <c r="HXK120" s="225"/>
      <c r="HXL120" s="225"/>
      <c r="HXM120" s="225"/>
      <c r="HXN120" s="225"/>
      <c r="HXO120" s="225"/>
      <c r="HXP120" s="225"/>
      <c r="HXQ120" s="225"/>
      <c r="HXR120" s="225"/>
      <c r="HXS120" s="225"/>
      <c r="HXT120" s="225"/>
      <c r="HXU120" s="225"/>
      <c r="HXV120" s="225"/>
      <c r="HXW120" s="225"/>
      <c r="HXX120" s="225"/>
      <c r="HXY120" s="225"/>
      <c r="HXZ120" s="225"/>
      <c r="HYA120" s="225"/>
      <c r="HYB120" s="225"/>
      <c r="HYC120" s="225"/>
      <c r="HYD120" s="225"/>
      <c r="HYE120" s="225"/>
      <c r="HYF120" s="225"/>
      <c r="HYG120" s="225"/>
      <c r="HYH120" s="225"/>
      <c r="HYI120" s="225"/>
      <c r="HYJ120" s="225"/>
      <c r="HYK120" s="225"/>
      <c r="HYL120" s="225"/>
      <c r="HYM120" s="225"/>
      <c r="HYN120" s="225"/>
      <c r="HYO120" s="225"/>
      <c r="HYP120" s="225"/>
      <c r="HYQ120" s="225"/>
      <c r="HYR120" s="225"/>
      <c r="HYS120" s="225"/>
      <c r="HYT120" s="225"/>
      <c r="HYU120" s="225"/>
      <c r="HYV120" s="225"/>
      <c r="HYW120" s="225"/>
      <c r="HYX120" s="225"/>
      <c r="HYY120" s="225"/>
      <c r="HYZ120" s="225"/>
      <c r="HZA120" s="225"/>
      <c r="HZB120" s="225"/>
      <c r="HZC120" s="225"/>
      <c r="HZD120" s="225"/>
      <c r="HZE120" s="225"/>
      <c r="HZF120" s="225"/>
      <c r="HZG120" s="225"/>
      <c r="HZH120" s="225"/>
      <c r="HZI120" s="225"/>
      <c r="HZJ120" s="225"/>
      <c r="HZK120" s="225"/>
      <c r="HZL120" s="225"/>
      <c r="HZM120" s="225"/>
      <c r="HZN120" s="225"/>
      <c r="HZO120" s="225"/>
      <c r="HZP120" s="225"/>
      <c r="HZQ120" s="225"/>
      <c r="HZR120" s="225"/>
      <c r="HZS120" s="225"/>
      <c r="HZT120" s="225"/>
      <c r="HZU120" s="225"/>
      <c r="HZV120" s="225"/>
      <c r="HZW120" s="225"/>
      <c r="HZX120" s="225"/>
      <c r="HZY120" s="225"/>
      <c r="HZZ120" s="225"/>
      <c r="IAA120" s="225"/>
      <c r="IAB120" s="225"/>
      <c r="IAC120" s="225"/>
      <c r="IAD120" s="225"/>
      <c r="IAE120" s="225"/>
      <c r="IAF120" s="225"/>
      <c r="IAG120" s="225"/>
      <c r="IAH120" s="225"/>
      <c r="IAI120" s="225"/>
      <c r="IAJ120" s="225"/>
      <c r="IAK120" s="225"/>
      <c r="IAL120" s="225"/>
      <c r="IAM120" s="225"/>
      <c r="IAN120" s="225"/>
      <c r="IAO120" s="225"/>
      <c r="IAP120" s="225"/>
      <c r="IAQ120" s="225"/>
      <c r="IAR120" s="225"/>
      <c r="IAS120" s="225"/>
      <c r="IAT120" s="225"/>
      <c r="IAU120" s="225"/>
      <c r="IAV120" s="225"/>
      <c r="IAW120" s="225"/>
      <c r="IAX120" s="225"/>
      <c r="IAY120" s="225"/>
      <c r="IAZ120" s="225"/>
      <c r="IBA120" s="225"/>
      <c r="IBB120" s="225"/>
      <c r="IBC120" s="225"/>
      <c r="IBD120" s="225"/>
      <c r="IBE120" s="225"/>
      <c r="IBF120" s="225"/>
      <c r="IBG120" s="225"/>
      <c r="IBH120" s="225"/>
      <c r="IBI120" s="225"/>
      <c r="IBJ120" s="225"/>
      <c r="IBK120" s="225"/>
      <c r="IBL120" s="225"/>
      <c r="IBM120" s="225"/>
      <c r="IBN120" s="225"/>
      <c r="IBO120" s="225"/>
      <c r="IBP120" s="225"/>
      <c r="IBQ120" s="225"/>
      <c r="IBR120" s="225"/>
      <c r="IBS120" s="225"/>
      <c r="IBT120" s="225"/>
      <c r="IBU120" s="225"/>
      <c r="IBV120" s="225"/>
      <c r="IBW120" s="225"/>
      <c r="IBX120" s="225"/>
      <c r="IBY120" s="225"/>
      <c r="IBZ120" s="225"/>
      <c r="ICA120" s="225"/>
      <c r="ICB120" s="225"/>
      <c r="ICC120" s="225"/>
      <c r="ICD120" s="225"/>
      <c r="ICE120" s="225"/>
      <c r="ICF120" s="225"/>
      <c r="ICG120" s="225"/>
      <c r="ICH120" s="225"/>
      <c r="ICI120" s="225"/>
      <c r="ICJ120" s="225"/>
      <c r="ICK120" s="225"/>
      <c r="ICL120" s="225"/>
      <c r="ICM120" s="225"/>
      <c r="ICN120" s="225"/>
      <c r="ICO120" s="225"/>
      <c r="ICP120" s="225"/>
      <c r="ICQ120" s="225"/>
      <c r="ICR120" s="225"/>
      <c r="ICS120" s="225"/>
      <c r="ICT120" s="225"/>
      <c r="ICU120" s="225"/>
      <c r="ICV120" s="225"/>
      <c r="ICW120" s="225"/>
      <c r="ICX120" s="225"/>
      <c r="ICY120" s="225"/>
      <c r="ICZ120" s="225"/>
      <c r="IDA120" s="225"/>
      <c r="IDB120" s="225"/>
      <c r="IDC120" s="225"/>
      <c r="IDD120" s="225"/>
      <c r="IDE120" s="225"/>
      <c r="IDF120" s="225"/>
      <c r="IDG120" s="225"/>
      <c r="IDH120" s="225"/>
      <c r="IDI120" s="225"/>
      <c r="IDJ120" s="225"/>
      <c r="IDK120" s="225"/>
      <c r="IDL120" s="225"/>
      <c r="IDM120" s="225"/>
      <c r="IDN120" s="225"/>
      <c r="IDO120" s="225"/>
      <c r="IDP120" s="225"/>
      <c r="IDQ120" s="225"/>
      <c r="IDR120" s="225"/>
      <c r="IDS120" s="225"/>
      <c r="IDT120" s="225"/>
      <c r="IDU120" s="225"/>
      <c r="IDV120" s="225"/>
      <c r="IDW120" s="225"/>
      <c r="IDX120" s="225"/>
      <c r="IDY120" s="225"/>
      <c r="IDZ120" s="225"/>
      <c r="IEA120" s="225"/>
      <c r="IEB120" s="225"/>
      <c r="IEC120" s="225"/>
      <c r="IED120" s="225"/>
      <c r="IEE120" s="225"/>
      <c r="IEF120" s="225"/>
      <c r="IEG120" s="225"/>
      <c r="IEH120" s="225"/>
      <c r="IEI120" s="225"/>
      <c r="IEJ120" s="225"/>
      <c r="IEK120" s="225"/>
      <c r="IEL120" s="225"/>
      <c r="IEM120" s="225"/>
      <c r="IEN120" s="225"/>
      <c r="IEO120" s="225"/>
      <c r="IEP120" s="225"/>
      <c r="IEQ120" s="225"/>
      <c r="IER120" s="225"/>
      <c r="IES120" s="225"/>
      <c r="IET120" s="225"/>
      <c r="IEU120" s="225"/>
      <c r="IEV120" s="225"/>
      <c r="IEW120" s="225"/>
      <c r="IEX120" s="225"/>
      <c r="IEY120" s="225"/>
      <c r="IEZ120" s="225"/>
      <c r="IFA120" s="225"/>
      <c r="IFB120" s="225"/>
      <c r="IFC120" s="225"/>
      <c r="IFD120" s="225"/>
      <c r="IFE120" s="225"/>
      <c r="IFF120" s="225"/>
      <c r="IFG120" s="225"/>
      <c r="IFH120" s="225"/>
      <c r="IFI120" s="225"/>
      <c r="IFJ120" s="225"/>
      <c r="IFK120" s="225"/>
      <c r="IFL120" s="225"/>
      <c r="IFM120" s="225"/>
      <c r="IFN120" s="225"/>
      <c r="IFO120" s="225"/>
      <c r="IFP120" s="225"/>
      <c r="IFQ120" s="225"/>
      <c r="IFR120" s="225"/>
      <c r="IFS120" s="225"/>
      <c r="IFT120" s="225"/>
      <c r="IFU120" s="225"/>
      <c r="IFV120" s="225"/>
      <c r="IFW120" s="225"/>
      <c r="IFX120" s="225"/>
      <c r="IFY120" s="225"/>
      <c r="IFZ120" s="225"/>
      <c r="IGA120" s="225"/>
      <c r="IGB120" s="225"/>
      <c r="IGC120" s="225"/>
      <c r="IGD120" s="225"/>
      <c r="IGE120" s="225"/>
      <c r="IGF120" s="225"/>
      <c r="IGG120" s="225"/>
      <c r="IGH120" s="225"/>
      <c r="IGI120" s="225"/>
      <c r="IGJ120" s="225"/>
      <c r="IGK120" s="225"/>
      <c r="IGL120" s="225"/>
      <c r="IGM120" s="225"/>
      <c r="IGN120" s="225"/>
      <c r="IGO120" s="225"/>
      <c r="IGP120" s="225"/>
      <c r="IGQ120" s="225"/>
      <c r="IGR120" s="225"/>
      <c r="IGS120" s="225"/>
      <c r="IGT120" s="225"/>
      <c r="IGU120" s="225"/>
      <c r="IGV120" s="225"/>
      <c r="IGW120" s="225"/>
      <c r="IGX120" s="225"/>
      <c r="IGY120" s="225"/>
      <c r="IGZ120" s="225"/>
      <c r="IHA120" s="225"/>
      <c r="IHB120" s="225"/>
      <c r="IHC120" s="225"/>
      <c r="IHD120" s="225"/>
      <c r="IHE120" s="225"/>
      <c r="IHF120" s="225"/>
      <c r="IHG120" s="225"/>
      <c r="IHH120" s="225"/>
      <c r="IHI120" s="225"/>
      <c r="IHJ120" s="225"/>
      <c r="IHK120" s="225"/>
      <c r="IHL120" s="225"/>
      <c r="IHM120" s="225"/>
      <c r="IHN120" s="225"/>
      <c r="IHO120" s="225"/>
      <c r="IHP120" s="225"/>
      <c r="IHQ120" s="225"/>
      <c r="IHR120" s="225"/>
      <c r="IHS120" s="225"/>
      <c r="IHT120" s="225"/>
      <c r="IHU120" s="225"/>
      <c r="IHV120" s="225"/>
      <c r="IHW120" s="225"/>
      <c r="IHX120" s="225"/>
      <c r="IHY120" s="225"/>
      <c r="IHZ120" s="225"/>
      <c r="IIA120" s="225"/>
      <c r="IIB120" s="225"/>
      <c r="IIC120" s="225"/>
      <c r="IID120" s="225"/>
      <c r="IIE120" s="225"/>
      <c r="IIF120" s="225"/>
      <c r="IIG120" s="225"/>
      <c r="IIH120" s="225"/>
      <c r="III120" s="225"/>
      <c r="IIJ120" s="225"/>
      <c r="IIK120" s="225"/>
      <c r="IIL120" s="225"/>
      <c r="IIM120" s="225"/>
      <c r="IIN120" s="225"/>
      <c r="IIO120" s="225"/>
      <c r="IIP120" s="225"/>
      <c r="IIQ120" s="225"/>
      <c r="IIR120" s="225"/>
      <c r="IIS120" s="225"/>
      <c r="IIT120" s="225"/>
      <c r="IIU120" s="225"/>
      <c r="IIV120" s="225"/>
      <c r="IIW120" s="225"/>
      <c r="IIX120" s="225"/>
      <c r="IIY120" s="225"/>
      <c r="IIZ120" s="225"/>
      <c r="IJA120" s="225"/>
      <c r="IJB120" s="225"/>
      <c r="IJC120" s="225"/>
      <c r="IJD120" s="225"/>
      <c r="IJE120" s="225"/>
      <c r="IJF120" s="225"/>
      <c r="IJG120" s="225"/>
      <c r="IJH120" s="225"/>
      <c r="IJI120" s="225"/>
      <c r="IJJ120" s="225"/>
      <c r="IJK120" s="225"/>
      <c r="IJL120" s="225"/>
      <c r="IJM120" s="225"/>
      <c r="IJN120" s="225"/>
      <c r="IJO120" s="225"/>
      <c r="IJP120" s="225"/>
      <c r="IJQ120" s="225"/>
      <c r="IJR120" s="225"/>
      <c r="IJS120" s="225"/>
      <c r="IJT120" s="225"/>
      <c r="IJU120" s="225"/>
      <c r="IJV120" s="225"/>
      <c r="IJW120" s="225"/>
      <c r="IJX120" s="225"/>
      <c r="IJY120" s="225"/>
      <c r="IJZ120" s="225"/>
      <c r="IKA120" s="225"/>
      <c r="IKB120" s="225"/>
      <c r="IKC120" s="225"/>
      <c r="IKD120" s="225"/>
      <c r="IKE120" s="225"/>
      <c r="IKF120" s="225"/>
      <c r="IKG120" s="225"/>
      <c r="IKH120" s="225"/>
      <c r="IKI120" s="225"/>
      <c r="IKJ120" s="225"/>
      <c r="IKK120" s="225"/>
      <c r="IKL120" s="225"/>
      <c r="IKM120" s="225"/>
      <c r="IKN120" s="225"/>
      <c r="IKO120" s="225"/>
      <c r="IKP120" s="225"/>
      <c r="IKQ120" s="225"/>
      <c r="IKR120" s="225"/>
      <c r="IKS120" s="225"/>
      <c r="IKT120" s="225"/>
      <c r="IKU120" s="225"/>
      <c r="IKV120" s="225"/>
      <c r="IKW120" s="225"/>
      <c r="IKX120" s="225"/>
      <c r="IKY120" s="225"/>
      <c r="IKZ120" s="225"/>
      <c r="ILA120" s="225"/>
      <c r="ILB120" s="225"/>
      <c r="ILC120" s="225"/>
      <c r="ILD120" s="225"/>
      <c r="ILE120" s="225"/>
      <c r="ILF120" s="225"/>
      <c r="ILG120" s="225"/>
      <c r="ILH120" s="225"/>
      <c r="ILI120" s="225"/>
      <c r="ILJ120" s="225"/>
      <c r="ILK120" s="225"/>
      <c r="ILL120" s="225"/>
      <c r="ILM120" s="225"/>
      <c r="ILN120" s="225"/>
      <c r="ILO120" s="225"/>
      <c r="ILP120" s="225"/>
      <c r="ILQ120" s="225"/>
      <c r="ILR120" s="225"/>
      <c r="ILS120" s="225"/>
      <c r="ILT120" s="225"/>
      <c r="ILU120" s="225"/>
      <c r="ILV120" s="225"/>
      <c r="ILW120" s="225"/>
      <c r="ILX120" s="225"/>
      <c r="ILY120" s="225"/>
      <c r="ILZ120" s="225"/>
      <c r="IMA120" s="225"/>
      <c r="IMB120" s="225"/>
      <c r="IMC120" s="225"/>
      <c r="IMD120" s="225"/>
      <c r="IME120" s="225"/>
      <c r="IMF120" s="225"/>
      <c r="IMG120" s="225"/>
      <c r="IMH120" s="225"/>
      <c r="IMI120" s="225"/>
      <c r="IMJ120" s="225"/>
      <c r="IMK120" s="225"/>
      <c r="IML120" s="225"/>
      <c r="IMM120" s="225"/>
      <c r="IMN120" s="225"/>
      <c r="IMO120" s="225"/>
      <c r="IMP120" s="225"/>
      <c r="IMQ120" s="225"/>
      <c r="IMR120" s="225"/>
      <c r="IMS120" s="225"/>
      <c r="IMT120" s="225"/>
      <c r="IMU120" s="225"/>
      <c r="IMV120" s="225"/>
      <c r="IMW120" s="225"/>
      <c r="IMX120" s="225"/>
      <c r="IMY120" s="225"/>
      <c r="IMZ120" s="225"/>
      <c r="INA120" s="225"/>
      <c r="INB120" s="225"/>
      <c r="INC120" s="225"/>
      <c r="IND120" s="225"/>
      <c r="INE120" s="225"/>
      <c r="INF120" s="225"/>
      <c r="ING120" s="225"/>
      <c r="INH120" s="225"/>
      <c r="INI120" s="225"/>
      <c r="INJ120" s="225"/>
      <c r="INK120" s="225"/>
      <c r="INL120" s="225"/>
      <c r="INM120" s="225"/>
      <c r="INN120" s="225"/>
      <c r="INO120" s="225"/>
      <c r="INP120" s="225"/>
      <c r="INQ120" s="225"/>
      <c r="INR120" s="225"/>
      <c r="INS120" s="225"/>
      <c r="INT120" s="225"/>
      <c r="INU120" s="225"/>
      <c r="INV120" s="225"/>
      <c r="INW120" s="225"/>
      <c r="INX120" s="225"/>
      <c r="INY120" s="225"/>
      <c r="INZ120" s="225"/>
      <c r="IOA120" s="225"/>
      <c r="IOB120" s="225"/>
      <c r="IOC120" s="225"/>
      <c r="IOD120" s="225"/>
      <c r="IOE120" s="225"/>
      <c r="IOF120" s="225"/>
      <c r="IOG120" s="225"/>
      <c r="IOH120" s="225"/>
      <c r="IOI120" s="225"/>
      <c r="IOJ120" s="225"/>
      <c r="IOK120" s="225"/>
      <c r="IOL120" s="225"/>
      <c r="IOM120" s="225"/>
      <c r="ION120" s="225"/>
      <c r="IOO120" s="225"/>
      <c r="IOP120" s="225"/>
      <c r="IOQ120" s="225"/>
      <c r="IOR120" s="225"/>
      <c r="IOS120" s="225"/>
      <c r="IOT120" s="225"/>
      <c r="IOU120" s="225"/>
      <c r="IOV120" s="225"/>
      <c r="IOW120" s="225"/>
      <c r="IOX120" s="225"/>
      <c r="IOY120" s="225"/>
      <c r="IOZ120" s="225"/>
      <c r="IPA120" s="225"/>
      <c r="IPB120" s="225"/>
      <c r="IPC120" s="225"/>
      <c r="IPD120" s="225"/>
      <c r="IPE120" s="225"/>
      <c r="IPF120" s="225"/>
      <c r="IPG120" s="225"/>
      <c r="IPH120" s="225"/>
      <c r="IPI120" s="225"/>
      <c r="IPJ120" s="225"/>
      <c r="IPK120" s="225"/>
      <c r="IPL120" s="225"/>
      <c r="IPM120" s="225"/>
      <c r="IPN120" s="225"/>
      <c r="IPO120" s="225"/>
      <c r="IPP120" s="225"/>
      <c r="IPQ120" s="225"/>
      <c r="IPR120" s="225"/>
      <c r="IPS120" s="225"/>
      <c r="IPT120" s="225"/>
      <c r="IPU120" s="225"/>
      <c r="IPV120" s="225"/>
      <c r="IPW120" s="225"/>
      <c r="IPX120" s="225"/>
      <c r="IPY120" s="225"/>
      <c r="IPZ120" s="225"/>
      <c r="IQA120" s="225"/>
      <c r="IQB120" s="225"/>
      <c r="IQC120" s="225"/>
      <c r="IQD120" s="225"/>
      <c r="IQE120" s="225"/>
      <c r="IQF120" s="225"/>
      <c r="IQG120" s="225"/>
      <c r="IQH120" s="225"/>
      <c r="IQI120" s="225"/>
      <c r="IQJ120" s="225"/>
      <c r="IQK120" s="225"/>
      <c r="IQL120" s="225"/>
      <c r="IQM120" s="225"/>
      <c r="IQN120" s="225"/>
      <c r="IQO120" s="225"/>
      <c r="IQP120" s="225"/>
      <c r="IQQ120" s="225"/>
      <c r="IQR120" s="225"/>
      <c r="IQS120" s="225"/>
      <c r="IQT120" s="225"/>
      <c r="IQU120" s="225"/>
      <c r="IQV120" s="225"/>
      <c r="IQW120" s="225"/>
      <c r="IQX120" s="225"/>
      <c r="IQY120" s="225"/>
      <c r="IQZ120" s="225"/>
      <c r="IRA120" s="225"/>
      <c r="IRB120" s="225"/>
      <c r="IRC120" s="225"/>
      <c r="IRD120" s="225"/>
      <c r="IRE120" s="225"/>
      <c r="IRF120" s="225"/>
      <c r="IRG120" s="225"/>
      <c r="IRH120" s="225"/>
      <c r="IRI120" s="225"/>
      <c r="IRJ120" s="225"/>
      <c r="IRK120" s="225"/>
      <c r="IRL120" s="225"/>
      <c r="IRM120" s="225"/>
      <c r="IRN120" s="225"/>
      <c r="IRO120" s="225"/>
      <c r="IRP120" s="225"/>
      <c r="IRQ120" s="225"/>
      <c r="IRR120" s="225"/>
      <c r="IRS120" s="225"/>
      <c r="IRT120" s="225"/>
      <c r="IRU120" s="225"/>
      <c r="IRV120" s="225"/>
      <c r="IRW120" s="225"/>
      <c r="IRX120" s="225"/>
      <c r="IRY120" s="225"/>
      <c r="IRZ120" s="225"/>
      <c r="ISA120" s="225"/>
      <c r="ISB120" s="225"/>
      <c r="ISC120" s="225"/>
      <c r="ISD120" s="225"/>
      <c r="ISE120" s="225"/>
      <c r="ISF120" s="225"/>
      <c r="ISG120" s="225"/>
      <c r="ISH120" s="225"/>
      <c r="ISI120" s="225"/>
      <c r="ISJ120" s="225"/>
      <c r="ISK120" s="225"/>
      <c r="ISL120" s="225"/>
      <c r="ISM120" s="225"/>
      <c r="ISN120" s="225"/>
      <c r="ISO120" s="225"/>
      <c r="ISP120" s="225"/>
      <c r="ISQ120" s="225"/>
      <c r="ISR120" s="225"/>
      <c r="ISS120" s="225"/>
      <c r="IST120" s="225"/>
      <c r="ISU120" s="225"/>
      <c r="ISV120" s="225"/>
      <c r="ISW120" s="225"/>
      <c r="ISX120" s="225"/>
      <c r="ISY120" s="225"/>
      <c r="ISZ120" s="225"/>
      <c r="ITA120" s="225"/>
      <c r="ITB120" s="225"/>
      <c r="ITC120" s="225"/>
      <c r="ITD120" s="225"/>
      <c r="ITE120" s="225"/>
      <c r="ITF120" s="225"/>
      <c r="ITG120" s="225"/>
      <c r="ITH120" s="225"/>
      <c r="ITI120" s="225"/>
      <c r="ITJ120" s="225"/>
      <c r="ITK120" s="225"/>
      <c r="ITL120" s="225"/>
      <c r="ITM120" s="225"/>
      <c r="ITN120" s="225"/>
      <c r="ITO120" s="225"/>
      <c r="ITP120" s="225"/>
      <c r="ITQ120" s="225"/>
      <c r="ITR120" s="225"/>
      <c r="ITS120" s="225"/>
      <c r="ITT120" s="225"/>
      <c r="ITU120" s="225"/>
      <c r="ITV120" s="225"/>
      <c r="ITW120" s="225"/>
      <c r="ITX120" s="225"/>
      <c r="ITY120" s="225"/>
      <c r="ITZ120" s="225"/>
      <c r="IUA120" s="225"/>
      <c r="IUB120" s="225"/>
      <c r="IUC120" s="225"/>
      <c r="IUD120" s="225"/>
      <c r="IUE120" s="225"/>
      <c r="IUF120" s="225"/>
      <c r="IUG120" s="225"/>
      <c r="IUH120" s="225"/>
      <c r="IUI120" s="225"/>
      <c r="IUJ120" s="225"/>
      <c r="IUK120" s="225"/>
      <c r="IUL120" s="225"/>
      <c r="IUM120" s="225"/>
      <c r="IUN120" s="225"/>
      <c r="IUO120" s="225"/>
      <c r="IUP120" s="225"/>
      <c r="IUQ120" s="225"/>
      <c r="IUR120" s="225"/>
      <c r="IUS120" s="225"/>
      <c r="IUT120" s="225"/>
      <c r="IUU120" s="225"/>
      <c r="IUV120" s="225"/>
      <c r="IUW120" s="225"/>
      <c r="IUX120" s="225"/>
      <c r="IUY120" s="225"/>
      <c r="IUZ120" s="225"/>
      <c r="IVA120" s="225"/>
      <c r="IVB120" s="225"/>
      <c r="IVC120" s="225"/>
      <c r="IVD120" s="225"/>
      <c r="IVE120" s="225"/>
      <c r="IVF120" s="225"/>
      <c r="IVG120" s="225"/>
      <c r="IVH120" s="225"/>
      <c r="IVI120" s="225"/>
      <c r="IVJ120" s="225"/>
      <c r="IVK120" s="225"/>
      <c r="IVL120" s="225"/>
      <c r="IVM120" s="225"/>
      <c r="IVN120" s="225"/>
      <c r="IVO120" s="225"/>
      <c r="IVP120" s="225"/>
      <c r="IVQ120" s="225"/>
      <c r="IVR120" s="225"/>
      <c r="IVS120" s="225"/>
      <c r="IVT120" s="225"/>
      <c r="IVU120" s="225"/>
      <c r="IVV120" s="225"/>
      <c r="IVW120" s="225"/>
      <c r="IVX120" s="225"/>
      <c r="IVY120" s="225"/>
      <c r="IVZ120" s="225"/>
      <c r="IWA120" s="225"/>
      <c r="IWB120" s="225"/>
      <c r="IWC120" s="225"/>
      <c r="IWD120" s="225"/>
      <c r="IWE120" s="225"/>
      <c r="IWF120" s="225"/>
      <c r="IWG120" s="225"/>
      <c r="IWH120" s="225"/>
      <c r="IWI120" s="225"/>
      <c r="IWJ120" s="225"/>
      <c r="IWK120" s="225"/>
      <c r="IWL120" s="225"/>
      <c r="IWM120" s="225"/>
      <c r="IWN120" s="225"/>
      <c r="IWO120" s="225"/>
      <c r="IWP120" s="225"/>
      <c r="IWQ120" s="225"/>
      <c r="IWR120" s="225"/>
      <c r="IWS120" s="225"/>
      <c r="IWT120" s="225"/>
      <c r="IWU120" s="225"/>
      <c r="IWV120" s="225"/>
      <c r="IWW120" s="225"/>
      <c r="IWX120" s="225"/>
      <c r="IWY120" s="225"/>
      <c r="IWZ120" s="225"/>
      <c r="IXA120" s="225"/>
      <c r="IXB120" s="225"/>
      <c r="IXC120" s="225"/>
      <c r="IXD120" s="225"/>
      <c r="IXE120" s="225"/>
      <c r="IXF120" s="225"/>
      <c r="IXG120" s="225"/>
      <c r="IXH120" s="225"/>
      <c r="IXI120" s="225"/>
      <c r="IXJ120" s="225"/>
      <c r="IXK120" s="225"/>
      <c r="IXL120" s="225"/>
      <c r="IXM120" s="225"/>
      <c r="IXN120" s="225"/>
      <c r="IXO120" s="225"/>
      <c r="IXP120" s="225"/>
      <c r="IXQ120" s="225"/>
      <c r="IXR120" s="225"/>
      <c r="IXS120" s="225"/>
      <c r="IXT120" s="225"/>
      <c r="IXU120" s="225"/>
      <c r="IXV120" s="225"/>
      <c r="IXW120" s="225"/>
      <c r="IXX120" s="225"/>
      <c r="IXY120" s="225"/>
      <c r="IXZ120" s="225"/>
      <c r="IYA120" s="225"/>
      <c r="IYB120" s="225"/>
      <c r="IYC120" s="225"/>
      <c r="IYD120" s="225"/>
      <c r="IYE120" s="225"/>
      <c r="IYF120" s="225"/>
      <c r="IYG120" s="225"/>
      <c r="IYH120" s="225"/>
      <c r="IYI120" s="225"/>
      <c r="IYJ120" s="225"/>
      <c r="IYK120" s="225"/>
      <c r="IYL120" s="225"/>
      <c r="IYM120" s="225"/>
      <c r="IYN120" s="225"/>
      <c r="IYO120" s="225"/>
      <c r="IYP120" s="225"/>
      <c r="IYQ120" s="225"/>
      <c r="IYR120" s="225"/>
      <c r="IYS120" s="225"/>
      <c r="IYT120" s="225"/>
      <c r="IYU120" s="225"/>
      <c r="IYV120" s="225"/>
      <c r="IYW120" s="225"/>
      <c r="IYX120" s="225"/>
      <c r="IYY120" s="225"/>
      <c r="IYZ120" s="225"/>
      <c r="IZA120" s="225"/>
      <c r="IZB120" s="225"/>
      <c r="IZC120" s="225"/>
      <c r="IZD120" s="225"/>
      <c r="IZE120" s="225"/>
      <c r="IZF120" s="225"/>
      <c r="IZG120" s="225"/>
      <c r="IZH120" s="225"/>
      <c r="IZI120" s="225"/>
      <c r="IZJ120" s="225"/>
      <c r="IZK120" s="225"/>
      <c r="IZL120" s="225"/>
      <c r="IZM120" s="225"/>
      <c r="IZN120" s="225"/>
      <c r="IZO120" s="225"/>
      <c r="IZP120" s="225"/>
      <c r="IZQ120" s="225"/>
      <c r="IZR120" s="225"/>
      <c r="IZS120" s="225"/>
      <c r="IZT120" s="225"/>
      <c r="IZU120" s="225"/>
      <c r="IZV120" s="225"/>
      <c r="IZW120" s="225"/>
      <c r="IZX120" s="225"/>
      <c r="IZY120" s="225"/>
      <c r="IZZ120" s="225"/>
      <c r="JAA120" s="225"/>
      <c r="JAB120" s="225"/>
      <c r="JAC120" s="225"/>
      <c r="JAD120" s="225"/>
      <c r="JAE120" s="225"/>
      <c r="JAF120" s="225"/>
      <c r="JAG120" s="225"/>
      <c r="JAH120" s="225"/>
      <c r="JAI120" s="225"/>
      <c r="JAJ120" s="225"/>
      <c r="JAK120" s="225"/>
      <c r="JAL120" s="225"/>
      <c r="JAM120" s="225"/>
      <c r="JAN120" s="225"/>
      <c r="JAO120" s="225"/>
      <c r="JAP120" s="225"/>
      <c r="JAQ120" s="225"/>
      <c r="JAR120" s="225"/>
      <c r="JAS120" s="225"/>
      <c r="JAT120" s="225"/>
      <c r="JAU120" s="225"/>
      <c r="JAV120" s="225"/>
      <c r="JAW120" s="225"/>
      <c r="JAX120" s="225"/>
      <c r="JAY120" s="225"/>
      <c r="JAZ120" s="225"/>
      <c r="JBA120" s="225"/>
      <c r="JBB120" s="225"/>
      <c r="JBC120" s="225"/>
      <c r="JBD120" s="225"/>
      <c r="JBE120" s="225"/>
      <c r="JBF120" s="225"/>
      <c r="JBG120" s="225"/>
      <c r="JBH120" s="225"/>
      <c r="JBI120" s="225"/>
      <c r="JBJ120" s="225"/>
      <c r="JBK120" s="225"/>
      <c r="JBL120" s="225"/>
      <c r="JBM120" s="225"/>
      <c r="JBN120" s="225"/>
      <c r="JBO120" s="225"/>
      <c r="JBP120" s="225"/>
      <c r="JBQ120" s="225"/>
      <c r="JBR120" s="225"/>
      <c r="JBS120" s="225"/>
      <c r="JBT120" s="225"/>
      <c r="JBU120" s="225"/>
      <c r="JBV120" s="225"/>
      <c r="JBW120" s="225"/>
      <c r="JBX120" s="225"/>
      <c r="JBY120" s="225"/>
      <c r="JBZ120" s="225"/>
      <c r="JCA120" s="225"/>
      <c r="JCB120" s="225"/>
      <c r="JCC120" s="225"/>
      <c r="JCD120" s="225"/>
      <c r="JCE120" s="225"/>
      <c r="JCF120" s="225"/>
      <c r="JCG120" s="225"/>
      <c r="JCH120" s="225"/>
      <c r="JCI120" s="225"/>
      <c r="JCJ120" s="225"/>
      <c r="JCK120" s="225"/>
      <c r="JCL120" s="225"/>
      <c r="JCM120" s="225"/>
      <c r="JCN120" s="225"/>
      <c r="JCO120" s="225"/>
      <c r="JCP120" s="225"/>
      <c r="JCQ120" s="225"/>
      <c r="JCR120" s="225"/>
      <c r="JCS120" s="225"/>
      <c r="JCT120" s="225"/>
      <c r="JCU120" s="225"/>
      <c r="JCV120" s="225"/>
      <c r="JCW120" s="225"/>
      <c r="JCX120" s="225"/>
      <c r="JCY120" s="225"/>
      <c r="JCZ120" s="225"/>
      <c r="JDA120" s="225"/>
      <c r="JDB120" s="225"/>
      <c r="JDC120" s="225"/>
      <c r="JDD120" s="225"/>
      <c r="JDE120" s="225"/>
      <c r="JDF120" s="225"/>
      <c r="JDG120" s="225"/>
      <c r="JDH120" s="225"/>
      <c r="JDI120" s="225"/>
      <c r="JDJ120" s="225"/>
      <c r="JDK120" s="225"/>
      <c r="JDL120" s="225"/>
      <c r="JDM120" s="225"/>
      <c r="JDN120" s="225"/>
      <c r="JDO120" s="225"/>
      <c r="JDP120" s="225"/>
      <c r="JDQ120" s="225"/>
      <c r="JDR120" s="225"/>
      <c r="JDS120" s="225"/>
      <c r="JDT120" s="225"/>
      <c r="JDU120" s="225"/>
      <c r="JDV120" s="225"/>
      <c r="JDW120" s="225"/>
      <c r="JDX120" s="225"/>
      <c r="JDY120" s="225"/>
      <c r="JDZ120" s="225"/>
      <c r="JEA120" s="225"/>
      <c r="JEB120" s="225"/>
      <c r="JEC120" s="225"/>
      <c r="JED120" s="225"/>
      <c r="JEE120" s="225"/>
      <c r="JEF120" s="225"/>
      <c r="JEG120" s="225"/>
      <c r="JEH120" s="225"/>
      <c r="JEI120" s="225"/>
      <c r="JEJ120" s="225"/>
      <c r="JEK120" s="225"/>
      <c r="JEL120" s="225"/>
      <c r="JEM120" s="225"/>
      <c r="JEN120" s="225"/>
      <c r="JEO120" s="225"/>
      <c r="JEP120" s="225"/>
      <c r="JEQ120" s="225"/>
      <c r="JER120" s="225"/>
      <c r="JES120" s="225"/>
      <c r="JET120" s="225"/>
      <c r="JEU120" s="225"/>
      <c r="JEV120" s="225"/>
      <c r="JEW120" s="225"/>
      <c r="JEX120" s="225"/>
      <c r="JEY120" s="225"/>
      <c r="JEZ120" s="225"/>
      <c r="JFA120" s="225"/>
      <c r="JFB120" s="225"/>
      <c r="JFC120" s="225"/>
      <c r="JFD120" s="225"/>
      <c r="JFE120" s="225"/>
      <c r="JFF120" s="225"/>
      <c r="JFG120" s="225"/>
      <c r="JFH120" s="225"/>
      <c r="JFI120" s="225"/>
      <c r="JFJ120" s="225"/>
      <c r="JFK120" s="225"/>
      <c r="JFL120" s="225"/>
      <c r="JFM120" s="225"/>
      <c r="JFN120" s="225"/>
      <c r="JFO120" s="225"/>
      <c r="JFP120" s="225"/>
      <c r="JFQ120" s="225"/>
      <c r="JFR120" s="225"/>
      <c r="JFS120" s="225"/>
      <c r="JFT120" s="225"/>
      <c r="JFU120" s="225"/>
      <c r="JFV120" s="225"/>
      <c r="JFW120" s="225"/>
      <c r="JFX120" s="225"/>
      <c r="JFY120" s="225"/>
      <c r="JFZ120" s="225"/>
      <c r="JGA120" s="225"/>
      <c r="JGB120" s="225"/>
      <c r="JGC120" s="225"/>
      <c r="JGD120" s="225"/>
      <c r="JGE120" s="225"/>
      <c r="JGF120" s="225"/>
      <c r="JGG120" s="225"/>
      <c r="JGH120" s="225"/>
      <c r="JGI120" s="225"/>
      <c r="JGJ120" s="225"/>
      <c r="JGK120" s="225"/>
      <c r="JGL120" s="225"/>
      <c r="JGM120" s="225"/>
      <c r="JGN120" s="225"/>
      <c r="JGO120" s="225"/>
      <c r="JGP120" s="225"/>
      <c r="JGQ120" s="225"/>
      <c r="JGR120" s="225"/>
      <c r="JGS120" s="225"/>
      <c r="JGT120" s="225"/>
      <c r="JGU120" s="225"/>
      <c r="JGV120" s="225"/>
      <c r="JGW120" s="225"/>
      <c r="JGX120" s="225"/>
      <c r="JGY120" s="225"/>
      <c r="JGZ120" s="225"/>
      <c r="JHA120" s="225"/>
      <c r="JHB120" s="225"/>
      <c r="JHC120" s="225"/>
      <c r="JHD120" s="225"/>
      <c r="JHE120" s="225"/>
      <c r="JHF120" s="225"/>
      <c r="JHG120" s="225"/>
      <c r="JHH120" s="225"/>
      <c r="JHI120" s="225"/>
      <c r="JHJ120" s="225"/>
      <c r="JHK120" s="225"/>
      <c r="JHL120" s="225"/>
      <c r="JHM120" s="225"/>
      <c r="JHN120" s="225"/>
      <c r="JHO120" s="225"/>
      <c r="JHP120" s="225"/>
      <c r="JHQ120" s="225"/>
      <c r="JHR120" s="225"/>
      <c r="JHS120" s="225"/>
      <c r="JHT120" s="225"/>
      <c r="JHU120" s="225"/>
      <c r="JHV120" s="225"/>
      <c r="JHW120" s="225"/>
      <c r="JHX120" s="225"/>
      <c r="JHY120" s="225"/>
      <c r="JHZ120" s="225"/>
      <c r="JIA120" s="225"/>
      <c r="JIB120" s="225"/>
      <c r="JIC120" s="225"/>
      <c r="JID120" s="225"/>
      <c r="JIE120" s="225"/>
      <c r="JIF120" s="225"/>
      <c r="JIG120" s="225"/>
      <c r="JIH120" s="225"/>
      <c r="JII120" s="225"/>
      <c r="JIJ120" s="225"/>
      <c r="JIK120" s="225"/>
      <c r="JIL120" s="225"/>
      <c r="JIM120" s="225"/>
      <c r="JIN120" s="225"/>
      <c r="JIO120" s="225"/>
      <c r="JIP120" s="225"/>
      <c r="JIQ120" s="225"/>
      <c r="JIR120" s="225"/>
      <c r="JIS120" s="225"/>
      <c r="JIT120" s="225"/>
      <c r="JIU120" s="225"/>
      <c r="JIV120" s="225"/>
      <c r="JIW120" s="225"/>
      <c r="JIX120" s="225"/>
      <c r="JIY120" s="225"/>
      <c r="JIZ120" s="225"/>
      <c r="JJA120" s="225"/>
      <c r="JJB120" s="225"/>
      <c r="JJC120" s="225"/>
      <c r="JJD120" s="225"/>
      <c r="JJE120" s="225"/>
      <c r="JJF120" s="225"/>
      <c r="JJG120" s="225"/>
      <c r="JJH120" s="225"/>
      <c r="JJI120" s="225"/>
      <c r="JJJ120" s="225"/>
      <c r="JJK120" s="225"/>
      <c r="JJL120" s="225"/>
      <c r="JJM120" s="225"/>
      <c r="JJN120" s="225"/>
      <c r="JJO120" s="225"/>
      <c r="JJP120" s="225"/>
      <c r="JJQ120" s="225"/>
      <c r="JJR120" s="225"/>
      <c r="JJS120" s="225"/>
      <c r="JJT120" s="225"/>
      <c r="JJU120" s="225"/>
      <c r="JJV120" s="225"/>
      <c r="JJW120" s="225"/>
      <c r="JJX120" s="225"/>
      <c r="JJY120" s="225"/>
      <c r="JJZ120" s="225"/>
      <c r="JKA120" s="225"/>
      <c r="JKB120" s="225"/>
      <c r="JKC120" s="225"/>
      <c r="JKD120" s="225"/>
      <c r="JKE120" s="225"/>
      <c r="JKF120" s="225"/>
      <c r="JKG120" s="225"/>
      <c r="JKH120" s="225"/>
      <c r="JKI120" s="225"/>
      <c r="JKJ120" s="225"/>
      <c r="JKK120" s="225"/>
      <c r="JKL120" s="225"/>
      <c r="JKM120" s="225"/>
      <c r="JKN120" s="225"/>
      <c r="JKO120" s="225"/>
      <c r="JKP120" s="225"/>
      <c r="JKQ120" s="225"/>
      <c r="JKR120" s="225"/>
      <c r="JKS120" s="225"/>
      <c r="JKT120" s="225"/>
      <c r="JKU120" s="225"/>
      <c r="JKV120" s="225"/>
      <c r="JKW120" s="225"/>
      <c r="JKX120" s="225"/>
      <c r="JKY120" s="225"/>
      <c r="JKZ120" s="225"/>
      <c r="JLA120" s="225"/>
      <c r="JLB120" s="225"/>
      <c r="JLC120" s="225"/>
      <c r="JLD120" s="225"/>
      <c r="JLE120" s="225"/>
      <c r="JLF120" s="225"/>
      <c r="JLG120" s="225"/>
      <c r="JLH120" s="225"/>
      <c r="JLI120" s="225"/>
      <c r="JLJ120" s="225"/>
      <c r="JLK120" s="225"/>
      <c r="JLL120" s="225"/>
      <c r="JLM120" s="225"/>
      <c r="JLN120" s="225"/>
      <c r="JLO120" s="225"/>
      <c r="JLP120" s="225"/>
      <c r="JLQ120" s="225"/>
      <c r="JLR120" s="225"/>
      <c r="JLS120" s="225"/>
      <c r="JLT120" s="225"/>
      <c r="JLU120" s="225"/>
      <c r="JLV120" s="225"/>
      <c r="JLW120" s="225"/>
      <c r="JLX120" s="225"/>
      <c r="JLY120" s="225"/>
      <c r="JLZ120" s="225"/>
      <c r="JMA120" s="225"/>
      <c r="JMB120" s="225"/>
      <c r="JMC120" s="225"/>
      <c r="JMD120" s="225"/>
      <c r="JME120" s="225"/>
      <c r="JMF120" s="225"/>
      <c r="JMG120" s="225"/>
      <c r="JMH120" s="225"/>
      <c r="JMI120" s="225"/>
      <c r="JMJ120" s="225"/>
      <c r="JMK120" s="225"/>
      <c r="JML120" s="225"/>
      <c r="JMM120" s="225"/>
      <c r="JMN120" s="225"/>
      <c r="JMO120" s="225"/>
      <c r="JMP120" s="225"/>
      <c r="JMQ120" s="225"/>
      <c r="JMR120" s="225"/>
      <c r="JMS120" s="225"/>
      <c r="JMT120" s="225"/>
      <c r="JMU120" s="225"/>
      <c r="JMV120" s="225"/>
      <c r="JMW120" s="225"/>
      <c r="JMX120" s="225"/>
      <c r="JMY120" s="225"/>
      <c r="JMZ120" s="225"/>
      <c r="JNA120" s="225"/>
      <c r="JNB120" s="225"/>
      <c r="JNC120" s="225"/>
      <c r="JND120" s="225"/>
      <c r="JNE120" s="225"/>
      <c r="JNF120" s="225"/>
      <c r="JNG120" s="225"/>
      <c r="JNH120" s="225"/>
      <c r="JNI120" s="225"/>
      <c r="JNJ120" s="225"/>
      <c r="JNK120" s="225"/>
      <c r="JNL120" s="225"/>
      <c r="JNM120" s="225"/>
      <c r="JNN120" s="225"/>
      <c r="JNO120" s="225"/>
      <c r="JNP120" s="225"/>
      <c r="JNQ120" s="225"/>
      <c r="JNR120" s="225"/>
      <c r="JNS120" s="225"/>
      <c r="JNT120" s="225"/>
      <c r="JNU120" s="225"/>
      <c r="JNV120" s="225"/>
      <c r="JNW120" s="225"/>
      <c r="JNX120" s="225"/>
      <c r="JNY120" s="225"/>
      <c r="JNZ120" s="225"/>
      <c r="JOA120" s="225"/>
      <c r="JOB120" s="225"/>
      <c r="JOC120" s="225"/>
      <c r="JOD120" s="225"/>
      <c r="JOE120" s="225"/>
      <c r="JOF120" s="225"/>
      <c r="JOG120" s="225"/>
      <c r="JOH120" s="225"/>
      <c r="JOI120" s="225"/>
      <c r="JOJ120" s="225"/>
      <c r="JOK120" s="225"/>
      <c r="JOL120" s="225"/>
      <c r="JOM120" s="225"/>
      <c r="JON120" s="225"/>
      <c r="JOO120" s="225"/>
      <c r="JOP120" s="225"/>
      <c r="JOQ120" s="225"/>
      <c r="JOR120" s="225"/>
      <c r="JOS120" s="225"/>
      <c r="JOT120" s="225"/>
      <c r="JOU120" s="225"/>
      <c r="JOV120" s="225"/>
      <c r="JOW120" s="225"/>
      <c r="JOX120" s="225"/>
      <c r="JOY120" s="225"/>
      <c r="JOZ120" s="225"/>
      <c r="JPA120" s="225"/>
      <c r="JPB120" s="225"/>
      <c r="JPC120" s="225"/>
      <c r="JPD120" s="225"/>
      <c r="JPE120" s="225"/>
      <c r="JPF120" s="225"/>
      <c r="JPG120" s="225"/>
      <c r="JPH120" s="225"/>
      <c r="JPI120" s="225"/>
      <c r="JPJ120" s="225"/>
      <c r="JPK120" s="225"/>
      <c r="JPL120" s="225"/>
      <c r="JPM120" s="225"/>
      <c r="JPN120" s="225"/>
      <c r="JPO120" s="225"/>
      <c r="JPP120" s="225"/>
      <c r="JPQ120" s="225"/>
      <c r="JPR120" s="225"/>
      <c r="JPS120" s="225"/>
      <c r="JPT120" s="225"/>
      <c r="JPU120" s="225"/>
      <c r="JPV120" s="225"/>
      <c r="JPW120" s="225"/>
      <c r="JPX120" s="225"/>
      <c r="JPY120" s="225"/>
      <c r="JPZ120" s="225"/>
      <c r="JQA120" s="225"/>
      <c r="JQB120" s="225"/>
      <c r="JQC120" s="225"/>
      <c r="JQD120" s="225"/>
      <c r="JQE120" s="225"/>
      <c r="JQF120" s="225"/>
      <c r="JQG120" s="225"/>
      <c r="JQH120" s="225"/>
      <c r="JQI120" s="225"/>
      <c r="JQJ120" s="225"/>
      <c r="JQK120" s="225"/>
      <c r="JQL120" s="225"/>
      <c r="JQM120" s="225"/>
      <c r="JQN120" s="225"/>
      <c r="JQO120" s="225"/>
      <c r="JQP120" s="225"/>
      <c r="JQQ120" s="225"/>
      <c r="JQR120" s="225"/>
      <c r="JQS120" s="225"/>
      <c r="JQT120" s="225"/>
      <c r="JQU120" s="225"/>
      <c r="JQV120" s="225"/>
      <c r="JQW120" s="225"/>
      <c r="JQX120" s="225"/>
      <c r="JQY120" s="225"/>
      <c r="JQZ120" s="225"/>
      <c r="JRA120" s="225"/>
      <c r="JRB120" s="225"/>
      <c r="JRC120" s="225"/>
      <c r="JRD120" s="225"/>
      <c r="JRE120" s="225"/>
      <c r="JRF120" s="225"/>
      <c r="JRG120" s="225"/>
      <c r="JRH120" s="225"/>
      <c r="JRI120" s="225"/>
      <c r="JRJ120" s="225"/>
      <c r="JRK120" s="225"/>
      <c r="JRL120" s="225"/>
      <c r="JRM120" s="225"/>
      <c r="JRN120" s="225"/>
      <c r="JRO120" s="225"/>
      <c r="JRP120" s="225"/>
      <c r="JRQ120" s="225"/>
      <c r="JRR120" s="225"/>
      <c r="JRS120" s="225"/>
      <c r="JRT120" s="225"/>
      <c r="JRU120" s="225"/>
      <c r="JRV120" s="225"/>
      <c r="JRW120" s="225"/>
      <c r="JRX120" s="225"/>
      <c r="JRY120" s="225"/>
      <c r="JRZ120" s="225"/>
      <c r="JSA120" s="225"/>
      <c r="JSB120" s="225"/>
      <c r="JSC120" s="225"/>
      <c r="JSD120" s="225"/>
      <c r="JSE120" s="225"/>
      <c r="JSF120" s="225"/>
      <c r="JSG120" s="225"/>
      <c r="JSH120" s="225"/>
      <c r="JSI120" s="225"/>
      <c r="JSJ120" s="225"/>
      <c r="JSK120" s="225"/>
      <c r="JSL120" s="225"/>
      <c r="JSM120" s="225"/>
      <c r="JSN120" s="225"/>
      <c r="JSO120" s="225"/>
      <c r="JSP120" s="225"/>
      <c r="JSQ120" s="225"/>
      <c r="JSR120" s="225"/>
      <c r="JSS120" s="225"/>
      <c r="JST120" s="225"/>
      <c r="JSU120" s="225"/>
      <c r="JSV120" s="225"/>
      <c r="JSW120" s="225"/>
      <c r="JSX120" s="225"/>
      <c r="JSY120" s="225"/>
      <c r="JSZ120" s="225"/>
      <c r="JTA120" s="225"/>
      <c r="JTB120" s="225"/>
      <c r="JTC120" s="225"/>
      <c r="JTD120" s="225"/>
      <c r="JTE120" s="225"/>
      <c r="JTF120" s="225"/>
      <c r="JTG120" s="225"/>
      <c r="JTH120" s="225"/>
      <c r="JTI120" s="225"/>
      <c r="JTJ120" s="225"/>
      <c r="JTK120" s="225"/>
      <c r="JTL120" s="225"/>
      <c r="JTM120" s="225"/>
      <c r="JTN120" s="225"/>
      <c r="JTO120" s="225"/>
      <c r="JTP120" s="225"/>
      <c r="JTQ120" s="225"/>
      <c r="JTR120" s="225"/>
      <c r="JTS120" s="225"/>
      <c r="JTT120" s="225"/>
      <c r="JTU120" s="225"/>
      <c r="JTV120" s="225"/>
      <c r="JTW120" s="225"/>
      <c r="JTX120" s="225"/>
      <c r="JTY120" s="225"/>
      <c r="JTZ120" s="225"/>
      <c r="JUA120" s="225"/>
      <c r="JUB120" s="225"/>
      <c r="JUC120" s="225"/>
      <c r="JUD120" s="225"/>
      <c r="JUE120" s="225"/>
      <c r="JUF120" s="225"/>
      <c r="JUG120" s="225"/>
      <c r="JUH120" s="225"/>
      <c r="JUI120" s="225"/>
      <c r="JUJ120" s="225"/>
      <c r="JUK120" s="225"/>
      <c r="JUL120" s="225"/>
      <c r="JUM120" s="225"/>
      <c r="JUN120" s="225"/>
      <c r="JUO120" s="225"/>
      <c r="JUP120" s="225"/>
      <c r="JUQ120" s="225"/>
      <c r="JUR120" s="225"/>
      <c r="JUS120" s="225"/>
      <c r="JUT120" s="225"/>
      <c r="JUU120" s="225"/>
      <c r="JUV120" s="225"/>
      <c r="JUW120" s="225"/>
      <c r="JUX120" s="225"/>
      <c r="JUY120" s="225"/>
      <c r="JUZ120" s="225"/>
      <c r="JVA120" s="225"/>
      <c r="JVB120" s="225"/>
      <c r="JVC120" s="225"/>
      <c r="JVD120" s="225"/>
      <c r="JVE120" s="225"/>
      <c r="JVF120" s="225"/>
      <c r="JVG120" s="225"/>
      <c r="JVH120" s="225"/>
      <c r="JVI120" s="225"/>
      <c r="JVJ120" s="225"/>
      <c r="JVK120" s="225"/>
      <c r="JVL120" s="225"/>
      <c r="JVM120" s="225"/>
      <c r="JVN120" s="225"/>
      <c r="JVO120" s="225"/>
      <c r="JVP120" s="225"/>
      <c r="JVQ120" s="225"/>
      <c r="JVR120" s="225"/>
      <c r="JVS120" s="225"/>
      <c r="JVT120" s="225"/>
      <c r="JVU120" s="225"/>
      <c r="JVV120" s="225"/>
      <c r="JVW120" s="225"/>
      <c r="JVX120" s="225"/>
      <c r="JVY120" s="225"/>
      <c r="JVZ120" s="225"/>
      <c r="JWA120" s="225"/>
      <c r="JWB120" s="225"/>
      <c r="JWC120" s="225"/>
      <c r="JWD120" s="225"/>
      <c r="JWE120" s="225"/>
      <c r="JWF120" s="225"/>
      <c r="JWG120" s="225"/>
      <c r="JWH120" s="225"/>
      <c r="JWI120" s="225"/>
      <c r="JWJ120" s="225"/>
      <c r="JWK120" s="225"/>
      <c r="JWL120" s="225"/>
      <c r="JWM120" s="225"/>
      <c r="JWN120" s="225"/>
      <c r="JWO120" s="225"/>
      <c r="JWP120" s="225"/>
      <c r="JWQ120" s="225"/>
      <c r="JWR120" s="225"/>
      <c r="JWS120" s="225"/>
      <c r="JWT120" s="225"/>
      <c r="JWU120" s="225"/>
      <c r="JWV120" s="225"/>
      <c r="JWW120" s="225"/>
      <c r="JWX120" s="225"/>
      <c r="JWY120" s="225"/>
      <c r="JWZ120" s="225"/>
      <c r="JXA120" s="225"/>
      <c r="JXB120" s="225"/>
      <c r="JXC120" s="225"/>
      <c r="JXD120" s="225"/>
      <c r="JXE120" s="225"/>
      <c r="JXF120" s="225"/>
      <c r="JXG120" s="225"/>
      <c r="JXH120" s="225"/>
      <c r="JXI120" s="225"/>
      <c r="JXJ120" s="225"/>
      <c r="JXK120" s="225"/>
      <c r="JXL120" s="225"/>
      <c r="JXM120" s="225"/>
      <c r="JXN120" s="225"/>
      <c r="JXO120" s="225"/>
      <c r="JXP120" s="225"/>
      <c r="JXQ120" s="225"/>
      <c r="JXR120" s="225"/>
      <c r="JXS120" s="225"/>
      <c r="JXT120" s="225"/>
      <c r="JXU120" s="225"/>
      <c r="JXV120" s="225"/>
      <c r="JXW120" s="225"/>
      <c r="JXX120" s="225"/>
      <c r="JXY120" s="225"/>
      <c r="JXZ120" s="225"/>
      <c r="JYA120" s="225"/>
      <c r="JYB120" s="225"/>
      <c r="JYC120" s="225"/>
      <c r="JYD120" s="225"/>
      <c r="JYE120" s="225"/>
      <c r="JYF120" s="225"/>
      <c r="JYG120" s="225"/>
      <c r="JYH120" s="225"/>
      <c r="JYI120" s="225"/>
      <c r="JYJ120" s="225"/>
      <c r="JYK120" s="225"/>
      <c r="JYL120" s="225"/>
      <c r="JYM120" s="225"/>
      <c r="JYN120" s="225"/>
      <c r="JYO120" s="225"/>
      <c r="JYP120" s="225"/>
      <c r="JYQ120" s="225"/>
      <c r="JYR120" s="225"/>
      <c r="JYS120" s="225"/>
      <c r="JYT120" s="225"/>
      <c r="JYU120" s="225"/>
      <c r="JYV120" s="225"/>
      <c r="JYW120" s="225"/>
      <c r="JYX120" s="225"/>
      <c r="JYY120" s="225"/>
      <c r="JYZ120" s="225"/>
      <c r="JZA120" s="225"/>
      <c r="JZB120" s="225"/>
      <c r="JZC120" s="225"/>
      <c r="JZD120" s="225"/>
      <c r="JZE120" s="225"/>
      <c r="JZF120" s="225"/>
      <c r="JZG120" s="225"/>
      <c r="JZH120" s="225"/>
      <c r="JZI120" s="225"/>
      <c r="JZJ120" s="225"/>
      <c r="JZK120" s="225"/>
      <c r="JZL120" s="225"/>
      <c r="JZM120" s="225"/>
      <c r="JZN120" s="225"/>
      <c r="JZO120" s="225"/>
      <c r="JZP120" s="225"/>
      <c r="JZQ120" s="225"/>
      <c r="JZR120" s="225"/>
      <c r="JZS120" s="225"/>
      <c r="JZT120" s="225"/>
      <c r="JZU120" s="225"/>
      <c r="JZV120" s="225"/>
      <c r="JZW120" s="225"/>
      <c r="JZX120" s="225"/>
      <c r="JZY120" s="225"/>
      <c r="JZZ120" s="225"/>
      <c r="KAA120" s="225"/>
      <c r="KAB120" s="225"/>
      <c r="KAC120" s="225"/>
      <c r="KAD120" s="225"/>
      <c r="KAE120" s="225"/>
      <c r="KAF120" s="225"/>
      <c r="KAG120" s="225"/>
      <c r="KAH120" s="225"/>
      <c r="KAI120" s="225"/>
      <c r="KAJ120" s="225"/>
      <c r="KAK120" s="225"/>
      <c r="KAL120" s="225"/>
      <c r="KAM120" s="225"/>
      <c r="KAN120" s="225"/>
      <c r="KAO120" s="225"/>
      <c r="KAP120" s="225"/>
      <c r="KAQ120" s="225"/>
      <c r="KAR120" s="225"/>
      <c r="KAS120" s="225"/>
      <c r="KAT120" s="225"/>
      <c r="KAU120" s="225"/>
      <c r="KAV120" s="225"/>
      <c r="KAW120" s="225"/>
      <c r="KAX120" s="225"/>
      <c r="KAY120" s="225"/>
      <c r="KAZ120" s="225"/>
      <c r="KBA120" s="225"/>
      <c r="KBB120" s="225"/>
      <c r="KBC120" s="225"/>
      <c r="KBD120" s="225"/>
      <c r="KBE120" s="225"/>
      <c r="KBF120" s="225"/>
      <c r="KBG120" s="225"/>
      <c r="KBH120" s="225"/>
      <c r="KBI120" s="225"/>
      <c r="KBJ120" s="225"/>
      <c r="KBK120" s="225"/>
      <c r="KBL120" s="225"/>
      <c r="KBM120" s="225"/>
      <c r="KBN120" s="225"/>
      <c r="KBO120" s="225"/>
      <c r="KBP120" s="225"/>
      <c r="KBQ120" s="225"/>
      <c r="KBR120" s="225"/>
      <c r="KBS120" s="225"/>
      <c r="KBT120" s="225"/>
      <c r="KBU120" s="225"/>
      <c r="KBV120" s="225"/>
      <c r="KBW120" s="225"/>
      <c r="KBX120" s="225"/>
      <c r="KBY120" s="225"/>
      <c r="KBZ120" s="225"/>
      <c r="KCA120" s="225"/>
      <c r="KCB120" s="225"/>
      <c r="KCC120" s="225"/>
      <c r="KCD120" s="225"/>
      <c r="KCE120" s="225"/>
      <c r="KCF120" s="225"/>
      <c r="KCG120" s="225"/>
      <c r="KCH120" s="225"/>
      <c r="KCI120" s="225"/>
      <c r="KCJ120" s="225"/>
      <c r="KCK120" s="225"/>
      <c r="KCL120" s="225"/>
      <c r="KCM120" s="225"/>
      <c r="KCN120" s="225"/>
      <c r="KCO120" s="225"/>
      <c r="KCP120" s="225"/>
      <c r="KCQ120" s="225"/>
      <c r="KCR120" s="225"/>
      <c r="KCS120" s="225"/>
      <c r="KCT120" s="225"/>
      <c r="KCU120" s="225"/>
      <c r="KCV120" s="225"/>
      <c r="KCW120" s="225"/>
      <c r="KCX120" s="225"/>
      <c r="KCY120" s="225"/>
      <c r="KCZ120" s="225"/>
      <c r="KDA120" s="225"/>
      <c r="KDB120" s="225"/>
      <c r="KDC120" s="225"/>
      <c r="KDD120" s="225"/>
      <c r="KDE120" s="225"/>
      <c r="KDF120" s="225"/>
      <c r="KDG120" s="225"/>
      <c r="KDH120" s="225"/>
      <c r="KDI120" s="225"/>
      <c r="KDJ120" s="225"/>
      <c r="KDK120" s="225"/>
      <c r="KDL120" s="225"/>
      <c r="KDM120" s="225"/>
      <c r="KDN120" s="225"/>
      <c r="KDO120" s="225"/>
      <c r="KDP120" s="225"/>
      <c r="KDQ120" s="225"/>
      <c r="KDR120" s="225"/>
      <c r="KDS120" s="225"/>
      <c r="KDT120" s="225"/>
      <c r="KDU120" s="225"/>
      <c r="KDV120" s="225"/>
      <c r="KDW120" s="225"/>
      <c r="KDX120" s="225"/>
      <c r="KDY120" s="225"/>
      <c r="KDZ120" s="225"/>
      <c r="KEA120" s="225"/>
      <c r="KEB120" s="225"/>
      <c r="KEC120" s="225"/>
      <c r="KED120" s="225"/>
      <c r="KEE120" s="225"/>
      <c r="KEF120" s="225"/>
      <c r="KEG120" s="225"/>
      <c r="KEH120" s="225"/>
      <c r="KEI120" s="225"/>
      <c r="KEJ120" s="225"/>
      <c r="KEK120" s="225"/>
      <c r="KEL120" s="225"/>
      <c r="KEM120" s="225"/>
      <c r="KEN120" s="225"/>
      <c r="KEO120" s="225"/>
      <c r="KEP120" s="225"/>
      <c r="KEQ120" s="225"/>
      <c r="KER120" s="225"/>
      <c r="KES120" s="225"/>
      <c r="KET120" s="225"/>
      <c r="KEU120" s="225"/>
      <c r="KEV120" s="225"/>
      <c r="KEW120" s="225"/>
      <c r="KEX120" s="225"/>
      <c r="KEY120" s="225"/>
      <c r="KEZ120" s="225"/>
      <c r="KFA120" s="225"/>
      <c r="KFB120" s="225"/>
      <c r="KFC120" s="225"/>
      <c r="KFD120" s="225"/>
      <c r="KFE120" s="225"/>
      <c r="KFF120" s="225"/>
      <c r="KFG120" s="225"/>
      <c r="KFH120" s="225"/>
      <c r="KFI120" s="225"/>
      <c r="KFJ120" s="225"/>
      <c r="KFK120" s="225"/>
      <c r="KFL120" s="225"/>
      <c r="KFM120" s="225"/>
      <c r="KFN120" s="225"/>
      <c r="KFO120" s="225"/>
      <c r="KFP120" s="225"/>
      <c r="KFQ120" s="225"/>
      <c r="KFR120" s="225"/>
      <c r="KFS120" s="225"/>
      <c r="KFT120" s="225"/>
      <c r="KFU120" s="225"/>
      <c r="KFV120" s="225"/>
      <c r="KFW120" s="225"/>
      <c r="KFX120" s="225"/>
      <c r="KFY120" s="225"/>
      <c r="KFZ120" s="225"/>
      <c r="KGA120" s="225"/>
      <c r="KGB120" s="225"/>
      <c r="KGC120" s="225"/>
      <c r="KGD120" s="225"/>
      <c r="KGE120" s="225"/>
      <c r="KGF120" s="225"/>
      <c r="KGG120" s="225"/>
      <c r="KGH120" s="225"/>
      <c r="KGI120" s="225"/>
      <c r="KGJ120" s="225"/>
      <c r="KGK120" s="225"/>
      <c r="KGL120" s="225"/>
      <c r="KGM120" s="225"/>
      <c r="KGN120" s="225"/>
      <c r="KGO120" s="225"/>
      <c r="KGP120" s="225"/>
      <c r="KGQ120" s="225"/>
      <c r="KGR120" s="225"/>
      <c r="KGS120" s="225"/>
      <c r="KGT120" s="225"/>
      <c r="KGU120" s="225"/>
      <c r="KGV120" s="225"/>
      <c r="KGW120" s="225"/>
      <c r="KGX120" s="225"/>
      <c r="KGY120" s="225"/>
      <c r="KGZ120" s="225"/>
      <c r="KHA120" s="225"/>
      <c r="KHB120" s="225"/>
      <c r="KHC120" s="225"/>
      <c r="KHD120" s="225"/>
      <c r="KHE120" s="225"/>
      <c r="KHF120" s="225"/>
      <c r="KHG120" s="225"/>
      <c r="KHH120" s="225"/>
      <c r="KHI120" s="225"/>
      <c r="KHJ120" s="225"/>
      <c r="KHK120" s="225"/>
      <c r="KHL120" s="225"/>
      <c r="KHM120" s="225"/>
      <c r="KHN120" s="225"/>
      <c r="KHO120" s="225"/>
      <c r="KHP120" s="225"/>
      <c r="KHQ120" s="225"/>
      <c r="KHR120" s="225"/>
      <c r="KHS120" s="225"/>
      <c r="KHT120" s="225"/>
      <c r="KHU120" s="225"/>
      <c r="KHV120" s="225"/>
      <c r="KHW120" s="225"/>
      <c r="KHX120" s="225"/>
      <c r="KHY120" s="225"/>
      <c r="KHZ120" s="225"/>
      <c r="KIA120" s="225"/>
      <c r="KIB120" s="225"/>
      <c r="KIC120" s="225"/>
      <c r="KID120" s="225"/>
      <c r="KIE120" s="225"/>
      <c r="KIF120" s="225"/>
      <c r="KIG120" s="225"/>
      <c r="KIH120" s="225"/>
      <c r="KII120" s="225"/>
      <c r="KIJ120" s="225"/>
      <c r="KIK120" s="225"/>
      <c r="KIL120" s="225"/>
      <c r="KIM120" s="225"/>
      <c r="KIN120" s="225"/>
      <c r="KIO120" s="225"/>
      <c r="KIP120" s="225"/>
      <c r="KIQ120" s="225"/>
      <c r="KIR120" s="225"/>
      <c r="KIS120" s="225"/>
      <c r="KIT120" s="225"/>
      <c r="KIU120" s="225"/>
      <c r="KIV120" s="225"/>
      <c r="KIW120" s="225"/>
      <c r="KIX120" s="225"/>
      <c r="KIY120" s="225"/>
      <c r="KIZ120" s="225"/>
      <c r="KJA120" s="225"/>
      <c r="KJB120" s="225"/>
      <c r="KJC120" s="225"/>
      <c r="KJD120" s="225"/>
      <c r="KJE120" s="225"/>
      <c r="KJF120" s="225"/>
      <c r="KJG120" s="225"/>
      <c r="KJH120" s="225"/>
      <c r="KJI120" s="225"/>
      <c r="KJJ120" s="225"/>
      <c r="KJK120" s="225"/>
      <c r="KJL120" s="225"/>
      <c r="KJM120" s="225"/>
      <c r="KJN120" s="225"/>
      <c r="KJO120" s="225"/>
      <c r="KJP120" s="225"/>
      <c r="KJQ120" s="225"/>
      <c r="KJR120" s="225"/>
      <c r="KJS120" s="225"/>
      <c r="KJT120" s="225"/>
      <c r="KJU120" s="225"/>
      <c r="KJV120" s="225"/>
      <c r="KJW120" s="225"/>
      <c r="KJX120" s="225"/>
      <c r="KJY120" s="225"/>
      <c r="KJZ120" s="225"/>
      <c r="KKA120" s="225"/>
      <c r="KKB120" s="225"/>
      <c r="KKC120" s="225"/>
      <c r="KKD120" s="225"/>
      <c r="KKE120" s="225"/>
      <c r="KKF120" s="225"/>
      <c r="KKG120" s="225"/>
      <c r="KKH120" s="225"/>
      <c r="KKI120" s="225"/>
      <c r="KKJ120" s="225"/>
      <c r="KKK120" s="225"/>
      <c r="KKL120" s="225"/>
      <c r="KKM120" s="225"/>
      <c r="KKN120" s="225"/>
      <c r="KKO120" s="225"/>
      <c r="KKP120" s="225"/>
      <c r="KKQ120" s="225"/>
      <c r="KKR120" s="225"/>
      <c r="KKS120" s="225"/>
      <c r="KKT120" s="225"/>
      <c r="KKU120" s="225"/>
      <c r="KKV120" s="225"/>
      <c r="KKW120" s="225"/>
      <c r="KKX120" s="225"/>
      <c r="KKY120" s="225"/>
      <c r="KKZ120" s="225"/>
      <c r="KLA120" s="225"/>
      <c r="KLB120" s="225"/>
      <c r="KLC120" s="225"/>
      <c r="KLD120" s="225"/>
      <c r="KLE120" s="225"/>
      <c r="KLF120" s="225"/>
      <c r="KLG120" s="225"/>
      <c r="KLH120" s="225"/>
      <c r="KLI120" s="225"/>
      <c r="KLJ120" s="225"/>
      <c r="KLK120" s="225"/>
      <c r="KLL120" s="225"/>
      <c r="KLM120" s="225"/>
      <c r="KLN120" s="225"/>
      <c r="KLO120" s="225"/>
      <c r="KLP120" s="225"/>
      <c r="KLQ120" s="225"/>
      <c r="KLR120" s="225"/>
      <c r="KLS120" s="225"/>
      <c r="KLT120" s="225"/>
      <c r="KLU120" s="225"/>
      <c r="KLV120" s="225"/>
      <c r="KLW120" s="225"/>
      <c r="KLX120" s="225"/>
      <c r="KLY120" s="225"/>
      <c r="KLZ120" s="225"/>
      <c r="KMA120" s="225"/>
      <c r="KMB120" s="225"/>
      <c r="KMC120" s="225"/>
      <c r="KMD120" s="225"/>
      <c r="KME120" s="225"/>
      <c r="KMF120" s="225"/>
      <c r="KMG120" s="225"/>
      <c r="KMH120" s="225"/>
      <c r="KMI120" s="225"/>
      <c r="KMJ120" s="225"/>
      <c r="KMK120" s="225"/>
      <c r="KML120" s="225"/>
      <c r="KMM120" s="225"/>
      <c r="KMN120" s="225"/>
      <c r="KMO120" s="225"/>
      <c r="KMP120" s="225"/>
      <c r="KMQ120" s="225"/>
      <c r="KMR120" s="225"/>
      <c r="KMS120" s="225"/>
      <c r="KMT120" s="225"/>
      <c r="KMU120" s="225"/>
      <c r="KMV120" s="225"/>
      <c r="KMW120" s="225"/>
      <c r="KMX120" s="225"/>
      <c r="KMY120" s="225"/>
      <c r="KMZ120" s="225"/>
      <c r="KNA120" s="225"/>
      <c r="KNB120" s="225"/>
      <c r="KNC120" s="225"/>
      <c r="KND120" s="225"/>
      <c r="KNE120" s="225"/>
      <c r="KNF120" s="225"/>
      <c r="KNG120" s="225"/>
      <c r="KNH120" s="225"/>
      <c r="KNI120" s="225"/>
      <c r="KNJ120" s="225"/>
      <c r="KNK120" s="225"/>
      <c r="KNL120" s="225"/>
      <c r="KNM120" s="225"/>
      <c r="KNN120" s="225"/>
      <c r="KNO120" s="225"/>
      <c r="KNP120" s="225"/>
      <c r="KNQ120" s="225"/>
      <c r="KNR120" s="225"/>
      <c r="KNS120" s="225"/>
      <c r="KNT120" s="225"/>
      <c r="KNU120" s="225"/>
      <c r="KNV120" s="225"/>
      <c r="KNW120" s="225"/>
      <c r="KNX120" s="225"/>
      <c r="KNY120" s="225"/>
      <c r="KNZ120" s="225"/>
      <c r="KOA120" s="225"/>
      <c r="KOB120" s="225"/>
      <c r="KOC120" s="225"/>
      <c r="KOD120" s="225"/>
      <c r="KOE120" s="225"/>
      <c r="KOF120" s="225"/>
      <c r="KOG120" s="225"/>
      <c r="KOH120" s="225"/>
      <c r="KOI120" s="225"/>
      <c r="KOJ120" s="225"/>
      <c r="KOK120" s="225"/>
      <c r="KOL120" s="225"/>
      <c r="KOM120" s="225"/>
      <c r="KON120" s="225"/>
      <c r="KOO120" s="225"/>
      <c r="KOP120" s="225"/>
      <c r="KOQ120" s="225"/>
      <c r="KOR120" s="225"/>
      <c r="KOS120" s="225"/>
      <c r="KOT120" s="225"/>
      <c r="KOU120" s="225"/>
      <c r="KOV120" s="225"/>
      <c r="KOW120" s="225"/>
      <c r="KOX120" s="225"/>
      <c r="KOY120" s="225"/>
      <c r="KOZ120" s="225"/>
      <c r="KPA120" s="225"/>
      <c r="KPB120" s="225"/>
      <c r="KPC120" s="225"/>
      <c r="KPD120" s="225"/>
      <c r="KPE120" s="225"/>
      <c r="KPF120" s="225"/>
      <c r="KPG120" s="225"/>
      <c r="KPH120" s="225"/>
      <c r="KPI120" s="225"/>
      <c r="KPJ120" s="225"/>
      <c r="KPK120" s="225"/>
      <c r="KPL120" s="225"/>
      <c r="KPM120" s="225"/>
      <c r="KPN120" s="225"/>
      <c r="KPO120" s="225"/>
      <c r="KPP120" s="225"/>
      <c r="KPQ120" s="225"/>
      <c r="KPR120" s="225"/>
      <c r="KPS120" s="225"/>
      <c r="KPT120" s="225"/>
      <c r="KPU120" s="225"/>
      <c r="KPV120" s="225"/>
      <c r="KPW120" s="225"/>
      <c r="KPX120" s="225"/>
      <c r="KPY120" s="225"/>
      <c r="KPZ120" s="225"/>
      <c r="KQA120" s="225"/>
      <c r="KQB120" s="225"/>
      <c r="KQC120" s="225"/>
      <c r="KQD120" s="225"/>
      <c r="KQE120" s="225"/>
      <c r="KQF120" s="225"/>
      <c r="KQG120" s="225"/>
      <c r="KQH120" s="225"/>
      <c r="KQI120" s="225"/>
      <c r="KQJ120" s="225"/>
      <c r="KQK120" s="225"/>
      <c r="KQL120" s="225"/>
      <c r="KQM120" s="225"/>
      <c r="KQN120" s="225"/>
      <c r="KQO120" s="225"/>
      <c r="KQP120" s="225"/>
      <c r="KQQ120" s="225"/>
      <c r="KQR120" s="225"/>
      <c r="KQS120" s="225"/>
      <c r="KQT120" s="225"/>
      <c r="KQU120" s="225"/>
      <c r="KQV120" s="225"/>
      <c r="KQW120" s="225"/>
      <c r="KQX120" s="225"/>
      <c r="KQY120" s="225"/>
      <c r="KQZ120" s="225"/>
      <c r="KRA120" s="225"/>
      <c r="KRB120" s="225"/>
      <c r="KRC120" s="225"/>
      <c r="KRD120" s="225"/>
      <c r="KRE120" s="225"/>
      <c r="KRF120" s="225"/>
      <c r="KRG120" s="225"/>
      <c r="KRH120" s="225"/>
      <c r="KRI120" s="225"/>
      <c r="KRJ120" s="225"/>
      <c r="KRK120" s="225"/>
      <c r="KRL120" s="225"/>
      <c r="KRM120" s="225"/>
      <c r="KRN120" s="225"/>
      <c r="KRO120" s="225"/>
      <c r="KRP120" s="225"/>
      <c r="KRQ120" s="225"/>
      <c r="KRR120" s="225"/>
      <c r="KRS120" s="225"/>
      <c r="KRT120" s="225"/>
      <c r="KRU120" s="225"/>
      <c r="KRV120" s="225"/>
      <c r="KRW120" s="225"/>
      <c r="KRX120" s="225"/>
      <c r="KRY120" s="225"/>
      <c r="KRZ120" s="225"/>
      <c r="KSA120" s="225"/>
      <c r="KSB120" s="225"/>
      <c r="KSC120" s="225"/>
      <c r="KSD120" s="225"/>
      <c r="KSE120" s="225"/>
      <c r="KSF120" s="225"/>
      <c r="KSG120" s="225"/>
      <c r="KSH120" s="225"/>
      <c r="KSI120" s="225"/>
      <c r="KSJ120" s="225"/>
      <c r="KSK120" s="225"/>
      <c r="KSL120" s="225"/>
      <c r="KSM120" s="225"/>
      <c r="KSN120" s="225"/>
      <c r="KSO120" s="225"/>
      <c r="KSP120" s="225"/>
      <c r="KSQ120" s="225"/>
      <c r="KSR120" s="225"/>
      <c r="KSS120" s="225"/>
      <c r="KST120" s="225"/>
      <c r="KSU120" s="225"/>
      <c r="KSV120" s="225"/>
      <c r="KSW120" s="225"/>
      <c r="KSX120" s="225"/>
      <c r="KSY120" s="225"/>
      <c r="KSZ120" s="225"/>
      <c r="KTA120" s="225"/>
      <c r="KTB120" s="225"/>
      <c r="KTC120" s="225"/>
      <c r="KTD120" s="225"/>
      <c r="KTE120" s="225"/>
      <c r="KTF120" s="225"/>
      <c r="KTG120" s="225"/>
      <c r="KTH120" s="225"/>
      <c r="KTI120" s="225"/>
      <c r="KTJ120" s="225"/>
      <c r="KTK120" s="225"/>
      <c r="KTL120" s="225"/>
      <c r="KTM120" s="225"/>
      <c r="KTN120" s="225"/>
      <c r="KTO120" s="225"/>
      <c r="KTP120" s="225"/>
      <c r="KTQ120" s="225"/>
      <c r="KTR120" s="225"/>
      <c r="KTS120" s="225"/>
      <c r="KTT120" s="225"/>
      <c r="KTU120" s="225"/>
      <c r="KTV120" s="225"/>
      <c r="KTW120" s="225"/>
      <c r="KTX120" s="225"/>
      <c r="KTY120" s="225"/>
      <c r="KTZ120" s="225"/>
      <c r="KUA120" s="225"/>
      <c r="KUB120" s="225"/>
      <c r="KUC120" s="225"/>
      <c r="KUD120" s="225"/>
      <c r="KUE120" s="225"/>
      <c r="KUF120" s="225"/>
      <c r="KUG120" s="225"/>
      <c r="KUH120" s="225"/>
      <c r="KUI120" s="225"/>
      <c r="KUJ120" s="225"/>
      <c r="KUK120" s="225"/>
      <c r="KUL120" s="225"/>
      <c r="KUM120" s="225"/>
      <c r="KUN120" s="225"/>
      <c r="KUO120" s="225"/>
      <c r="KUP120" s="225"/>
      <c r="KUQ120" s="225"/>
      <c r="KUR120" s="225"/>
      <c r="KUS120" s="225"/>
      <c r="KUT120" s="225"/>
      <c r="KUU120" s="225"/>
      <c r="KUV120" s="225"/>
      <c r="KUW120" s="225"/>
      <c r="KUX120" s="225"/>
      <c r="KUY120" s="225"/>
      <c r="KUZ120" s="225"/>
      <c r="KVA120" s="225"/>
      <c r="KVB120" s="225"/>
      <c r="KVC120" s="225"/>
      <c r="KVD120" s="225"/>
      <c r="KVE120" s="225"/>
      <c r="KVF120" s="225"/>
      <c r="KVG120" s="225"/>
      <c r="KVH120" s="225"/>
      <c r="KVI120" s="225"/>
      <c r="KVJ120" s="225"/>
      <c r="KVK120" s="225"/>
      <c r="KVL120" s="225"/>
      <c r="KVM120" s="225"/>
      <c r="KVN120" s="225"/>
      <c r="KVO120" s="225"/>
      <c r="KVP120" s="225"/>
      <c r="KVQ120" s="225"/>
      <c r="KVR120" s="225"/>
      <c r="KVS120" s="225"/>
      <c r="KVT120" s="225"/>
      <c r="KVU120" s="225"/>
      <c r="KVV120" s="225"/>
      <c r="KVW120" s="225"/>
      <c r="KVX120" s="225"/>
      <c r="KVY120" s="225"/>
      <c r="KVZ120" s="225"/>
      <c r="KWA120" s="225"/>
      <c r="KWB120" s="225"/>
      <c r="KWC120" s="225"/>
      <c r="KWD120" s="225"/>
      <c r="KWE120" s="225"/>
      <c r="KWF120" s="225"/>
      <c r="KWG120" s="225"/>
      <c r="KWH120" s="225"/>
      <c r="KWI120" s="225"/>
      <c r="KWJ120" s="225"/>
      <c r="KWK120" s="225"/>
      <c r="KWL120" s="225"/>
      <c r="KWM120" s="225"/>
      <c r="KWN120" s="225"/>
      <c r="KWO120" s="225"/>
      <c r="KWP120" s="225"/>
      <c r="KWQ120" s="225"/>
      <c r="KWR120" s="225"/>
      <c r="KWS120" s="225"/>
      <c r="KWT120" s="225"/>
      <c r="KWU120" s="225"/>
      <c r="KWV120" s="225"/>
      <c r="KWW120" s="225"/>
      <c r="KWX120" s="225"/>
      <c r="KWY120" s="225"/>
      <c r="KWZ120" s="225"/>
      <c r="KXA120" s="225"/>
      <c r="KXB120" s="225"/>
      <c r="KXC120" s="225"/>
      <c r="KXD120" s="225"/>
      <c r="KXE120" s="225"/>
      <c r="KXF120" s="225"/>
      <c r="KXG120" s="225"/>
      <c r="KXH120" s="225"/>
      <c r="KXI120" s="225"/>
      <c r="KXJ120" s="225"/>
      <c r="KXK120" s="225"/>
      <c r="KXL120" s="225"/>
      <c r="KXM120" s="225"/>
      <c r="KXN120" s="225"/>
      <c r="KXO120" s="225"/>
      <c r="KXP120" s="225"/>
      <c r="KXQ120" s="225"/>
      <c r="KXR120" s="225"/>
      <c r="KXS120" s="225"/>
      <c r="KXT120" s="225"/>
      <c r="KXU120" s="225"/>
      <c r="KXV120" s="225"/>
      <c r="KXW120" s="225"/>
      <c r="KXX120" s="225"/>
      <c r="KXY120" s="225"/>
      <c r="KXZ120" s="225"/>
      <c r="KYA120" s="225"/>
      <c r="KYB120" s="225"/>
      <c r="KYC120" s="225"/>
      <c r="KYD120" s="225"/>
      <c r="KYE120" s="225"/>
      <c r="KYF120" s="225"/>
      <c r="KYG120" s="225"/>
      <c r="KYH120" s="225"/>
      <c r="KYI120" s="225"/>
      <c r="KYJ120" s="225"/>
      <c r="KYK120" s="225"/>
      <c r="KYL120" s="225"/>
      <c r="KYM120" s="225"/>
      <c r="KYN120" s="225"/>
      <c r="KYO120" s="225"/>
      <c r="KYP120" s="225"/>
      <c r="KYQ120" s="225"/>
      <c r="KYR120" s="225"/>
      <c r="KYS120" s="225"/>
      <c r="KYT120" s="225"/>
      <c r="KYU120" s="225"/>
      <c r="KYV120" s="225"/>
      <c r="KYW120" s="225"/>
      <c r="KYX120" s="225"/>
      <c r="KYY120" s="225"/>
      <c r="KYZ120" s="225"/>
      <c r="KZA120" s="225"/>
      <c r="KZB120" s="225"/>
      <c r="KZC120" s="225"/>
      <c r="KZD120" s="225"/>
      <c r="KZE120" s="225"/>
      <c r="KZF120" s="225"/>
      <c r="KZG120" s="225"/>
      <c r="KZH120" s="225"/>
      <c r="KZI120" s="225"/>
      <c r="KZJ120" s="225"/>
      <c r="KZK120" s="225"/>
      <c r="KZL120" s="225"/>
      <c r="KZM120" s="225"/>
      <c r="KZN120" s="225"/>
      <c r="KZO120" s="225"/>
      <c r="KZP120" s="225"/>
      <c r="KZQ120" s="225"/>
      <c r="KZR120" s="225"/>
      <c r="KZS120" s="225"/>
      <c r="KZT120" s="225"/>
      <c r="KZU120" s="225"/>
      <c r="KZV120" s="225"/>
      <c r="KZW120" s="225"/>
      <c r="KZX120" s="225"/>
      <c r="KZY120" s="225"/>
      <c r="KZZ120" s="225"/>
      <c r="LAA120" s="225"/>
      <c r="LAB120" s="225"/>
      <c r="LAC120" s="225"/>
      <c r="LAD120" s="225"/>
      <c r="LAE120" s="225"/>
      <c r="LAF120" s="225"/>
      <c r="LAG120" s="225"/>
      <c r="LAH120" s="225"/>
      <c r="LAI120" s="225"/>
      <c r="LAJ120" s="225"/>
      <c r="LAK120" s="225"/>
      <c r="LAL120" s="225"/>
      <c r="LAM120" s="225"/>
      <c r="LAN120" s="225"/>
      <c r="LAO120" s="225"/>
      <c r="LAP120" s="225"/>
      <c r="LAQ120" s="225"/>
      <c r="LAR120" s="225"/>
      <c r="LAS120" s="225"/>
      <c r="LAT120" s="225"/>
      <c r="LAU120" s="225"/>
      <c r="LAV120" s="225"/>
      <c r="LAW120" s="225"/>
      <c r="LAX120" s="225"/>
      <c r="LAY120" s="225"/>
      <c r="LAZ120" s="225"/>
      <c r="LBA120" s="225"/>
      <c r="LBB120" s="225"/>
      <c r="LBC120" s="225"/>
      <c r="LBD120" s="225"/>
      <c r="LBE120" s="225"/>
      <c r="LBF120" s="225"/>
      <c r="LBG120" s="225"/>
      <c r="LBH120" s="225"/>
      <c r="LBI120" s="225"/>
      <c r="LBJ120" s="225"/>
      <c r="LBK120" s="225"/>
      <c r="LBL120" s="225"/>
      <c r="LBM120" s="225"/>
      <c r="LBN120" s="225"/>
      <c r="LBO120" s="225"/>
      <c r="LBP120" s="225"/>
      <c r="LBQ120" s="225"/>
      <c r="LBR120" s="225"/>
      <c r="LBS120" s="225"/>
      <c r="LBT120" s="225"/>
      <c r="LBU120" s="225"/>
      <c r="LBV120" s="225"/>
      <c r="LBW120" s="225"/>
      <c r="LBX120" s="225"/>
      <c r="LBY120" s="225"/>
      <c r="LBZ120" s="225"/>
      <c r="LCA120" s="225"/>
      <c r="LCB120" s="225"/>
      <c r="LCC120" s="225"/>
      <c r="LCD120" s="225"/>
      <c r="LCE120" s="225"/>
      <c r="LCF120" s="225"/>
      <c r="LCG120" s="225"/>
      <c r="LCH120" s="225"/>
      <c r="LCI120" s="225"/>
      <c r="LCJ120" s="225"/>
      <c r="LCK120" s="225"/>
      <c r="LCL120" s="225"/>
      <c r="LCM120" s="225"/>
      <c r="LCN120" s="225"/>
      <c r="LCO120" s="225"/>
      <c r="LCP120" s="225"/>
      <c r="LCQ120" s="225"/>
      <c r="LCR120" s="225"/>
      <c r="LCS120" s="225"/>
      <c r="LCT120" s="225"/>
      <c r="LCU120" s="225"/>
      <c r="LCV120" s="225"/>
      <c r="LCW120" s="225"/>
      <c r="LCX120" s="225"/>
      <c r="LCY120" s="225"/>
      <c r="LCZ120" s="225"/>
      <c r="LDA120" s="225"/>
      <c r="LDB120" s="225"/>
      <c r="LDC120" s="225"/>
      <c r="LDD120" s="225"/>
      <c r="LDE120" s="225"/>
      <c r="LDF120" s="225"/>
      <c r="LDG120" s="225"/>
      <c r="LDH120" s="225"/>
      <c r="LDI120" s="225"/>
      <c r="LDJ120" s="225"/>
      <c r="LDK120" s="225"/>
      <c r="LDL120" s="225"/>
      <c r="LDM120" s="225"/>
      <c r="LDN120" s="225"/>
      <c r="LDO120" s="225"/>
      <c r="LDP120" s="225"/>
      <c r="LDQ120" s="225"/>
      <c r="LDR120" s="225"/>
      <c r="LDS120" s="225"/>
      <c r="LDT120" s="225"/>
      <c r="LDU120" s="225"/>
      <c r="LDV120" s="225"/>
      <c r="LDW120" s="225"/>
      <c r="LDX120" s="225"/>
      <c r="LDY120" s="225"/>
      <c r="LDZ120" s="225"/>
      <c r="LEA120" s="225"/>
      <c r="LEB120" s="225"/>
      <c r="LEC120" s="225"/>
      <c r="LED120" s="225"/>
      <c r="LEE120" s="225"/>
      <c r="LEF120" s="225"/>
      <c r="LEG120" s="225"/>
      <c r="LEH120" s="225"/>
      <c r="LEI120" s="225"/>
      <c r="LEJ120" s="225"/>
      <c r="LEK120" s="225"/>
      <c r="LEL120" s="225"/>
      <c r="LEM120" s="225"/>
      <c r="LEN120" s="225"/>
      <c r="LEO120" s="225"/>
      <c r="LEP120" s="225"/>
      <c r="LEQ120" s="225"/>
      <c r="LER120" s="225"/>
      <c r="LES120" s="225"/>
      <c r="LET120" s="225"/>
      <c r="LEU120" s="225"/>
      <c r="LEV120" s="225"/>
      <c r="LEW120" s="225"/>
      <c r="LEX120" s="225"/>
      <c r="LEY120" s="225"/>
      <c r="LEZ120" s="225"/>
      <c r="LFA120" s="225"/>
      <c r="LFB120" s="225"/>
      <c r="LFC120" s="225"/>
      <c r="LFD120" s="225"/>
      <c r="LFE120" s="225"/>
      <c r="LFF120" s="225"/>
      <c r="LFG120" s="225"/>
      <c r="LFH120" s="225"/>
      <c r="LFI120" s="225"/>
      <c r="LFJ120" s="225"/>
      <c r="LFK120" s="225"/>
      <c r="LFL120" s="225"/>
      <c r="LFM120" s="225"/>
      <c r="LFN120" s="225"/>
      <c r="LFO120" s="225"/>
      <c r="LFP120" s="225"/>
      <c r="LFQ120" s="225"/>
      <c r="LFR120" s="225"/>
      <c r="LFS120" s="225"/>
      <c r="LFT120" s="225"/>
      <c r="LFU120" s="225"/>
      <c r="LFV120" s="225"/>
      <c r="LFW120" s="225"/>
      <c r="LFX120" s="225"/>
      <c r="LFY120" s="225"/>
      <c r="LFZ120" s="225"/>
      <c r="LGA120" s="225"/>
      <c r="LGB120" s="225"/>
      <c r="LGC120" s="225"/>
      <c r="LGD120" s="225"/>
      <c r="LGE120" s="225"/>
      <c r="LGF120" s="225"/>
      <c r="LGG120" s="225"/>
      <c r="LGH120" s="225"/>
      <c r="LGI120" s="225"/>
      <c r="LGJ120" s="225"/>
      <c r="LGK120" s="225"/>
      <c r="LGL120" s="225"/>
      <c r="LGM120" s="225"/>
      <c r="LGN120" s="225"/>
      <c r="LGO120" s="225"/>
      <c r="LGP120" s="225"/>
      <c r="LGQ120" s="225"/>
      <c r="LGR120" s="225"/>
      <c r="LGS120" s="225"/>
      <c r="LGT120" s="225"/>
      <c r="LGU120" s="225"/>
      <c r="LGV120" s="225"/>
      <c r="LGW120" s="225"/>
      <c r="LGX120" s="225"/>
      <c r="LGY120" s="225"/>
      <c r="LGZ120" s="225"/>
      <c r="LHA120" s="225"/>
      <c r="LHB120" s="225"/>
      <c r="LHC120" s="225"/>
      <c r="LHD120" s="225"/>
      <c r="LHE120" s="225"/>
      <c r="LHF120" s="225"/>
      <c r="LHG120" s="225"/>
      <c r="LHH120" s="225"/>
      <c r="LHI120" s="225"/>
      <c r="LHJ120" s="225"/>
      <c r="LHK120" s="225"/>
      <c r="LHL120" s="225"/>
      <c r="LHM120" s="225"/>
      <c r="LHN120" s="225"/>
      <c r="LHO120" s="225"/>
      <c r="LHP120" s="225"/>
      <c r="LHQ120" s="225"/>
      <c r="LHR120" s="225"/>
      <c r="LHS120" s="225"/>
      <c r="LHT120" s="225"/>
      <c r="LHU120" s="225"/>
      <c r="LHV120" s="225"/>
      <c r="LHW120" s="225"/>
      <c r="LHX120" s="225"/>
      <c r="LHY120" s="225"/>
      <c r="LHZ120" s="225"/>
      <c r="LIA120" s="225"/>
      <c r="LIB120" s="225"/>
      <c r="LIC120" s="225"/>
      <c r="LID120" s="225"/>
      <c r="LIE120" s="225"/>
      <c r="LIF120" s="225"/>
      <c r="LIG120" s="225"/>
      <c r="LIH120" s="225"/>
      <c r="LII120" s="225"/>
      <c r="LIJ120" s="225"/>
      <c r="LIK120" s="225"/>
      <c r="LIL120" s="225"/>
      <c r="LIM120" s="225"/>
      <c r="LIN120" s="225"/>
      <c r="LIO120" s="225"/>
      <c r="LIP120" s="225"/>
      <c r="LIQ120" s="225"/>
      <c r="LIR120" s="225"/>
      <c r="LIS120" s="225"/>
      <c r="LIT120" s="225"/>
      <c r="LIU120" s="225"/>
      <c r="LIV120" s="225"/>
      <c r="LIW120" s="225"/>
      <c r="LIX120" s="225"/>
      <c r="LIY120" s="225"/>
      <c r="LIZ120" s="225"/>
      <c r="LJA120" s="225"/>
      <c r="LJB120" s="225"/>
      <c r="LJC120" s="225"/>
      <c r="LJD120" s="225"/>
      <c r="LJE120" s="225"/>
      <c r="LJF120" s="225"/>
      <c r="LJG120" s="225"/>
      <c r="LJH120" s="225"/>
      <c r="LJI120" s="225"/>
      <c r="LJJ120" s="225"/>
      <c r="LJK120" s="225"/>
      <c r="LJL120" s="225"/>
      <c r="LJM120" s="225"/>
      <c r="LJN120" s="225"/>
      <c r="LJO120" s="225"/>
      <c r="LJP120" s="225"/>
      <c r="LJQ120" s="225"/>
      <c r="LJR120" s="225"/>
      <c r="LJS120" s="225"/>
      <c r="LJT120" s="225"/>
      <c r="LJU120" s="225"/>
      <c r="LJV120" s="225"/>
      <c r="LJW120" s="225"/>
      <c r="LJX120" s="225"/>
      <c r="LJY120" s="225"/>
      <c r="LJZ120" s="225"/>
      <c r="LKA120" s="225"/>
      <c r="LKB120" s="225"/>
      <c r="LKC120" s="225"/>
      <c r="LKD120" s="225"/>
      <c r="LKE120" s="225"/>
      <c r="LKF120" s="225"/>
      <c r="LKG120" s="225"/>
      <c r="LKH120" s="225"/>
      <c r="LKI120" s="225"/>
      <c r="LKJ120" s="225"/>
      <c r="LKK120" s="225"/>
      <c r="LKL120" s="225"/>
      <c r="LKM120" s="225"/>
      <c r="LKN120" s="225"/>
      <c r="LKO120" s="225"/>
      <c r="LKP120" s="225"/>
      <c r="LKQ120" s="225"/>
      <c r="LKR120" s="225"/>
      <c r="LKS120" s="225"/>
      <c r="LKT120" s="225"/>
      <c r="LKU120" s="225"/>
      <c r="LKV120" s="225"/>
      <c r="LKW120" s="225"/>
      <c r="LKX120" s="225"/>
      <c r="LKY120" s="225"/>
      <c r="LKZ120" s="225"/>
      <c r="LLA120" s="225"/>
      <c r="LLB120" s="225"/>
      <c r="LLC120" s="225"/>
      <c r="LLD120" s="225"/>
      <c r="LLE120" s="225"/>
      <c r="LLF120" s="225"/>
      <c r="LLG120" s="225"/>
      <c r="LLH120" s="225"/>
      <c r="LLI120" s="225"/>
      <c r="LLJ120" s="225"/>
      <c r="LLK120" s="225"/>
      <c r="LLL120" s="225"/>
      <c r="LLM120" s="225"/>
      <c r="LLN120" s="225"/>
      <c r="LLO120" s="225"/>
      <c r="LLP120" s="225"/>
      <c r="LLQ120" s="225"/>
      <c r="LLR120" s="225"/>
      <c r="LLS120" s="225"/>
      <c r="LLT120" s="225"/>
      <c r="LLU120" s="225"/>
      <c r="LLV120" s="225"/>
      <c r="LLW120" s="225"/>
      <c r="LLX120" s="225"/>
      <c r="LLY120" s="225"/>
      <c r="LLZ120" s="225"/>
      <c r="LMA120" s="225"/>
      <c r="LMB120" s="225"/>
      <c r="LMC120" s="225"/>
      <c r="LMD120" s="225"/>
      <c r="LME120" s="225"/>
      <c r="LMF120" s="225"/>
      <c r="LMG120" s="225"/>
      <c r="LMH120" s="225"/>
      <c r="LMI120" s="225"/>
      <c r="LMJ120" s="225"/>
      <c r="LMK120" s="225"/>
      <c r="LML120" s="225"/>
      <c r="LMM120" s="225"/>
      <c r="LMN120" s="225"/>
      <c r="LMO120" s="225"/>
      <c r="LMP120" s="225"/>
      <c r="LMQ120" s="225"/>
      <c r="LMR120" s="225"/>
      <c r="LMS120" s="225"/>
      <c r="LMT120" s="225"/>
      <c r="LMU120" s="225"/>
      <c r="LMV120" s="225"/>
      <c r="LMW120" s="225"/>
      <c r="LMX120" s="225"/>
      <c r="LMY120" s="225"/>
      <c r="LMZ120" s="225"/>
      <c r="LNA120" s="225"/>
      <c r="LNB120" s="225"/>
      <c r="LNC120" s="225"/>
      <c r="LND120" s="225"/>
      <c r="LNE120" s="225"/>
      <c r="LNF120" s="225"/>
      <c r="LNG120" s="225"/>
      <c r="LNH120" s="225"/>
      <c r="LNI120" s="225"/>
      <c r="LNJ120" s="225"/>
      <c r="LNK120" s="225"/>
      <c r="LNL120" s="225"/>
      <c r="LNM120" s="225"/>
      <c r="LNN120" s="225"/>
      <c r="LNO120" s="225"/>
      <c r="LNP120" s="225"/>
      <c r="LNQ120" s="225"/>
      <c r="LNR120" s="225"/>
      <c r="LNS120" s="225"/>
      <c r="LNT120" s="225"/>
      <c r="LNU120" s="225"/>
      <c r="LNV120" s="225"/>
      <c r="LNW120" s="225"/>
      <c r="LNX120" s="225"/>
      <c r="LNY120" s="225"/>
      <c r="LNZ120" s="225"/>
      <c r="LOA120" s="225"/>
      <c r="LOB120" s="225"/>
      <c r="LOC120" s="225"/>
      <c r="LOD120" s="225"/>
      <c r="LOE120" s="225"/>
      <c r="LOF120" s="225"/>
      <c r="LOG120" s="225"/>
      <c r="LOH120" s="225"/>
      <c r="LOI120" s="225"/>
      <c r="LOJ120" s="225"/>
      <c r="LOK120" s="225"/>
      <c r="LOL120" s="225"/>
      <c r="LOM120" s="225"/>
      <c r="LON120" s="225"/>
      <c r="LOO120" s="225"/>
      <c r="LOP120" s="225"/>
      <c r="LOQ120" s="225"/>
      <c r="LOR120" s="225"/>
      <c r="LOS120" s="225"/>
      <c r="LOT120" s="225"/>
      <c r="LOU120" s="225"/>
      <c r="LOV120" s="225"/>
      <c r="LOW120" s="225"/>
      <c r="LOX120" s="225"/>
      <c r="LOY120" s="225"/>
      <c r="LOZ120" s="225"/>
      <c r="LPA120" s="225"/>
      <c r="LPB120" s="225"/>
      <c r="LPC120" s="225"/>
      <c r="LPD120" s="225"/>
      <c r="LPE120" s="225"/>
      <c r="LPF120" s="225"/>
      <c r="LPG120" s="225"/>
      <c r="LPH120" s="225"/>
      <c r="LPI120" s="225"/>
      <c r="LPJ120" s="225"/>
      <c r="LPK120" s="225"/>
      <c r="LPL120" s="225"/>
      <c r="LPM120" s="225"/>
      <c r="LPN120" s="225"/>
      <c r="LPO120" s="225"/>
      <c r="LPP120" s="225"/>
      <c r="LPQ120" s="225"/>
      <c r="LPR120" s="225"/>
      <c r="LPS120" s="225"/>
      <c r="LPT120" s="225"/>
      <c r="LPU120" s="225"/>
      <c r="LPV120" s="225"/>
      <c r="LPW120" s="225"/>
      <c r="LPX120" s="225"/>
      <c r="LPY120" s="225"/>
      <c r="LPZ120" s="225"/>
      <c r="LQA120" s="225"/>
      <c r="LQB120" s="225"/>
      <c r="LQC120" s="225"/>
      <c r="LQD120" s="225"/>
      <c r="LQE120" s="225"/>
      <c r="LQF120" s="225"/>
      <c r="LQG120" s="225"/>
      <c r="LQH120" s="225"/>
      <c r="LQI120" s="225"/>
      <c r="LQJ120" s="225"/>
      <c r="LQK120" s="225"/>
      <c r="LQL120" s="225"/>
      <c r="LQM120" s="225"/>
      <c r="LQN120" s="225"/>
      <c r="LQO120" s="225"/>
      <c r="LQP120" s="225"/>
      <c r="LQQ120" s="225"/>
      <c r="LQR120" s="225"/>
      <c r="LQS120" s="225"/>
      <c r="LQT120" s="225"/>
      <c r="LQU120" s="225"/>
      <c r="LQV120" s="225"/>
      <c r="LQW120" s="225"/>
      <c r="LQX120" s="225"/>
      <c r="LQY120" s="225"/>
      <c r="LQZ120" s="225"/>
      <c r="LRA120" s="225"/>
      <c r="LRB120" s="225"/>
      <c r="LRC120" s="225"/>
      <c r="LRD120" s="225"/>
      <c r="LRE120" s="225"/>
      <c r="LRF120" s="225"/>
      <c r="LRG120" s="225"/>
      <c r="LRH120" s="225"/>
      <c r="LRI120" s="225"/>
      <c r="LRJ120" s="225"/>
      <c r="LRK120" s="225"/>
      <c r="LRL120" s="225"/>
      <c r="LRM120" s="225"/>
      <c r="LRN120" s="225"/>
      <c r="LRO120" s="225"/>
      <c r="LRP120" s="225"/>
      <c r="LRQ120" s="225"/>
      <c r="LRR120" s="225"/>
      <c r="LRS120" s="225"/>
      <c r="LRT120" s="225"/>
      <c r="LRU120" s="225"/>
      <c r="LRV120" s="225"/>
      <c r="LRW120" s="225"/>
      <c r="LRX120" s="225"/>
      <c r="LRY120" s="225"/>
      <c r="LRZ120" s="225"/>
      <c r="LSA120" s="225"/>
      <c r="LSB120" s="225"/>
      <c r="LSC120" s="225"/>
      <c r="LSD120" s="225"/>
      <c r="LSE120" s="225"/>
      <c r="LSF120" s="225"/>
      <c r="LSG120" s="225"/>
      <c r="LSH120" s="225"/>
      <c r="LSI120" s="225"/>
      <c r="LSJ120" s="225"/>
      <c r="LSK120" s="225"/>
      <c r="LSL120" s="225"/>
      <c r="LSM120" s="225"/>
      <c r="LSN120" s="225"/>
      <c r="LSO120" s="225"/>
      <c r="LSP120" s="225"/>
      <c r="LSQ120" s="225"/>
      <c r="LSR120" s="225"/>
      <c r="LSS120" s="225"/>
      <c r="LST120" s="225"/>
      <c r="LSU120" s="225"/>
      <c r="LSV120" s="225"/>
      <c r="LSW120" s="225"/>
      <c r="LSX120" s="225"/>
      <c r="LSY120" s="225"/>
      <c r="LSZ120" s="225"/>
      <c r="LTA120" s="225"/>
      <c r="LTB120" s="225"/>
      <c r="LTC120" s="225"/>
      <c r="LTD120" s="225"/>
      <c r="LTE120" s="225"/>
      <c r="LTF120" s="225"/>
      <c r="LTG120" s="225"/>
      <c r="LTH120" s="225"/>
      <c r="LTI120" s="225"/>
      <c r="LTJ120" s="225"/>
      <c r="LTK120" s="225"/>
      <c r="LTL120" s="225"/>
      <c r="LTM120" s="225"/>
      <c r="LTN120" s="225"/>
      <c r="LTO120" s="225"/>
      <c r="LTP120" s="225"/>
      <c r="LTQ120" s="225"/>
      <c r="LTR120" s="225"/>
      <c r="LTS120" s="225"/>
      <c r="LTT120" s="225"/>
      <c r="LTU120" s="225"/>
      <c r="LTV120" s="225"/>
      <c r="LTW120" s="225"/>
      <c r="LTX120" s="225"/>
      <c r="LTY120" s="225"/>
      <c r="LTZ120" s="225"/>
      <c r="LUA120" s="225"/>
      <c r="LUB120" s="225"/>
      <c r="LUC120" s="225"/>
      <c r="LUD120" s="225"/>
      <c r="LUE120" s="225"/>
      <c r="LUF120" s="225"/>
      <c r="LUG120" s="225"/>
      <c r="LUH120" s="225"/>
      <c r="LUI120" s="225"/>
      <c r="LUJ120" s="225"/>
      <c r="LUK120" s="225"/>
      <c r="LUL120" s="225"/>
      <c r="LUM120" s="225"/>
      <c r="LUN120" s="225"/>
      <c r="LUO120" s="225"/>
      <c r="LUP120" s="225"/>
      <c r="LUQ120" s="225"/>
      <c r="LUR120" s="225"/>
      <c r="LUS120" s="225"/>
      <c r="LUT120" s="225"/>
      <c r="LUU120" s="225"/>
      <c r="LUV120" s="225"/>
      <c r="LUW120" s="225"/>
      <c r="LUX120" s="225"/>
      <c r="LUY120" s="225"/>
      <c r="LUZ120" s="225"/>
      <c r="LVA120" s="225"/>
      <c r="LVB120" s="225"/>
      <c r="LVC120" s="225"/>
      <c r="LVD120" s="225"/>
      <c r="LVE120" s="225"/>
      <c r="LVF120" s="225"/>
      <c r="LVG120" s="225"/>
      <c r="LVH120" s="225"/>
      <c r="LVI120" s="225"/>
      <c r="LVJ120" s="225"/>
      <c r="LVK120" s="225"/>
      <c r="LVL120" s="225"/>
      <c r="LVM120" s="225"/>
      <c r="LVN120" s="225"/>
      <c r="LVO120" s="225"/>
      <c r="LVP120" s="225"/>
      <c r="LVQ120" s="225"/>
      <c r="LVR120" s="225"/>
      <c r="LVS120" s="225"/>
      <c r="LVT120" s="225"/>
      <c r="LVU120" s="225"/>
      <c r="LVV120" s="225"/>
      <c r="LVW120" s="225"/>
      <c r="LVX120" s="225"/>
      <c r="LVY120" s="225"/>
      <c r="LVZ120" s="225"/>
      <c r="LWA120" s="225"/>
      <c r="LWB120" s="225"/>
      <c r="LWC120" s="225"/>
      <c r="LWD120" s="225"/>
      <c r="LWE120" s="225"/>
      <c r="LWF120" s="225"/>
      <c r="LWG120" s="225"/>
      <c r="LWH120" s="225"/>
      <c r="LWI120" s="225"/>
      <c r="LWJ120" s="225"/>
      <c r="LWK120" s="225"/>
      <c r="LWL120" s="225"/>
      <c r="LWM120" s="225"/>
      <c r="LWN120" s="225"/>
      <c r="LWO120" s="225"/>
      <c r="LWP120" s="225"/>
      <c r="LWQ120" s="225"/>
      <c r="LWR120" s="225"/>
      <c r="LWS120" s="225"/>
      <c r="LWT120" s="225"/>
      <c r="LWU120" s="225"/>
      <c r="LWV120" s="225"/>
      <c r="LWW120" s="225"/>
      <c r="LWX120" s="225"/>
      <c r="LWY120" s="225"/>
      <c r="LWZ120" s="225"/>
      <c r="LXA120" s="225"/>
      <c r="LXB120" s="225"/>
      <c r="LXC120" s="225"/>
      <c r="LXD120" s="225"/>
      <c r="LXE120" s="225"/>
      <c r="LXF120" s="225"/>
      <c r="LXG120" s="225"/>
      <c r="LXH120" s="225"/>
      <c r="LXI120" s="225"/>
      <c r="LXJ120" s="225"/>
      <c r="LXK120" s="225"/>
      <c r="LXL120" s="225"/>
      <c r="LXM120" s="225"/>
      <c r="LXN120" s="225"/>
      <c r="LXO120" s="225"/>
      <c r="LXP120" s="225"/>
      <c r="LXQ120" s="225"/>
      <c r="LXR120" s="225"/>
      <c r="LXS120" s="225"/>
      <c r="LXT120" s="225"/>
      <c r="LXU120" s="225"/>
      <c r="LXV120" s="225"/>
      <c r="LXW120" s="225"/>
      <c r="LXX120" s="225"/>
      <c r="LXY120" s="225"/>
      <c r="LXZ120" s="225"/>
      <c r="LYA120" s="225"/>
      <c r="LYB120" s="225"/>
      <c r="LYC120" s="225"/>
      <c r="LYD120" s="225"/>
      <c r="LYE120" s="225"/>
      <c r="LYF120" s="225"/>
      <c r="LYG120" s="225"/>
      <c r="LYH120" s="225"/>
      <c r="LYI120" s="225"/>
      <c r="LYJ120" s="225"/>
      <c r="LYK120" s="225"/>
      <c r="LYL120" s="225"/>
      <c r="LYM120" s="225"/>
      <c r="LYN120" s="225"/>
      <c r="LYO120" s="225"/>
      <c r="LYP120" s="225"/>
      <c r="LYQ120" s="225"/>
      <c r="LYR120" s="225"/>
      <c r="LYS120" s="225"/>
      <c r="LYT120" s="225"/>
      <c r="LYU120" s="225"/>
      <c r="LYV120" s="225"/>
      <c r="LYW120" s="225"/>
      <c r="LYX120" s="225"/>
      <c r="LYY120" s="225"/>
      <c r="LYZ120" s="225"/>
      <c r="LZA120" s="225"/>
      <c r="LZB120" s="225"/>
      <c r="LZC120" s="225"/>
      <c r="LZD120" s="225"/>
      <c r="LZE120" s="225"/>
      <c r="LZF120" s="225"/>
      <c r="LZG120" s="225"/>
      <c r="LZH120" s="225"/>
      <c r="LZI120" s="225"/>
      <c r="LZJ120" s="225"/>
      <c r="LZK120" s="225"/>
      <c r="LZL120" s="225"/>
      <c r="LZM120" s="225"/>
      <c r="LZN120" s="225"/>
      <c r="LZO120" s="225"/>
      <c r="LZP120" s="225"/>
      <c r="LZQ120" s="225"/>
      <c r="LZR120" s="225"/>
      <c r="LZS120" s="225"/>
      <c r="LZT120" s="225"/>
      <c r="LZU120" s="225"/>
      <c r="LZV120" s="225"/>
      <c r="LZW120" s="225"/>
      <c r="LZX120" s="225"/>
      <c r="LZY120" s="225"/>
      <c r="LZZ120" s="225"/>
      <c r="MAA120" s="225"/>
      <c r="MAB120" s="225"/>
      <c r="MAC120" s="225"/>
      <c r="MAD120" s="225"/>
      <c r="MAE120" s="225"/>
      <c r="MAF120" s="225"/>
      <c r="MAG120" s="225"/>
      <c r="MAH120" s="225"/>
      <c r="MAI120" s="225"/>
      <c r="MAJ120" s="225"/>
      <c r="MAK120" s="225"/>
      <c r="MAL120" s="225"/>
      <c r="MAM120" s="225"/>
      <c r="MAN120" s="225"/>
      <c r="MAO120" s="225"/>
      <c r="MAP120" s="225"/>
      <c r="MAQ120" s="225"/>
      <c r="MAR120" s="225"/>
      <c r="MAS120" s="225"/>
      <c r="MAT120" s="225"/>
      <c r="MAU120" s="225"/>
      <c r="MAV120" s="225"/>
      <c r="MAW120" s="225"/>
      <c r="MAX120" s="225"/>
      <c r="MAY120" s="225"/>
      <c r="MAZ120" s="225"/>
      <c r="MBA120" s="225"/>
      <c r="MBB120" s="225"/>
      <c r="MBC120" s="225"/>
      <c r="MBD120" s="225"/>
      <c r="MBE120" s="225"/>
      <c r="MBF120" s="225"/>
      <c r="MBG120" s="225"/>
      <c r="MBH120" s="225"/>
      <c r="MBI120" s="225"/>
      <c r="MBJ120" s="225"/>
      <c r="MBK120" s="225"/>
      <c r="MBL120" s="225"/>
      <c r="MBM120" s="225"/>
      <c r="MBN120" s="225"/>
      <c r="MBO120" s="225"/>
      <c r="MBP120" s="225"/>
      <c r="MBQ120" s="225"/>
      <c r="MBR120" s="225"/>
      <c r="MBS120" s="225"/>
      <c r="MBT120" s="225"/>
      <c r="MBU120" s="225"/>
      <c r="MBV120" s="225"/>
      <c r="MBW120" s="225"/>
      <c r="MBX120" s="225"/>
      <c r="MBY120" s="225"/>
      <c r="MBZ120" s="225"/>
      <c r="MCA120" s="225"/>
      <c r="MCB120" s="225"/>
      <c r="MCC120" s="225"/>
      <c r="MCD120" s="225"/>
      <c r="MCE120" s="225"/>
      <c r="MCF120" s="225"/>
      <c r="MCG120" s="225"/>
      <c r="MCH120" s="225"/>
      <c r="MCI120" s="225"/>
      <c r="MCJ120" s="225"/>
      <c r="MCK120" s="225"/>
      <c r="MCL120" s="225"/>
      <c r="MCM120" s="225"/>
      <c r="MCN120" s="225"/>
      <c r="MCO120" s="225"/>
      <c r="MCP120" s="225"/>
      <c r="MCQ120" s="225"/>
      <c r="MCR120" s="225"/>
      <c r="MCS120" s="225"/>
      <c r="MCT120" s="225"/>
      <c r="MCU120" s="225"/>
      <c r="MCV120" s="225"/>
      <c r="MCW120" s="225"/>
      <c r="MCX120" s="225"/>
      <c r="MCY120" s="225"/>
      <c r="MCZ120" s="225"/>
      <c r="MDA120" s="225"/>
      <c r="MDB120" s="225"/>
      <c r="MDC120" s="225"/>
      <c r="MDD120" s="225"/>
      <c r="MDE120" s="225"/>
      <c r="MDF120" s="225"/>
      <c r="MDG120" s="225"/>
      <c r="MDH120" s="225"/>
      <c r="MDI120" s="225"/>
      <c r="MDJ120" s="225"/>
      <c r="MDK120" s="225"/>
      <c r="MDL120" s="225"/>
      <c r="MDM120" s="225"/>
      <c r="MDN120" s="225"/>
      <c r="MDO120" s="225"/>
      <c r="MDP120" s="225"/>
      <c r="MDQ120" s="225"/>
      <c r="MDR120" s="225"/>
      <c r="MDS120" s="225"/>
      <c r="MDT120" s="225"/>
      <c r="MDU120" s="225"/>
      <c r="MDV120" s="225"/>
      <c r="MDW120" s="225"/>
      <c r="MDX120" s="225"/>
      <c r="MDY120" s="225"/>
      <c r="MDZ120" s="225"/>
      <c r="MEA120" s="225"/>
      <c r="MEB120" s="225"/>
      <c r="MEC120" s="225"/>
      <c r="MED120" s="225"/>
      <c r="MEE120" s="225"/>
      <c r="MEF120" s="225"/>
      <c r="MEG120" s="225"/>
      <c r="MEH120" s="225"/>
      <c r="MEI120" s="225"/>
      <c r="MEJ120" s="225"/>
      <c r="MEK120" s="225"/>
      <c r="MEL120" s="225"/>
      <c r="MEM120" s="225"/>
      <c r="MEN120" s="225"/>
      <c r="MEO120" s="225"/>
      <c r="MEP120" s="225"/>
      <c r="MEQ120" s="225"/>
      <c r="MER120" s="225"/>
      <c r="MES120" s="225"/>
      <c r="MET120" s="225"/>
      <c r="MEU120" s="225"/>
      <c r="MEV120" s="225"/>
      <c r="MEW120" s="225"/>
      <c r="MEX120" s="225"/>
      <c r="MEY120" s="225"/>
      <c r="MEZ120" s="225"/>
      <c r="MFA120" s="225"/>
      <c r="MFB120" s="225"/>
      <c r="MFC120" s="225"/>
      <c r="MFD120" s="225"/>
      <c r="MFE120" s="225"/>
      <c r="MFF120" s="225"/>
      <c r="MFG120" s="225"/>
      <c r="MFH120" s="225"/>
      <c r="MFI120" s="225"/>
      <c r="MFJ120" s="225"/>
      <c r="MFK120" s="225"/>
      <c r="MFL120" s="225"/>
      <c r="MFM120" s="225"/>
      <c r="MFN120" s="225"/>
      <c r="MFO120" s="225"/>
      <c r="MFP120" s="225"/>
      <c r="MFQ120" s="225"/>
      <c r="MFR120" s="225"/>
      <c r="MFS120" s="225"/>
      <c r="MFT120" s="225"/>
      <c r="MFU120" s="225"/>
      <c r="MFV120" s="225"/>
      <c r="MFW120" s="225"/>
      <c r="MFX120" s="225"/>
      <c r="MFY120" s="225"/>
      <c r="MFZ120" s="225"/>
      <c r="MGA120" s="225"/>
      <c r="MGB120" s="225"/>
      <c r="MGC120" s="225"/>
      <c r="MGD120" s="225"/>
      <c r="MGE120" s="225"/>
      <c r="MGF120" s="225"/>
      <c r="MGG120" s="225"/>
      <c r="MGH120" s="225"/>
      <c r="MGI120" s="225"/>
      <c r="MGJ120" s="225"/>
      <c r="MGK120" s="225"/>
      <c r="MGL120" s="225"/>
      <c r="MGM120" s="225"/>
      <c r="MGN120" s="225"/>
      <c r="MGO120" s="225"/>
      <c r="MGP120" s="225"/>
      <c r="MGQ120" s="225"/>
      <c r="MGR120" s="225"/>
      <c r="MGS120" s="225"/>
      <c r="MGT120" s="225"/>
      <c r="MGU120" s="225"/>
      <c r="MGV120" s="225"/>
      <c r="MGW120" s="225"/>
      <c r="MGX120" s="225"/>
      <c r="MGY120" s="225"/>
      <c r="MGZ120" s="225"/>
      <c r="MHA120" s="225"/>
      <c r="MHB120" s="225"/>
      <c r="MHC120" s="225"/>
      <c r="MHD120" s="225"/>
      <c r="MHE120" s="225"/>
      <c r="MHF120" s="225"/>
      <c r="MHG120" s="225"/>
      <c r="MHH120" s="225"/>
      <c r="MHI120" s="225"/>
      <c r="MHJ120" s="225"/>
      <c r="MHK120" s="225"/>
      <c r="MHL120" s="225"/>
      <c r="MHM120" s="225"/>
      <c r="MHN120" s="225"/>
      <c r="MHO120" s="225"/>
      <c r="MHP120" s="225"/>
      <c r="MHQ120" s="225"/>
      <c r="MHR120" s="225"/>
      <c r="MHS120" s="225"/>
      <c r="MHT120" s="225"/>
      <c r="MHU120" s="225"/>
      <c r="MHV120" s="225"/>
      <c r="MHW120" s="225"/>
      <c r="MHX120" s="225"/>
      <c r="MHY120" s="225"/>
      <c r="MHZ120" s="225"/>
      <c r="MIA120" s="225"/>
      <c r="MIB120" s="225"/>
      <c r="MIC120" s="225"/>
      <c r="MID120" s="225"/>
      <c r="MIE120" s="225"/>
      <c r="MIF120" s="225"/>
      <c r="MIG120" s="225"/>
      <c r="MIH120" s="225"/>
      <c r="MII120" s="225"/>
      <c r="MIJ120" s="225"/>
      <c r="MIK120" s="225"/>
      <c r="MIL120" s="225"/>
      <c r="MIM120" s="225"/>
      <c r="MIN120" s="225"/>
      <c r="MIO120" s="225"/>
      <c r="MIP120" s="225"/>
      <c r="MIQ120" s="225"/>
      <c r="MIR120" s="225"/>
      <c r="MIS120" s="225"/>
      <c r="MIT120" s="225"/>
      <c r="MIU120" s="225"/>
      <c r="MIV120" s="225"/>
      <c r="MIW120" s="225"/>
      <c r="MIX120" s="225"/>
      <c r="MIY120" s="225"/>
      <c r="MIZ120" s="225"/>
      <c r="MJA120" s="225"/>
      <c r="MJB120" s="225"/>
      <c r="MJC120" s="225"/>
      <c r="MJD120" s="225"/>
      <c r="MJE120" s="225"/>
      <c r="MJF120" s="225"/>
      <c r="MJG120" s="225"/>
      <c r="MJH120" s="225"/>
      <c r="MJI120" s="225"/>
      <c r="MJJ120" s="225"/>
      <c r="MJK120" s="225"/>
      <c r="MJL120" s="225"/>
      <c r="MJM120" s="225"/>
      <c r="MJN120" s="225"/>
      <c r="MJO120" s="225"/>
      <c r="MJP120" s="225"/>
      <c r="MJQ120" s="225"/>
      <c r="MJR120" s="225"/>
      <c r="MJS120" s="225"/>
      <c r="MJT120" s="225"/>
      <c r="MJU120" s="225"/>
      <c r="MJV120" s="225"/>
      <c r="MJW120" s="225"/>
      <c r="MJX120" s="225"/>
      <c r="MJY120" s="225"/>
      <c r="MJZ120" s="225"/>
      <c r="MKA120" s="225"/>
      <c r="MKB120" s="225"/>
      <c r="MKC120" s="225"/>
      <c r="MKD120" s="225"/>
      <c r="MKE120" s="225"/>
      <c r="MKF120" s="225"/>
      <c r="MKG120" s="225"/>
      <c r="MKH120" s="225"/>
      <c r="MKI120" s="225"/>
      <c r="MKJ120" s="225"/>
      <c r="MKK120" s="225"/>
      <c r="MKL120" s="225"/>
      <c r="MKM120" s="225"/>
      <c r="MKN120" s="225"/>
      <c r="MKO120" s="225"/>
      <c r="MKP120" s="225"/>
      <c r="MKQ120" s="225"/>
      <c r="MKR120" s="225"/>
      <c r="MKS120" s="225"/>
      <c r="MKT120" s="225"/>
      <c r="MKU120" s="225"/>
      <c r="MKV120" s="225"/>
      <c r="MKW120" s="225"/>
      <c r="MKX120" s="225"/>
      <c r="MKY120" s="225"/>
      <c r="MKZ120" s="225"/>
      <c r="MLA120" s="225"/>
      <c r="MLB120" s="225"/>
      <c r="MLC120" s="225"/>
      <c r="MLD120" s="225"/>
      <c r="MLE120" s="225"/>
      <c r="MLF120" s="225"/>
      <c r="MLG120" s="225"/>
      <c r="MLH120" s="225"/>
      <c r="MLI120" s="225"/>
      <c r="MLJ120" s="225"/>
      <c r="MLK120" s="225"/>
      <c r="MLL120" s="225"/>
      <c r="MLM120" s="225"/>
      <c r="MLN120" s="225"/>
      <c r="MLO120" s="225"/>
      <c r="MLP120" s="225"/>
      <c r="MLQ120" s="225"/>
      <c r="MLR120" s="225"/>
      <c r="MLS120" s="225"/>
      <c r="MLT120" s="225"/>
      <c r="MLU120" s="225"/>
      <c r="MLV120" s="225"/>
      <c r="MLW120" s="225"/>
      <c r="MLX120" s="225"/>
      <c r="MLY120" s="225"/>
      <c r="MLZ120" s="225"/>
      <c r="MMA120" s="225"/>
      <c r="MMB120" s="225"/>
      <c r="MMC120" s="225"/>
      <c r="MMD120" s="225"/>
      <c r="MME120" s="225"/>
      <c r="MMF120" s="225"/>
      <c r="MMG120" s="225"/>
      <c r="MMH120" s="225"/>
      <c r="MMI120" s="225"/>
      <c r="MMJ120" s="225"/>
      <c r="MMK120" s="225"/>
      <c r="MML120" s="225"/>
      <c r="MMM120" s="225"/>
      <c r="MMN120" s="225"/>
      <c r="MMO120" s="225"/>
      <c r="MMP120" s="225"/>
      <c r="MMQ120" s="225"/>
      <c r="MMR120" s="225"/>
      <c r="MMS120" s="225"/>
      <c r="MMT120" s="225"/>
      <c r="MMU120" s="225"/>
      <c r="MMV120" s="225"/>
      <c r="MMW120" s="225"/>
      <c r="MMX120" s="225"/>
      <c r="MMY120" s="225"/>
      <c r="MMZ120" s="225"/>
      <c r="MNA120" s="225"/>
      <c r="MNB120" s="225"/>
      <c r="MNC120" s="225"/>
      <c r="MND120" s="225"/>
      <c r="MNE120" s="225"/>
      <c r="MNF120" s="225"/>
      <c r="MNG120" s="225"/>
      <c r="MNH120" s="225"/>
      <c r="MNI120" s="225"/>
      <c r="MNJ120" s="225"/>
      <c r="MNK120" s="225"/>
      <c r="MNL120" s="225"/>
      <c r="MNM120" s="225"/>
      <c r="MNN120" s="225"/>
      <c r="MNO120" s="225"/>
      <c r="MNP120" s="225"/>
      <c r="MNQ120" s="225"/>
      <c r="MNR120" s="225"/>
      <c r="MNS120" s="225"/>
      <c r="MNT120" s="225"/>
      <c r="MNU120" s="225"/>
      <c r="MNV120" s="225"/>
      <c r="MNW120" s="225"/>
      <c r="MNX120" s="225"/>
      <c r="MNY120" s="225"/>
      <c r="MNZ120" s="225"/>
      <c r="MOA120" s="225"/>
      <c r="MOB120" s="225"/>
      <c r="MOC120" s="225"/>
      <c r="MOD120" s="225"/>
      <c r="MOE120" s="225"/>
      <c r="MOF120" s="225"/>
      <c r="MOG120" s="225"/>
      <c r="MOH120" s="225"/>
      <c r="MOI120" s="225"/>
      <c r="MOJ120" s="225"/>
      <c r="MOK120" s="225"/>
      <c r="MOL120" s="225"/>
      <c r="MOM120" s="225"/>
      <c r="MON120" s="225"/>
      <c r="MOO120" s="225"/>
      <c r="MOP120" s="225"/>
      <c r="MOQ120" s="225"/>
      <c r="MOR120" s="225"/>
      <c r="MOS120" s="225"/>
      <c r="MOT120" s="225"/>
      <c r="MOU120" s="225"/>
      <c r="MOV120" s="225"/>
      <c r="MOW120" s="225"/>
      <c r="MOX120" s="225"/>
      <c r="MOY120" s="225"/>
      <c r="MOZ120" s="225"/>
      <c r="MPA120" s="225"/>
      <c r="MPB120" s="225"/>
      <c r="MPC120" s="225"/>
      <c r="MPD120" s="225"/>
      <c r="MPE120" s="225"/>
      <c r="MPF120" s="225"/>
      <c r="MPG120" s="225"/>
      <c r="MPH120" s="225"/>
      <c r="MPI120" s="225"/>
      <c r="MPJ120" s="225"/>
      <c r="MPK120" s="225"/>
      <c r="MPL120" s="225"/>
      <c r="MPM120" s="225"/>
      <c r="MPN120" s="225"/>
      <c r="MPO120" s="225"/>
      <c r="MPP120" s="225"/>
      <c r="MPQ120" s="225"/>
      <c r="MPR120" s="225"/>
      <c r="MPS120" s="225"/>
      <c r="MPT120" s="225"/>
      <c r="MPU120" s="225"/>
      <c r="MPV120" s="225"/>
      <c r="MPW120" s="225"/>
      <c r="MPX120" s="225"/>
      <c r="MPY120" s="225"/>
      <c r="MPZ120" s="225"/>
      <c r="MQA120" s="225"/>
      <c r="MQB120" s="225"/>
      <c r="MQC120" s="225"/>
      <c r="MQD120" s="225"/>
      <c r="MQE120" s="225"/>
      <c r="MQF120" s="225"/>
      <c r="MQG120" s="225"/>
      <c r="MQH120" s="225"/>
      <c r="MQI120" s="225"/>
      <c r="MQJ120" s="225"/>
      <c r="MQK120" s="225"/>
      <c r="MQL120" s="225"/>
      <c r="MQM120" s="225"/>
      <c r="MQN120" s="225"/>
      <c r="MQO120" s="225"/>
      <c r="MQP120" s="225"/>
      <c r="MQQ120" s="225"/>
      <c r="MQR120" s="225"/>
      <c r="MQS120" s="225"/>
      <c r="MQT120" s="225"/>
      <c r="MQU120" s="225"/>
      <c r="MQV120" s="225"/>
      <c r="MQW120" s="225"/>
      <c r="MQX120" s="225"/>
      <c r="MQY120" s="225"/>
      <c r="MQZ120" s="225"/>
      <c r="MRA120" s="225"/>
      <c r="MRB120" s="225"/>
      <c r="MRC120" s="225"/>
      <c r="MRD120" s="225"/>
      <c r="MRE120" s="225"/>
      <c r="MRF120" s="225"/>
      <c r="MRG120" s="225"/>
      <c r="MRH120" s="225"/>
      <c r="MRI120" s="225"/>
      <c r="MRJ120" s="225"/>
      <c r="MRK120" s="225"/>
      <c r="MRL120" s="225"/>
      <c r="MRM120" s="225"/>
      <c r="MRN120" s="225"/>
      <c r="MRO120" s="225"/>
      <c r="MRP120" s="225"/>
      <c r="MRQ120" s="225"/>
      <c r="MRR120" s="225"/>
      <c r="MRS120" s="225"/>
      <c r="MRT120" s="225"/>
      <c r="MRU120" s="225"/>
      <c r="MRV120" s="225"/>
      <c r="MRW120" s="225"/>
      <c r="MRX120" s="225"/>
      <c r="MRY120" s="225"/>
      <c r="MRZ120" s="225"/>
      <c r="MSA120" s="225"/>
      <c r="MSB120" s="225"/>
      <c r="MSC120" s="225"/>
      <c r="MSD120" s="225"/>
      <c r="MSE120" s="225"/>
      <c r="MSF120" s="225"/>
      <c r="MSG120" s="225"/>
      <c r="MSH120" s="225"/>
      <c r="MSI120" s="225"/>
      <c r="MSJ120" s="225"/>
      <c r="MSK120" s="225"/>
      <c r="MSL120" s="225"/>
      <c r="MSM120" s="225"/>
      <c r="MSN120" s="225"/>
      <c r="MSO120" s="225"/>
      <c r="MSP120" s="225"/>
      <c r="MSQ120" s="225"/>
      <c r="MSR120" s="225"/>
      <c r="MSS120" s="225"/>
      <c r="MST120" s="225"/>
      <c r="MSU120" s="225"/>
      <c r="MSV120" s="225"/>
      <c r="MSW120" s="225"/>
      <c r="MSX120" s="225"/>
      <c r="MSY120" s="225"/>
      <c r="MSZ120" s="225"/>
      <c r="MTA120" s="225"/>
      <c r="MTB120" s="225"/>
      <c r="MTC120" s="225"/>
      <c r="MTD120" s="225"/>
      <c r="MTE120" s="225"/>
      <c r="MTF120" s="225"/>
      <c r="MTG120" s="225"/>
      <c r="MTH120" s="225"/>
      <c r="MTI120" s="225"/>
      <c r="MTJ120" s="225"/>
      <c r="MTK120" s="225"/>
      <c r="MTL120" s="225"/>
      <c r="MTM120" s="225"/>
      <c r="MTN120" s="225"/>
      <c r="MTO120" s="225"/>
      <c r="MTP120" s="225"/>
      <c r="MTQ120" s="225"/>
      <c r="MTR120" s="225"/>
      <c r="MTS120" s="225"/>
      <c r="MTT120" s="225"/>
      <c r="MTU120" s="225"/>
      <c r="MTV120" s="225"/>
      <c r="MTW120" s="225"/>
      <c r="MTX120" s="225"/>
      <c r="MTY120" s="225"/>
      <c r="MTZ120" s="225"/>
      <c r="MUA120" s="225"/>
      <c r="MUB120" s="225"/>
      <c r="MUC120" s="225"/>
      <c r="MUD120" s="225"/>
      <c r="MUE120" s="225"/>
      <c r="MUF120" s="225"/>
      <c r="MUG120" s="225"/>
      <c r="MUH120" s="225"/>
      <c r="MUI120" s="225"/>
      <c r="MUJ120" s="225"/>
      <c r="MUK120" s="225"/>
      <c r="MUL120" s="225"/>
      <c r="MUM120" s="225"/>
      <c r="MUN120" s="225"/>
      <c r="MUO120" s="225"/>
      <c r="MUP120" s="225"/>
      <c r="MUQ120" s="225"/>
      <c r="MUR120" s="225"/>
      <c r="MUS120" s="225"/>
      <c r="MUT120" s="225"/>
      <c r="MUU120" s="225"/>
      <c r="MUV120" s="225"/>
      <c r="MUW120" s="225"/>
      <c r="MUX120" s="225"/>
      <c r="MUY120" s="225"/>
      <c r="MUZ120" s="225"/>
      <c r="MVA120" s="225"/>
      <c r="MVB120" s="225"/>
      <c r="MVC120" s="225"/>
      <c r="MVD120" s="225"/>
      <c r="MVE120" s="225"/>
      <c r="MVF120" s="225"/>
      <c r="MVG120" s="225"/>
      <c r="MVH120" s="225"/>
      <c r="MVI120" s="225"/>
      <c r="MVJ120" s="225"/>
      <c r="MVK120" s="225"/>
      <c r="MVL120" s="225"/>
      <c r="MVM120" s="225"/>
      <c r="MVN120" s="225"/>
      <c r="MVO120" s="225"/>
      <c r="MVP120" s="225"/>
      <c r="MVQ120" s="225"/>
      <c r="MVR120" s="225"/>
      <c r="MVS120" s="225"/>
      <c r="MVT120" s="225"/>
      <c r="MVU120" s="225"/>
      <c r="MVV120" s="225"/>
      <c r="MVW120" s="225"/>
      <c r="MVX120" s="225"/>
      <c r="MVY120" s="225"/>
      <c r="MVZ120" s="225"/>
      <c r="MWA120" s="225"/>
      <c r="MWB120" s="225"/>
      <c r="MWC120" s="225"/>
      <c r="MWD120" s="225"/>
      <c r="MWE120" s="225"/>
      <c r="MWF120" s="225"/>
      <c r="MWG120" s="225"/>
      <c r="MWH120" s="225"/>
      <c r="MWI120" s="225"/>
      <c r="MWJ120" s="225"/>
      <c r="MWK120" s="225"/>
      <c r="MWL120" s="225"/>
      <c r="MWM120" s="225"/>
      <c r="MWN120" s="225"/>
      <c r="MWO120" s="225"/>
      <c r="MWP120" s="225"/>
      <c r="MWQ120" s="225"/>
      <c r="MWR120" s="225"/>
      <c r="MWS120" s="225"/>
      <c r="MWT120" s="225"/>
      <c r="MWU120" s="225"/>
      <c r="MWV120" s="225"/>
      <c r="MWW120" s="225"/>
      <c r="MWX120" s="225"/>
      <c r="MWY120" s="225"/>
      <c r="MWZ120" s="225"/>
      <c r="MXA120" s="225"/>
      <c r="MXB120" s="225"/>
      <c r="MXC120" s="225"/>
      <c r="MXD120" s="225"/>
      <c r="MXE120" s="225"/>
      <c r="MXF120" s="225"/>
      <c r="MXG120" s="225"/>
      <c r="MXH120" s="225"/>
      <c r="MXI120" s="225"/>
      <c r="MXJ120" s="225"/>
      <c r="MXK120" s="225"/>
      <c r="MXL120" s="225"/>
      <c r="MXM120" s="225"/>
      <c r="MXN120" s="225"/>
      <c r="MXO120" s="225"/>
      <c r="MXP120" s="225"/>
      <c r="MXQ120" s="225"/>
      <c r="MXR120" s="225"/>
      <c r="MXS120" s="225"/>
      <c r="MXT120" s="225"/>
      <c r="MXU120" s="225"/>
      <c r="MXV120" s="225"/>
      <c r="MXW120" s="225"/>
      <c r="MXX120" s="225"/>
      <c r="MXY120" s="225"/>
      <c r="MXZ120" s="225"/>
      <c r="MYA120" s="225"/>
      <c r="MYB120" s="225"/>
      <c r="MYC120" s="225"/>
      <c r="MYD120" s="225"/>
      <c r="MYE120" s="225"/>
      <c r="MYF120" s="225"/>
      <c r="MYG120" s="225"/>
      <c r="MYH120" s="225"/>
      <c r="MYI120" s="225"/>
      <c r="MYJ120" s="225"/>
      <c r="MYK120" s="225"/>
      <c r="MYL120" s="225"/>
      <c r="MYM120" s="225"/>
      <c r="MYN120" s="225"/>
      <c r="MYO120" s="225"/>
      <c r="MYP120" s="225"/>
      <c r="MYQ120" s="225"/>
      <c r="MYR120" s="225"/>
      <c r="MYS120" s="225"/>
      <c r="MYT120" s="225"/>
      <c r="MYU120" s="225"/>
      <c r="MYV120" s="225"/>
      <c r="MYW120" s="225"/>
      <c r="MYX120" s="225"/>
      <c r="MYY120" s="225"/>
      <c r="MYZ120" s="225"/>
      <c r="MZA120" s="225"/>
      <c r="MZB120" s="225"/>
      <c r="MZC120" s="225"/>
      <c r="MZD120" s="225"/>
      <c r="MZE120" s="225"/>
      <c r="MZF120" s="225"/>
      <c r="MZG120" s="225"/>
      <c r="MZH120" s="225"/>
      <c r="MZI120" s="225"/>
      <c r="MZJ120" s="225"/>
      <c r="MZK120" s="225"/>
      <c r="MZL120" s="225"/>
      <c r="MZM120" s="225"/>
      <c r="MZN120" s="225"/>
      <c r="MZO120" s="225"/>
      <c r="MZP120" s="225"/>
      <c r="MZQ120" s="225"/>
      <c r="MZR120" s="225"/>
      <c r="MZS120" s="225"/>
      <c r="MZT120" s="225"/>
      <c r="MZU120" s="225"/>
      <c r="MZV120" s="225"/>
      <c r="MZW120" s="225"/>
      <c r="MZX120" s="225"/>
      <c r="MZY120" s="225"/>
      <c r="MZZ120" s="225"/>
      <c r="NAA120" s="225"/>
      <c r="NAB120" s="225"/>
      <c r="NAC120" s="225"/>
      <c r="NAD120" s="225"/>
      <c r="NAE120" s="225"/>
      <c r="NAF120" s="225"/>
      <c r="NAG120" s="225"/>
      <c r="NAH120" s="225"/>
      <c r="NAI120" s="225"/>
      <c r="NAJ120" s="225"/>
      <c r="NAK120" s="225"/>
      <c r="NAL120" s="225"/>
      <c r="NAM120" s="225"/>
      <c r="NAN120" s="225"/>
      <c r="NAO120" s="225"/>
      <c r="NAP120" s="225"/>
      <c r="NAQ120" s="225"/>
      <c r="NAR120" s="225"/>
      <c r="NAS120" s="225"/>
      <c r="NAT120" s="225"/>
      <c r="NAU120" s="225"/>
      <c r="NAV120" s="225"/>
      <c r="NAW120" s="225"/>
      <c r="NAX120" s="225"/>
      <c r="NAY120" s="225"/>
      <c r="NAZ120" s="225"/>
      <c r="NBA120" s="225"/>
      <c r="NBB120" s="225"/>
      <c r="NBC120" s="225"/>
      <c r="NBD120" s="225"/>
      <c r="NBE120" s="225"/>
      <c r="NBF120" s="225"/>
      <c r="NBG120" s="225"/>
      <c r="NBH120" s="225"/>
      <c r="NBI120" s="225"/>
      <c r="NBJ120" s="225"/>
      <c r="NBK120" s="225"/>
      <c r="NBL120" s="225"/>
      <c r="NBM120" s="225"/>
      <c r="NBN120" s="225"/>
      <c r="NBO120" s="225"/>
      <c r="NBP120" s="225"/>
      <c r="NBQ120" s="225"/>
      <c r="NBR120" s="225"/>
      <c r="NBS120" s="225"/>
      <c r="NBT120" s="225"/>
      <c r="NBU120" s="225"/>
      <c r="NBV120" s="225"/>
      <c r="NBW120" s="225"/>
      <c r="NBX120" s="225"/>
      <c r="NBY120" s="225"/>
      <c r="NBZ120" s="225"/>
      <c r="NCA120" s="225"/>
      <c r="NCB120" s="225"/>
      <c r="NCC120" s="225"/>
      <c r="NCD120" s="225"/>
      <c r="NCE120" s="225"/>
      <c r="NCF120" s="225"/>
      <c r="NCG120" s="225"/>
      <c r="NCH120" s="225"/>
      <c r="NCI120" s="225"/>
      <c r="NCJ120" s="225"/>
      <c r="NCK120" s="225"/>
      <c r="NCL120" s="225"/>
      <c r="NCM120" s="225"/>
      <c r="NCN120" s="225"/>
      <c r="NCO120" s="225"/>
      <c r="NCP120" s="225"/>
      <c r="NCQ120" s="225"/>
      <c r="NCR120" s="225"/>
      <c r="NCS120" s="225"/>
      <c r="NCT120" s="225"/>
      <c r="NCU120" s="225"/>
      <c r="NCV120" s="225"/>
      <c r="NCW120" s="225"/>
      <c r="NCX120" s="225"/>
      <c r="NCY120" s="225"/>
      <c r="NCZ120" s="225"/>
      <c r="NDA120" s="225"/>
      <c r="NDB120" s="225"/>
      <c r="NDC120" s="225"/>
      <c r="NDD120" s="225"/>
      <c r="NDE120" s="225"/>
      <c r="NDF120" s="225"/>
      <c r="NDG120" s="225"/>
      <c r="NDH120" s="225"/>
      <c r="NDI120" s="225"/>
      <c r="NDJ120" s="225"/>
      <c r="NDK120" s="225"/>
      <c r="NDL120" s="225"/>
      <c r="NDM120" s="225"/>
      <c r="NDN120" s="225"/>
      <c r="NDO120" s="225"/>
      <c r="NDP120" s="225"/>
      <c r="NDQ120" s="225"/>
      <c r="NDR120" s="225"/>
      <c r="NDS120" s="225"/>
      <c r="NDT120" s="225"/>
      <c r="NDU120" s="225"/>
      <c r="NDV120" s="225"/>
      <c r="NDW120" s="225"/>
      <c r="NDX120" s="225"/>
      <c r="NDY120" s="225"/>
      <c r="NDZ120" s="225"/>
      <c r="NEA120" s="225"/>
      <c r="NEB120" s="225"/>
      <c r="NEC120" s="225"/>
      <c r="NED120" s="225"/>
      <c r="NEE120" s="225"/>
      <c r="NEF120" s="225"/>
      <c r="NEG120" s="225"/>
      <c r="NEH120" s="225"/>
      <c r="NEI120" s="225"/>
      <c r="NEJ120" s="225"/>
      <c r="NEK120" s="225"/>
      <c r="NEL120" s="225"/>
      <c r="NEM120" s="225"/>
      <c r="NEN120" s="225"/>
      <c r="NEO120" s="225"/>
      <c r="NEP120" s="225"/>
      <c r="NEQ120" s="225"/>
      <c r="NER120" s="225"/>
      <c r="NES120" s="225"/>
      <c r="NET120" s="225"/>
      <c r="NEU120" s="225"/>
      <c r="NEV120" s="225"/>
      <c r="NEW120" s="225"/>
      <c r="NEX120" s="225"/>
      <c r="NEY120" s="225"/>
      <c r="NEZ120" s="225"/>
      <c r="NFA120" s="225"/>
      <c r="NFB120" s="225"/>
      <c r="NFC120" s="225"/>
      <c r="NFD120" s="225"/>
      <c r="NFE120" s="225"/>
      <c r="NFF120" s="225"/>
      <c r="NFG120" s="225"/>
      <c r="NFH120" s="225"/>
      <c r="NFI120" s="225"/>
      <c r="NFJ120" s="225"/>
      <c r="NFK120" s="225"/>
      <c r="NFL120" s="225"/>
      <c r="NFM120" s="225"/>
      <c r="NFN120" s="225"/>
      <c r="NFO120" s="225"/>
      <c r="NFP120" s="225"/>
      <c r="NFQ120" s="225"/>
      <c r="NFR120" s="225"/>
      <c r="NFS120" s="225"/>
      <c r="NFT120" s="225"/>
      <c r="NFU120" s="225"/>
      <c r="NFV120" s="225"/>
      <c r="NFW120" s="225"/>
      <c r="NFX120" s="225"/>
      <c r="NFY120" s="225"/>
      <c r="NFZ120" s="225"/>
      <c r="NGA120" s="225"/>
      <c r="NGB120" s="225"/>
      <c r="NGC120" s="225"/>
      <c r="NGD120" s="225"/>
      <c r="NGE120" s="225"/>
      <c r="NGF120" s="225"/>
      <c r="NGG120" s="225"/>
      <c r="NGH120" s="225"/>
      <c r="NGI120" s="225"/>
      <c r="NGJ120" s="225"/>
      <c r="NGK120" s="225"/>
      <c r="NGL120" s="225"/>
      <c r="NGM120" s="225"/>
      <c r="NGN120" s="225"/>
      <c r="NGO120" s="225"/>
      <c r="NGP120" s="225"/>
      <c r="NGQ120" s="225"/>
      <c r="NGR120" s="225"/>
      <c r="NGS120" s="225"/>
      <c r="NGT120" s="225"/>
      <c r="NGU120" s="225"/>
      <c r="NGV120" s="225"/>
      <c r="NGW120" s="225"/>
      <c r="NGX120" s="225"/>
      <c r="NGY120" s="225"/>
      <c r="NGZ120" s="225"/>
      <c r="NHA120" s="225"/>
      <c r="NHB120" s="225"/>
      <c r="NHC120" s="225"/>
      <c r="NHD120" s="225"/>
      <c r="NHE120" s="225"/>
      <c r="NHF120" s="225"/>
      <c r="NHG120" s="225"/>
      <c r="NHH120" s="225"/>
      <c r="NHI120" s="225"/>
      <c r="NHJ120" s="225"/>
      <c r="NHK120" s="225"/>
      <c r="NHL120" s="225"/>
      <c r="NHM120" s="225"/>
      <c r="NHN120" s="225"/>
      <c r="NHO120" s="225"/>
      <c r="NHP120" s="225"/>
      <c r="NHQ120" s="225"/>
      <c r="NHR120" s="225"/>
      <c r="NHS120" s="225"/>
      <c r="NHT120" s="225"/>
      <c r="NHU120" s="225"/>
      <c r="NHV120" s="225"/>
      <c r="NHW120" s="225"/>
      <c r="NHX120" s="225"/>
      <c r="NHY120" s="225"/>
      <c r="NHZ120" s="225"/>
      <c r="NIA120" s="225"/>
      <c r="NIB120" s="225"/>
      <c r="NIC120" s="225"/>
      <c r="NID120" s="225"/>
      <c r="NIE120" s="225"/>
      <c r="NIF120" s="225"/>
      <c r="NIG120" s="225"/>
      <c r="NIH120" s="225"/>
      <c r="NII120" s="225"/>
      <c r="NIJ120" s="225"/>
      <c r="NIK120" s="225"/>
      <c r="NIL120" s="225"/>
      <c r="NIM120" s="225"/>
      <c r="NIN120" s="225"/>
      <c r="NIO120" s="225"/>
      <c r="NIP120" s="225"/>
      <c r="NIQ120" s="225"/>
      <c r="NIR120" s="225"/>
      <c r="NIS120" s="225"/>
      <c r="NIT120" s="225"/>
      <c r="NIU120" s="225"/>
      <c r="NIV120" s="225"/>
      <c r="NIW120" s="225"/>
      <c r="NIX120" s="225"/>
      <c r="NIY120" s="225"/>
      <c r="NIZ120" s="225"/>
      <c r="NJA120" s="225"/>
      <c r="NJB120" s="225"/>
      <c r="NJC120" s="225"/>
      <c r="NJD120" s="225"/>
      <c r="NJE120" s="225"/>
      <c r="NJF120" s="225"/>
      <c r="NJG120" s="225"/>
      <c r="NJH120" s="225"/>
      <c r="NJI120" s="225"/>
      <c r="NJJ120" s="225"/>
      <c r="NJK120" s="225"/>
      <c r="NJL120" s="225"/>
      <c r="NJM120" s="225"/>
      <c r="NJN120" s="225"/>
      <c r="NJO120" s="225"/>
      <c r="NJP120" s="225"/>
      <c r="NJQ120" s="225"/>
      <c r="NJR120" s="225"/>
      <c r="NJS120" s="225"/>
      <c r="NJT120" s="225"/>
      <c r="NJU120" s="225"/>
      <c r="NJV120" s="225"/>
      <c r="NJW120" s="225"/>
      <c r="NJX120" s="225"/>
      <c r="NJY120" s="225"/>
      <c r="NJZ120" s="225"/>
      <c r="NKA120" s="225"/>
      <c r="NKB120" s="225"/>
      <c r="NKC120" s="225"/>
      <c r="NKD120" s="225"/>
      <c r="NKE120" s="225"/>
      <c r="NKF120" s="225"/>
      <c r="NKG120" s="225"/>
      <c r="NKH120" s="225"/>
      <c r="NKI120" s="225"/>
      <c r="NKJ120" s="225"/>
      <c r="NKK120" s="225"/>
      <c r="NKL120" s="225"/>
      <c r="NKM120" s="225"/>
      <c r="NKN120" s="225"/>
      <c r="NKO120" s="225"/>
      <c r="NKP120" s="225"/>
      <c r="NKQ120" s="225"/>
      <c r="NKR120" s="225"/>
      <c r="NKS120" s="225"/>
      <c r="NKT120" s="225"/>
      <c r="NKU120" s="225"/>
      <c r="NKV120" s="225"/>
      <c r="NKW120" s="225"/>
      <c r="NKX120" s="225"/>
      <c r="NKY120" s="225"/>
      <c r="NKZ120" s="225"/>
      <c r="NLA120" s="225"/>
      <c r="NLB120" s="225"/>
      <c r="NLC120" s="225"/>
      <c r="NLD120" s="225"/>
      <c r="NLE120" s="225"/>
      <c r="NLF120" s="225"/>
      <c r="NLG120" s="225"/>
      <c r="NLH120" s="225"/>
      <c r="NLI120" s="225"/>
      <c r="NLJ120" s="225"/>
      <c r="NLK120" s="225"/>
      <c r="NLL120" s="225"/>
      <c r="NLM120" s="225"/>
      <c r="NLN120" s="225"/>
      <c r="NLO120" s="225"/>
      <c r="NLP120" s="225"/>
      <c r="NLQ120" s="225"/>
      <c r="NLR120" s="225"/>
      <c r="NLS120" s="225"/>
      <c r="NLT120" s="225"/>
      <c r="NLU120" s="225"/>
      <c r="NLV120" s="225"/>
      <c r="NLW120" s="225"/>
      <c r="NLX120" s="225"/>
      <c r="NLY120" s="225"/>
      <c r="NLZ120" s="225"/>
      <c r="NMA120" s="225"/>
      <c r="NMB120" s="225"/>
      <c r="NMC120" s="225"/>
      <c r="NMD120" s="225"/>
      <c r="NME120" s="225"/>
      <c r="NMF120" s="225"/>
      <c r="NMG120" s="225"/>
      <c r="NMH120" s="225"/>
      <c r="NMI120" s="225"/>
      <c r="NMJ120" s="225"/>
      <c r="NMK120" s="225"/>
      <c r="NML120" s="225"/>
      <c r="NMM120" s="225"/>
      <c r="NMN120" s="225"/>
      <c r="NMO120" s="225"/>
      <c r="NMP120" s="225"/>
      <c r="NMQ120" s="225"/>
      <c r="NMR120" s="225"/>
      <c r="NMS120" s="225"/>
      <c r="NMT120" s="225"/>
      <c r="NMU120" s="225"/>
      <c r="NMV120" s="225"/>
      <c r="NMW120" s="225"/>
      <c r="NMX120" s="225"/>
      <c r="NMY120" s="225"/>
      <c r="NMZ120" s="225"/>
      <c r="NNA120" s="225"/>
      <c r="NNB120" s="225"/>
      <c r="NNC120" s="225"/>
      <c r="NND120" s="225"/>
      <c r="NNE120" s="225"/>
      <c r="NNF120" s="225"/>
      <c r="NNG120" s="225"/>
      <c r="NNH120" s="225"/>
      <c r="NNI120" s="225"/>
      <c r="NNJ120" s="225"/>
      <c r="NNK120" s="225"/>
      <c r="NNL120" s="225"/>
      <c r="NNM120" s="225"/>
      <c r="NNN120" s="225"/>
      <c r="NNO120" s="225"/>
      <c r="NNP120" s="225"/>
      <c r="NNQ120" s="225"/>
      <c r="NNR120" s="225"/>
      <c r="NNS120" s="225"/>
      <c r="NNT120" s="225"/>
      <c r="NNU120" s="225"/>
      <c r="NNV120" s="225"/>
      <c r="NNW120" s="225"/>
      <c r="NNX120" s="225"/>
      <c r="NNY120" s="225"/>
      <c r="NNZ120" s="225"/>
      <c r="NOA120" s="225"/>
      <c r="NOB120" s="225"/>
      <c r="NOC120" s="225"/>
      <c r="NOD120" s="225"/>
      <c r="NOE120" s="225"/>
      <c r="NOF120" s="225"/>
      <c r="NOG120" s="225"/>
      <c r="NOH120" s="225"/>
      <c r="NOI120" s="225"/>
      <c r="NOJ120" s="225"/>
      <c r="NOK120" s="225"/>
      <c r="NOL120" s="225"/>
      <c r="NOM120" s="225"/>
      <c r="NON120" s="225"/>
      <c r="NOO120" s="225"/>
      <c r="NOP120" s="225"/>
      <c r="NOQ120" s="225"/>
      <c r="NOR120" s="225"/>
      <c r="NOS120" s="225"/>
      <c r="NOT120" s="225"/>
      <c r="NOU120" s="225"/>
      <c r="NOV120" s="225"/>
      <c r="NOW120" s="225"/>
      <c r="NOX120" s="225"/>
      <c r="NOY120" s="225"/>
      <c r="NOZ120" s="225"/>
      <c r="NPA120" s="225"/>
      <c r="NPB120" s="225"/>
      <c r="NPC120" s="225"/>
      <c r="NPD120" s="225"/>
      <c r="NPE120" s="225"/>
      <c r="NPF120" s="225"/>
      <c r="NPG120" s="225"/>
      <c r="NPH120" s="225"/>
      <c r="NPI120" s="225"/>
      <c r="NPJ120" s="225"/>
      <c r="NPK120" s="225"/>
      <c r="NPL120" s="225"/>
      <c r="NPM120" s="225"/>
      <c r="NPN120" s="225"/>
      <c r="NPO120" s="225"/>
      <c r="NPP120" s="225"/>
      <c r="NPQ120" s="225"/>
      <c r="NPR120" s="225"/>
      <c r="NPS120" s="225"/>
      <c r="NPT120" s="225"/>
      <c r="NPU120" s="225"/>
      <c r="NPV120" s="225"/>
      <c r="NPW120" s="225"/>
      <c r="NPX120" s="225"/>
      <c r="NPY120" s="225"/>
      <c r="NPZ120" s="225"/>
      <c r="NQA120" s="225"/>
      <c r="NQB120" s="225"/>
      <c r="NQC120" s="225"/>
      <c r="NQD120" s="225"/>
      <c r="NQE120" s="225"/>
      <c r="NQF120" s="225"/>
      <c r="NQG120" s="225"/>
      <c r="NQH120" s="225"/>
      <c r="NQI120" s="225"/>
      <c r="NQJ120" s="225"/>
      <c r="NQK120" s="225"/>
      <c r="NQL120" s="225"/>
      <c r="NQM120" s="225"/>
      <c r="NQN120" s="225"/>
      <c r="NQO120" s="225"/>
      <c r="NQP120" s="225"/>
      <c r="NQQ120" s="225"/>
      <c r="NQR120" s="225"/>
      <c r="NQS120" s="225"/>
      <c r="NQT120" s="225"/>
      <c r="NQU120" s="225"/>
      <c r="NQV120" s="225"/>
      <c r="NQW120" s="225"/>
      <c r="NQX120" s="225"/>
      <c r="NQY120" s="225"/>
      <c r="NQZ120" s="225"/>
      <c r="NRA120" s="225"/>
      <c r="NRB120" s="225"/>
      <c r="NRC120" s="225"/>
      <c r="NRD120" s="225"/>
      <c r="NRE120" s="225"/>
      <c r="NRF120" s="225"/>
      <c r="NRG120" s="225"/>
      <c r="NRH120" s="225"/>
      <c r="NRI120" s="225"/>
      <c r="NRJ120" s="225"/>
      <c r="NRK120" s="225"/>
      <c r="NRL120" s="225"/>
      <c r="NRM120" s="225"/>
      <c r="NRN120" s="225"/>
      <c r="NRO120" s="225"/>
      <c r="NRP120" s="225"/>
      <c r="NRQ120" s="225"/>
      <c r="NRR120" s="225"/>
      <c r="NRS120" s="225"/>
      <c r="NRT120" s="225"/>
      <c r="NRU120" s="225"/>
      <c r="NRV120" s="225"/>
      <c r="NRW120" s="225"/>
      <c r="NRX120" s="225"/>
      <c r="NRY120" s="225"/>
      <c r="NRZ120" s="225"/>
      <c r="NSA120" s="225"/>
      <c r="NSB120" s="225"/>
      <c r="NSC120" s="225"/>
      <c r="NSD120" s="225"/>
      <c r="NSE120" s="225"/>
      <c r="NSF120" s="225"/>
      <c r="NSG120" s="225"/>
      <c r="NSH120" s="225"/>
      <c r="NSI120" s="225"/>
      <c r="NSJ120" s="225"/>
      <c r="NSK120" s="225"/>
      <c r="NSL120" s="225"/>
      <c r="NSM120" s="225"/>
      <c r="NSN120" s="225"/>
      <c r="NSO120" s="225"/>
      <c r="NSP120" s="225"/>
      <c r="NSQ120" s="225"/>
      <c r="NSR120" s="225"/>
      <c r="NSS120" s="225"/>
      <c r="NST120" s="225"/>
      <c r="NSU120" s="225"/>
      <c r="NSV120" s="225"/>
      <c r="NSW120" s="225"/>
      <c r="NSX120" s="225"/>
      <c r="NSY120" s="225"/>
      <c r="NSZ120" s="225"/>
      <c r="NTA120" s="225"/>
      <c r="NTB120" s="225"/>
      <c r="NTC120" s="225"/>
      <c r="NTD120" s="225"/>
      <c r="NTE120" s="225"/>
      <c r="NTF120" s="225"/>
      <c r="NTG120" s="225"/>
      <c r="NTH120" s="225"/>
      <c r="NTI120" s="225"/>
      <c r="NTJ120" s="225"/>
      <c r="NTK120" s="225"/>
      <c r="NTL120" s="225"/>
      <c r="NTM120" s="225"/>
      <c r="NTN120" s="225"/>
      <c r="NTO120" s="225"/>
      <c r="NTP120" s="225"/>
      <c r="NTQ120" s="225"/>
      <c r="NTR120" s="225"/>
      <c r="NTS120" s="225"/>
      <c r="NTT120" s="225"/>
      <c r="NTU120" s="225"/>
      <c r="NTV120" s="225"/>
      <c r="NTW120" s="225"/>
      <c r="NTX120" s="225"/>
      <c r="NTY120" s="225"/>
      <c r="NTZ120" s="225"/>
      <c r="NUA120" s="225"/>
      <c r="NUB120" s="225"/>
      <c r="NUC120" s="225"/>
      <c r="NUD120" s="225"/>
      <c r="NUE120" s="225"/>
      <c r="NUF120" s="225"/>
      <c r="NUG120" s="225"/>
      <c r="NUH120" s="225"/>
      <c r="NUI120" s="225"/>
      <c r="NUJ120" s="225"/>
      <c r="NUK120" s="225"/>
      <c r="NUL120" s="225"/>
      <c r="NUM120" s="225"/>
      <c r="NUN120" s="225"/>
      <c r="NUO120" s="225"/>
      <c r="NUP120" s="225"/>
      <c r="NUQ120" s="225"/>
      <c r="NUR120" s="225"/>
      <c r="NUS120" s="225"/>
      <c r="NUT120" s="225"/>
      <c r="NUU120" s="225"/>
      <c r="NUV120" s="225"/>
      <c r="NUW120" s="225"/>
      <c r="NUX120" s="225"/>
      <c r="NUY120" s="225"/>
      <c r="NUZ120" s="225"/>
      <c r="NVA120" s="225"/>
      <c r="NVB120" s="225"/>
      <c r="NVC120" s="225"/>
      <c r="NVD120" s="225"/>
      <c r="NVE120" s="225"/>
      <c r="NVF120" s="225"/>
      <c r="NVG120" s="225"/>
      <c r="NVH120" s="225"/>
      <c r="NVI120" s="225"/>
      <c r="NVJ120" s="225"/>
      <c r="NVK120" s="225"/>
      <c r="NVL120" s="225"/>
      <c r="NVM120" s="225"/>
      <c r="NVN120" s="225"/>
      <c r="NVO120" s="225"/>
      <c r="NVP120" s="225"/>
      <c r="NVQ120" s="225"/>
      <c r="NVR120" s="225"/>
      <c r="NVS120" s="225"/>
      <c r="NVT120" s="225"/>
      <c r="NVU120" s="225"/>
      <c r="NVV120" s="225"/>
      <c r="NVW120" s="225"/>
      <c r="NVX120" s="225"/>
      <c r="NVY120" s="225"/>
      <c r="NVZ120" s="225"/>
      <c r="NWA120" s="225"/>
      <c r="NWB120" s="225"/>
      <c r="NWC120" s="225"/>
      <c r="NWD120" s="225"/>
      <c r="NWE120" s="225"/>
      <c r="NWF120" s="225"/>
      <c r="NWG120" s="225"/>
      <c r="NWH120" s="225"/>
      <c r="NWI120" s="225"/>
      <c r="NWJ120" s="225"/>
      <c r="NWK120" s="225"/>
      <c r="NWL120" s="225"/>
      <c r="NWM120" s="225"/>
      <c r="NWN120" s="225"/>
      <c r="NWO120" s="225"/>
      <c r="NWP120" s="225"/>
      <c r="NWQ120" s="225"/>
      <c r="NWR120" s="225"/>
      <c r="NWS120" s="225"/>
      <c r="NWT120" s="225"/>
      <c r="NWU120" s="225"/>
      <c r="NWV120" s="225"/>
      <c r="NWW120" s="225"/>
      <c r="NWX120" s="225"/>
      <c r="NWY120" s="225"/>
      <c r="NWZ120" s="225"/>
      <c r="NXA120" s="225"/>
      <c r="NXB120" s="225"/>
      <c r="NXC120" s="225"/>
      <c r="NXD120" s="225"/>
      <c r="NXE120" s="225"/>
      <c r="NXF120" s="225"/>
      <c r="NXG120" s="225"/>
      <c r="NXH120" s="225"/>
      <c r="NXI120" s="225"/>
      <c r="NXJ120" s="225"/>
      <c r="NXK120" s="225"/>
      <c r="NXL120" s="225"/>
      <c r="NXM120" s="225"/>
      <c r="NXN120" s="225"/>
      <c r="NXO120" s="225"/>
      <c r="NXP120" s="225"/>
      <c r="NXQ120" s="225"/>
      <c r="NXR120" s="225"/>
      <c r="NXS120" s="225"/>
      <c r="NXT120" s="225"/>
      <c r="NXU120" s="225"/>
      <c r="NXV120" s="225"/>
      <c r="NXW120" s="225"/>
      <c r="NXX120" s="225"/>
      <c r="NXY120" s="225"/>
      <c r="NXZ120" s="225"/>
      <c r="NYA120" s="225"/>
      <c r="NYB120" s="225"/>
      <c r="NYC120" s="225"/>
      <c r="NYD120" s="225"/>
      <c r="NYE120" s="225"/>
      <c r="NYF120" s="225"/>
      <c r="NYG120" s="225"/>
      <c r="NYH120" s="225"/>
      <c r="NYI120" s="225"/>
      <c r="NYJ120" s="225"/>
      <c r="NYK120" s="225"/>
      <c r="NYL120" s="225"/>
      <c r="NYM120" s="225"/>
      <c r="NYN120" s="225"/>
      <c r="NYO120" s="225"/>
      <c r="NYP120" s="225"/>
      <c r="NYQ120" s="225"/>
      <c r="NYR120" s="225"/>
      <c r="NYS120" s="225"/>
      <c r="NYT120" s="225"/>
      <c r="NYU120" s="225"/>
      <c r="NYV120" s="225"/>
      <c r="NYW120" s="225"/>
      <c r="NYX120" s="225"/>
      <c r="NYY120" s="225"/>
      <c r="NYZ120" s="225"/>
      <c r="NZA120" s="225"/>
      <c r="NZB120" s="225"/>
      <c r="NZC120" s="225"/>
      <c r="NZD120" s="225"/>
      <c r="NZE120" s="225"/>
      <c r="NZF120" s="225"/>
      <c r="NZG120" s="225"/>
      <c r="NZH120" s="225"/>
      <c r="NZI120" s="225"/>
      <c r="NZJ120" s="225"/>
      <c r="NZK120" s="225"/>
      <c r="NZL120" s="225"/>
      <c r="NZM120" s="225"/>
      <c r="NZN120" s="225"/>
      <c r="NZO120" s="225"/>
      <c r="NZP120" s="225"/>
      <c r="NZQ120" s="225"/>
      <c r="NZR120" s="225"/>
      <c r="NZS120" s="225"/>
      <c r="NZT120" s="225"/>
      <c r="NZU120" s="225"/>
      <c r="NZV120" s="225"/>
      <c r="NZW120" s="225"/>
      <c r="NZX120" s="225"/>
      <c r="NZY120" s="225"/>
      <c r="NZZ120" s="225"/>
      <c r="OAA120" s="225"/>
      <c r="OAB120" s="225"/>
      <c r="OAC120" s="225"/>
      <c r="OAD120" s="225"/>
      <c r="OAE120" s="225"/>
      <c r="OAF120" s="225"/>
      <c r="OAG120" s="225"/>
      <c r="OAH120" s="225"/>
      <c r="OAI120" s="225"/>
      <c r="OAJ120" s="225"/>
      <c r="OAK120" s="225"/>
      <c r="OAL120" s="225"/>
      <c r="OAM120" s="225"/>
      <c r="OAN120" s="225"/>
      <c r="OAO120" s="225"/>
      <c r="OAP120" s="225"/>
      <c r="OAQ120" s="225"/>
      <c r="OAR120" s="225"/>
      <c r="OAS120" s="225"/>
      <c r="OAT120" s="225"/>
      <c r="OAU120" s="225"/>
      <c r="OAV120" s="225"/>
      <c r="OAW120" s="225"/>
      <c r="OAX120" s="225"/>
      <c r="OAY120" s="225"/>
      <c r="OAZ120" s="225"/>
      <c r="OBA120" s="225"/>
      <c r="OBB120" s="225"/>
      <c r="OBC120" s="225"/>
      <c r="OBD120" s="225"/>
      <c r="OBE120" s="225"/>
      <c r="OBF120" s="225"/>
      <c r="OBG120" s="225"/>
      <c r="OBH120" s="225"/>
      <c r="OBI120" s="225"/>
      <c r="OBJ120" s="225"/>
      <c r="OBK120" s="225"/>
      <c r="OBL120" s="225"/>
      <c r="OBM120" s="225"/>
      <c r="OBN120" s="225"/>
      <c r="OBO120" s="225"/>
      <c r="OBP120" s="225"/>
      <c r="OBQ120" s="225"/>
      <c r="OBR120" s="225"/>
      <c r="OBS120" s="225"/>
      <c r="OBT120" s="225"/>
      <c r="OBU120" s="225"/>
      <c r="OBV120" s="225"/>
      <c r="OBW120" s="225"/>
      <c r="OBX120" s="225"/>
      <c r="OBY120" s="225"/>
      <c r="OBZ120" s="225"/>
      <c r="OCA120" s="225"/>
      <c r="OCB120" s="225"/>
      <c r="OCC120" s="225"/>
      <c r="OCD120" s="225"/>
      <c r="OCE120" s="225"/>
      <c r="OCF120" s="225"/>
      <c r="OCG120" s="225"/>
      <c r="OCH120" s="225"/>
      <c r="OCI120" s="225"/>
      <c r="OCJ120" s="225"/>
      <c r="OCK120" s="225"/>
      <c r="OCL120" s="225"/>
      <c r="OCM120" s="225"/>
      <c r="OCN120" s="225"/>
      <c r="OCO120" s="225"/>
      <c r="OCP120" s="225"/>
      <c r="OCQ120" s="225"/>
      <c r="OCR120" s="225"/>
      <c r="OCS120" s="225"/>
      <c r="OCT120" s="225"/>
      <c r="OCU120" s="225"/>
      <c r="OCV120" s="225"/>
      <c r="OCW120" s="225"/>
      <c r="OCX120" s="225"/>
      <c r="OCY120" s="225"/>
      <c r="OCZ120" s="225"/>
      <c r="ODA120" s="225"/>
      <c r="ODB120" s="225"/>
      <c r="ODC120" s="225"/>
      <c r="ODD120" s="225"/>
      <c r="ODE120" s="225"/>
      <c r="ODF120" s="225"/>
      <c r="ODG120" s="225"/>
      <c r="ODH120" s="225"/>
      <c r="ODI120" s="225"/>
      <c r="ODJ120" s="225"/>
      <c r="ODK120" s="225"/>
      <c r="ODL120" s="225"/>
      <c r="ODM120" s="225"/>
      <c r="ODN120" s="225"/>
      <c r="ODO120" s="225"/>
      <c r="ODP120" s="225"/>
      <c r="ODQ120" s="225"/>
      <c r="ODR120" s="225"/>
      <c r="ODS120" s="225"/>
      <c r="ODT120" s="225"/>
      <c r="ODU120" s="225"/>
      <c r="ODV120" s="225"/>
      <c r="ODW120" s="225"/>
      <c r="ODX120" s="225"/>
      <c r="ODY120" s="225"/>
      <c r="ODZ120" s="225"/>
      <c r="OEA120" s="225"/>
      <c r="OEB120" s="225"/>
      <c r="OEC120" s="225"/>
      <c r="OED120" s="225"/>
      <c r="OEE120" s="225"/>
      <c r="OEF120" s="225"/>
      <c r="OEG120" s="225"/>
      <c r="OEH120" s="225"/>
      <c r="OEI120" s="225"/>
      <c r="OEJ120" s="225"/>
      <c r="OEK120" s="225"/>
      <c r="OEL120" s="225"/>
      <c r="OEM120" s="225"/>
      <c r="OEN120" s="225"/>
      <c r="OEO120" s="225"/>
      <c r="OEP120" s="225"/>
      <c r="OEQ120" s="225"/>
      <c r="OER120" s="225"/>
      <c r="OES120" s="225"/>
      <c r="OET120" s="225"/>
      <c r="OEU120" s="225"/>
      <c r="OEV120" s="225"/>
      <c r="OEW120" s="225"/>
      <c r="OEX120" s="225"/>
      <c r="OEY120" s="225"/>
      <c r="OEZ120" s="225"/>
      <c r="OFA120" s="225"/>
      <c r="OFB120" s="225"/>
      <c r="OFC120" s="225"/>
      <c r="OFD120" s="225"/>
      <c r="OFE120" s="225"/>
      <c r="OFF120" s="225"/>
      <c r="OFG120" s="225"/>
      <c r="OFH120" s="225"/>
      <c r="OFI120" s="225"/>
      <c r="OFJ120" s="225"/>
      <c r="OFK120" s="225"/>
      <c r="OFL120" s="225"/>
      <c r="OFM120" s="225"/>
      <c r="OFN120" s="225"/>
      <c r="OFO120" s="225"/>
      <c r="OFP120" s="225"/>
      <c r="OFQ120" s="225"/>
      <c r="OFR120" s="225"/>
      <c r="OFS120" s="225"/>
      <c r="OFT120" s="225"/>
      <c r="OFU120" s="225"/>
      <c r="OFV120" s="225"/>
      <c r="OFW120" s="225"/>
      <c r="OFX120" s="225"/>
      <c r="OFY120" s="225"/>
      <c r="OFZ120" s="225"/>
      <c r="OGA120" s="225"/>
      <c r="OGB120" s="225"/>
      <c r="OGC120" s="225"/>
      <c r="OGD120" s="225"/>
      <c r="OGE120" s="225"/>
      <c r="OGF120" s="225"/>
      <c r="OGG120" s="225"/>
      <c r="OGH120" s="225"/>
      <c r="OGI120" s="225"/>
      <c r="OGJ120" s="225"/>
      <c r="OGK120" s="225"/>
      <c r="OGL120" s="225"/>
      <c r="OGM120" s="225"/>
      <c r="OGN120" s="225"/>
      <c r="OGO120" s="225"/>
      <c r="OGP120" s="225"/>
      <c r="OGQ120" s="225"/>
      <c r="OGR120" s="225"/>
      <c r="OGS120" s="225"/>
      <c r="OGT120" s="225"/>
      <c r="OGU120" s="225"/>
      <c r="OGV120" s="225"/>
      <c r="OGW120" s="225"/>
      <c r="OGX120" s="225"/>
      <c r="OGY120" s="225"/>
      <c r="OGZ120" s="225"/>
      <c r="OHA120" s="225"/>
      <c r="OHB120" s="225"/>
      <c r="OHC120" s="225"/>
      <c r="OHD120" s="225"/>
      <c r="OHE120" s="225"/>
      <c r="OHF120" s="225"/>
      <c r="OHG120" s="225"/>
      <c r="OHH120" s="225"/>
      <c r="OHI120" s="225"/>
      <c r="OHJ120" s="225"/>
      <c r="OHK120" s="225"/>
      <c r="OHL120" s="225"/>
      <c r="OHM120" s="225"/>
      <c r="OHN120" s="225"/>
      <c r="OHO120" s="225"/>
      <c r="OHP120" s="225"/>
      <c r="OHQ120" s="225"/>
      <c r="OHR120" s="225"/>
      <c r="OHS120" s="225"/>
      <c r="OHT120" s="225"/>
      <c r="OHU120" s="225"/>
      <c r="OHV120" s="225"/>
      <c r="OHW120" s="225"/>
      <c r="OHX120" s="225"/>
      <c r="OHY120" s="225"/>
      <c r="OHZ120" s="225"/>
      <c r="OIA120" s="225"/>
      <c r="OIB120" s="225"/>
      <c r="OIC120" s="225"/>
      <c r="OID120" s="225"/>
      <c r="OIE120" s="225"/>
      <c r="OIF120" s="225"/>
      <c r="OIG120" s="225"/>
      <c r="OIH120" s="225"/>
      <c r="OII120" s="225"/>
      <c r="OIJ120" s="225"/>
      <c r="OIK120" s="225"/>
      <c r="OIL120" s="225"/>
      <c r="OIM120" s="225"/>
      <c r="OIN120" s="225"/>
      <c r="OIO120" s="225"/>
      <c r="OIP120" s="225"/>
      <c r="OIQ120" s="225"/>
      <c r="OIR120" s="225"/>
      <c r="OIS120" s="225"/>
      <c r="OIT120" s="225"/>
      <c r="OIU120" s="225"/>
      <c r="OIV120" s="225"/>
      <c r="OIW120" s="225"/>
      <c r="OIX120" s="225"/>
      <c r="OIY120" s="225"/>
      <c r="OIZ120" s="225"/>
      <c r="OJA120" s="225"/>
      <c r="OJB120" s="225"/>
      <c r="OJC120" s="225"/>
      <c r="OJD120" s="225"/>
      <c r="OJE120" s="225"/>
      <c r="OJF120" s="225"/>
      <c r="OJG120" s="225"/>
      <c r="OJH120" s="225"/>
      <c r="OJI120" s="225"/>
      <c r="OJJ120" s="225"/>
      <c r="OJK120" s="225"/>
      <c r="OJL120" s="225"/>
      <c r="OJM120" s="225"/>
      <c r="OJN120" s="225"/>
      <c r="OJO120" s="225"/>
      <c r="OJP120" s="225"/>
      <c r="OJQ120" s="225"/>
      <c r="OJR120" s="225"/>
      <c r="OJS120" s="225"/>
      <c r="OJT120" s="225"/>
      <c r="OJU120" s="225"/>
      <c r="OJV120" s="225"/>
      <c r="OJW120" s="225"/>
      <c r="OJX120" s="225"/>
      <c r="OJY120" s="225"/>
      <c r="OJZ120" s="225"/>
      <c r="OKA120" s="225"/>
      <c r="OKB120" s="225"/>
      <c r="OKC120" s="225"/>
      <c r="OKD120" s="225"/>
      <c r="OKE120" s="225"/>
      <c r="OKF120" s="225"/>
      <c r="OKG120" s="225"/>
      <c r="OKH120" s="225"/>
      <c r="OKI120" s="225"/>
      <c r="OKJ120" s="225"/>
      <c r="OKK120" s="225"/>
      <c r="OKL120" s="225"/>
      <c r="OKM120" s="225"/>
      <c r="OKN120" s="225"/>
      <c r="OKO120" s="225"/>
      <c r="OKP120" s="225"/>
      <c r="OKQ120" s="225"/>
      <c r="OKR120" s="225"/>
      <c r="OKS120" s="225"/>
      <c r="OKT120" s="225"/>
      <c r="OKU120" s="225"/>
      <c r="OKV120" s="225"/>
      <c r="OKW120" s="225"/>
      <c r="OKX120" s="225"/>
      <c r="OKY120" s="225"/>
      <c r="OKZ120" s="225"/>
      <c r="OLA120" s="225"/>
      <c r="OLB120" s="225"/>
      <c r="OLC120" s="225"/>
      <c r="OLD120" s="225"/>
      <c r="OLE120" s="225"/>
      <c r="OLF120" s="225"/>
      <c r="OLG120" s="225"/>
      <c r="OLH120" s="225"/>
      <c r="OLI120" s="225"/>
      <c r="OLJ120" s="225"/>
      <c r="OLK120" s="225"/>
      <c r="OLL120" s="225"/>
      <c r="OLM120" s="225"/>
      <c r="OLN120" s="225"/>
      <c r="OLO120" s="225"/>
      <c r="OLP120" s="225"/>
      <c r="OLQ120" s="225"/>
      <c r="OLR120" s="225"/>
      <c r="OLS120" s="225"/>
      <c r="OLT120" s="225"/>
      <c r="OLU120" s="225"/>
      <c r="OLV120" s="225"/>
      <c r="OLW120" s="225"/>
      <c r="OLX120" s="225"/>
      <c r="OLY120" s="225"/>
      <c r="OLZ120" s="225"/>
      <c r="OMA120" s="225"/>
      <c r="OMB120" s="225"/>
      <c r="OMC120" s="225"/>
      <c r="OMD120" s="225"/>
      <c r="OME120" s="225"/>
      <c r="OMF120" s="225"/>
      <c r="OMG120" s="225"/>
      <c r="OMH120" s="225"/>
      <c r="OMI120" s="225"/>
      <c r="OMJ120" s="225"/>
      <c r="OMK120" s="225"/>
      <c r="OML120" s="225"/>
      <c r="OMM120" s="225"/>
      <c r="OMN120" s="225"/>
      <c r="OMO120" s="225"/>
      <c r="OMP120" s="225"/>
      <c r="OMQ120" s="225"/>
      <c r="OMR120" s="225"/>
      <c r="OMS120" s="225"/>
      <c r="OMT120" s="225"/>
      <c r="OMU120" s="225"/>
      <c r="OMV120" s="225"/>
      <c r="OMW120" s="225"/>
      <c r="OMX120" s="225"/>
      <c r="OMY120" s="225"/>
      <c r="OMZ120" s="225"/>
      <c r="ONA120" s="225"/>
      <c r="ONB120" s="225"/>
      <c r="ONC120" s="225"/>
      <c r="OND120" s="225"/>
      <c r="ONE120" s="225"/>
      <c r="ONF120" s="225"/>
      <c r="ONG120" s="225"/>
      <c r="ONH120" s="225"/>
      <c r="ONI120" s="225"/>
      <c r="ONJ120" s="225"/>
      <c r="ONK120" s="225"/>
      <c r="ONL120" s="225"/>
      <c r="ONM120" s="225"/>
      <c r="ONN120" s="225"/>
      <c r="ONO120" s="225"/>
      <c r="ONP120" s="225"/>
      <c r="ONQ120" s="225"/>
      <c r="ONR120" s="225"/>
      <c r="ONS120" s="225"/>
      <c r="ONT120" s="225"/>
      <c r="ONU120" s="225"/>
      <c r="ONV120" s="225"/>
      <c r="ONW120" s="225"/>
      <c r="ONX120" s="225"/>
      <c r="ONY120" s="225"/>
      <c r="ONZ120" s="225"/>
      <c r="OOA120" s="225"/>
      <c r="OOB120" s="225"/>
      <c r="OOC120" s="225"/>
      <c r="OOD120" s="225"/>
      <c r="OOE120" s="225"/>
      <c r="OOF120" s="225"/>
      <c r="OOG120" s="225"/>
      <c r="OOH120" s="225"/>
      <c r="OOI120" s="225"/>
      <c r="OOJ120" s="225"/>
      <c r="OOK120" s="225"/>
      <c r="OOL120" s="225"/>
      <c r="OOM120" s="225"/>
      <c r="OON120" s="225"/>
      <c r="OOO120" s="225"/>
      <c r="OOP120" s="225"/>
      <c r="OOQ120" s="225"/>
      <c r="OOR120" s="225"/>
      <c r="OOS120" s="225"/>
      <c r="OOT120" s="225"/>
      <c r="OOU120" s="225"/>
      <c r="OOV120" s="225"/>
      <c r="OOW120" s="225"/>
      <c r="OOX120" s="225"/>
      <c r="OOY120" s="225"/>
      <c r="OOZ120" s="225"/>
      <c r="OPA120" s="225"/>
      <c r="OPB120" s="225"/>
      <c r="OPC120" s="225"/>
      <c r="OPD120" s="225"/>
      <c r="OPE120" s="225"/>
      <c r="OPF120" s="225"/>
      <c r="OPG120" s="225"/>
      <c r="OPH120" s="225"/>
      <c r="OPI120" s="225"/>
      <c r="OPJ120" s="225"/>
      <c r="OPK120" s="225"/>
      <c r="OPL120" s="225"/>
      <c r="OPM120" s="225"/>
      <c r="OPN120" s="225"/>
      <c r="OPO120" s="225"/>
      <c r="OPP120" s="225"/>
      <c r="OPQ120" s="225"/>
      <c r="OPR120" s="225"/>
      <c r="OPS120" s="225"/>
      <c r="OPT120" s="225"/>
      <c r="OPU120" s="225"/>
      <c r="OPV120" s="225"/>
      <c r="OPW120" s="225"/>
      <c r="OPX120" s="225"/>
      <c r="OPY120" s="225"/>
      <c r="OPZ120" s="225"/>
      <c r="OQA120" s="225"/>
      <c r="OQB120" s="225"/>
      <c r="OQC120" s="225"/>
      <c r="OQD120" s="225"/>
      <c r="OQE120" s="225"/>
      <c r="OQF120" s="225"/>
      <c r="OQG120" s="225"/>
      <c r="OQH120" s="225"/>
      <c r="OQI120" s="225"/>
      <c r="OQJ120" s="225"/>
      <c r="OQK120" s="225"/>
      <c r="OQL120" s="225"/>
      <c r="OQM120" s="225"/>
      <c r="OQN120" s="225"/>
      <c r="OQO120" s="225"/>
      <c r="OQP120" s="225"/>
      <c r="OQQ120" s="225"/>
      <c r="OQR120" s="225"/>
      <c r="OQS120" s="225"/>
      <c r="OQT120" s="225"/>
      <c r="OQU120" s="225"/>
      <c r="OQV120" s="225"/>
      <c r="OQW120" s="225"/>
      <c r="OQX120" s="225"/>
      <c r="OQY120" s="225"/>
      <c r="OQZ120" s="225"/>
      <c r="ORA120" s="225"/>
      <c r="ORB120" s="225"/>
      <c r="ORC120" s="225"/>
      <c r="ORD120" s="225"/>
      <c r="ORE120" s="225"/>
      <c r="ORF120" s="225"/>
      <c r="ORG120" s="225"/>
      <c r="ORH120" s="225"/>
      <c r="ORI120" s="225"/>
      <c r="ORJ120" s="225"/>
      <c r="ORK120" s="225"/>
      <c r="ORL120" s="225"/>
      <c r="ORM120" s="225"/>
      <c r="ORN120" s="225"/>
      <c r="ORO120" s="225"/>
      <c r="ORP120" s="225"/>
      <c r="ORQ120" s="225"/>
      <c r="ORR120" s="225"/>
      <c r="ORS120" s="225"/>
      <c r="ORT120" s="225"/>
      <c r="ORU120" s="225"/>
      <c r="ORV120" s="225"/>
      <c r="ORW120" s="225"/>
      <c r="ORX120" s="225"/>
      <c r="ORY120" s="225"/>
      <c r="ORZ120" s="225"/>
      <c r="OSA120" s="225"/>
      <c r="OSB120" s="225"/>
      <c r="OSC120" s="225"/>
      <c r="OSD120" s="225"/>
      <c r="OSE120" s="225"/>
      <c r="OSF120" s="225"/>
      <c r="OSG120" s="225"/>
      <c r="OSH120" s="225"/>
      <c r="OSI120" s="225"/>
      <c r="OSJ120" s="225"/>
      <c r="OSK120" s="225"/>
      <c r="OSL120" s="225"/>
      <c r="OSM120" s="225"/>
      <c r="OSN120" s="225"/>
      <c r="OSO120" s="225"/>
      <c r="OSP120" s="225"/>
      <c r="OSQ120" s="225"/>
      <c r="OSR120" s="225"/>
      <c r="OSS120" s="225"/>
      <c r="OST120" s="225"/>
      <c r="OSU120" s="225"/>
      <c r="OSV120" s="225"/>
      <c r="OSW120" s="225"/>
      <c r="OSX120" s="225"/>
      <c r="OSY120" s="225"/>
      <c r="OSZ120" s="225"/>
      <c r="OTA120" s="225"/>
      <c r="OTB120" s="225"/>
      <c r="OTC120" s="225"/>
      <c r="OTD120" s="225"/>
      <c r="OTE120" s="225"/>
      <c r="OTF120" s="225"/>
      <c r="OTG120" s="225"/>
      <c r="OTH120" s="225"/>
      <c r="OTI120" s="225"/>
      <c r="OTJ120" s="225"/>
      <c r="OTK120" s="225"/>
      <c r="OTL120" s="225"/>
      <c r="OTM120" s="225"/>
      <c r="OTN120" s="225"/>
      <c r="OTO120" s="225"/>
      <c r="OTP120" s="225"/>
      <c r="OTQ120" s="225"/>
      <c r="OTR120" s="225"/>
      <c r="OTS120" s="225"/>
      <c r="OTT120" s="225"/>
      <c r="OTU120" s="225"/>
      <c r="OTV120" s="225"/>
      <c r="OTW120" s="225"/>
      <c r="OTX120" s="225"/>
      <c r="OTY120" s="225"/>
      <c r="OTZ120" s="225"/>
      <c r="OUA120" s="225"/>
      <c r="OUB120" s="225"/>
      <c r="OUC120" s="225"/>
      <c r="OUD120" s="225"/>
      <c r="OUE120" s="225"/>
      <c r="OUF120" s="225"/>
      <c r="OUG120" s="225"/>
      <c r="OUH120" s="225"/>
      <c r="OUI120" s="225"/>
      <c r="OUJ120" s="225"/>
      <c r="OUK120" s="225"/>
      <c r="OUL120" s="225"/>
      <c r="OUM120" s="225"/>
      <c r="OUN120" s="225"/>
      <c r="OUO120" s="225"/>
      <c r="OUP120" s="225"/>
      <c r="OUQ120" s="225"/>
      <c r="OUR120" s="225"/>
      <c r="OUS120" s="225"/>
      <c r="OUT120" s="225"/>
      <c r="OUU120" s="225"/>
      <c r="OUV120" s="225"/>
      <c r="OUW120" s="225"/>
      <c r="OUX120" s="225"/>
      <c r="OUY120" s="225"/>
      <c r="OUZ120" s="225"/>
      <c r="OVA120" s="225"/>
      <c r="OVB120" s="225"/>
      <c r="OVC120" s="225"/>
      <c r="OVD120" s="225"/>
      <c r="OVE120" s="225"/>
      <c r="OVF120" s="225"/>
      <c r="OVG120" s="225"/>
      <c r="OVH120" s="225"/>
      <c r="OVI120" s="225"/>
      <c r="OVJ120" s="225"/>
      <c r="OVK120" s="225"/>
      <c r="OVL120" s="225"/>
      <c r="OVM120" s="225"/>
      <c r="OVN120" s="225"/>
      <c r="OVO120" s="225"/>
      <c r="OVP120" s="225"/>
      <c r="OVQ120" s="225"/>
      <c r="OVR120" s="225"/>
      <c r="OVS120" s="225"/>
      <c r="OVT120" s="225"/>
      <c r="OVU120" s="225"/>
      <c r="OVV120" s="225"/>
      <c r="OVW120" s="225"/>
      <c r="OVX120" s="225"/>
      <c r="OVY120" s="225"/>
      <c r="OVZ120" s="225"/>
      <c r="OWA120" s="225"/>
      <c r="OWB120" s="225"/>
      <c r="OWC120" s="225"/>
      <c r="OWD120" s="225"/>
      <c r="OWE120" s="225"/>
      <c r="OWF120" s="225"/>
      <c r="OWG120" s="225"/>
      <c r="OWH120" s="225"/>
      <c r="OWI120" s="225"/>
      <c r="OWJ120" s="225"/>
      <c r="OWK120" s="225"/>
      <c r="OWL120" s="225"/>
      <c r="OWM120" s="225"/>
      <c r="OWN120" s="225"/>
      <c r="OWO120" s="225"/>
      <c r="OWP120" s="225"/>
      <c r="OWQ120" s="225"/>
      <c r="OWR120" s="225"/>
      <c r="OWS120" s="225"/>
      <c r="OWT120" s="225"/>
      <c r="OWU120" s="225"/>
      <c r="OWV120" s="225"/>
      <c r="OWW120" s="225"/>
      <c r="OWX120" s="225"/>
      <c r="OWY120" s="225"/>
      <c r="OWZ120" s="225"/>
      <c r="OXA120" s="225"/>
      <c r="OXB120" s="225"/>
      <c r="OXC120" s="225"/>
      <c r="OXD120" s="225"/>
      <c r="OXE120" s="225"/>
      <c r="OXF120" s="225"/>
      <c r="OXG120" s="225"/>
      <c r="OXH120" s="225"/>
      <c r="OXI120" s="225"/>
      <c r="OXJ120" s="225"/>
      <c r="OXK120" s="225"/>
      <c r="OXL120" s="225"/>
      <c r="OXM120" s="225"/>
      <c r="OXN120" s="225"/>
      <c r="OXO120" s="225"/>
      <c r="OXP120" s="225"/>
      <c r="OXQ120" s="225"/>
      <c r="OXR120" s="225"/>
      <c r="OXS120" s="225"/>
      <c r="OXT120" s="225"/>
      <c r="OXU120" s="225"/>
      <c r="OXV120" s="225"/>
      <c r="OXW120" s="225"/>
      <c r="OXX120" s="225"/>
      <c r="OXY120" s="225"/>
      <c r="OXZ120" s="225"/>
      <c r="OYA120" s="225"/>
      <c r="OYB120" s="225"/>
      <c r="OYC120" s="225"/>
      <c r="OYD120" s="225"/>
      <c r="OYE120" s="225"/>
      <c r="OYF120" s="225"/>
      <c r="OYG120" s="225"/>
      <c r="OYH120" s="225"/>
      <c r="OYI120" s="225"/>
      <c r="OYJ120" s="225"/>
      <c r="OYK120" s="225"/>
      <c r="OYL120" s="225"/>
      <c r="OYM120" s="225"/>
      <c r="OYN120" s="225"/>
      <c r="OYO120" s="225"/>
      <c r="OYP120" s="225"/>
      <c r="OYQ120" s="225"/>
      <c r="OYR120" s="225"/>
      <c r="OYS120" s="225"/>
      <c r="OYT120" s="225"/>
      <c r="OYU120" s="225"/>
      <c r="OYV120" s="225"/>
      <c r="OYW120" s="225"/>
      <c r="OYX120" s="225"/>
      <c r="OYY120" s="225"/>
      <c r="OYZ120" s="225"/>
      <c r="OZA120" s="225"/>
      <c r="OZB120" s="225"/>
      <c r="OZC120" s="225"/>
      <c r="OZD120" s="225"/>
      <c r="OZE120" s="225"/>
      <c r="OZF120" s="225"/>
      <c r="OZG120" s="225"/>
      <c r="OZH120" s="225"/>
      <c r="OZI120" s="225"/>
      <c r="OZJ120" s="225"/>
      <c r="OZK120" s="225"/>
      <c r="OZL120" s="225"/>
      <c r="OZM120" s="225"/>
      <c r="OZN120" s="225"/>
      <c r="OZO120" s="225"/>
      <c r="OZP120" s="225"/>
      <c r="OZQ120" s="225"/>
      <c r="OZR120" s="225"/>
      <c r="OZS120" s="225"/>
      <c r="OZT120" s="225"/>
      <c r="OZU120" s="225"/>
      <c r="OZV120" s="225"/>
      <c r="OZW120" s="225"/>
      <c r="OZX120" s="225"/>
      <c r="OZY120" s="225"/>
      <c r="OZZ120" s="225"/>
      <c r="PAA120" s="225"/>
      <c r="PAB120" s="225"/>
      <c r="PAC120" s="225"/>
      <c r="PAD120" s="225"/>
      <c r="PAE120" s="225"/>
      <c r="PAF120" s="225"/>
      <c r="PAG120" s="225"/>
      <c r="PAH120" s="225"/>
      <c r="PAI120" s="225"/>
      <c r="PAJ120" s="225"/>
      <c r="PAK120" s="225"/>
      <c r="PAL120" s="225"/>
      <c r="PAM120" s="225"/>
      <c r="PAN120" s="225"/>
      <c r="PAO120" s="225"/>
      <c r="PAP120" s="225"/>
      <c r="PAQ120" s="225"/>
      <c r="PAR120" s="225"/>
      <c r="PAS120" s="225"/>
      <c r="PAT120" s="225"/>
      <c r="PAU120" s="225"/>
      <c r="PAV120" s="225"/>
      <c r="PAW120" s="225"/>
      <c r="PAX120" s="225"/>
      <c r="PAY120" s="225"/>
      <c r="PAZ120" s="225"/>
      <c r="PBA120" s="225"/>
      <c r="PBB120" s="225"/>
      <c r="PBC120" s="225"/>
      <c r="PBD120" s="225"/>
      <c r="PBE120" s="225"/>
      <c r="PBF120" s="225"/>
      <c r="PBG120" s="225"/>
      <c r="PBH120" s="225"/>
      <c r="PBI120" s="225"/>
      <c r="PBJ120" s="225"/>
      <c r="PBK120" s="225"/>
      <c r="PBL120" s="225"/>
      <c r="PBM120" s="225"/>
      <c r="PBN120" s="225"/>
      <c r="PBO120" s="225"/>
      <c r="PBP120" s="225"/>
      <c r="PBQ120" s="225"/>
      <c r="PBR120" s="225"/>
      <c r="PBS120" s="225"/>
      <c r="PBT120" s="225"/>
      <c r="PBU120" s="225"/>
      <c r="PBV120" s="225"/>
      <c r="PBW120" s="225"/>
      <c r="PBX120" s="225"/>
      <c r="PBY120" s="225"/>
      <c r="PBZ120" s="225"/>
      <c r="PCA120" s="225"/>
      <c r="PCB120" s="225"/>
      <c r="PCC120" s="225"/>
      <c r="PCD120" s="225"/>
      <c r="PCE120" s="225"/>
      <c r="PCF120" s="225"/>
      <c r="PCG120" s="225"/>
      <c r="PCH120" s="225"/>
      <c r="PCI120" s="225"/>
      <c r="PCJ120" s="225"/>
      <c r="PCK120" s="225"/>
      <c r="PCL120" s="225"/>
      <c r="PCM120" s="225"/>
      <c r="PCN120" s="225"/>
      <c r="PCO120" s="225"/>
      <c r="PCP120" s="225"/>
      <c r="PCQ120" s="225"/>
      <c r="PCR120" s="225"/>
      <c r="PCS120" s="225"/>
      <c r="PCT120" s="225"/>
      <c r="PCU120" s="225"/>
      <c r="PCV120" s="225"/>
      <c r="PCW120" s="225"/>
      <c r="PCX120" s="225"/>
      <c r="PCY120" s="225"/>
      <c r="PCZ120" s="225"/>
      <c r="PDA120" s="225"/>
      <c r="PDB120" s="225"/>
      <c r="PDC120" s="225"/>
      <c r="PDD120" s="225"/>
      <c r="PDE120" s="225"/>
      <c r="PDF120" s="225"/>
      <c r="PDG120" s="225"/>
      <c r="PDH120" s="225"/>
      <c r="PDI120" s="225"/>
      <c r="PDJ120" s="225"/>
      <c r="PDK120" s="225"/>
      <c r="PDL120" s="225"/>
      <c r="PDM120" s="225"/>
      <c r="PDN120" s="225"/>
      <c r="PDO120" s="225"/>
      <c r="PDP120" s="225"/>
      <c r="PDQ120" s="225"/>
      <c r="PDR120" s="225"/>
      <c r="PDS120" s="225"/>
      <c r="PDT120" s="225"/>
      <c r="PDU120" s="225"/>
      <c r="PDV120" s="225"/>
      <c r="PDW120" s="225"/>
      <c r="PDX120" s="225"/>
      <c r="PDY120" s="225"/>
      <c r="PDZ120" s="225"/>
      <c r="PEA120" s="225"/>
      <c r="PEB120" s="225"/>
      <c r="PEC120" s="225"/>
      <c r="PED120" s="225"/>
      <c r="PEE120" s="225"/>
      <c r="PEF120" s="225"/>
      <c r="PEG120" s="225"/>
      <c r="PEH120" s="225"/>
      <c r="PEI120" s="225"/>
      <c r="PEJ120" s="225"/>
      <c r="PEK120" s="225"/>
      <c r="PEL120" s="225"/>
      <c r="PEM120" s="225"/>
      <c r="PEN120" s="225"/>
      <c r="PEO120" s="225"/>
      <c r="PEP120" s="225"/>
      <c r="PEQ120" s="225"/>
      <c r="PER120" s="225"/>
      <c r="PES120" s="225"/>
      <c r="PET120" s="225"/>
      <c r="PEU120" s="225"/>
      <c r="PEV120" s="225"/>
      <c r="PEW120" s="225"/>
      <c r="PEX120" s="225"/>
      <c r="PEY120" s="225"/>
      <c r="PEZ120" s="225"/>
      <c r="PFA120" s="225"/>
      <c r="PFB120" s="225"/>
      <c r="PFC120" s="225"/>
      <c r="PFD120" s="225"/>
      <c r="PFE120" s="225"/>
      <c r="PFF120" s="225"/>
      <c r="PFG120" s="225"/>
      <c r="PFH120" s="225"/>
      <c r="PFI120" s="225"/>
      <c r="PFJ120" s="225"/>
      <c r="PFK120" s="225"/>
      <c r="PFL120" s="225"/>
      <c r="PFM120" s="225"/>
      <c r="PFN120" s="225"/>
      <c r="PFO120" s="225"/>
      <c r="PFP120" s="225"/>
      <c r="PFQ120" s="225"/>
      <c r="PFR120" s="225"/>
      <c r="PFS120" s="225"/>
      <c r="PFT120" s="225"/>
      <c r="PFU120" s="225"/>
      <c r="PFV120" s="225"/>
      <c r="PFW120" s="225"/>
      <c r="PFX120" s="225"/>
      <c r="PFY120" s="225"/>
      <c r="PFZ120" s="225"/>
      <c r="PGA120" s="225"/>
      <c r="PGB120" s="225"/>
      <c r="PGC120" s="225"/>
      <c r="PGD120" s="225"/>
      <c r="PGE120" s="225"/>
      <c r="PGF120" s="225"/>
      <c r="PGG120" s="225"/>
      <c r="PGH120" s="225"/>
      <c r="PGI120" s="225"/>
      <c r="PGJ120" s="225"/>
      <c r="PGK120" s="225"/>
      <c r="PGL120" s="225"/>
      <c r="PGM120" s="225"/>
      <c r="PGN120" s="225"/>
      <c r="PGO120" s="225"/>
      <c r="PGP120" s="225"/>
      <c r="PGQ120" s="225"/>
      <c r="PGR120" s="225"/>
      <c r="PGS120" s="225"/>
      <c r="PGT120" s="225"/>
      <c r="PGU120" s="225"/>
      <c r="PGV120" s="225"/>
      <c r="PGW120" s="225"/>
      <c r="PGX120" s="225"/>
      <c r="PGY120" s="225"/>
      <c r="PGZ120" s="225"/>
      <c r="PHA120" s="225"/>
      <c r="PHB120" s="225"/>
      <c r="PHC120" s="225"/>
      <c r="PHD120" s="225"/>
      <c r="PHE120" s="225"/>
      <c r="PHF120" s="225"/>
      <c r="PHG120" s="225"/>
      <c r="PHH120" s="225"/>
      <c r="PHI120" s="225"/>
      <c r="PHJ120" s="225"/>
      <c r="PHK120" s="225"/>
      <c r="PHL120" s="225"/>
      <c r="PHM120" s="225"/>
      <c r="PHN120" s="225"/>
      <c r="PHO120" s="225"/>
      <c r="PHP120" s="225"/>
      <c r="PHQ120" s="225"/>
      <c r="PHR120" s="225"/>
      <c r="PHS120" s="225"/>
      <c r="PHT120" s="225"/>
      <c r="PHU120" s="225"/>
      <c r="PHV120" s="225"/>
      <c r="PHW120" s="225"/>
      <c r="PHX120" s="225"/>
      <c r="PHY120" s="225"/>
      <c r="PHZ120" s="225"/>
      <c r="PIA120" s="225"/>
      <c r="PIB120" s="225"/>
      <c r="PIC120" s="225"/>
      <c r="PID120" s="225"/>
      <c r="PIE120" s="225"/>
      <c r="PIF120" s="225"/>
      <c r="PIG120" s="225"/>
      <c r="PIH120" s="225"/>
      <c r="PII120" s="225"/>
      <c r="PIJ120" s="225"/>
      <c r="PIK120" s="225"/>
      <c r="PIL120" s="225"/>
      <c r="PIM120" s="225"/>
      <c r="PIN120" s="225"/>
      <c r="PIO120" s="225"/>
      <c r="PIP120" s="225"/>
      <c r="PIQ120" s="225"/>
      <c r="PIR120" s="225"/>
      <c r="PIS120" s="225"/>
      <c r="PIT120" s="225"/>
      <c r="PIU120" s="225"/>
      <c r="PIV120" s="225"/>
      <c r="PIW120" s="225"/>
      <c r="PIX120" s="225"/>
      <c r="PIY120" s="225"/>
      <c r="PIZ120" s="225"/>
      <c r="PJA120" s="225"/>
      <c r="PJB120" s="225"/>
      <c r="PJC120" s="225"/>
      <c r="PJD120" s="225"/>
      <c r="PJE120" s="225"/>
      <c r="PJF120" s="225"/>
      <c r="PJG120" s="225"/>
      <c r="PJH120" s="225"/>
      <c r="PJI120" s="225"/>
      <c r="PJJ120" s="225"/>
      <c r="PJK120" s="225"/>
      <c r="PJL120" s="225"/>
      <c r="PJM120" s="225"/>
      <c r="PJN120" s="225"/>
      <c r="PJO120" s="225"/>
      <c r="PJP120" s="225"/>
      <c r="PJQ120" s="225"/>
      <c r="PJR120" s="225"/>
      <c r="PJS120" s="225"/>
      <c r="PJT120" s="225"/>
      <c r="PJU120" s="225"/>
      <c r="PJV120" s="225"/>
      <c r="PJW120" s="225"/>
      <c r="PJX120" s="225"/>
      <c r="PJY120" s="225"/>
      <c r="PJZ120" s="225"/>
      <c r="PKA120" s="225"/>
      <c r="PKB120" s="225"/>
      <c r="PKC120" s="225"/>
      <c r="PKD120" s="225"/>
      <c r="PKE120" s="225"/>
      <c r="PKF120" s="225"/>
      <c r="PKG120" s="225"/>
      <c r="PKH120" s="225"/>
      <c r="PKI120" s="225"/>
      <c r="PKJ120" s="225"/>
      <c r="PKK120" s="225"/>
      <c r="PKL120" s="225"/>
      <c r="PKM120" s="225"/>
      <c r="PKN120" s="225"/>
      <c r="PKO120" s="225"/>
      <c r="PKP120" s="225"/>
      <c r="PKQ120" s="225"/>
      <c r="PKR120" s="225"/>
      <c r="PKS120" s="225"/>
      <c r="PKT120" s="225"/>
      <c r="PKU120" s="225"/>
      <c r="PKV120" s="225"/>
      <c r="PKW120" s="225"/>
      <c r="PKX120" s="225"/>
      <c r="PKY120" s="225"/>
      <c r="PKZ120" s="225"/>
      <c r="PLA120" s="225"/>
      <c r="PLB120" s="225"/>
      <c r="PLC120" s="225"/>
      <c r="PLD120" s="225"/>
      <c r="PLE120" s="225"/>
      <c r="PLF120" s="225"/>
      <c r="PLG120" s="225"/>
      <c r="PLH120" s="225"/>
      <c r="PLI120" s="225"/>
      <c r="PLJ120" s="225"/>
      <c r="PLK120" s="225"/>
      <c r="PLL120" s="225"/>
      <c r="PLM120" s="225"/>
      <c r="PLN120" s="225"/>
      <c r="PLO120" s="225"/>
      <c r="PLP120" s="225"/>
      <c r="PLQ120" s="225"/>
      <c r="PLR120" s="225"/>
      <c r="PLS120" s="225"/>
      <c r="PLT120" s="225"/>
      <c r="PLU120" s="225"/>
      <c r="PLV120" s="225"/>
      <c r="PLW120" s="225"/>
      <c r="PLX120" s="225"/>
      <c r="PLY120" s="225"/>
      <c r="PLZ120" s="225"/>
      <c r="PMA120" s="225"/>
      <c r="PMB120" s="225"/>
      <c r="PMC120" s="225"/>
      <c r="PMD120" s="225"/>
      <c r="PME120" s="225"/>
      <c r="PMF120" s="225"/>
      <c r="PMG120" s="225"/>
      <c r="PMH120" s="225"/>
      <c r="PMI120" s="225"/>
      <c r="PMJ120" s="225"/>
      <c r="PMK120" s="225"/>
      <c r="PML120" s="225"/>
      <c r="PMM120" s="225"/>
      <c r="PMN120" s="225"/>
      <c r="PMO120" s="225"/>
      <c r="PMP120" s="225"/>
      <c r="PMQ120" s="225"/>
      <c r="PMR120" s="225"/>
      <c r="PMS120" s="225"/>
      <c r="PMT120" s="225"/>
      <c r="PMU120" s="225"/>
      <c r="PMV120" s="225"/>
      <c r="PMW120" s="225"/>
      <c r="PMX120" s="225"/>
      <c r="PMY120" s="225"/>
      <c r="PMZ120" s="225"/>
      <c r="PNA120" s="225"/>
      <c r="PNB120" s="225"/>
      <c r="PNC120" s="225"/>
      <c r="PND120" s="225"/>
      <c r="PNE120" s="225"/>
      <c r="PNF120" s="225"/>
      <c r="PNG120" s="225"/>
      <c r="PNH120" s="225"/>
      <c r="PNI120" s="225"/>
      <c r="PNJ120" s="225"/>
      <c r="PNK120" s="225"/>
      <c r="PNL120" s="225"/>
      <c r="PNM120" s="225"/>
      <c r="PNN120" s="225"/>
      <c r="PNO120" s="225"/>
      <c r="PNP120" s="225"/>
      <c r="PNQ120" s="225"/>
      <c r="PNR120" s="225"/>
      <c r="PNS120" s="225"/>
      <c r="PNT120" s="225"/>
      <c r="PNU120" s="225"/>
      <c r="PNV120" s="225"/>
      <c r="PNW120" s="225"/>
      <c r="PNX120" s="225"/>
      <c r="PNY120" s="225"/>
      <c r="PNZ120" s="225"/>
      <c r="POA120" s="225"/>
      <c r="POB120" s="225"/>
      <c r="POC120" s="225"/>
      <c r="POD120" s="225"/>
      <c r="POE120" s="225"/>
      <c r="POF120" s="225"/>
      <c r="POG120" s="225"/>
      <c r="POH120" s="225"/>
      <c r="POI120" s="225"/>
      <c r="POJ120" s="225"/>
      <c r="POK120" s="225"/>
      <c r="POL120" s="225"/>
      <c r="POM120" s="225"/>
      <c r="PON120" s="225"/>
      <c r="POO120" s="225"/>
      <c r="POP120" s="225"/>
      <c r="POQ120" s="225"/>
      <c r="POR120" s="225"/>
      <c r="POS120" s="225"/>
      <c r="POT120" s="225"/>
      <c r="POU120" s="225"/>
      <c r="POV120" s="225"/>
      <c r="POW120" s="225"/>
      <c r="POX120" s="225"/>
      <c r="POY120" s="225"/>
      <c r="POZ120" s="225"/>
      <c r="PPA120" s="225"/>
      <c r="PPB120" s="225"/>
      <c r="PPC120" s="225"/>
      <c r="PPD120" s="225"/>
      <c r="PPE120" s="225"/>
      <c r="PPF120" s="225"/>
      <c r="PPG120" s="225"/>
      <c r="PPH120" s="225"/>
      <c r="PPI120" s="225"/>
      <c r="PPJ120" s="225"/>
      <c r="PPK120" s="225"/>
      <c r="PPL120" s="225"/>
      <c r="PPM120" s="225"/>
      <c r="PPN120" s="225"/>
      <c r="PPO120" s="225"/>
      <c r="PPP120" s="225"/>
      <c r="PPQ120" s="225"/>
      <c r="PPR120" s="225"/>
      <c r="PPS120" s="225"/>
      <c r="PPT120" s="225"/>
      <c r="PPU120" s="225"/>
      <c r="PPV120" s="225"/>
      <c r="PPW120" s="225"/>
      <c r="PPX120" s="225"/>
      <c r="PPY120" s="225"/>
      <c r="PPZ120" s="225"/>
      <c r="PQA120" s="225"/>
      <c r="PQB120" s="225"/>
      <c r="PQC120" s="225"/>
      <c r="PQD120" s="225"/>
      <c r="PQE120" s="225"/>
      <c r="PQF120" s="225"/>
      <c r="PQG120" s="225"/>
      <c r="PQH120" s="225"/>
      <c r="PQI120" s="225"/>
      <c r="PQJ120" s="225"/>
      <c r="PQK120" s="225"/>
      <c r="PQL120" s="225"/>
      <c r="PQM120" s="225"/>
      <c r="PQN120" s="225"/>
      <c r="PQO120" s="225"/>
      <c r="PQP120" s="225"/>
      <c r="PQQ120" s="225"/>
      <c r="PQR120" s="225"/>
      <c r="PQS120" s="225"/>
      <c r="PQT120" s="225"/>
      <c r="PQU120" s="225"/>
      <c r="PQV120" s="225"/>
      <c r="PQW120" s="225"/>
      <c r="PQX120" s="225"/>
      <c r="PQY120" s="225"/>
      <c r="PQZ120" s="225"/>
      <c r="PRA120" s="225"/>
      <c r="PRB120" s="225"/>
      <c r="PRC120" s="225"/>
      <c r="PRD120" s="225"/>
      <c r="PRE120" s="225"/>
      <c r="PRF120" s="225"/>
      <c r="PRG120" s="225"/>
      <c r="PRH120" s="225"/>
      <c r="PRI120" s="225"/>
      <c r="PRJ120" s="225"/>
      <c r="PRK120" s="225"/>
      <c r="PRL120" s="225"/>
      <c r="PRM120" s="225"/>
      <c r="PRN120" s="225"/>
      <c r="PRO120" s="225"/>
      <c r="PRP120" s="225"/>
      <c r="PRQ120" s="225"/>
      <c r="PRR120" s="225"/>
      <c r="PRS120" s="225"/>
      <c r="PRT120" s="225"/>
      <c r="PRU120" s="225"/>
      <c r="PRV120" s="225"/>
      <c r="PRW120" s="225"/>
      <c r="PRX120" s="225"/>
      <c r="PRY120" s="225"/>
      <c r="PRZ120" s="225"/>
      <c r="PSA120" s="225"/>
      <c r="PSB120" s="225"/>
      <c r="PSC120" s="225"/>
      <c r="PSD120" s="225"/>
      <c r="PSE120" s="225"/>
      <c r="PSF120" s="225"/>
      <c r="PSG120" s="225"/>
      <c r="PSH120" s="225"/>
      <c r="PSI120" s="225"/>
      <c r="PSJ120" s="225"/>
      <c r="PSK120" s="225"/>
      <c r="PSL120" s="225"/>
      <c r="PSM120" s="225"/>
      <c r="PSN120" s="225"/>
      <c r="PSO120" s="225"/>
      <c r="PSP120" s="225"/>
      <c r="PSQ120" s="225"/>
      <c r="PSR120" s="225"/>
      <c r="PSS120" s="225"/>
      <c r="PST120" s="225"/>
      <c r="PSU120" s="225"/>
      <c r="PSV120" s="225"/>
      <c r="PSW120" s="225"/>
      <c r="PSX120" s="225"/>
      <c r="PSY120" s="225"/>
      <c r="PSZ120" s="225"/>
      <c r="PTA120" s="225"/>
      <c r="PTB120" s="225"/>
      <c r="PTC120" s="225"/>
      <c r="PTD120" s="225"/>
      <c r="PTE120" s="225"/>
      <c r="PTF120" s="225"/>
      <c r="PTG120" s="225"/>
      <c r="PTH120" s="225"/>
      <c r="PTI120" s="225"/>
      <c r="PTJ120" s="225"/>
      <c r="PTK120" s="225"/>
      <c r="PTL120" s="225"/>
      <c r="PTM120" s="225"/>
      <c r="PTN120" s="225"/>
      <c r="PTO120" s="225"/>
      <c r="PTP120" s="225"/>
      <c r="PTQ120" s="225"/>
      <c r="PTR120" s="225"/>
      <c r="PTS120" s="225"/>
      <c r="PTT120" s="225"/>
      <c r="PTU120" s="225"/>
      <c r="PTV120" s="225"/>
      <c r="PTW120" s="225"/>
      <c r="PTX120" s="225"/>
      <c r="PTY120" s="225"/>
      <c r="PTZ120" s="225"/>
      <c r="PUA120" s="225"/>
      <c r="PUB120" s="225"/>
      <c r="PUC120" s="225"/>
      <c r="PUD120" s="225"/>
      <c r="PUE120" s="225"/>
      <c r="PUF120" s="225"/>
      <c r="PUG120" s="225"/>
      <c r="PUH120" s="225"/>
      <c r="PUI120" s="225"/>
      <c r="PUJ120" s="225"/>
      <c r="PUK120" s="225"/>
      <c r="PUL120" s="225"/>
      <c r="PUM120" s="225"/>
      <c r="PUN120" s="225"/>
      <c r="PUO120" s="225"/>
      <c r="PUP120" s="225"/>
      <c r="PUQ120" s="225"/>
      <c r="PUR120" s="225"/>
      <c r="PUS120" s="225"/>
      <c r="PUT120" s="225"/>
      <c r="PUU120" s="225"/>
      <c r="PUV120" s="225"/>
      <c r="PUW120" s="225"/>
      <c r="PUX120" s="225"/>
      <c r="PUY120" s="225"/>
      <c r="PUZ120" s="225"/>
      <c r="PVA120" s="225"/>
      <c r="PVB120" s="225"/>
      <c r="PVC120" s="225"/>
      <c r="PVD120" s="225"/>
      <c r="PVE120" s="225"/>
      <c r="PVF120" s="225"/>
      <c r="PVG120" s="225"/>
      <c r="PVH120" s="225"/>
      <c r="PVI120" s="225"/>
      <c r="PVJ120" s="225"/>
      <c r="PVK120" s="225"/>
      <c r="PVL120" s="225"/>
      <c r="PVM120" s="225"/>
      <c r="PVN120" s="225"/>
      <c r="PVO120" s="225"/>
      <c r="PVP120" s="225"/>
      <c r="PVQ120" s="225"/>
      <c r="PVR120" s="225"/>
      <c r="PVS120" s="225"/>
      <c r="PVT120" s="225"/>
      <c r="PVU120" s="225"/>
      <c r="PVV120" s="225"/>
      <c r="PVW120" s="225"/>
      <c r="PVX120" s="225"/>
      <c r="PVY120" s="225"/>
      <c r="PVZ120" s="225"/>
      <c r="PWA120" s="225"/>
      <c r="PWB120" s="225"/>
      <c r="PWC120" s="225"/>
      <c r="PWD120" s="225"/>
      <c r="PWE120" s="225"/>
      <c r="PWF120" s="225"/>
      <c r="PWG120" s="225"/>
      <c r="PWH120" s="225"/>
      <c r="PWI120" s="225"/>
      <c r="PWJ120" s="225"/>
      <c r="PWK120" s="225"/>
      <c r="PWL120" s="225"/>
      <c r="PWM120" s="225"/>
      <c r="PWN120" s="225"/>
      <c r="PWO120" s="225"/>
      <c r="PWP120" s="225"/>
      <c r="PWQ120" s="225"/>
      <c r="PWR120" s="225"/>
      <c r="PWS120" s="225"/>
      <c r="PWT120" s="225"/>
      <c r="PWU120" s="225"/>
      <c r="PWV120" s="225"/>
      <c r="PWW120" s="225"/>
      <c r="PWX120" s="225"/>
      <c r="PWY120" s="225"/>
      <c r="PWZ120" s="225"/>
      <c r="PXA120" s="225"/>
      <c r="PXB120" s="225"/>
      <c r="PXC120" s="225"/>
      <c r="PXD120" s="225"/>
      <c r="PXE120" s="225"/>
      <c r="PXF120" s="225"/>
      <c r="PXG120" s="225"/>
      <c r="PXH120" s="225"/>
      <c r="PXI120" s="225"/>
      <c r="PXJ120" s="225"/>
      <c r="PXK120" s="225"/>
      <c r="PXL120" s="225"/>
      <c r="PXM120" s="225"/>
      <c r="PXN120" s="225"/>
      <c r="PXO120" s="225"/>
      <c r="PXP120" s="225"/>
      <c r="PXQ120" s="225"/>
      <c r="PXR120" s="225"/>
      <c r="PXS120" s="225"/>
      <c r="PXT120" s="225"/>
      <c r="PXU120" s="225"/>
      <c r="PXV120" s="225"/>
      <c r="PXW120" s="225"/>
      <c r="PXX120" s="225"/>
      <c r="PXY120" s="225"/>
      <c r="PXZ120" s="225"/>
      <c r="PYA120" s="225"/>
      <c r="PYB120" s="225"/>
      <c r="PYC120" s="225"/>
      <c r="PYD120" s="225"/>
      <c r="PYE120" s="225"/>
      <c r="PYF120" s="225"/>
      <c r="PYG120" s="225"/>
      <c r="PYH120" s="225"/>
      <c r="PYI120" s="225"/>
      <c r="PYJ120" s="225"/>
      <c r="PYK120" s="225"/>
      <c r="PYL120" s="225"/>
      <c r="PYM120" s="225"/>
      <c r="PYN120" s="225"/>
      <c r="PYO120" s="225"/>
      <c r="PYP120" s="225"/>
      <c r="PYQ120" s="225"/>
      <c r="PYR120" s="225"/>
      <c r="PYS120" s="225"/>
      <c r="PYT120" s="225"/>
      <c r="PYU120" s="225"/>
      <c r="PYV120" s="225"/>
      <c r="PYW120" s="225"/>
      <c r="PYX120" s="225"/>
      <c r="PYY120" s="225"/>
      <c r="PYZ120" s="225"/>
      <c r="PZA120" s="225"/>
      <c r="PZB120" s="225"/>
      <c r="PZC120" s="225"/>
      <c r="PZD120" s="225"/>
      <c r="PZE120" s="225"/>
      <c r="PZF120" s="225"/>
      <c r="PZG120" s="225"/>
      <c r="PZH120" s="225"/>
      <c r="PZI120" s="225"/>
      <c r="PZJ120" s="225"/>
      <c r="PZK120" s="225"/>
      <c r="PZL120" s="225"/>
      <c r="PZM120" s="225"/>
      <c r="PZN120" s="225"/>
      <c r="PZO120" s="225"/>
      <c r="PZP120" s="225"/>
      <c r="PZQ120" s="225"/>
      <c r="PZR120" s="225"/>
      <c r="PZS120" s="225"/>
      <c r="PZT120" s="225"/>
      <c r="PZU120" s="225"/>
      <c r="PZV120" s="225"/>
      <c r="PZW120" s="225"/>
      <c r="PZX120" s="225"/>
      <c r="PZY120" s="225"/>
      <c r="PZZ120" s="225"/>
      <c r="QAA120" s="225"/>
      <c r="QAB120" s="225"/>
      <c r="QAC120" s="225"/>
      <c r="QAD120" s="225"/>
      <c r="QAE120" s="225"/>
      <c r="QAF120" s="225"/>
      <c r="QAG120" s="225"/>
      <c r="QAH120" s="225"/>
      <c r="QAI120" s="225"/>
      <c r="QAJ120" s="225"/>
      <c r="QAK120" s="225"/>
      <c r="QAL120" s="225"/>
      <c r="QAM120" s="225"/>
      <c r="QAN120" s="225"/>
      <c r="QAO120" s="225"/>
      <c r="QAP120" s="225"/>
      <c r="QAQ120" s="225"/>
      <c r="QAR120" s="225"/>
      <c r="QAS120" s="225"/>
      <c r="QAT120" s="225"/>
      <c r="QAU120" s="225"/>
      <c r="QAV120" s="225"/>
      <c r="QAW120" s="225"/>
      <c r="QAX120" s="225"/>
      <c r="QAY120" s="225"/>
      <c r="QAZ120" s="225"/>
      <c r="QBA120" s="225"/>
      <c r="QBB120" s="225"/>
      <c r="QBC120" s="225"/>
      <c r="QBD120" s="225"/>
      <c r="QBE120" s="225"/>
      <c r="QBF120" s="225"/>
      <c r="QBG120" s="225"/>
      <c r="QBH120" s="225"/>
      <c r="QBI120" s="225"/>
      <c r="QBJ120" s="225"/>
      <c r="QBK120" s="225"/>
      <c r="QBL120" s="225"/>
      <c r="QBM120" s="225"/>
      <c r="QBN120" s="225"/>
      <c r="QBO120" s="225"/>
      <c r="QBP120" s="225"/>
      <c r="QBQ120" s="225"/>
      <c r="QBR120" s="225"/>
      <c r="QBS120" s="225"/>
      <c r="QBT120" s="225"/>
      <c r="QBU120" s="225"/>
      <c r="QBV120" s="225"/>
      <c r="QBW120" s="225"/>
      <c r="QBX120" s="225"/>
      <c r="QBY120" s="225"/>
      <c r="QBZ120" s="225"/>
      <c r="QCA120" s="225"/>
      <c r="QCB120" s="225"/>
      <c r="QCC120" s="225"/>
      <c r="QCD120" s="225"/>
      <c r="QCE120" s="225"/>
      <c r="QCF120" s="225"/>
      <c r="QCG120" s="225"/>
      <c r="QCH120" s="225"/>
      <c r="QCI120" s="225"/>
      <c r="QCJ120" s="225"/>
      <c r="QCK120" s="225"/>
      <c r="QCL120" s="225"/>
      <c r="QCM120" s="225"/>
      <c r="QCN120" s="225"/>
      <c r="QCO120" s="225"/>
      <c r="QCP120" s="225"/>
      <c r="QCQ120" s="225"/>
      <c r="QCR120" s="225"/>
      <c r="QCS120" s="225"/>
      <c r="QCT120" s="225"/>
      <c r="QCU120" s="225"/>
      <c r="QCV120" s="225"/>
      <c r="QCW120" s="225"/>
      <c r="QCX120" s="225"/>
      <c r="QCY120" s="225"/>
      <c r="QCZ120" s="225"/>
      <c r="QDA120" s="225"/>
      <c r="QDB120" s="225"/>
      <c r="QDC120" s="225"/>
      <c r="QDD120" s="225"/>
      <c r="QDE120" s="225"/>
      <c r="QDF120" s="225"/>
      <c r="QDG120" s="225"/>
      <c r="QDH120" s="225"/>
      <c r="QDI120" s="225"/>
      <c r="QDJ120" s="225"/>
      <c r="QDK120" s="225"/>
      <c r="QDL120" s="225"/>
      <c r="QDM120" s="225"/>
      <c r="QDN120" s="225"/>
      <c r="QDO120" s="225"/>
      <c r="QDP120" s="225"/>
      <c r="QDQ120" s="225"/>
      <c r="QDR120" s="225"/>
      <c r="QDS120" s="225"/>
      <c r="QDT120" s="225"/>
      <c r="QDU120" s="225"/>
      <c r="QDV120" s="225"/>
      <c r="QDW120" s="225"/>
      <c r="QDX120" s="225"/>
      <c r="QDY120" s="225"/>
      <c r="QDZ120" s="225"/>
      <c r="QEA120" s="225"/>
      <c r="QEB120" s="225"/>
      <c r="QEC120" s="225"/>
      <c r="QED120" s="225"/>
      <c r="QEE120" s="225"/>
      <c r="QEF120" s="225"/>
      <c r="QEG120" s="225"/>
      <c r="QEH120" s="225"/>
      <c r="QEI120" s="225"/>
      <c r="QEJ120" s="225"/>
      <c r="QEK120" s="225"/>
      <c r="QEL120" s="225"/>
      <c r="QEM120" s="225"/>
      <c r="QEN120" s="225"/>
      <c r="QEO120" s="225"/>
      <c r="QEP120" s="225"/>
      <c r="QEQ120" s="225"/>
      <c r="QER120" s="225"/>
      <c r="QES120" s="225"/>
      <c r="QET120" s="225"/>
      <c r="QEU120" s="225"/>
      <c r="QEV120" s="225"/>
      <c r="QEW120" s="225"/>
      <c r="QEX120" s="225"/>
      <c r="QEY120" s="225"/>
      <c r="QEZ120" s="225"/>
      <c r="QFA120" s="225"/>
      <c r="QFB120" s="225"/>
      <c r="QFC120" s="225"/>
      <c r="QFD120" s="225"/>
      <c r="QFE120" s="225"/>
      <c r="QFF120" s="225"/>
      <c r="QFG120" s="225"/>
      <c r="QFH120" s="225"/>
      <c r="QFI120" s="225"/>
      <c r="QFJ120" s="225"/>
      <c r="QFK120" s="225"/>
      <c r="QFL120" s="225"/>
      <c r="QFM120" s="225"/>
      <c r="QFN120" s="225"/>
      <c r="QFO120" s="225"/>
      <c r="QFP120" s="225"/>
      <c r="QFQ120" s="225"/>
      <c r="QFR120" s="225"/>
      <c r="QFS120" s="225"/>
      <c r="QFT120" s="225"/>
      <c r="QFU120" s="225"/>
      <c r="QFV120" s="225"/>
      <c r="QFW120" s="225"/>
      <c r="QFX120" s="225"/>
      <c r="QFY120" s="225"/>
      <c r="QFZ120" s="225"/>
      <c r="QGA120" s="225"/>
      <c r="QGB120" s="225"/>
      <c r="QGC120" s="225"/>
      <c r="QGD120" s="225"/>
      <c r="QGE120" s="225"/>
      <c r="QGF120" s="225"/>
      <c r="QGG120" s="225"/>
      <c r="QGH120" s="225"/>
      <c r="QGI120" s="225"/>
      <c r="QGJ120" s="225"/>
      <c r="QGK120" s="225"/>
      <c r="QGL120" s="225"/>
      <c r="QGM120" s="225"/>
      <c r="QGN120" s="225"/>
      <c r="QGO120" s="225"/>
      <c r="QGP120" s="225"/>
      <c r="QGQ120" s="225"/>
      <c r="QGR120" s="225"/>
      <c r="QGS120" s="225"/>
      <c r="QGT120" s="225"/>
      <c r="QGU120" s="225"/>
      <c r="QGV120" s="225"/>
      <c r="QGW120" s="225"/>
      <c r="QGX120" s="225"/>
      <c r="QGY120" s="225"/>
      <c r="QGZ120" s="225"/>
      <c r="QHA120" s="225"/>
      <c r="QHB120" s="225"/>
      <c r="QHC120" s="225"/>
      <c r="QHD120" s="225"/>
      <c r="QHE120" s="225"/>
      <c r="QHF120" s="225"/>
      <c r="QHG120" s="225"/>
      <c r="QHH120" s="225"/>
      <c r="QHI120" s="225"/>
      <c r="QHJ120" s="225"/>
      <c r="QHK120" s="225"/>
      <c r="QHL120" s="225"/>
      <c r="QHM120" s="225"/>
      <c r="QHN120" s="225"/>
      <c r="QHO120" s="225"/>
      <c r="QHP120" s="225"/>
      <c r="QHQ120" s="225"/>
      <c r="QHR120" s="225"/>
      <c r="QHS120" s="225"/>
      <c r="QHT120" s="225"/>
      <c r="QHU120" s="225"/>
      <c r="QHV120" s="225"/>
      <c r="QHW120" s="225"/>
      <c r="QHX120" s="225"/>
      <c r="QHY120" s="225"/>
      <c r="QHZ120" s="225"/>
      <c r="QIA120" s="225"/>
      <c r="QIB120" s="225"/>
      <c r="QIC120" s="225"/>
      <c r="QID120" s="225"/>
      <c r="QIE120" s="225"/>
      <c r="QIF120" s="225"/>
      <c r="QIG120" s="225"/>
      <c r="QIH120" s="225"/>
      <c r="QII120" s="225"/>
      <c r="QIJ120" s="225"/>
      <c r="QIK120" s="225"/>
      <c r="QIL120" s="225"/>
      <c r="QIM120" s="225"/>
      <c r="QIN120" s="225"/>
      <c r="QIO120" s="225"/>
      <c r="QIP120" s="225"/>
      <c r="QIQ120" s="225"/>
      <c r="QIR120" s="225"/>
      <c r="QIS120" s="225"/>
      <c r="QIT120" s="225"/>
      <c r="QIU120" s="225"/>
      <c r="QIV120" s="225"/>
      <c r="QIW120" s="225"/>
      <c r="QIX120" s="225"/>
      <c r="QIY120" s="225"/>
      <c r="QIZ120" s="225"/>
      <c r="QJA120" s="225"/>
      <c r="QJB120" s="225"/>
      <c r="QJC120" s="225"/>
      <c r="QJD120" s="225"/>
      <c r="QJE120" s="225"/>
      <c r="QJF120" s="225"/>
      <c r="QJG120" s="225"/>
      <c r="QJH120" s="225"/>
      <c r="QJI120" s="225"/>
      <c r="QJJ120" s="225"/>
      <c r="QJK120" s="225"/>
      <c r="QJL120" s="225"/>
      <c r="QJM120" s="225"/>
      <c r="QJN120" s="225"/>
      <c r="QJO120" s="225"/>
      <c r="QJP120" s="225"/>
      <c r="QJQ120" s="225"/>
      <c r="QJR120" s="225"/>
      <c r="QJS120" s="225"/>
      <c r="QJT120" s="225"/>
      <c r="QJU120" s="225"/>
      <c r="QJV120" s="225"/>
      <c r="QJW120" s="225"/>
      <c r="QJX120" s="225"/>
      <c r="QJY120" s="225"/>
      <c r="QJZ120" s="225"/>
      <c r="QKA120" s="225"/>
      <c r="QKB120" s="225"/>
      <c r="QKC120" s="225"/>
      <c r="QKD120" s="225"/>
      <c r="QKE120" s="225"/>
      <c r="QKF120" s="225"/>
      <c r="QKG120" s="225"/>
      <c r="QKH120" s="225"/>
      <c r="QKI120" s="225"/>
      <c r="QKJ120" s="225"/>
      <c r="QKK120" s="225"/>
      <c r="QKL120" s="225"/>
      <c r="QKM120" s="225"/>
      <c r="QKN120" s="225"/>
      <c r="QKO120" s="225"/>
      <c r="QKP120" s="225"/>
      <c r="QKQ120" s="225"/>
      <c r="QKR120" s="225"/>
      <c r="QKS120" s="225"/>
      <c r="QKT120" s="225"/>
      <c r="QKU120" s="225"/>
      <c r="QKV120" s="225"/>
      <c r="QKW120" s="225"/>
      <c r="QKX120" s="225"/>
      <c r="QKY120" s="225"/>
      <c r="QKZ120" s="225"/>
      <c r="QLA120" s="225"/>
      <c r="QLB120" s="225"/>
      <c r="QLC120" s="225"/>
      <c r="QLD120" s="225"/>
      <c r="QLE120" s="225"/>
      <c r="QLF120" s="225"/>
      <c r="QLG120" s="225"/>
      <c r="QLH120" s="225"/>
      <c r="QLI120" s="225"/>
      <c r="QLJ120" s="225"/>
      <c r="QLK120" s="225"/>
      <c r="QLL120" s="225"/>
      <c r="QLM120" s="225"/>
      <c r="QLN120" s="225"/>
      <c r="QLO120" s="225"/>
      <c r="QLP120" s="225"/>
      <c r="QLQ120" s="225"/>
      <c r="QLR120" s="225"/>
      <c r="QLS120" s="225"/>
      <c r="QLT120" s="225"/>
      <c r="QLU120" s="225"/>
      <c r="QLV120" s="225"/>
      <c r="QLW120" s="225"/>
      <c r="QLX120" s="225"/>
      <c r="QLY120" s="225"/>
      <c r="QLZ120" s="225"/>
      <c r="QMA120" s="225"/>
      <c r="QMB120" s="225"/>
      <c r="QMC120" s="225"/>
      <c r="QMD120" s="225"/>
      <c r="QME120" s="225"/>
      <c r="QMF120" s="225"/>
      <c r="QMG120" s="225"/>
      <c r="QMH120" s="225"/>
      <c r="QMI120" s="225"/>
      <c r="QMJ120" s="225"/>
      <c r="QMK120" s="225"/>
      <c r="QML120" s="225"/>
      <c r="QMM120" s="225"/>
      <c r="QMN120" s="225"/>
      <c r="QMO120" s="225"/>
      <c r="QMP120" s="225"/>
      <c r="QMQ120" s="225"/>
      <c r="QMR120" s="225"/>
      <c r="QMS120" s="225"/>
      <c r="QMT120" s="225"/>
      <c r="QMU120" s="225"/>
      <c r="QMV120" s="225"/>
      <c r="QMW120" s="225"/>
      <c r="QMX120" s="225"/>
      <c r="QMY120" s="225"/>
      <c r="QMZ120" s="225"/>
      <c r="QNA120" s="225"/>
      <c r="QNB120" s="225"/>
      <c r="QNC120" s="225"/>
      <c r="QND120" s="225"/>
      <c r="QNE120" s="225"/>
      <c r="QNF120" s="225"/>
      <c r="QNG120" s="225"/>
      <c r="QNH120" s="225"/>
      <c r="QNI120" s="225"/>
      <c r="QNJ120" s="225"/>
      <c r="QNK120" s="225"/>
      <c r="QNL120" s="225"/>
      <c r="QNM120" s="225"/>
      <c r="QNN120" s="225"/>
      <c r="QNO120" s="225"/>
      <c r="QNP120" s="225"/>
      <c r="QNQ120" s="225"/>
      <c r="QNR120" s="225"/>
      <c r="QNS120" s="225"/>
      <c r="QNT120" s="225"/>
      <c r="QNU120" s="225"/>
      <c r="QNV120" s="225"/>
      <c r="QNW120" s="225"/>
      <c r="QNX120" s="225"/>
      <c r="QNY120" s="225"/>
      <c r="QNZ120" s="225"/>
      <c r="QOA120" s="225"/>
      <c r="QOB120" s="225"/>
      <c r="QOC120" s="225"/>
      <c r="QOD120" s="225"/>
      <c r="QOE120" s="225"/>
      <c r="QOF120" s="225"/>
      <c r="QOG120" s="225"/>
      <c r="QOH120" s="225"/>
      <c r="QOI120" s="225"/>
      <c r="QOJ120" s="225"/>
      <c r="QOK120" s="225"/>
      <c r="QOL120" s="225"/>
      <c r="QOM120" s="225"/>
      <c r="QON120" s="225"/>
      <c r="QOO120" s="225"/>
      <c r="QOP120" s="225"/>
      <c r="QOQ120" s="225"/>
      <c r="QOR120" s="225"/>
      <c r="QOS120" s="225"/>
      <c r="QOT120" s="225"/>
      <c r="QOU120" s="225"/>
      <c r="QOV120" s="225"/>
      <c r="QOW120" s="225"/>
      <c r="QOX120" s="225"/>
      <c r="QOY120" s="225"/>
      <c r="QOZ120" s="225"/>
      <c r="QPA120" s="225"/>
      <c r="QPB120" s="225"/>
      <c r="QPC120" s="225"/>
      <c r="QPD120" s="225"/>
      <c r="QPE120" s="225"/>
      <c r="QPF120" s="225"/>
      <c r="QPG120" s="225"/>
      <c r="QPH120" s="225"/>
      <c r="QPI120" s="225"/>
      <c r="QPJ120" s="225"/>
      <c r="QPK120" s="225"/>
      <c r="QPL120" s="225"/>
      <c r="QPM120" s="225"/>
      <c r="QPN120" s="225"/>
      <c r="QPO120" s="225"/>
      <c r="QPP120" s="225"/>
      <c r="QPQ120" s="225"/>
      <c r="QPR120" s="225"/>
      <c r="QPS120" s="225"/>
      <c r="QPT120" s="225"/>
      <c r="QPU120" s="225"/>
      <c r="QPV120" s="225"/>
      <c r="QPW120" s="225"/>
      <c r="QPX120" s="225"/>
      <c r="QPY120" s="225"/>
      <c r="QPZ120" s="225"/>
      <c r="QQA120" s="225"/>
      <c r="QQB120" s="225"/>
      <c r="QQC120" s="225"/>
      <c r="QQD120" s="225"/>
      <c r="QQE120" s="225"/>
      <c r="QQF120" s="225"/>
      <c r="QQG120" s="225"/>
      <c r="QQH120" s="225"/>
      <c r="QQI120" s="225"/>
      <c r="QQJ120" s="225"/>
      <c r="QQK120" s="225"/>
      <c r="QQL120" s="225"/>
      <c r="QQM120" s="225"/>
      <c r="QQN120" s="225"/>
      <c r="QQO120" s="225"/>
      <c r="QQP120" s="225"/>
      <c r="QQQ120" s="225"/>
      <c r="QQR120" s="225"/>
      <c r="QQS120" s="225"/>
      <c r="QQT120" s="225"/>
      <c r="QQU120" s="225"/>
      <c r="QQV120" s="225"/>
      <c r="QQW120" s="225"/>
      <c r="QQX120" s="225"/>
      <c r="QQY120" s="225"/>
      <c r="QQZ120" s="225"/>
      <c r="QRA120" s="225"/>
      <c r="QRB120" s="225"/>
      <c r="QRC120" s="225"/>
      <c r="QRD120" s="225"/>
      <c r="QRE120" s="225"/>
      <c r="QRF120" s="225"/>
      <c r="QRG120" s="225"/>
      <c r="QRH120" s="225"/>
      <c r="QRI120" s="225"/>
      <c r="QRJ120" s="225"/>
      <c r="QRK120" s="225"/>
      <c r="QRL120" s="225"/>
      <c r="QRM120" s="225"/>
      <c r="QRN120" s="225"/>
      <c r="QRO120" s="225"/>
      <c r="QRP120" s="225"/>
      <c r="QRQ120" s="225"/>
      <c r="QRR120" s="225"/>
      <c r="QRS120" s="225"/>
      <c r="QRT120" s="225"/>
      <c r="QRU120" s="225"/>
      <c r="QRV120" s="225"/>
      <c r="QRW120" s="225"/>
      <c r="QRX120" s="225"/>
      <c r="QRY120" s="225"/>
      <c r="QRZ120" s="225"/>
      <c r="QSA120" s="225"/>
      <c r="QSB120" s="225"/>
      <c r="QSC120" s="225"/>
      <c r="QSD120" s="225"/>
      <c r="QSE120" s="225"/>
      <c r="QSF120" s="225"/>
      <c r="QSG120" s="225"/>
      <c r="QSH120" s="225"/>
      <c r="QSI120" s="225"/>
      <c r="QSJ120" s="225"/>
      <c r="QSK120" s="225"/>
      <c r="QSL120" s="225"/>
      <c r="QSM120" s="225"/>
      <c r="QSN120" s="225"/>
      <c r="QSO120" s="225"/>
      <c r="QSP120" s="225"/>
      <c r="QSQ120" s="225"/>
      <c r="QSR120" s="225"/>
      <c r="QSS120" s="225"/>
      <c r="QST120" s="225"/>
      <c r="QSU120" s="225"/>
      <c r="QSV120" s="225"/>
      <c r="QSW120" s="225"/>
      <c r="QSX120" s="225"/>
      <c r="QSY120" s="225"/>
      <c r="QSZ120" s="225"/>
      <c r="QTA120" s="225"/>
      <c r="QTB120" s="225"/>
      <c r="QTC120" s="225"/>
      <c r="QTD120" s="225"/>
      <c r="QTE120" s="225"/>
      <c r="QTF120" s="225"/>
      <c r="QTG120" s="225"/>
      <c r="QTH120" s="225"/>
      <c r="QTI120" s="225"/>
      <c r="QTJ120" s="225"/>
      <c r="QTK120" s="225"/>
      <c r="QTL120" s="225"/>
      <c r="QTM120" s="225"/>
      <c r="QTN120" s="225"/>
      <c r="QTO120" s="225"/>
      <c r="QTP120" s="225"/>
      <c r="QTQ120" s="225"/>
      <c r="QTR120" s="225"/>
      <c r="QTS120" s="225"/>
      <c r="QTT120" s="225"/>
      <c r="QTU120" s="225"/>
      <c r="QTV120" s="225"/>
      <c r="QTW120" s="225"/>
      <c r="QTX120" s="225"/>
      <c r="QTY120" s="225"/>
      <c r="QTZ120" s="225"/>
      <c r="QUA120" s="225"/>
      <c r="QUB120" s="225"/>
      <c r="QUC120" s="225"/>
      <c r="QUD120" s="225"/>
      <c r="QUE120" s="225"/>
      <c r="QUF120" s="225"/>
      <c r="QUG120" s="225"/>
      <c r="QUH120" s="225"/>
      <c r="QUI120" s="225"/>
      <c r="QUJ120" s="225"/>
      <c r="QUK120" s="225"/>
      <c r="QUL120" s="225"/>
      <c r="QUM120" s="225"/>
      <c r="QUN120" s="225"/>
      <c r="QUO120" s="225"/>
      <c r="QUP120" s="225"/>
      <c r="QUQ120" s="225"/>
      <c r="QUR120" s="225"/>
      <c r="QUS120" s="225"/>
      <c r="QUT120" s="225"/>
      <c r="QUU120" s="225"/>
      <c r="QUV120" s="225"/>
      <c r="QUW120" s="225"/>
      <c r="QUX120" s="225"/>
      <c r="QUY120" s="225"/>
      <c r="QUZ120" s="225"/>
      <c r="QVA120" s="225"/>
      <c r="QVB120" s="225"/>
      <c r="QVC120" s="225"/>
      <c r="QVD120" s="225"/>
      <c r="QVE120" s="225"/>
      <c r="QVF120" s="225"/>
      <c r="QVG120" s="225"/>
      <c r="QVH120" s="225"/>
      <c r="QVI120" s="225"/>
      <c r="QVJ120" s="225"/>
      <c r="QVK120" s="225"/>
      <c r="QVL120" s="225"/>
      <c r="QVM120" s="225"/>
      <c r="QVN120" s="225"/>
      <c r="QVO120" s="225"/>
      <c r="QVP120" s="225"/>
      <c r="QVQ120" s="225"/>
      <c r="QVR120" s="225"/>
      <c r="QVS120" s="225"/>
      <c r="QVT120" s="225"/>
      <c r="QVU120" s="225"/>
      <c r="QVV120" s="225"/>
      <c r="QVW120" s="225"/>
      <c r="QVX120" s="225"/>
      <c r="QVY120" s="225"/>
      <c r="QVZ120" s="225"/>
      <c r="QWA120" s="225"/>
      <c r="QWB120" s="225"/>
      <c r="QWC120" s="225"/>
      <c r="QWD120" s="225"/>
      <c r="QWE120" s="225"/>
      <c r="QWF120" s="225"/>
      <c r="QWG120" s="225"/>
      <c r="QWH120" s="225"/>
      <c r="QWI120" s="225"/>
      <c r="QWJ120" s="225"/>
      <c r="QWK120" s="225"/>
      <c r="QWL120" s="225"/>
      <c r="QWM120" s="225"/>
      <c r="QWN120" s="225"/>
      <c r="QWO120" s="225"/>
      <c r="QWP120" s="225"/>
      <c r="QWQ120" s="225"/>
      <c r="QWR120" s="225"/>
      <c r="QWS120" s="225"/>
      <c r="QWT120" s="225"/>
      <c r="QWU120" s="225"/>
      <c r="QWV120" s="225"/>
      <c r="QWW120" s="225"/>
      <c r="QWX120" s="225"/>
      <c r="QWY120" s="225"/>
      <c r="QWZ120" s="225"/>
      <c r="QXA120" s="225"/>
      <c r="QXB120" s="225"/>
      <c r="QXC120" s="225"/>
      <c r="QXD120" s="225"/>
      <c r="QXE120" s="225"/>
      <c r="QXF120" s="225"/>
      <c r="QXG120" s="225"/>
      <c r="QXH120" s="225"/>
      <c r="QXI120" s="225"/>
      <c r="QXJ120" s="225"/>
      <c r="QXK120" s="225"/>
      <c r="QXL120" s="225"/>
      <c r="QXM120" s="225"/>
      <c r="QXN120" s="225"/>
      <c r="QXO120" s="225"/>
      <c r="QXP120" s="225"/>
      <c r="QXQ120" s="225"/>
      <c r="QXR120" s="225"/>
      <c r="QXS120" s="225"/>
      <c r="QXT120" s="225"/>
      <c r="QXU120" s="225"/>
      <c r="QXV120" s="225"/>
      <c r="QXW120" s="225"/>
      <c r="QXX120" s="225"/>
      <c r="QXY120" s="225"/>
      <c r="QXZ120" s="225"/>
      <c r="QYA120" s="225"/>
      <c r="QYB120" s="225"/>
      <c r="QYC120" s="225"/>
      <c r="QYD120" s="225"/>
      <c r="QYE120" s="225"/>
      <c r="QYF120" s="225"/>
      <c r="QYG120" s="225"/>
      <c r="QYH120" s="225"/>
      <c r="QYI120" s="225"/>
      <c r="QYJ120" s="225"/>
      <c r="QYK120" s="225"/>
      <c r="QYL120" s="225"/>
      <c r="QYM120" s="225"/>
      <c r="QYN120" s="225"/>
      <c r="QYO120" s="225"/>
      <c r="QYP120" s="225"/>
      <c r="QYQ120" s="225"/>
      <c r="QYR120" s="225"/>
      <c r="QYS120" s="225"/>
      <c r="QYT120" s="225"/>
      <c r="QYU120" s="225"/>
      <c r="QYV120" s="225"/>
      <c r="QYW120" s="225"/>
      <c r="QYX120" s="225"/>
      <c r="QYY120" s="225"/>
      <c r="QYZ120" s="225"/>
      <c r="QZA120" s="225"/>
      <c r="QZB120" s="225"/>
      <c r="QZC120" s="225"/>
      <c r="QZD120" s="225"/>
      <c r="QZE120" s="225"/>
      <c r="QZF120" s="225"/>
      <c r="QZG120" s="225"/>
      <c r="QZH120" s="225"/>
      <c r="QZI120" s="225"/>
      <c r="QZJ120" s="225"/>
      <c r="QZK120" s="225"/>
      <c r="QZL120" s="225"/>
      <c r="QZM120" s="225"/>
      <c r="QZN120" s="225"/>
      <c r="QZO120" s="225"/>
      <c r="QZP120" s="225"/>
      <c r="QZQ120" s="225"/>
      <c r="QZR120" s="225"/>
      <c r="QZS120" s="225"/>
      <c r="QZT120" s="225"/>
      <c r="QZU120" s="225"/>
      <c r="QZV120" s="225"/>
      <c r="QZW120" s="225"/>
      <c r="QZX120" s="225"/>
      <c r="QZY120" s="225"/>
      <c r="QZZ120" s="225"/>
      <c r="RAA120" s="225"/>
      <c r="RAB120" s="225"/>
      <c r="RAC120" s="225"/>
      <c r="RAD120" s="225"/>
      <c r="RAE120" s="225"/>
      <c r="RAF120" s="225"/>
      <c r="RAG120" s="225"/>
      <c r="RAH120" s="225"/>
      <c r="RAI120" s="225"/>
      <c r="RAJ120" s="225"/>
      <c r="RAK120" s="225"/>
      <c r="RAL120" s="225"/>
      <c r="RAM120" s="225"/>
      <c r="RAN120" s="225"/>
      <c r="RAO120" s="225"/>
      <c r="RAP120" s="225"/>
      <c r="RAQ120" s="225"/>
      <c r="RAR120" s="225"/>
      <c r="RAS120" s="225"/>
      <c r="RAT120" s="225"/>
      <c r="RAU120" s="225"/>
      <c r="RAV120" s="225"/>
      <c r="RAW120" s="225"/>
      <c r="RAX120" s="225"/>
      <c r="RAY120" s="225"/>
      <c r="RAZ120" s="225"/>
      <c r="RBA120" s="225"/>
      <c r="RBB120" s="225"/>
      <c r="RBC120" s="225"/>
      <c r="RBD120" s="225"/>
      <c r="RBE120" s="225"/>
      <c r="RBF120" s="225"/>
      <c r="RBG120" s="225"/>
      <c r="RBH120" s="225"/>
      <c r="RBI120" s="225"/>
      <c r="RBJ120" s="225"/>
      <c r="RBK120" s="225"/>
      <c r="RBL120" s="225"/>
      <c r="RBM120" s="225"/>
      <c r="RBN120" s="225"/>
      <c r="RBO120" s="225"/>
      <c r="RBP120" s="225"/>
      <c r="RBQ120" s="225"/>
      <c r="RBR120" s="225"/>
      <c r="RBS120" s="225"/>
      <c r="RBT120" s="225"/>
      <c r="RBU120" s="225"/>
      <c r="RBV120" s="225"/>
      <c r="RBW120" s="225"/>
      <c r="RBX120" s="225"/>
      <c r="RBY120" s="225"/>
      <c r="RBZ120" s="225"/>
      <c r="RCA120" s="225"/>
      <c r="RCB120" s="225"/>
      <c r="RCC120" s="225"/>
      <c r="RCD120" s="225"/>
      <c r="RCE120" s="225"/>
      <c r="RCF120" s="225"/>
      <c r="RCG120" s="225"/>
      <c r="RCH120" s="225"/>
      <c r="RCI120" s="225"/>
      <c r="RCJ120" s="225"/>
      <c r="RCK120" s="225"/>
      <c r="RCL120" s="225"/>
      <c r="RCM120" s="225"/>
      <c r="RCN120" s="225"/>
      <c r="RCO120" s="225"/>
      <c r="RCP120" s="225"/>
      <c r="RCQ120" s="225"/>
      <c r="RCR120" s="225"/>
      <c r="RCS120" s="225"/>
      <c r="RCT120" s="225"/>
      <c r="RCU120" s="225"/>
      <c r="RCV120" s="225"/>
      <c r="RCW120" s="225"/>
      <c r="RCX120" s="225"/>
      <c r="RCY120" s="225"/>
      <c r="RCZ120" s="225"/>
      <c r="RDA120" s="225"/>
      <c r="RDB120" s="225"/>
      <c r="RDC120" s="225"/>
      <c r="RDD120" s="225"/>
      <c r="RDE120" s="225"/>
      <c r="RDF120" s="225"/>
      <c r="RDG120" s="225"/>
      <c r="RDH120" s="225"/>
      <c r="RDI120" s="225"/>
      <c r="RDJ120" s="225"/>
      <c r="RDK120" s="225"/>
      <c r="RDL120" s="225"/>
      <c r="RDM120" s="225"/>
      <c r="RDN120" s="225"/>
      <c r="RDO120" s="225"/>
      <c r="RDP120" s="225"/>
      <c r="RDQ120" s="225"/>
      <c r="RDR120" s="225"/>
      <c r="RDS120" s="225"/>
      <c r="RDT120" s="225"/>
      <c r="RDU120" s="225"/>
      <c r="RDV120" s="225"/>
      <c r="RDW120" s="225"/>
      <c r="RDX120" s="225"/>
      <c r="RDY120" s="225"/>
      <c r="RDZ120" s="225"/>
      <c r="REA120" s="225"/>
      <c r="REB120" s="225"/>
      <c r="REC120" s="225"/>
      <c r="RED120" s="225"/>
      <c r="REE120" s="225"/>
      <c r="REF120" s="225"/>
      <c r="REG120" s="225"/>
      <c r="REH120" s="225"/>
      <c r="REI120" s="225"/>
      <c r="REJ120" s="225"/>
      <c r="REK120" s="225"/>
      <c r="REL120" s="225"/>
      <c r="REM120" s="225"/>
      <c r="REN120" s="225"/>
      <c r="REO120" s="225"/>
      <c r="REP120" s="225"/>
      <c r="REQ120" s="225"/>
      <c r="RER120" s="225"/>
      <c r="RES120" s="225"/>
      <c r="RET120" s="225"/>
      <c r="REU120" s="225"/>
      <c r="REV120" s="225"/>
      <c r="REW120" s="225"/>
      <c r="REX120" s="225"/>
      <c r="REY120" s="225"/>
      <c r="REZ120" s="225"/>
      <c r="RFA120" s="225"/>
      <c r="RFB120" s="225"/>
      <c r="RFC120" s="225"/>
      <c r="RFD120" s="225"/>
      <c r="RFE120" s="225"/>
      <c r="RFF120" s="225"/>
      <c r="RFG120" s="225"/>
      <c r="RFH120" s="225"/>
      <c r="RFI120" s="225"/>
      <c r="RFJ120" s="225"/>
      <c r="RFK120" s="225"/>
      <c r="RFL120" s="225"/>
      <c r="RFM120" s="225"/>
      <c r="RFN120" s="225"/>
      <c r="RFO120" s="225"/>
      <c r="RFP120" s="225"/>
      <c r="RFQ120" s="225"/>
      <c r="RFR120" s="225"/>
      <c r="RFS120" s="225"/>
      <c r="RFT120" s="225"/>
      <c r="RFU120" s="225"/>
      <c r="RFV120" s="225"/>
      <c r="RFW120" s="225"/>
      <c r="RFX120" s="225"/>
      <c r="RFY120" s="225"/>
      <c r="RFZ120" s="225"/>
      <c r="RGA120" s="225"/>
      <c r="RGB120" s="225"/>
      <c r="RGC120" s="225"/>
      <c r="RGD120" s="225"/>
      <c r="RGE120" s="225"/>
      <c r="RGF120" s="225"/>
      <c r="RGG120" s="225"/>
      <c r="RGH120" s="225"/>
      <c r="RGI120" s="225"/>
      <c r="RGJ120" s="225"/>
      <c r="RGK120" s="225"/>
      <c r="RGL120" s="225"/>
      <c r="RGM120" s="225"/>
      <c r="RGN120" s="225"/>
      <c r="RGO120" s="225"/>
      <c r="RGP120" s="225"/>
      <c r="RGQ120" s="225"/>
      <c r="RGR120" s="225"/>
      <c r="RGS120" s="225"/>
      <c r="RGT120" s="225"/>
      <c r="RGU120" s="225"/>
      <c r="RGV120" s="225"/>
      <c r="RGW120" s="225"/>
      <c r="RGX120" s="225"/>
      <c r="RGY120" s="225"/>
      <c r="RGZ120" s="225"/>
      <c r="RHA120" s="225"/>
      <c r="RHB120" s="225"/>
      <c r="RHC120" s="225"/>
      <c r="RHD120" s="225"/>
      <c r="RHE120" s="225"/>
      <c r="RHF120" s="225"/>
      <c r="RHG120" s="225"/>
      <c r="RHH120" s="225"/>
      <c r="RHI120" s="225"/>
      <c r="RHJ120" s="225"/>
      <c r="RHK120" s="225"/>
      <c r="RHL120" s="225"/>
      <c r="RHM120" s="225"/>
      <c r="RHN120" s="225"/>
      <c r="RHO120" s="225"/>
      <c r="RHP120" s="225"/>
      <c r="RHQ120" s="225"/>
      <c r="RHR120" s="225"/>
      <c r="RHS120" s="225"/>
      <c r="RHT120" s="225"/>
      <c r="RHU120" s="225"/>
      <c r="RHV120" s="225"/>
      <c r="RHW120" s="225"/>
      <c r="RHX120" s="225"/>
      <c r="RHY120" s="225"/>
      <c r="RHZ120" s="225"/>
      <c r="RIA120" s="225"/>
      <c r="RIB120" s="225"/>
      <c r="RIC120" s="225"/>
      <c r="RID120" s="225"/>
      <c r="RIE120" s="225"/>
      <c r="RIF120" s="225"/>
      <c r="RIG120" s="225"/>
      <c r="RIH120" s="225"/>
      <c r="RII120" s="225"/>
      <c r="RIJ120" s="225"/>
      <c r="RIK120" s="225"/>
      <c r="RIL120" s="225"/>
      <c r="RIM120" s="225"/>
      <c r="RIN120" s="225"/>
      <c r="RIO120" s="225"/>
      <c r="RIP120" s="225"/>
      <c r="RIQ120" s="225"/>
      <c r="RIR120" s="225"/>
      <c r="RIS120" s="225"/>
      <c r="RIT120" s="225"/>
      <c r="RIU120" s="225"/>
      <c r="RIV120" s="225"/>
      <c r="RIW120" s="225"/>
      <c r="RIX120" s="225"/>
      <c r="RIY120" s="225"/>
      <c r="RIZ120" s="225"/>
      <c r="RJA120" s="225"/>
      <c r="RJB120" s="225"/>
      <c r="RJC120" s="225"/>
      <c r="RJD120" s="225"/>
      <c r="RJE120" s="225"/>
      <c r="RJF120" s="225"/>
      <c r="RJG120" s="225"/>
      <c r="RJH120" s="225"/>
      <c r="RJI120" s="225"/>
      <c r="RJJ120" s="225"/>
      <c r="RJK120" s="225"/>
      <c r="RJL120" s="225"/>
      <c r="RJM120" s="225"/>
      <c r="RJN120" s="225"/>
      <c r="RJO120" s="225"/>
      <c r="RJP120" s="225"/>
      <c r="RJQ120" s="225"/>
      <c r="RJR120" s="225"/>
      <c r="RJS120" s="225"/>
      <c r="RJT120" s="225"/>
      <c r="RJU120" s="225"/>
      <c r="RJV120" s="225"/>
      <c r="RJW120" s="225"/>
      <c r="RJX120" s="225"/>
      <c r="RJY120" s="225"/>
      <c r="RJZ120" s="225"/>
      <c r="RKA120" s="225"/>
      <c r="RKB120" s="225"/>
      <c r="RKC120" s="225"/>
      <c r="RKD120" s="225"/>
      <c r="RKE120" s="225"/>
      <c r="RKF120" s="225"/>
      <c r="RKG120" s="225"/>
      <c r="RKH120" s="225"/>
      <c r="RKI120" s="225"/>
      <c r="RKJ120" s="225"/>
      <c r="RKK120" s="225"/>
      <c r="RKL120" s="225"/>
      <c r="RKM120" s="225"/>
      <c r="RKN120" s="225"/>
      <c r="RKO120" s="225"/>
      <c r="RKP120" s="225"/>
      <c r="RKQ120" s="225"/>
      <c r="RKR120" s="225"/>
      <c r="RKS120" s="225"/>
      <c r="RKT120" s="225"/>
      <c r="RKU120" s="225"/>
      <c r="RKV120" s="225"/>
      <c r="RKW120" s="225"/>
      <c r="RKX120" s="225"/>
      <c r="RKY120" s="225"/>
      <c r="RKZ120" s="225"/>
      <c r="RLA120" s="225"/>
      <c r="RLB120" s="225"/>
      <c r="RLC120" s="225"/>
      <c r="RLD120" s="225"/>
      <c r="RLE120" s="225"/>
      <c r="RLF120" s="225"/>
      <c r="RLG120" s="225"/>
      <c r="RLH120" s="225"/>
      <c r="RLI120" s="225"/>
      <c r="RLJ120" s="225"/>
      <c r="RLK120" s="225"/>
      <c r="RLL120" s="225"/>
      <c r="RLM120" s="225"/>
      <c r="RLN120" s="225"/>
      <c r="RLO120" s="225"/>
      <c r="RLP120" s="225"/>
      <c r="RLQ120" s="225"/>
      <c r="RLR120" s="225"/>
      <c r="RLS120" s="225"/>
      <c r="RLT120" s="225"/>
      <c r="RLU120" s="225"/>
      <c r="RLV120" s="225"/>
      <c r="RLW120" s="225"/>
      <c r="RLX120" s="225"/>
      <c r="RLY120" s="225"/>
      <c r="RLZ120" s="225"/>
      <c r="RMA120" s="225"/>
      <c r="RMB120" s="225"/>
      <c r="RMC120" s="225"/>
      <c r="RMD120" s="225"/>
      <c r="RME120" s="225"/>
      <c r="RMF120" s="225"/>
      <c r="RMG120" s="225"/>
      <c r="RMH120" s="225"/>
      <c r="RMI120" s="225"/>
      <c r="RMJ120" s="225"/>
      <c r="RMK120" s="225"/>
      <c r="RML120" s="225"/>
      <c r="RMM120" s="225"/>
      <c r="RMN120" s="225"/>
      <c r="RMO120" s="225"/>
      <c r="RMP120" s="225"/>
      <c r="RMQ120" s="225"/>
      <c r="RMR120" s="225"/>
      <c r="RMS120" s="225"/>
      <c r="RMT120" s="225"/>
      <c r="RMU120" s="225"/>
      <c r="RMV120" s="225"/>
      <c r="RMW120" s="225"/>
      <c r="RMX120" s="225"/>
      <c r="RMY120" s="225"/>
      <c r="RMZ120" s="225"/>
      <c r="RNA120" s="225"/>
      <c r="RNB120" s="225"/>
      <c r="RNC120" s="225"/>
      <c r="RND120" s="225"/>
      <c r="RNE120" s="225"/>
      <c r="RNF120" s="225"/>
      <c r="RNG120" s="225"/>
      <c r="RNH120" s="225"/>
      <c r="RNI120" s="225"/>
      <c r="RNJ120" s="225"/>
      <c r="RNK120" s="225"/>
      <c r="RNL120" s="225"/>
      <c r="RNM120" s="225"/>
      <c r="RNN120" s="225"/>
      <c r="RNO120" s="225"/>
      <c r="RNP120" s="225"/>
      <c r="RNQ120" s="225"/>
      <c r="RNR120" s="225"/>
      <c r="RNS120" s="225"/>
      <c r="RNT120" s="225"/>
      <c r="RNU120" s="225"/>
      <c r="RNV120" s="225"/>
      <c r="RNW120" s="225"/>
      <c r="RNX120" s="225"/>
      <c r="RNY120" s="225"/>
      <c r="RNZ120" s="225"/>
      <c r="ROA120" s="225"/>
      <c r="ROB120" s="225"/>
      <c r="ROC120" s="225"/>
      <c r="ROD120" s="225"/>
      <c r="ROE120" s="225"/>
      <c r="ROF120" s="225"/>
      <c r="ROG120" s="225"/>
      <c r="ROH120" s="225"/>
      <c r="ROI120" s="225"/>
      <c r="ROJ120" s="225"/>
      <c r="ROK120" s="225"/>
      <c r="ROL120" s="225"/>
      <c r="ROM120" s="225"/>
      <c r="RON120" s="225"/>
      <c r="ROO120" s="225"/>
      <c r="ROP120" s="225"/>
      <c r="ROQ120" s="225"/>
      <c r="ROR120" s="225"/>
      <c r="ROS120" s="225"/>
      <c r="ROT120" s="225"/>
      <c r="ROU120" s="225"/>
      <c r="ROV120" s="225"/>
      <c r="ROW120" s="225"/>
      <c r="ROX120" s="225"/>
      <c r="ROY120" s="225"/>
      <c r="ROZ120" s="225"/>
      <c r="RPA120" s="225"/>
      <c r="RPB120" s="225"/>
      <c r="RPC120" s="225"/>
      <c r="RPD120" s="225"/>
      <c r="RPE120" s="225"/>
      <c r="RPF120" s="225"/>
      <c r="RPG120" s="225"/>
      <c r="RPH120" s="225"/>
      <c r="RPI120" s="225"/>
      <c r="RPJ120" s="225"/>
      <c r="RPK120" s="225"/>
      <c r="RPL120" s="225"/>
      <c r="RPM120" s="225"/>
      <c r="RPN120" s="225"/>
      <c r="RPO120" s="225"/>
      <c r="RPP120" s="225"/>
      <c r="RPQ120" s="225"/>
      <c r="RPR120" s="225"/>
      <c r="RPS120" s="225"/>
      <c r="RPT120" s="225"/>
      <c r="RPU120" s="225"/>
      <c r="RPV120" s="225"/>
      <c r="RPW120" s="225"/>
      <c r="RPX120" s="225"/>
      <c r="RPY120" s="225"/>
      <c r="RPZ120" s="225"/>
      <c r="RQA120" s="225"/>
      <c r="RQB120" s="225"/>
      <c r="RQC120" s="225"/>
      <c r="RQD120" s="225"/>
      <c r="RQE120" s="225"/>
      <c r="RQF120" s="225"/>
      <c r="RQG120" s="225"/>
      <c r="RQH120" s="225"/>
      <c r="RQI120" s="225"/>
      <c r="RQJ120" s="225"/>
      <c r="RQK120" s="225"/>
      <c r="RQL120" s="225"/>
      <c r="RQM120" s="225"/>
      <c r="RQN120" s="225"/>
      <c r="RQO120" s="225"/>
      <c r="RQP120" s="225"/>
      <c r="RQQ120" s="225"/>
      <c r="RQR120" s="225"/>
      <c r="RQS120" s="225"/>
      <c r="RQT120" s="225"/>
      <c r="RQU120" s="225"/>
      <c r="RQV120" s="225"/>
      <c r="RQW120" s="225"/>
      <c r="RQX120" s="225"/>
      <c r="RQY120" s="225"/>
      <c r="RQZ120" s="225"/>
      <c r="RRA120" s="225"/>
      <c r="RRB120" s="225"/>
      <c r="RRC120" s="225"/>
      <c r="RRD120" s="225"/>
      <c r="RRE120" s="225"/>
      <c r="RRF120" s="225"/>
      <c r="RRG120" s="225"/>
      <c r="RRH120" s="225"/>
      <c r="RRI120" s="225"/>
      <c r="RRJ120" s="225"/>
      <c r="RRK120" s="225"/>
      <c r="RRL120" s="225"/>
      <c r="RRM120" s="225"/>
      <c r="RRN120" s="225"/>
      <c r="RRO120" s="225"/>
      <c r="RRP120" s="225"/>
      <c r="RRQ120" s="225"/>
      <c r="RRR120" s="225"/>
      <c r="RRS120" s="225"/>
      <c r="RRT120" s="225"/>
      <c r="RRU120" s="225"/>
      <c r="RRV120" s="225"/>
      <c r="RRW120" s="225"/>
      <c r="RRX120" s="225"/>
      <c r="RRY120" s="225"/>
      <c r="RRZ120" s="225"/>
      <c r="RSA120" s="225"/>
      <c r="RSB120" s="225"/>
      <c r="RSC120" s="225"/>
      <c r="RSD120" s="225"/>
      <c r="RSE120" s="225"/>
      <c r="RSF120" s="225"/>
      <c r="RSG120" s="225"/>
      <c r="RSH120" s="225"/>
      <c r="RSI120" s="225"/>
      <c r="RSJ120" s="225"/>
      <c r="RSK120" s="225"/>
      <c r="RSL120" s="225"/>
      <c r="RSM120" s="225"/>
      <c r="RSN120" s="225"/>
      <c r="RSO120" s="225"/>
      <c r="RSP120" s="225"/>
      <c r="RSQ120" s="225"/>
      <c r="RSR120" s="225"/>
      <c r="RSS120" s="225"/>
      <c r="RST120" s="225"/>
      <c r="RSU120" s="225"/>
      <c r="RSV120" s="225"/>
      <c r="RSW120" s="225"/>
      <c r="RSX120" s="225"/>
      <c r="RSY120" s="225"/>
      <c r="RSZ120" s="225"/>
      <c r="RTA120" s="225"/>
      <c r="RTB120" s="225"/>
      <c r="RTC120" s="225"/>
      <c r="RTD120" s="225"/>
      <c r="RTE120" s="225"/>
      <c r="RTF120" s="225"/>
      <c r="RTG120" s="225"/>
      <c r="RTH120" s="225"/>
      <c r="RTI120" s="225"/>
      <c r="RTJ120" s="225"/>
      <c r="RTK120" s="225"/>
      <c r="RTL120" s="225"/>
      <c r="RTM120" s="225"/>
      <c r="RTN120" s="225"/>
      <c r="RTO120" s="225"/>
      <c r="RTP120" s="225"/>
      <c r="RTQ120" s="225"/>
      <c r="RTR120" s="225"/>
      <c r="RTS120" s="225"/>
      <c r="RTT120" s="225"/>
      <c r="RTU120" s="225"/>
      <c r="RTV120" s="225"/>
      <c r="RTW120" s="225"/>
      <c r="RTX120" s="225"/>
      <c r="RTY120" s="225"/>
      <c r="RTZ120" s="225"/>
      <c r="RUA120" s="225"/>
      <c r="RUB120" s="225"/>
      <c r="RUC120" s="225"/>
      <c r="RUD120" s="225"/>
      <c r="RUE120" s="225"/>
      <c r="RUF120" s="225"/>
      <c r="RUG120" s="225"/>
      <c r="RUH120" s="225"/>
      <c r="RUI120" s="225"/>
      <c r="RUJ120" s="225"/>
      <c r="RUK120" s="225"/>
      <c r="RUL120" s="225"/>
      <c r="RUM120" s="225"/>
      <c r="RUN120" s="225"/>
      <c r="RUO120" s="225"/>
      <c r="RUP120" s="225"/>
      <c r="RUQ120" s="225"/>
      <c r="RUR120" s="225"/>
      <c r="RUS120" s="225"/>
      <c r="RUT120" s="225"/>
      <c r="RUU120" s="225"/>
      <c r="RUV120" s="225"/>
      <c r="RUW120" s="225"/>
      <c r="RUX120" s="225"/>
      <c r="RUY120" s="225"/>
      <c r="RUZ120" s="225"/>
      <c r="RVA120" s="225"/>
      <c r="RVB120" s="225"/>
      <c r="RVC120" s="225"/>
      <c r="RVD120" s="225"/>
      <c r="RVE120" s="225"/>
      <c r="RVF120" s="225"/>
      <c r="RVG120" s="225"/>
      <c r="RVH120" s="225"/>
      <c r="RVI120" s="225"/>
      <c r="RVJ120" s="225"/>
      <c r="RVK120" s="225"/>
      <c r="RVL120" s="225"/>
      <c r="RVM120" s="225"/>
      <c r="RVN120" s="225"/>
      <c r="RVO120" s="225"/>
      <c r="RVP120" s="225"/>
      <c r="RVQ120" s="225"/>
      <c r="RVR120" s="225"/>
      <c r="RVS120" s="225"/>
      <c r="RVT120" s="225"/>
      <c r="RVU120" s="225"/>
      <c r="RVV120" s="225"/>
      <c r="RVW120" s="225"/>
      <c r="RVX120" s="225"/>
      <c r="RVY120" s="225"/>
      <c r="RVZ120" s="225"/>
      <c r="RWA120" s="225"/>
      <c r="RWB120" s="225"/>
      <c r="RWC120" s="225"/>
      <c r="RWD120" s="225"/>
      <c r="RWE120" s="225"/>
      <c r="RWF120" s="225"/>
      <c r="RWG120" s="225"/>
      <c r="RWH120" s="225"/>
      <c r="RWI120" s="225"/>
      <c r="RWJ120" s="225"/>
      <c r="RWK120" s="225"/>
      <c r="RWL120" s="225"/>
      <c r="RWM120" s="225"/>
      <c r="RWN120" s="225"/>
      <c r="RWO120" s="225"/>
      <c r="RWP120" s="225"/>
      <c r="RWQ120" s="225"/>
      <c r="RWR120" s="225"/>
      <c r="RWS120" s="225"/>
      <c r="RWT120" s="225"/>
      <c r="RWU120" s="225"/>
      <c r="RWV120" s="225"/>
      <c r="RWW120" s="225"/>
      <c r="RWX120" s="225"/>
      <c r="RWY120" s="225"/>
      <c r="RWZ120" s="225"/>
      <c r="RXA120" s="225"/>
      <c r="RXB120" s="225"/>
      <c r="RXC120" s="225"/>
      <c r="RXD120" s="225"/>
      <c r="RXE120" s="225"/>
      <c r="RXF120" s="225"/>
      <c r="RXG120" s="225"/>
      <c r="RXH120" s="225"/>
      <c r="RXI120" s="225"/>
      <c r="RXJ120" s="225"/>
      <c r="RXK120" s="225"/>
      <c r="RXL120" s="225"/>
      <c r="RXM120" s="225"/>
      <c r="RXN120" s="225"/>
      <c r="RXO120" s="225"/>
      <c r="RXP120" s="225"/>
      <c r="RXQ120" s="225"/>
      <c r="RXR120" s="225"/>
      <c r="RXS120" s="225"/>
      <c r="RXT120" s="225"/>
      <c r="RXU120" s="225"/>
      <c r="RXV120" s="225"/>
      <c r="RXW120" s="225"/>
      <c r="RXX120" s="225"/>
      <c r="RXY120" s="225"/>
      <c r="RXZ120" s="225"/>
      <c r="RYA120" s="225"/>
      <c r="RYB120" s="225"/>
      <c r="RYC120" s="225"/>
      <c r="RYD120" s="225"/>
      <c r="RYE120" s="225"/>
      <c r="RYF120" s="225"/>
      <c r="RYG120" s="225"/>
      <c r="RYH120" s="225"/>
      <c r="RYI120" s="225"/>
      <c r="RYJ120" s="225"/>
      <c r="RYK120" s="225"/>
      <c r="RYL120" s="225"/>
      <c r="RYM120" s="225"/>
      <c r="RYN120" s="225"/>
      <c r="RYO120" s="225"/>
      <c r="RYP120" s="225"/>
      <c r="RYQ120" s="225"/>
      <c r="RYR120" s="225"/>
      <c r="RYS120" s="225"/>
      <c r="RYT120" s="225"/>
      <c r="RYU120" s="225"/>
      <c r="RYV120" s="225"/>
      <c r="RYW120" s="225"/>
      <c r="RYX120" s="225"/>
      <c r="RYY120" s="225"/>
      <c r="RYZ120" s="225"/>
      <c r="RZA120" s="225"/>
      <c r="RZB120" s="225"/>
      <c r="RZC120" s="225"/>
      <c r="RZD120" s="225"/>
      <c r="RZE120" s="225"/>
      <c r="RZF120" s="225"/>
      <c r="RZG120" s="225"/>
      <c r="RZH120" s="225"/>
      <c r="RZI120" s="225"/>
      <c r="RZJ120" s="225"/>
      <c r="RZK120" s="225"/>
      <c r="RZL120" s="225"/>
      <c r="RZM120" s="225"/>
      <c r="RZN120" s="225"/>
      <c r="RZO120" s="225"/>
      <c r="RZP120" s="225"/>
      <c r="RZQ120" s="225"/>
      <c r="RZR120" s="225"/>
      <c r="RZS120" s="225"/>
      <c r="RZT120" s="225"/>
      <c r="RZU120" s="225"/>
      <c r="RZV120" s="225"/>
      <c r="RZW120" s="225"/>
      <c r="RZX120" s="225"/>
      <c r="RZY120" s="225"/>
      <c r="RZZ120" s="225"/>
      <c r="SAA120" s="225"/>
      <c r="SAB120" s="225"/>
      <c r="SAC120" s="225"/>
      <c r="SAD120" s="225"/>
      <c r="SAE120" s="225"/>
      <c r="SAF120" s="225"/>
      <c r="SAG120" s="225"/>
      <c r="SAH120" s="225"/>
      <c r="SAI120" s="225"/>
      <c r="SAJ120" s="225"/>
      <c r="SAK120" s="225"/>
      <c r="SAL120" s="225"/>
      <c r="SAM120" s="225"/>
      <c r="SAN120" s="225"/>
      <c r="SAO120" s="225"/>
      <c r="SAP120" s="225"/>
      <c r="SAQ120" s="225"/>
      <c r="SAR120" s="225"/>
      <c r="SAS120" s="225"/>
      <c r="SAT120" s="225"/>
      <c r="SAU120" s="225"/>
      <c r="SAV120" s="225"/>
      <c r="SAW120" s="225"/>
      <c r="SAX120" s="225"/>
      <c r="SAY120" s="225"/>
      <c r="SAZ120" s="225"/>
      <c r="SBA120" s="225"/>
      <c r="SBB120" s="225"/>
      <c r="SBC120" s="225"/>
      <c r="SBD120" s="225"/>
      <c r="SBE120" s="225"/>
      <c r="SBF120" s="225"/>
      <c r="SBG120" s="225"/>
      <c r="SBH120" s="225"/>
      <c r="SBI120" s="225"/>
      <c r="SBJ120" s="225"/>
      <c r="SBK120" s="225"/>
      <c r="SBL120" s="225"/>
      <c r="SBM120" s="225"/>
      <c r="SBN120" s="225"/>
      <c r="SBO120" s="225"/>
      <c r="SBP120" s="225"/>
      <c r="SBQ120" s="225"/>
      <c r="SBR120" s="225"/>
      <c r="SBS120" s="225"/>
      <c r="SBT120" s="225"/>
      <c r="SBU120" s="225"/>
      <c r="SBV120" s="225"/>
      <c r="SBW120" s="225"/>
      <c r="SBX120" s="225"/>
      <c r="SBY120" s="225"/>
      <c r="SBZ120" s="225"/>
      <c r="SCA120" s="225"/>
      <c r="SCB120" s="225"/>
      <c r="SCC120" s="225"/>
      <c r="SCD120" s="225"/>
      <c r="SCE120" s="225"/>
      <c r="SCF120" s="225"/>
      <c r="SCG120" s="225"/>
      <c r="SCH120" s="225"/>
      <c r="SCI120" s="225"/>
      <c r="SCJ120" s="225"/>
      <c r="SCK120" s="225"/>
      <c r="SCL120" s="225"/>
      <c r="SCM120" s="225"/>
      <c r="SCN120" s="225"/>
      <c r="SCO120" s="225"/>
      <c r="SCP120" s="225"/>
      <c r="SCQ120" s="225"/>
      <c r="SCR120" s="225"/>
      <c r="SCS120" s="225"/>
      <c r="SCT120" s="225"/>
      <c r="SCU120" s="225"/>
      <c r="SCV120" s="225"/>
      <c r="SCW120" s="225"/>
      <c r="SCX120" s="225"/>
      <c r="SCY120" s="225"/>
      <c r="SCZ120" s="225"/>
      <c r="SDA120" s="225"/>
      <c r="SDB120" s="225"/>
      <c r="SDC120" s="225"/>
      <c r="SDD120" s="225"/>
      <c r="SDE120" s="225"/>
      <c r="SDF120" s="225"/>
      <c r="SDG120" s="225"/>
      <c r="SDH120" s="225"/>
      <c r="SDI120" s="225"/>
      <c r="SDJ120" s="225"/>
      <c r="SDK120" s="225"/>
      <c r="SDL120" s="225"/>
      <c r="SDM120" s="225"/>
      <c r="SDN120" s="225"/>
      <c r="SDO120" s="225"/>
      <c r="SDP120" s="225"/>
      <c r="SDQ120" s="225"/>
      <c r="SDR120" s="225"/>
      <c r="SDS120" s="225"/>
      <c r="SDT120" s="225"/>
      <c r="SDU120" s="225"/>
      <c r="SDV120" s="225"/>
      <c r="SDW120" s="225"/>
      <c r="SDX120" s="225"/>
      <c r="SDY120" s="225"/>
      <c r="SDZ120" s="225"/>
      <c r="SEA120" s="225"/>
      <c r="SEB120" s="225"/>
      <c r="SEC120" s="225"/>
      <c r="SED120" s="225"/>
      <c r="SEE120" s="225"/>
      <c r="SEF120" s="225"/>
      <c r="SEG120" s="225"/>
      <c r="SEH120" s="225"/>
      <c r="SEI120" s="225"/>
      <c r="SEJ120" s="225"/>
      <c r="SEK120" s="225"/>
      <c r="SEL120" s="225"/>
      <c r="SEM120" s="225"/>
      <c r="SEN120" s="225"/>
      <c r="SEO120" s="225"/>
      <c r="SEP120" s="225"/>
      <c r="SEQ120" s="225"/>
      <c r="SER120" s="225"/>
      <c r="SES120" s="225"/>
      <c r="SET120" s="225"/>
      <c r="SEU120" s="225"/>
      <c r="SEV120" s="225"/>
      <c r="SEW120" s="225"/>
      <c r="SEX120" s="225"/>
      <c r="SEY120" s="225"/>
      <c r="SEZ120" s="225"/>
      <c r="SFA120" s="225"/>
      <c r="SFB120" s="225"/>
      <c r="SFC120" s="225"/>
      <c r="SFD120" s="225"/>
      <c r="SFE120" s="225"/>
      <c r="SFF120" s="225"/>
      <c r="SFG120" s="225"/>
      <c r="SFH120" s="225"/>
      <c r="SFI120" s="225"/>
      <c r="SFJ120" s="225"/>
      <c r="SFK120" s="225"/>
      <c r="SFL120" s="225"/>
      <c r="SFM120" s="225"/>
      <c r="SFN120" s="225"/>
      <c r="SFO120" s="225"/>
      <c r="SFP120" s="225"/>
      <c r="SFQ120" s="225"/>
      <c r="SFR120" s="225"/>
      <c r="SFS120" s="225"/>
      <c r="SFT120" s="225"/>
      <c r="SFU120" s="225"/>
      <c r="SFV120" s="225"/>
      <c r="SFW120" s="225"/>
      <c r="SFX120" s="225"/>
      <c r="SFY120" s="225"/>
      <c r="SFZ120" s="225"/>
      <c r="SGA120" s="225"/>
      <c r="SGB120" s="225"/>
      <c r="SGC120" s="225"/>
      <c r="SGD120" s="225"/>
      <c r="SGE120" s="225"/>
      <c r="SGF120" s="225"/>
      <c r="SGG120" s="225"/>
      <c r="SGH120" s="225"/>
      <c r="SGI120" s="225"/>
      <c r="SGJ120" s="225"/>
      <c r="SGK120" s="225"/>
      <c r="SGL120" s="225"/>
      <c r="SGM120" s="225"/>
      <c r="SGN120" s="225"/>
      <c r="SGO120" s="225"/>
      <c r="SGP120" s="225"/>
      <c r="SGQ120" s="225"/>
      <c r="SGR120" s="225"/>
      <c r="SGS120" s="225"/>
      <c r="SGT120" s="225"/>
      <c r="SGU120" s="225"/>
      <c r="SGV120" s="225"/>
      <c r="SGW120" s="225"/>
      <c r="SGX120" s="225"/>
      <c r="SGY120" s="225"/>
      <c r="SGZ120" s="225"/>
      <c r="SHA120" s="225"/>
      <c r="SHB120" s="225"/>
      <c r="SHC120" s="225"/>
      <c r="SHD120" s="225"/>
      <c r="SHE120" s="225"/>
      <c r="SHF120" s="225"/>
      <c r="SHG120" s="225"/>
      <c r="SHH120" s="225"/>
      <c r="SHI120" s="225"/>
      <c r="SHJ120" s="225"/>
      <c r="SHK120" s="225"/>
      <c r="SHL120" s="225"/>
      <c r="SHM120" s="225"/>
      <c r="SHN120" s="225"/>
      <c r="SHO120" s="225"/>
      <c r="SHP120" s="225"/>
      <c r="SHQ120" s="225"/>
      <c r="SHR120" s="225"/>
      <c r="SHS120" s="225"/>
      <c r="SHT120" s="225"/>
      <c r="SHU120" s="225"/>
      <c r="SHV120" s="225"/>
      <c r="SHW120" s="225"/>
      <c r="SHX120" s="225"/>
      <c r="SHY120" s="225"/>
      <c r="SHZ120" s="225"/>
      <c r="SIA120" s="225"/>
      <c r="SIB120" s="225"/>
      <c r="SIC120" s="225"/>
      <c r="SID120" s="225"/>
      <c r="SIE120" s="225"/>
      <c r="SIF120" s="225"/>
      <c r="SIG120" s="225"/>
      <c r="SIH120" s="225"/>
      <c r="SII120" s="225"/>
      <c r="SIJ120" s="225"/>
      <c r="SIK120" s="225"/>
      <c r="SIL120" s="225"/>
      <c r="SIM120" s="225"/>
      <c r="SIN120" s="225"/>
      <c r="SIO120" s="225"/>
      <c r="SIP120" s="225"/>
      <c r="SIQ120" s="225"/>
      <c r="SIR120" s="225"/>
      <c r="SIS120" s="225"/>
      <c r="SIT120" s="225"/>
      <c r="SIU120" s="225"/>
      <c r="SIV120" s="225"/>
      <c r="SIW120" s="225"/>
      <c r="SIX120" s="225"/>
      <c r="SIY120" s="225"/>
      <c r="SIZ120" s="225"/>
      <c r="SJA120" s="225"/>
      <c r="SJB120" s="225"/>
      <c r="SJC120" s="225"/>
      <c r="SJD120" s="225"/>
      <c r="SJE120" s="225"/>
      <c r="SJF120" s="225"/>
      <c r="SJG120" s="225"/>
      <c r="SJH120" s="225"/>
      <c r="SJI120" s="225"/>
      <c r="SJJ120" s="225"/>
      <c r="SJK120" s="225"/>
      <c r="SJL120" s="225"/>
      <c r="SJM120" s="225"/>
      <c r="SJN120" s="225"/>
      <c r="SJO120" s="225"/>
      <c r="SJP120" s="225"/>
      <c r="SJQ120" s="225"/>
      <c r="SJR120" s="225"/>
      <c r="SJS120" s="225"/>
      <c r="SJT120" s="225"/>
      <c r="SJU120" s="225"/>
      <c r="SJV120" s="225"/>
      <c r="SJW120" s="225"/>
      <c r="SJX120" s="225"/>
      <c r="SJY120" s="225"/>
      <c r="SJZ120" s="225"/>
      <c r="SKA120" s="225"/>
      <c r="SKB120" s="225"/>
      <c r="SKC120" s="225"/>
      <c r="SKD120" s="225"/>
      <c r="SKE120" s="225"/>
      <c r="SKF120" s="225"/>
      <c r="SKG120" s="225"/>
      <c r="SKH120" s="225"/>
      <c r="SKI120" s="225"/>
      <c r="SKJ120" s="225"/>
      <c r="SKK120" s="225"/>
      <c r="SKL120" s="225"/>
      <c r="SKM120" s="225"/>
      <c r="SKN120" s="225"/>
      <c r="SKO120" s="225"/>
      <c r="SKP120" s="225"/>
      <c r="SKQ120" s="225"/>
      <c r="SKR120" s="225"/>
      <c r="SKS120" s="225"/>
      <c r="SKT120" s="225"/>
      <c r="SKU120" s="225"/>
      <c r="SKV120" s="225"/>
      <c r="SKW120" s="225"/>
      <c r="SKX120" s="225"/>
      <c r="SKY120" s="225"/>
      <c r="SKZ120" s="225"/>
      <c r="SLA120" s="225"/>
      <c r="SLB120" s="225"/>
      <c r="SLC120" s="225"/>
      <c r="SLD120" s="225"/>
      <c r="SLE120" s="225"/>
      <c r="SLF120" s="225"/>
      <c r="SLG120" s="225"/>
      <c r="SLH120" s="225"/>
      <c r="SLI120" s="225"/>
      <c r="SLJ120" s="225"/>
      <c r="SLK120" s="225"/>
      <c r="SLL120" s="225"/>
      <c r="SLM120" s="225"/>
      <c r="SLN120" s="225"/>
      <c r="SLO120" s="225"/>
      <c r="SLP120" s="225"/>
      <c r="SLQ120" s="225"/>
      <c r="SLR120" s="225"/>
      <c r="SLS120" s="225"/>
      <c r="SLT120" s="225"/>
      <c r="SLU120" s="225"/>
      <c r="SLV120" s="225"/>
      <c r="SLW120" s="225"/>
      <c r="SLX120" s="225"/>
      <c r="SLY120" s="225"/>
      <c r="SLZ120" s="225"/>
      <c r="SMA120" s="225"/>
      <c r="SMB120" s="225"/>
      <c r="SMC120" s="225"/>
      <c r="SMD120" s="225"/>
      <c r="SME120" s="225"/>
      <c r="SMF120" s="225"/>
      <c r="SMG120" s="225"/>
      <c r="SMH120" s="225"/>
      <c r="SMI120" s="225"/>
      <c r="SMJ120" s="225"/>
      <c r="SMK120" s="225"/>
      <c r="SML120" s="225"/>
      <c r="SMM120" s="225"/>
      <c r="SMN120" s="225"/>
      <c r="SMO120" s="225"/>
      <c r="SMP120" s="225"/>
      <c r="SMQ120" s="225"/>
      <c r="SMR120" s="225"/>
      <c r="SMS120" s="225"/>
      <c r="SMT120" s="225"/>
      <c r="SMU120" s="225"/>
      <c r="SMV120" s="225"/>
      <c r="SMW120" s="225"/>
      <c r="SMX120" s="225"/>
      <c r="SMY120" s="225"/>
      <c r="SMZ120" s="225"/>
      <c r="SNA120" s="225"/>
      <c r="SNB120" s="225"/>
      <c r="SNC120" s="225"/>
      <c r="SND120" s="225"/>
      <c r="SNE120" s="225"/>
      <c r="SNF120" s="225"/>
      <c r="SNG120" s="225"/>
      <c r="SNH120" s="225"/>
      <c r="SNI120" s="225"/>
      <c r="SNJ120" s="225"/>
      <c r="SNK120" s="225"/>
      <c r="SNL120" s="225"/>
      <c r="SNM120" s="225"/>
      <c r="SNN120" s="225"/>
      <c r="SNO120" s="225"/>
      <c r="SNP120" s="225"/>
      <c r="SNQ120" s="225"/>
      <c r="SNR120" s="225"/>
      <c r="SNS120" s="225"/>
      <c r="SNT120" s="225"/>
      <c r="SNU120" s="225"/>
      <c r="SNV120" s="225"/>
      <c r="SNW120" s="225"/>
      <c r="SNX120" s="225"/>
      <c r="SNY120" s="225"/>
      <c r="SNZ120" s="225"/>
      <c r="SOA120" s="225"/>
      <c r="SOB120" s="225"/>
      <c r="SOC120" s="225"/>
      <c r="SOD120" s="225"/>
      <c r="SOE120" s="225"/>
      <c r="SOF120" s="225"/>
      <c r="SOG120" s="225"/>
      <c r="SOH120" s="225"/>
      <c r="SOI120" s="225"/>
      <c r="SOJ120" s="225"/>
      <c r="SOK120" s="225"/>
      <c r="SOL120" s="225"/>
      <c r="SOM120" s="225"/>
      <c r="SON120" s="225"/>
      <c r="SOO120" s="225"/>
      <c r="SOP120" s="225"/>
      <c r="SOQ120" s="225"/>
      <c r="SOR120" s="225"/>
      <c r="SOS120" s="225"/>
      <c r="SOT120" s="225"/>
      <c r="SOU120" s="225"/>
      <c r="SOV120" s="225"/>
      <c r="SOW120" s="225"/>
      <c r="SOX120" s="225"/>
      <c r="SOY120" s="225"/>
      <c r="SOZ120" s="225"/>
      <c r="SPA120" s="225"/>
      <c r="SPB120" s="225"/>
      <c r="SPC120" s="225"/>
      <c r="SPD120" s="225"/>
      <c r="SPE120" s="225"/>
      <c r="SPF120" s="225"/>
      <c r="SPG120" s="225"/>
      <c r="SPH120" s="225"/>
      <c r="SPI120" s="225"/>
      <c r="SPJ120" s="225"/>
      <c r="SPK120" s="225"/>
      <c r="SPL120" s="225"/>
      <c r="SPM120" s="225"/>
      <c r="SPN120" s="225"/>
      <c r="SPO120" s="225"/>
      <c r="SPP120" s="225"/>
      <c r="SPQ120" s="225"/>
      <c r="SPR120" s="225"/>
      <c r="SPS120" s="225"/>
      <c r="SPT120" s="225"/>
      <c r="SPU120" s="225"/>
      <c r="SPV120" s="225"/>
      <c r="SPW120" s="225"/>
      <c r="SPX120" s="225"/>
      <c r="SPY120" s="225"/>
      <c r="SPZ120" s="225"/>
      <c r="SQA120" s="225"/>
      <c r="SQB120" s="225"/>
      <c r="SQC120" s="225"/>
      <c r="SQD120" s="225"/>
      <c r="SQE120" s="225"/>
      <c r="SQF120" s="225"/>
      <c r="SQG120" s="225"/>
      <c r="SQH120" s="225"/>
      <c r="SQI120" s="225"/>
      <c r="SQJ120" s="225"/>
      <c r="SQK120" s="225"/>
      <c r="SQL120" s="225"/>
      <c r="SQM120" s="225"/>
      <c r="SQN120" s="225"/>
      <c r="SQO120" s="225"/>
      <c r="SQP120" s="225"/>
      <c r="SQQ120" s="225"/>
      <c r="SQR120" s="225"/>
      <c r="SQS120" s="225"/>
      <c r="SQT120" s="225"/>
      <c r="SQU120" s="225"/>
      <c r="SQV120" s="225"/>
      <c r="SQW120" s="225"/>
      <c r="SQX120" s="225"/>
      <c r="SQY120" s="225"/>
      <c r="SQZ120" s="225"/>
      <c r="SRA120" s="225"/>
      <c r="SRB120" s="225"/>
      <c r="SRC120" s="225"/>
      <c r="SRD120" s="225"/>
      <c r="SRE120" s="225"/>
      <c r="SRF120" s="225"/>
      <c r="SRG120" s="225"/>
      <c r="SRH120" s="225"/>
      <c r="SRI120" s="225"/>
      <c r="SRJ120" s="225"/>
      <c r="SRK120" s="225"/>
      <c r="SRL120" s="225"/>
      <c r="SRM120" s="225"/>
      <c r="SRN120" s="225"/>
      <c r="SRO120" s="225"/>
      <c r="SRP120" s="225"/>
      <c r="SRQ120" s="225"/>
      <c r="SRR120" s="225"/>
      <c r="SRS120" s="225"/>
      <c r="SRT120" s="225"/>
      <c r="SRU120" s="225"/>
      <c r="SRV120" s="225"/>
      <c r="SRW120" s="225"/>
      <c r="SRX120" s="225"/>
      <c r="SRY120" s="225"/>
      <c r="SRZ120" s="225"/>
      <c r="SSA120" s="225"/>
      <c r="SSB120" s="225"/>
      <c r="SSC120" s="225"/>
      <c r="SSD120" s="225"/>
      <c r="SSE120" s="225"/>
      <c r="SSF120" s="225"/>
      <c r="SSG120" s="225"/>
      <c r="SSH120" s="225"/>
      <c r="SSI120" s="225"/>
      <c r="SSJ120" s="225"/>
      <c r="SSK120" s="225"/>
      <c r="SSL120" s="225"/>
      <c r="SSM120" s="225"/>
      <c r="SSN120" s="225"/>
      <c r="SSO120" s="225"/>
      <c r="SSP120" s="225"/>
      <c r="SSQ120" s="225"/>
      <c r="SSR120" s="225"/>
      <c r="SSS120" s="225"/>
      <c r="SST120" s="225"/>
      <c r="SSU120" s="225"/>
      <c r="SSV120" s="225"/>
      <c r="SSW120" s="225"/>
      <c r="SSX120" s="225"/>
      <c r="SSY120" s="225"/>
      <c r="SSZ120" s="225"/>
      <c r="STA120" s="225"/>
      <c r="STB120" s="225"/>
      <c r="STC120" s="225"/>
      <c r="STD120" s="225"/>
      <c r="STE120" s="225"/>
      <c r="STF120" s="225"/>
      <c r="STG120" s="225"/>
      <c r="STH120" s="225"/>
      <c r="STI120" s="225"/>
      <c r="STJ120" s="225"/>
      <c r="STK120" s="225"/>
      <c r="STL120" s="225"/>
      <c r="STM120" s="225"/>
      <c r="STN120" s="225"/>
      <c r="STO120" s="225"/>
      <c r="STP120" s="225"/>
      <c r="STQ120" s="225"/>
      <c r="STR120" s="225"/>
      <c r="STS120" s="225"/>
      <c r="STT120" s="225"/>
      <c r="STU120" s="225"/>
      <c r="STV120" s="225"/>
      <c r="STW120" s="225"/>
      <c r="STX120" s="225"/>
      <c r="STY120" s="225"/>
      <c r="STZ120" s="225"/>
      <c r="SUA120" s="225"/>
      <c r="SUB120" s="225"/>
      <c r="SUC120" s="225"/>
      <c r="SUD120" s="225"/>
      <c r="SUE120" s="225"/>
      <c r="SUF120" s="225"/>
      <c r="SUG120" s="225"/>
      <c r="SUH120" s="225"/>
      <c r="SUI120" s="225"/>
      <c r="SUJ120" s="225"/>
      <c r="SUK120" s="225"/>
      <c r="SUL120" s="225"/>
      <c r="SUM120" s="225"/>
      <c r="SUN120" s="225"/>
      <c r="SUO120" s="225"/>
      <c r="SUP120" s="225"/>
      <c r="SUQ120" s="225"/>
      <c r="SUR120" s="225"/>
      <c r="SUS120" s="225"/>
      <c r="SUT120" s="225"/>
      <c r="SUU120" s="225"/>
      <c r="SUV120" s="225"/>
      <c r="SUW120" s="225"/>
      <c r="SUX120" s="225"/>
      <c r="SUY120" s="225"/>
      <c r="SUZ120" s="225"/>
      <c r="SVA120" s="225"/>
      <c r="SVB120" s="225"/>
      <c r="SVC120" s="225"/>
      <c r="SVD120" s="225"/>
      <c r="SVE120" s="225"/>
      <c r="SVF120" s="225"/>
      <c r="SVG120" s="225"/>
      <c r="SVH120" s="225"/>
      <c r="SVI120" s="225"/>
      <c r="SVJ120" s="225"/>
      <c r="SVK120" s="225"/>
      <c r="SVL120" s="225"/>
      <c r="SVM120" s="225"/>
      <c r="SVN120" s="225"/>
      <c r="SVO120" s="225"/>
      <c r="SVP120" s="225"/>
      <c r="SVQ120" s="225"/>
      <c r="SVR120" s="225"/>
      <c r="SVS120" s="225"/>
      <c r="SVT120" s="225"/>
      <c r="SVU120" s="225"/>
      <c r="SVV120" s="225"/>
      <c r="SVW120" s="225"/>
      <c r="SVX120" s="225"/>
      <c r="SVY120" s="225"/>
      <c r="SVZ120" s="225"/>
      <c r="SWA120" s="225"/>
      <c r="SWB120" s="225"/>
      <c r="SWC120" s="225"/>
      <c r="SWD120" s="225"/>
      <c r="SWE120" s="225"/>
      <c r="SWF120" s="225"/>
      <c r="SWG120" s="225"/>
      <c r="SWH120" s="225"/>
      <c r="SWI120" s="225"/>
      <c r="SWJ120" s="225"/>
      <c r="SWK120" s="225"/>
      <c r="SWL120" s="225"/>
      <c r="SWM120" s="225"/>
      <c r="SWN120" s="225"/>
      <c r="SWO120" s="225"/>
      <c r="SWP120" s="225"/>
      <c r="SWQ120" s="225"/>
      <c r="SWR120" s="225"/>
      <c r="SWS120" s="225"/>
      <c r="SWT120" s="225"/>
      <c r="SWU120" s="225"/>
      <c r="SWV120" s="225"/>
      <c r="SWW120" s="225"/>
      <c r="SWX120" s="225"/>
      <c r="SWY120" s="225"/>
      <c r="SWZ120" s="225"/>
      <c r="SXA120" s="225"/>
      <c r="SXB120" s="225"/>
      <c r="SXC120" s="225"/>
      <c r="SXD120" s="225"/>
      <c r="SXE120" s="225"/>
      <c r="SXF120" s="225"/>
      <c r="SXG120" s="225"/>
      <c r="SXH120" s="225"/>
      <c r="SXI120" s="225"/>
      <c r="SXJ120" s="225"/>
      <c r="SXK120" s="225"/>
      <c r="SXL120" s="225"/>
      <c r="SXM120" s="225"/>
      <c r="SXN120" s="225"/>
      <c r="SXO120" s="225"/>
      <c r="SXP120" s="225"/>
      <c r="SXQ120" s="225"/>
      <c r="SXR120" s="225"/>
      <c r="SXS120" s="225"/>
      <c r="SXT120" s="225"/>
      <c r="SXU120" s="225"/>
      <c r="SXV120" s="225"/>
      <c r="SXW120" s="225"/>
      <c r="SXX120" s="225"/>
      <c r="SXY120" s="225"/>
      <c r="SXZ120" s="225"/>
      <c r="SYA120" s="225"/>
      <c r="SYB120" s="225"/>
      <c r="SYC120" s="225"/>
      <c r="SYD120" s="225"/>
      <c r="SYE120" s="225"/>
      <c r="SYF120" s="225"/>
      <c r="SYG120" s="225"/>
      <c r="SYH120" s="225"/>
      <c r="SYI120" s="225"/>
      <c r="SYJ120" s="225"/>
      <c r="SYK120" s="225"/>
      <c r="SYL120" s="225"/>
      <c r="SYM120" s="225"/>
      <c r="SYN120" s="225"/>
      <c r="SYO120" s="225"/>
      <c r="SYP120" s="225"/>
      <c r="SYQ120" s="225"/>
      <c r="SYR120" s="225"/>
      <c r="SYS120" s="225"/>
      <c r="SYT120" s="225"/>
      <c r="SYU120" s="225"/>
      <c r="SYV120" s="225"/>
      <c r="SYW120" s="225"/>
      <c r="SYX120" s="225"/>
      <c r="SYY120" s="225"/>
      <c r="SYZ120" s="225"/>
      <c r="SZA120" s="225"/>
      <c r="SZB120" s="225"/>
      <c r="SZC120" s="225"/>
      <c r="SZD120" s="225"/>
      <c r="SZE120" s="225"/>
      <c r="SZF120" s="225"/>
      <c r="SZG120" s="225"/>
      <c r="SZH120" s="225"/>
      <c r="SZI120" s="225"/>
      <c r="SZJ120" s="225"/>
      <c r="SZK120" s="225"/>
      <c r="SZL120" s="225"/>
      <c r="SZM120" s="225"/>
      <c r="SZN120" s="225"/>
      <c r="SZO120" s="225"/>
      <c r="SZP120" s="225"/>
      <c r="SZQ120" s="225"/>
      <c r="SZR120" s="225"/>
      <c r="SZS120" s="225"/>
      <c r="SZT120" s="225"/>
      <c r="SZU120" s="225"/>
      <c r="SZV120" s="225"/>
      <c r="SZW120" s="225"/>
      <c r="SZX120" s="225"/>
      <c r="SZY120" s="225"/>
      <c r="SZZ120" s="225"/>
      <c r="TAA120" s="225"/>
      <c r="TAB120" s="225"/>
      <c r="TAC120" s="225"/>
      <c r="TAD120" s="225"/>
      <c r="TAE120" s="225"/>
      <c r="TAF120" s="225"/>
      <c r="TAG120" s="225"/>
      <c r="TAH120" s="225"/>
      <c r="TAI120" s="225"/>
      <c r="TAJ120" s="225"/>
      <c r="TAK120" s="225"/>
      <c r="TAL120" s="225"/>
      <c r="TAM120" s="225"/>
      <c r="TAN120" s="225"/>
      <c r="TAO120" s="225"/>
      <c r="TAP120" s="225"/>
      <c r="TAQ120" s="225"/>
      <c r="TAR120" s="225"/>
      <c r="TAS120" s="225"/>
      <c r="TAT120" s="225"/>
      <c r="TAU120" s="225"/>
      <c r="TAV120" s="225"/>
      <c r="TAW120" s="225"/>
      <c r="TAX120" s="225"/>
      <c r="TAY120" s="225"/>
      <c r="TAZ120" s="225"/>
      <c r="TBA120" s="225"/>
      <c r="TBB120" s="225"/>
      <c r="TBC120" s="225"/>
      <c r="TBD120" s="225"/>
      <c r="TBE120" s="225"/>
      <c r="TBF120" s="225"/>
      <c r="TBG120" s="225"/>
      <c r="TBH120" s="225"/>
      <c r="TBI120" s="225"/>
      <c r="TBJ120" s="225"/>
      <c r="TBK120" s="225"/>
      <c r="TBL120" s="225"/>
      <c r="TBM120" s="225"/>
      <c r="TBN120" s="225"/>
      <c r="TBO120" s="225"/>
      <c r="TBP120" s="225"/>
      <c r="TBQ120" s="225"/>
      <c r="TBR120" s="225"/>
      <c r="TBS120" s="225"/>
      <c r="TBT120" s="225"/>
      <c r="TBU120" s="225"/>
      <c r="TBV120" s="225"/>
      <c r="TBW120" s="225"/>
      <c r="TBX120" s="225"/>
      <c r="TBY120" s="225"/>
      <c r="TBZ120" s="225"/>
      <c r="TCA120" s="225"/>
      <c r="TCB120" s="225"/>
      <c r="TCC120" s="225"/>
      <c r="TCD120" s="225"/>
      <c r="TCE120" s="225"/>
      <c r="TCF120" s="225"/>
      <c r="TCG120" s="225"/>
      <c r="TCH120" s="225"/>
      <c r="TCI120" s="225"/>
      <c r="TCJ120" s="225"/>
      <c r="TCK120" s="225"/>
      <c r="TCL120" s="225"/>
      <c r="TCM120" s="225"/>
      <c r="TCN120" s="225"/>
      <c r="TCO120" s="225"/>
      <c r="TCP120" s="225"/>
      <c r="TCQ120" s="225"/>
      <c r="TCR120" s="225"/>
      <c r="TCS120" s="225"/>
      <c r="TCT120" s="225"/>
      <c r="TCU120" s="225"/>
      <c r="TCV120" s="225"/>
      <c r="TCW120" s="225"/>
      <c r="TCX120" s="225"/>
      <c r="TCY120" s="225"/>
      <c r="TCZ120" s="225"/>
      <c r="TDA120" s="225"/>
      <c r="TDB120" s="225"/>
      <c r="TDC120" s="225"/>
      <c r="TDD120" s="225"/>
      <c r="TDE120" s="225"/>
      <c r="TDF120" s="225"/>
      <c r="TDG120" s="225"/>
      <c r="TDH120" s="225"/>
      <c r="TDI120" s="225"/>
      <c r="TDJ120" s="225"/>
      <c r="TDK120" s="225"/>
      <c r="TDL120" s="225"/>
      <c r="TDM120" s="225"/>
      <c r="TDN120" s="225"/>
      <c r="TDO120" s="225"/>
      <c r="TDP120" s="225"/>
      <c r="TDQ120" s="225"/>
      <c r="TDR120" s="225"/>
      <c r="TDS120" s="225"/>
      <c r="TDT120" s="225"/>
      <c r="TDU120" s="225"/>
      <c r="TDV120" s="225"/>
      <c r="TDW120" s="225"/>
      <c r="TDX120" s="225"/>
      <c r="TDY120" s="225"/>
      <c r="TDZ120" s="225"/>
      <c r="TEA120" s="225"/>
      <c r="TEB120" s="225"/>
      <c r="TEC120" s="225"/>
      <c r="TED120" s="225"/>
      <c r="TEE120" s="225"/>
      <c r="TEF120" s="225"/>
      <c r="TEG120" s="225"/>
      <c r="TEH120" s="225"/>
      <c r="TEI120" s="225"/>
      <c r="TEJ120" s="225"/>
      <c r="TEK120" s="225"/>
      <c r="TEL120" s="225"/>
      <c r="TEM120" s="225"/>
      <c r="TEN120" s="225"/>
      <c r="TEO120" s="225"/>
      <c r="TEP120" s="225"/>
      <c r="TEQ120" s="225"/>
      <c r="TER120" s="225"/>
      <c r="TES120" s="225"/>
      <c r="TET120" s="225"/>
      <c r="TEU120" s="225"/>
      <c r="TEV120" s="225"/>
      <c r="TEW120" s="225"/>
      <c r="TEX120" s="225"/>
      <c r="TEY120" s="225"/>
      <c r="TEZ120" s="225"/>
      <c r="TFA120" s="225"/>
      <c r="TFB120" s="225"/>
      <c r="TFC120" s="225"/>
      <c r="TFD120" s="225"/>
      <c r="TFE120" s="225"/>
      <c r="TFF120" s="225"/>
      <c r="TFG120" s="225"/>
      <c r="TFH120" s="225"/>
      <c r="TFI120" s="225"/>
      <c r="TFJ120" s="225"/>
      <c r="TFK120" s="225"/>
      <c r="TFL120" s="225"/>
      <c r="TFM120" s="225"/>
      <c r="TFN120" s="225"/>
      <c r="TFO120" s="225"/>
      <c r="TFP120" s="225"/>
      <c r="TFQ120" s="225"/>
      <c r="TFR120" s="225"/>
      <c r="TFS120" s="225"/>
      <c r="TFT120" s="225"/>
      <c r="TFU120" s="225"/>
      <c r="TFV120" s="225"/>
      <c r="TFW120" s="225"/>
      <c r="TFX120" s="225"/>
      <c r="TFY120" s="225"/>
      <c r="TFZ120" s="225"/>
      <c r="TGA120" s="225"/>
      <c r="TGB120" s="225"/>
      <c r="TGC120" s="225"/>
      <c r="TGD120" s="225"/>
      <c r="TGE120" s="225"/>
      <c r="TGF120" s="225"/>
      <c r="TGG120" s="225"/>
      <c r="TGH120" s="225"/>
      <c r="TGI120" s="225"/>
      <c r="TGJ120" s="225"/>
      <c r="TGK120" s="225"/>
      <c r="TGL120" s="225"/>
      <c r="TGM120" s="225"/>
      <c r="TGN120" s="225"/>
      <c r="TGO120" s="225"/>
      <c r="TGP120" s="225"/>
      <c r="TGQ120" s="225"/>
      <c r="TGR120" s="225"/>
      <c r="TGS120" s="225"/>
      <c r="TGT120" s="225"/>
      <c r="TGU120" s="225"/>
      <c r="TGV120" s="225"/>
      <c r="TGW120" s="225"/>
      <c r="TGX120" s="225"/>
      <c r="TGY120" s="225"/>
      <c r="TGZ120" s="225"/>
      <c r="THA120" s="225"/>
      <c r="THB120" s="225"/>
      <c r="THC120" s="225"/>
      <c r="THD120" s="225"/>
      <c r="THE120" s="225"/>
      <c r="THF120" s="225"/>
      <c r="THG120" s="225"/>
      <c r="THH120" s="225"/>
      <c r="THI120" s="225"/>
      <c r="THJ120" s="225"/>
      <c r="THK120" s="225"/>
      <c r="THL120" s="225"/>
      <c r="THM120" s="225"/>
      <c r="THN120" s="225"/>
      <c r="THO120" s="225"/>
      <c r="THP120" s="225"/>
      <c r="THQ120" s="225"/>
      <c r="THR120" s="225"/>
      <c r="THS120" s="225"/>
      <c r="THT120" s="225"/>
      <c r="THU120" s="225"/>
      <c r="THV120" s="225"/>
      <c r="THW120" s="225"/>
      <c r="THX120" s="225"/>
      <c r="THY120" s="225"/>
      <c r="THZ120" s="225"/>
      <c r="TIA120" s="225"/>
      <c r="TIB120" s="225"/>
      <c r="TIC120" s="225"/>
      <c r="TID120" s="225"/>
      <c r="TIE120" s="225"/>
      <c r="TIF120" s="225"/>
      <c r="TIG120" s="225"/>
      <c r="TIH120" s="225"/>
      <c r="TII120" s="225"/>
      <c r="TIJ120" s="225"/>
      <c r="TIK120" s="225"/>
      <c r="TIL120" s="225"/>
      <c r="TIM120" s="225"/>
      <c r="TIN120" s="225"/>
      <c r="TIO120" s="225"/>
      <c r="TIP120" s="225"/>
      <c r="TIQ120" s="225"/>
      <c r="TIR120" s="225"/>
      <c r="TIS120" s="225"/>
      <c r="TIT120" s="225"/>
      <c r="TIU120" s="225"/>
      <c r="TIV120" s="225"/>
      <c r="TIW120" s="225"/>
      <c r="TIX120" s="225"/>
      <c r="TIY120" s="225"/>
      <c r="TIZ120" s="225"/>
      <c r="TJA120" s="225"/>
      <c r="TJB120" s="225"/>
      <c r="TJC120" s="225"/>
      <c r="TJD120" s="225"/>
      <c r="TJE120" s="225"/>
      <c r="TJF120" s="225"/>
      <c r="TJG120" s="225"/>
      <c r="TJH120" s="225"/>
      <c r="TJI120" s="225"/>
      <c r="TJJ120" s="225"/>
      <c r="TJK120" s="225"/>
      <c r="TJL120" s="225"/>
      <c r="TJM120" s="225"/>
      <c r="TJN120" s="225"/>
      <c r="TJO120" s="225"/>
      <c r="TJP120" s="225"/>
      <c r="TJQ120" s="225"/>
      <c r="TJR120" s="225"/>
      <c r="TJS120" s="225"/>
      <c r="TJT120" s="225"/>
      <c r="TJU120" s="225"/>
      <c r="TJV120" s="225"/>
      <c r="TJW120" s="225"/>
      <c r="TJX120" s="225"/>
      <c r="TJY120" s="225"/>
      <c r="TJZ120" s="225"/>
      <c r="TKA120" s="225"/>
      <c r="TKB120" s="225"/>
      <c r="TKC120" s="225"/>
      <c r="TKD120" s="225"/>
      <c r="TKE120" s="225"/>
      <c r="TKF120" s="225"/>
      <c r="TKG120" s="225"/>
      <c r="TKH120" s="225"/>
      <c r="TKI120" s="225"/>
      <c r="TKJ120" s="225"/>
      <c r="TKK120" s="225"/>
      <c r="TKL120" s="225"/>
      <c r="TKM120" s="225"/>
      <c r="TKN120" s="225"/>
      <c r="TKO120" s="225"/>
      <c r="TKP120" s="225"/>
      <c r="TKQ120" s="225"/>
      <c r="TKR120" s="225"/>
      <c r="TKS120" s="225"/>
      <c r="TKT120" s="225"/>
      <c r="TKU120" s="225"/>
      <c r="TKV120" s="225"/>
      <c r="TKW120" s="225"/>
      <c r="TKX120" s="225"/>
      <c r="TKY120" s="225"/>
      <c r="TKZ120" s="225"/>
      <c r="TLA120" s="225"/>
      <c r="TLB120" s="225"/>
      <c r="TLC120" s="225"/>
      <c r="TLD120" s="225"/>
      <c r="TLE120" s="225"/>
      <c r="TLF120" s="225"/>
      <c r="TLG120" s="225"/>
      <c r="TLH120" s="225"/>
      <c r="TLI120" s="225"/>
      <c r="TLJ120" s="225"/>
      <c r="TLK120" s="225"/>
      <c r="TLL120" s="225"/>
      <c r="TLM120" s="225"/>
      <c r="TLN120" s="225"/>
      <c r="TLO120" s="225"/>
      <c r="TLP120" s="225"/>
      <c r="TLQ120" s="225"/>
      <c r="TLR120" s="225"/>
      <c r="TLS120" s="225"/>
      <c r="TLT120" s="225"/>
      <c r="TLU120" s="225"/>
      <c r="TLV120" s="225"/>
      <c r="TLW120" s="225"/>
      <c r="TLX120" s="225"/>
      <c r="TLY120" s="225"/>
      <c r="TLZ120" s="225"/>
      <c r="TMA120" s="225"/>
      <c r="TMB120" s="225"/>
      <c r="TMC120" s="225"/>
      <c r="TMD120" s="225"/>
      <c r="TME120" s="225"/>
      <c r="TMF120" s="225"/>
      <c r="TMG120" s="225"/>
      <c r="TMH120" s="225"/>
      <c r="TMI120" s="225"/>
      <c r="TMJ120" s="225"/>
      <c r="TMK120" s="225"/>
      <c r="TML120" s="225"/>
      <c r="TMM120" s="225"/>
      <c r="TMN120" s="225"/>
      <c r="TMO120" s="225"/>
      <c r="TMP120" s="225"/>
      <c r="TMQ120" s="225"/>
      <c r="TMR120" s="225"/>
      <c r="TMS120" s="225"/>
      <c r="TMT120" s="225"/>
      <c r="TMU120" s="225"/>
      <c r="TMV120" s="225"/>
      <c r="TMW120" s="225"/>
      <c r="TMX120" s="225"/>
      <c r="TMY120" s="225"/>
      <c r="TMZ120" s="225"/>
      <c r="TNA120" s="225"/>
      <c r="TNB120" s="225"/>
      <c r="TNC120" s="225"/>
      <c r="TND120" s="225"/>
      <c r="TNE120" s="225"/>
      <c r="TNF120" s="225"/>
      <c r="TNG120" s="225"/>
      <c r="TNH120" s="225"/>
      <c r="TNI120" s="225"/>
      <c r="TNJ120" s="225"/>
      <c r="TNK120" s="225"/>
      <c r="TNL120" s="225"/>
      <c r="TNM120" s="225"/>
      <c r="TNN120" s="225"/>
      <c r="TNO120" s="225"/>
      <c r="TNP120" s="225"/>
      <c r="TNQ120" s="225"/>
      <c r="TNR120" s="225"/>
      <c r="TNS120" s="225"/>
      <c r="TNT120" s="225"/>
      <c r="TNU120" s="225"/>
      <c r="TNV120" s="225"/>
      <c r="TNW120" s="225"/>
      <c r="TNX120" s="225"/>
      <c r="TNY120" s="225"/>
      <c r="TNZ120" s="225"/>
      <c r="TOA120" s="225"/>
      <c r="TOB120" s="225"/>
      <c r="TOC120" s="225"/>
      <c r="TOD120" s="225"/>
      <c r="TOE120" s="225"/>
      <c r="TOF120" s="225"/>
      <c r="TOG120" s="225"/>
      <c r="TOH120" s="225"/>
      <c r="TOI120" s="225"/>
      <c r="TOJ120" s="225"/>
      <c r="TOK120" s="225"/>
      <c r="TOL120" s="225"/>
      <c r="TOM120" s="225"/>
      <c r="TON120" s="225"/>
      <c r="TOO120" s="225"/>
      <c r="TOP120" s="225"/>
      <c r="TOQ120" s="225"/>
      <c r="TOR120" s="225"/>
      <c r="TOS120" s="225"/>
      <c r="TOT120" s="225"/>
      <c r="TOU120" s="225"/>
      <c r="TOV120" s="225"/>
      <c r="TOW120" s="225"/>
      <c r="TOX120" s="225"/>
      <c r="TOY120" s="225"/>
      <c r="TOZ120" s="225"/>
      <c r="TPA120" s="225"/>
      <c r="TPB120" s="225"/>
      <c r="TPC120" s="225"/>
      <c r="TPD120" s="225"/>
      <c r="TPE120" s="225"/>
      <c r="TPF120" s="225"/>
      <c r="TPG120" s="225"/>
      <c r="TPH120" s="225"/>
      <c r="TPI120" s="225"/>
      <c r="TPJ120" s="225"/>
      <c r="TPK120" s="225"/>
      <c r="TPL120" s="225"/>
      <c r="TPM120" s="225"/>
      <c r="TPN120" s="225"/>
      <c r="TPO120" s="225"/>
      <c r="TPP120" s="225"/>
      <c r="TPQ120" s="225"/>
      <c r="TPR120" s="225"/>
      <c r="TPS120" s="225"/>
      <c r="TPT120" s="225"/>
      <c r="TPU120" s="225"/>
      <c r="TPV120" s="225"/>
      <c r="TPW120" s="225"/>
      <c r="TPX120" s="225"/>
      <c r="TPY120" s="225"/>
      <c r="TPZ120" s="225"/>
      <c r="TQA120" s="225"/>
      <c r="TQB120" s="225"/>
      <c r="TQC120" s="225"/>
      <c r="TQD120" s="225"/>
      <c r="TQE120" s="225"/>
      <c r="TQF120" s="225"/>
      <c r="TQG120" s="225"/>
      <c r="TQH120" s="225"/>
      <c r="TQI120" s="225"/>
      <c r="TQJ120" s="225"/>
      <c r="TQK120" s="225"/>
      <c r="TQL120" s="225"/>
      <c r="TQM120" s="225"/>
      <c r="TQN120" s="225"/>
      <c r="TQO120" s="225"/>
      <c r="TQP120" s="225"/>
      <c r="TQQ120" s="225"/>
      <c r="TQR120" s="225"/>
      <c r="TQS120" s="225"/>
      <c r="TQT120" s="225"/>
      <c r="TQU120" s="225"/>
      <c r="TQV120" s="225"/>
      <c r="TQW120" s="225"/>
      <c r="TQX120" s="225"/>
      <c r="TQY120" s="225"/>
      <c r="TQZ120" s="225"/>
      <c r="TRA120" s="225"/>
      <c r="TRB120" s="225"/>
      <c r="TRC120" s="225"/>
      <c r="TRD120" s="225"/>
      <c r="TRE120" s="225"/>
      <c r="TRF120" s="225"/>
      <c r="TRG120" s="225"/>
      <c r="TRH120" s="225"/>
      <c r="TRI120" s="225"/>
      <c r="TRJ120" s="225"/>
      <c r="TRK120" s="225"/>
      <c r="TRL120" s="225"/>
      <c r="TRM120" s="225"/>
      <c r="TRN120" s="225"/>
      <c r="TRO120" s="225"/>
      <c r="TRP120" s="225"/>
      <c r="TRQ120" s="225"/>
      <c r="TRR120" s="225"/>
      <c r="TRS120" s="225"/>
      <c r="TRT120" s="225"/>
      <c r="TRU120" s="225"/>
      <c r="TRV120" s="225"/>
      <c r="TRW120" s="225"/>
      <c r="TRX120" s="225"/>
      <c r="TRY120" s="225"/>
      <c r="TRZ120" s="225"/>
      <c r="TSA120" s="225"/>
      <c r="TSB120" s="225"/>
      <c r="TSC120" s="225"/>
      <c r="TSD120" s="225"/>
      <c r="TSE120" s="225"/>
      <c r="TSF120" s="225"/>
      <c r="TSG120" s="225"/>
      <c r="TSH120" s="225"/>
      <c r="TSI120" s="225"/>
      <c r="TSJ120" s="225"/>
      <c r="TSK120" s="225"/>
      <c r="TSL120" s="225"/>
      <c r="TSM120" s="225"/>
      <c r="TSN120" s="225"/>
      <c r="TSO120" s="225"/>
      <c r="TSP120" s="225"/>
      <c r="TSQ120" s="225"/>
      <c r="TSR120" s="225"/>
      <c r="TSS120" s="225"/>
      <c r="TST120" s="225"/>
      <c r="TSU120" s="225"/>
      <c r="TSV120" s="225"/>
      <c r="TSW120" s="225"/>
      <c r="TSX120" s="225"/>
      <c r="TSY120" s="225"/>
      <c r="TSZ120" s="225"/>
      <c r="TTA120" s="225"/>
      <c r="TTB120" s="225"/>
      <c r="TTC120" s="225"/>
      <c r="TTD120" s="225"/>
      <c r="TTE120" s="225"/>
      <c r="TTF120" s="225"/>
      <c r="TTG120" s="225"/>
      <c r="TTH120" s="225"/>
      <c r="TTI120" s="225"/>
      <c r="TTJ120" s="225"/>
      <c r="TTK120" s="225"/>
      <c r="TTL120" s="225"/>
      <c r="TTM120" s="225"/>
      <c r="TTN120" s="225"/>
      <c r="TTO120" s="225"/>
      <c r="TTP120" s="225"/>
      <c r="TTQ120" s="225"/>
      <c r="TTR120" s="225"/>
      <c r="TTS120" s="225"/>
      <c r="TTT120" s="225"/>
      <c r="TTU120" s="225"/>
      <c r="TTV120" s="225"/>
      <c r="TTW120" s="225"/>
      <c r="TTX120" s="225"/>
      <c r="TTY120" s="225"/>
      <c r="TTZ120" s="225"/>
      <c r="TUA120" s="225"/>
      <c r="TUB120" s="225"/>
      <c r="TUC120" s="225"/>
      <c r="TUD120" s="225"/>
      <c r="TUE120" s="225"/>
      <c r="TUF120" s="225"/>
      <c r="TUG120" s="225"/>
      <c r="TUH120" s="225"/>
      <c r="TUI120" s="225"/>
      <c r="TUJ120" s="225"/>
      <c r="TUK120" s="225"/>
      <c r="TUL120" s="225"/>
      <c r="TUM120" s="225"/>
      <c r="TUN120" s="225"/>
      <c r="TUO120" s="225"/>
      <c r="TUP120" s="225"/>
      <c r="TUQ120" s="225"/>
      <c r="TUR120" s="225"/>
      <c r="TUS120" s="225"/>
      <c r="TUT120" s="225"/>
      <c r="TUU120" s="225"/>
      <c r="TUV120" s="225"/>
      <c r="TUW120" s="225"/>
      <c r="TUX120" s="225"/>
      <c r="TUY120" s="225"/>
      <c r="TUZ120" s="225"/>
      <c r="TVA120" s="225"/>
      <c r="TVB120" s="225"/>
      <c r="TVC120" s="225"/>
      <c r="TVD120" s="225"/>
      <c r="TVE120" s="225"/>
      <c r="TVF120" s="225"/>
      <c r="TVG120" s="225"/>
      <c r="TVH120" s="225"/>
      <c r="TVI120" s="225"/>
      <c r="TVJ120" s="225"/>
      <c r="TVK120" s="225"/>
      <c r="TVL120" s="225"/>
      <c r="TVM120" s="225"/>
      <c r="TVN120" s="225"/>
      <c r="TVO120" s="225"/>
      <c r="TVP120" s="225"/>
      <c r="TVQ120" s="225"/>
      <c r="TVR120" s="225"/>
      <c r="TVS120" s="225"/>
      <c r="TVT120" s="225"/>
      <c r="TVU120" s="225"/>
      <c r="TVV120" s="225"/>
      <c r="TVW120" s="225"/>
      <c r="TVX120" s="225"/>
      <c r="TVY120" s="225"/>
      <c r="TVZ120" s="225"/>
      <c r="TWA120" s="225"/>
      <c r="TWB120" s="225"/>
      <c r="TWC120" s="225"/>
      <c r="TWD120" s="225"/>
      <c r="TWE120" s="225"/>
      <c r="TWF120" s="225"/>
      <c r="TWG120" s="225"/>
      <c r="TWH120" s="225"/>
      <c r="TWI120" s="225"/>
      <c r="TWJ120" s="225"/>
      <c r="TWK120" s="225"/>
      <c r="TWL120" s="225"/>
      <c r="TWM120" s="225"/>
      <c r="TWN120" s="225"/>
      <c r="TWO120" s="225"/>
      <c r="TWP120" s="225"/>
      <c r="TWQ120" s="225"/>
      <c r="TWR120" s="225"/>
      <c r="TWS120" s="225"/>
      <c r="TWT120" s="225"/>
      <c r="TWU120" s="225"/>
      <c r="TWV120" s="225"/>
      <c r="TWW120" s="225"/>
      <c r="TWX120" s="225"/>
      <c r="TWY120" s="225"/>
      <c r="TWZ120" s="225"/>
      <c r="TXA120" s="225"/>
      <c r="TXB120" s="225"/>
      <c r="TXC120" s="225"/>
      <c r="TXD120" s="225"/>
      <c r="TXE120" s="225"/>
      <c r="TXF120" s="225"/>
      <c r="TXG120" s="225"/>
      <c r="TXH120" s="225"/>
      <c r="TXI120" s="225"/>
      <c r="TXJ120" s="225"/>
      <c r="TXK120" s="225"/>
      <c r="TXL120" s="225"/>
      <c r="TXM120" s="225"/>
      <c r="TXN120" s="225"/>
      <c r="TXO120" s="225"/>
      <c r="TXP120" s="225"/>
      <c r="TXQ120" s="225"/>
      <c r="TXR120" s="225"/>
      <c r="TXS120" s="225"/>
      <c r="TXT120" s="225"/>
      <c r="TXU120" s="225"/>
      <c r="TXV120" s="225"/>
      <c r="TXW120" s="225"/>
      <c r="TXX120" s="225"/>
      <c r="TXY120" s="225"/>
      <c r="TXZ120" s="225"/>
      <c r="TYA120" s="225"/>
      <c r="TYB120" s="225"/>
      <c r="TYC120" s="225"/>
      <c r="TYD120" s="225"/>
      <c r="TYE120" s="225"/>
      <c r="TYF120" s="225"/>
      <c r="TYG120" s="225"/>
      <c r="TYH120" s="225"/>
      <c r="TYI120" s="225"/>
      <c r="TYJ120" s="225"/>
      <c r="TYK120" s="225"/>
      <c r="TYL120" s="225"/>
      <c r="TYM120" s="225"/>
      <c r="TYN120" s="225"/>
      <c r="TYO120" s="225"/>
      <c r="TYP120" s="225"/>
      <c r="TYQ120" s="225"/>
      <c r="TYR120" s="225"/>
      <c r="TYS120" s="225"/>
      <c r="TYT120" s="225"/>
      <c r="TYU120" s="225"/>
      <c r="TYV120" s="225"/>
      <c r="TYW120" s="225"/>
      <c r="TYX120" s="225"/>
      <c r="TYY120" s="225"/>
      <c r="TYZ120" s="225"/>
      <c r="TZA120" s="225"/>
      <c r="TZB120" s="225"/>
      <c r="TZC120" s="225"/>
      <c r="TZD120" s="225"/>
      <c r="TZE120" s="225"/>
      <c r="TZF120" s="225"/>
      <c r="TZG120" s="225"/>
      <c r="TZH120" s="225"/>
      <c r="TZI120" s="225"/>
      <c r="TZJ120" s="225"/>
      <c r="TZK120" s="225"/>
      <c r="TZL120" s="225"/>
      <c r="TZM120" s="225"/>
      <c r="TZN120" s="225"/>
      <c r="TZO120" s="225"/>
      <c r="TZP120" s="225"/>
      <c r="TZQ120" s="225"/>
      <c r="TZR120" s="225"/>
      <c r="TZS120" s="225"/>
      <c r="TZT120" s="225"/>
      <c r="TZU120" s="225"/>
      <c r="TZV120" s="225"/>
      <c r="TZW120" s="225"/>
      <c r="TZX120" s="225"/>
      <c r="TZY120" s="225"/>
      <c r="TZZ120" s="225"/>
      <c r="UAA120" s="225"/>
      <c r="UAB120" s="225"/>
      <c r="UAC120" s="225"/>
      <c r="UAD120" s="225"/>
      <c r="UAE120" s="225"/>
      <c r="UAF120" s="225"/>
      <c r="UAG120" s="225"/>
      <c r="UAH120" s="225"/>
      <c r="UAI120" s="225"/>
      <c r="UAJ120" s="225"/>
      <c r="UAK120" s="225"/>
      <c r="UAL120" s="225"/>
      <c r="UAM120" s="225"/>
      <c r="UAN120" s="225"/>
      <c r="UAO120" s="225"/>
      <c r="UAP120" s="225"/>
      <c r="UAQ120" s="225"/>
      <c r="UAR120" s="225"/>
      <c r="UAS120" s="225"/>
      <c r="UAT120" s="225"/>
      <c r="UAU120" s="225"/>
      <c r="UAV120" s="225"/>
      <c r="UAW120" s="225"/>
      <c r="UAX120" s="225"/>
      <c r="UAY120" s="225"/>
      <c r="UAZ120" s="225"/>
      <c r="UBA120" s="225"/>
      <c r="UBB120" s="225"/>
      <c r="UBC120" s="225"/>
      <c r="UBD120" s="225"/>
      <c r="UBE120" s="225"/>
      <c r="UBF120" s="225"/>
      <c r="UBG120" s="225"/>
      <c r="UBH120" s="225"/>
      <c r="UBI120" s="225"/>
      <c r="UBJ120" s="225"/>
      <c r="UBK120" s="225"/>
      <c r="UBL120" s="225"/>
      <c r="UBM120" s="225"/>
      <c r="UBN120" s="225"/>
      <c r="UBO120" s="225"/>
      <c r="UBP120" s="225"/>
      <c r="UBQ120" s="225"/>
      <c r="UBR120" s="225"/>
      <c r="UBS120" s="225"/>
      <c r="UBT120" s="225"/>
      <c r="UBU120" s="225"/>
      <c r="UBV120" s="225"/>
      <c r="UBW120" s="225"/>
      <c r="UBX120" s="225"/>
      <c r="UBY120" s="225"/>
      <c r="UBZ120" s="225"/>
      <c r="UCA120" s="225"/>
      <c r="UCB120" s="225"/>
      <c r="UCC120" s="225"/>
      <c r="UCD120" s="225"/>
      <c r="UCE120" s="225"/>
      <c r="UCF120" s="225"/>
      <c r="UCG120" s="225"/>
      <c r="UCH120" s="225"/>
      <c r="UCI120" s="225"/>
      <c r="UCJ120" s="225"/>
      <c r="UCK120" s="225"/>
      <c r="UCL120" s="225"/>
      <c r="UCM120" s="225"/>
      <c r="UCN120" s="225"/>
      <c r="UCO120" s="225"/>
      <c r="UCP120" s="225"/>
      <c r="UCQ120" s="225"/>
      <c r="UCR120" s="225"/>
      <c r="UCS120" s="225"/>
      <c r="UCT120" s="225"/>
      <c r="UCU120" s="225"/>
      <c r="UCV120" s="225"/>
      <c r="UCW120" s="225"/>
      <c r="UCX120" s="225"/>
      <c r="UCY120" s="225"/>
      <c r="UCZ120" s="225"/>
      <c r="UDA120" s="225"/>
      <c r="UDB120" s="225"/>
      <c r="UDC120" s="225"/>
      <c r="UDD120" s="225"/>
      <c r="UDE120" s="225"/>
      <c r="UDF120" s="225"/>
      <c r="UDG120" s="225"/>
      <c r="UDH120" s="225"/>
      <c r="UDI120" s="225"/>
      <c r="UDJ120" s="225"/>
      <c r="UDK120" s="225"/>
      <c r="UDL120" s="225"/>
      <c r="UDM120" s="225"/>
      <c r="UDN120" s="225"/>
      <c r="UDO120" s="225"/>
      <c r="UDP120" s="225"/>
      <c r="UDQ120" s="225"/>
      <c r="UDR120" s="225"/>
      <c r="UDS120" s="225"/>
      <c r="UDT120" s="225"/>
      <c r="UDU120" s="225"/>
      <c r="UDV120" s="225"/>
      <c r="UDW120" s="225"/>
      <c r="UDX120" s="225"/>
      <c r="UDY120" s="225"/>
      <c r="UDZ120" s="225"/>
      <c r="UEA120" s="225"/>
      <c r="UEB120" s="225"/>
      <c r="UEC120" s="225"/>
      <c r="UED120" s="225"/>
      <c r="UEE120" s="225"/>
      <c r="UEF120" s="225"/>
      <c r="UEG120" s="225"/>
      <c r="UEH120" s="225"/>
      <c r="UEI120" s="225"/>
      <c r="UEJ120" s="225"/>
      <c r="UEK120" s="225"/>
      <c r="UEL120" s="225"/>
      <c r="UEM120" s="225"/>
      <c r="UEN120" s="225"/>
      <c r="UEO120" s="225"/>
      <c r="UEP120" s="225"/>
      <c r="UEQ120" s="225"/>
      <c r="UER120" s="225"/>
      <c r="UES120" s="225"/>
      <c r="UET120" s="225"/>
      <c r="UEU120" s="225"/>
      <c r="UEV120" s="225"/>
      <c r="UEW120" s="225"/>
      <c r="UEX120" s="225"/>
      <c r="UEY120" s="225"/>
      <c r="UEZ120" s="225"/>
      <c r="UFA120" s="225"/>
      <c r="UFB120" s="225"/>
      <c r="UFC120" s="225"/>
      <c r="UFD120" s="225"/>
      <c r="UFE120" s="225"/>
      <c r="UFF120" s="225"/>
      <c r="UFG120" s="225"/>
      <c r="UFH120" s="225"/>
      <c r="UFI120" s="225"/>
      <c r="UFJ120" s="225"/>
      <c r="UFK120" s="225"/>
      <c r="UFL120" s="225"/>
      <c r="UFM120" s="225"/>
      <c r="UFN120" s="225"/>
      <c r="UFO120" s="225"/>
      <c r="UFP120" s="225"/>
      <c r="UFQ120" s="225"/>
      <c r="UFR120" s="225"/>
      <c r="UFS120" s="225"/>
      <c r="UFT120" s="225"/>
      <c r="UFU120" s="225"/>
      <c r="UFV120" s="225"/>
      <c r="UFW120" s="225"/>
      <c r="UFX120" s="225"/>
      <c r="UFY120" s="225"/>
      <c r="UFZ120" s="225"/>
      <c r="UGA120" s="225"/>
      <c r="UGB120" s="225"/>
      <c r="UGC120" s="225"/>
      <c r="UGD120" s="225"/>
      <c r="UGE120" s="225"/>
      <c r="UGF120" s="225"/>
      <c r="UGG120" s="225"/>
      <c r="UGH120" s="225"/>
      <c r="UGI120" s="225"/>
      <c r="UGJ120" s="225"/>
      <c r="UGK120" s="225"/>
      <c r="UGL120" s="225"/>
      <c r="UGM120" s="225"/>
      <c r="UGN120" s="225"/>
      <c r="UGO120" s="225"/>
      <c r="UGP120" s="225"/>
      <c r="UGQ120" s="225"/>
      <c r="UGR120" s="225"/>
      <c r="UGS120" s="225"/>
      <c r="UGT120" s="225"/>
      <c r="UGU120" s="225"/>
      <c r="UGV120" s="225"/>
      <c r="UGW120" s="225"/>
      <c r="UGX120" s="225"/>
      <c r="UGY120" s="225"/>
      <c r="UGZ120" s="225"/>
      <c r="UHA120" s="225"/>
      <c r="UHB120" s="225"/>
      <c r="UHC120" s="225"/>
      <c r="UHD120" s="225"/>
      <c r="UHE120" s="225"/>
      <c r="UHF120" s="225"/>
      <c r="UHG120" s="225"/>
      <c r="UHH120" s="225"/>
      <c r="UHI120" s="225"/>
      <c r="UHJ120" s="225"/>
      <c r="UHK120" s="225"/>
      <c r="UHL120" s="225"/>
      <c r="UHM120" s="225"/>
      <c r="UHN120" s="225"/>
      <c r="UHO120" s="225"/>
      <c r="UHP120" s="225"/>
      <c r="UHQ120" s="225"/>
      <c r="UHR120" s="225"/>
      <c r="UHS120" s="225"/>
      <c r="UHT120" s="225"/>
      <c r="UHU120" s="225"/>
      <c r="UHV120" s="225"/>
      <c r="UHW120" s="225"/>
      <c r="UHX120" s="225"/>
      <c r="UHY120" s="225"/>
      <c r="UHZ120" s="225"/>
      <c r="UIA120" s="225"/>
      <c r="UIB120" s="225"/>
      <c r="UIC120" s="225"/>
      <c r="UID120" s="225"/>
      <c r="UIE120" s="225"/>
      <c r="UIF120" s="225"/>
      <c r="UIG120" s="225"/>
      <c r="UIH120" s="225"/>
      <c r="UII120" s="225"/>
      <c r="UIJ120" s="225"/>
      <c r="UIK120" s="225"/>
      <c r="UIL120" s="225"/>
      <c r="UIM120" s="225"/>
      <c r="UIN120" s="225"/>
      <c r="UIO120" s="225"/>
      <c r="UIP120" s="225"/>
      <c r="UIQ120" s="225"/>
      <c r="UIR120" s="225"/>
      <c r="UIS120" s="225"/>
      <c r="UIT120" s="225"/>
      <c r="UIU120" s="225"/>
      <c r="UIV120" s="225"/>
      <c r="UIW120" s="225"/>
      <c r="UIX120" s="225"/>
      <c r="UIY120" s="225"/>
      <c r="UIZ120" s="225"/>
      <c r="UJA120" s="225"/>
      <c r="UJB120" s="225"/>
      <c r="UJC120" s="225"/>
      <c r="UJD120" s="225"/>
      <c r="UJE120" s="225"/>
      <c r="UJF120" s="225"/>
      <c r="UJG120" s="225"/>
      <c r="UJH120" s="225"/>
      <c r="UJI120" s="225"/>
      <c r="UJJ120" s="225"/>
      <c r="UJK120" s="225"/>
      <c r="UJL120" s="225"/>
      <c r="UJM120" s="225"/>
      <c r="UJN120" s="225"/>
      <c r="UJO120" s="225"/>
      <c r="UJP120" s="225"/>
      <c r="UJQ120" s="225"/>
      <c r="UJR120" s="225"/>
      <c r="UJS120" s="225"/>
      <c r="UJT120" s="225"/>
      <c r="UJU120" s="225"/>
      <c r="UJV120" s="225"/>
      <c r="UJW120" s="225"/>
      <c r="UJX120" s="225"/>
      <c r="UJY120" s="225"/>
      <c r="UJZ120" s="225"/>
      <c r="UKA120" s="225"/>
      <c r="UKB120" s="225"/>
      <c r="UKC120" s="225"/>
      <c r="UKD120" s="225"/>
      <c r="UKE120" s="225"/>
      <c r="UKF120" s="225"/>
      <c r="UKG120" s="225"/>
      <c r="UKH120" s="225"/>
      <c r="UKI120" s="225"/>
      <c r="UKJ120" s="225"/>
      <c r="UKK120" s="225"/>
      <c r="UKL120" s="225"/>
      <c r="UKM120" s="225"/>
      <c r="UKN120" s="225"/>
      <c r="UKO120" s="225"/>
      <c r="UKP120" s="225"/>
      <c r="UKQ120" s="225"/>
      <c r="UKR120" s="225"/>
      <c r="UKS120" s="225"/>
      <c r="UKT120" s="225"/>
      <c r="UKU120" s="225"/>
      <c r="UKV120" s="225"/>
      <c r="UKW120" s="225"/>
      <c r="UKX120" s="225"/>
      <c r="UKY120" s="225"/>
      <c r="UKZ120" s="225"/>
      <c r="ULA120" s="225"/>
      <c r="ULB120" s="225"/>
      <c r="ULC120" s="225"/>
      <c r="ULD120" s="225"/>
      <c r="ULE120" s="225"/>
      <c r="ULF120" s="225"/>
      <c r="ULG120" s="225"/>
      <c r="ULH120" s="225"/>
      <c r="ULI120" s="225"/>
      <c r="ULJ120" s="225"/>
      <c r="ULK120" s="225"/>
      <c r="ULL120" s="225"/>
      <c r="ULM120" s="225"/>
      <c r="ULN120" s="225"/>
      <c r="ULO120" s="225"/>
      <c r="ULP120" s="225"/>
      <c r="ULQ120" s="225"/>
      <c r="ULR120" s="225"/>
      <c r="ULS120" s="225"/>
      <c r="ULT120" s="225"/>
      <c r="ULU120" s="225"/>
      <c r="ULV120" s="225"/>
      <c r="ULW120" s="225"/>
      <c r="ULX120" s="225"/>
      <c r="ULY120" s="225"/>
      <c r="ULZ120" s="225"/>
      <c r="UMA120" s="225"/>
      <c r="UMB120" s="225"/>
      <c r="UMC120" s="225"/>
      <c r="UMD120" s="225"/>
      <c r="UME120" s="225"/>
      <c r="UMF120" s="225"/>
      <c r="UMG120" s="225"/>
      <c r="UMH120" s="225"/>
      <c r="UMI120" s="225"/>
      <c r="UMJ120" s="225"/>
      <c r="UMK120" s="225"/>
      <c r="UML120" s="225"/>
      <c r="UMM120" s="225"/>
      <c r="UMN120" s="225"/>
      <c r="UMO120" s="225"/>
      <c r="UMP120" s="225"/>
      <c r="UMQ120" s="225"/>
      <c r="UMR120" s="225"/>
      <c r="UMS120" s="225"/>
      <c r="UMT120" s="225"/>
      <c r="UMU120" s="225"/>
      <c r="UMV120" s="225"/>
      <c r="UMW120" s="225"/>
      <c r="UMX120" s="225"/>
      <c r="UMY120" s="225"/>
      <c r="UMZ120" s="225"/>
      <c r="UNA120" s="225"/>
      <c r="UNB120" s="225"/>
      <c r="UNC120" s="225"/>
      <c r="UND120" s="225"/>
      <c r="UNE120" s="225"/>
      <c r="UNF120" s="225"/>
      <c r="UNG120" s="225"/>
      <c r="UNH120" s="225"/>
      <c r="UNI120" s="225"/>
      <c r="UNJ120" s="225"/>
      <c r="UNK120" s="225"/>
      <c r="UNL120" s="225"/>
      <c r="UNM120" s="225"/>
      <c r="UNN120" s="225"/>
      <c r="UNO120" s="225"/>
      <c r="UNP120" s="225"/>
      <c r="UNQ120" s="225"/>
      <c r="UNR120" s="225"/>
      <c r="UNS120" s="225"/>
      <c r="UNT120" s="225"/>
      <c r="UNU120" s="225"/>
      <c r="UNV120" s="225"/>
      <c r="UNW120" s="225"/>
      <c r="UNX120" s="225"/>
      <c r="UNY120" s="225"/>
      <c r="UNZ120" s="225"/>
      <c r="UOA120" s="225"/>
      <c r="UOB120" s="225"/>
      <c r="UOC120" s="225"/>
      <c r="UOD120" s="225"/>
      <c r="UOE120" s="225"/>
      <c r="UOF120" s="225"/>
      <c r="UOG120" s="225"/>
      <c r="UOH120" s="225"/>
      <c r="UOI120" s="225"/>
      <c r="UOJ120" s="225"/>
      <c r="UOK120" s="225"/>
      <c r="UOL120" s="225"/>
      <c r="UOM120" s="225"/>
      <c r="UON120" s="225"/>
      <c r="UOO120" s="225"/>
      <c r="UOP120" s="225"/>
      <c r="UOQ120" s="225"/>
      <c r="UOR120" s="225"/>
      <c r="UOS120" s="225"/>
      <c r="UOT120" s="225"/>
      <c r="UOU120" s="225"/>
      <c r="UOV120" s="225"/>
      <c r="UOW120" s="225"/>
      <c r="UOX120" s="225"/>
      <c r="UOY120" s="225"/>
      <c r="UOZ120" s="225"/>
      <c r="UPA120" s="225"/>
      <c r="UPB120" s="225"/>
      <c r="UPC120" s="225"/>
      <c r="UPD120" s="225"/>
      <c r="UPE120" s="225"/>
      <c r="UPF120" s="225"/>
      <c r="UPG120" s="225"/>
      <c r="UPH120" s="225"/>
      <c r="UPI120" s="225"/>
      <c r="UPJ120" s="225"/>
      <c r="UPK120" s="225"/>
      <c r="UPL120" s="225"/>
      <c r="UPM120" s="225"/>
      <c r="UPN120" s="225"/>
      <c r="UPO120" s="225"/>
      <c r="UPP120" s="225"/>
      <c r="UPQ120" s="225"/>
      <c r="UPR120" s="225"/>
      <c r="UPS120" s="225"/>
      <c r="UPT120" s="225"/>
      <c r="UPU120" s="225"/>
      <c r="UPV120" s="225"/>
      <c r="UPW120" s="225"/>
      <c r="UPX120" s="225"/>
      <c r="UPY120" s="225"/>
      <c r="UPZ120" s="225"/>
      <c r="UQA120" s="225"/>
      <c r="UQB120" s="225"/>
      <c r="UQC120" s="225"/>
      <c r="UQD120" s="225"/>
      <c r="UQE120" s="225"/>
      <c r="UQF120" s="225"/>
      <c r="UQG120" s="225"/>
      <c r="UQH120" s="225"/>
      <c r="UQI120" s="225"/>
      <c r="UQJ120" s="225"/>
      <c r="UQK120" s="225"/>
      <c r="UQL120" s="225"/>
      <c r="UQM120" s="225"/>
      <c r="UQN120" s="225"/>
      <c r="UQO120" s="225"/>
      <c r="UQP120" s="225"/>
      <c r="UQQ120" s="225"/>
      <c r="UQR120" s="225"/>
      <c r="UQS120" s="225"/>
      <c r="UQT120" s="225"/>
      <c r="UQU120" s="225"/>
      <c r="UQV120" s="225"/>
      <c r="UQW120" s="225"/>
      <c r="UQX120" s="225"/>
      <c r="UQY120" s="225"/>
      <c r="UQZ120" s="225"/>
      <c r="URA120" s="225"/>
      <c r="URB120" s="225"/>
      <c r="URC120" s="225"/>
      <c r="URD120" s="225"/>
      <c r="URE120" s="225"/>
      <c r="URF120" s="225"/>
      <c r="URG120" s="225"/>
      <c r="URH120" s="225"/>
      <c r="URI120" s="225"/>
      <c r="URJ120" s="225"/>
      <c r="URK120" s="225"/>
      <c r="URL120" s="225"/>
      <c r="URM120" s="225"/>
      <c r="URN120" s="225"/>
      <c r="URO120" s="225"/>
      <c r="URP120" s="225"/>
      <c r="URQ120" s="225"/>
      <c r="URR120" s="225"/>
      <c r="URS120" s="225"/>
      <c r="URT120" s="225"/>
      <c r="URU120" s="225"/>
      <c r="URV120" s="225"/>
      <c r="URW120" s="225"/>
      <c r="URX120" s="225"/>
      <c r="URY120" s="225"/>
      <c r="URZ120" s="225"/>
      <c r="USA120" s="225"/>
      <c r="USB120" s="225"/>
      <c r="USC120" s="225"/>
      <c r="USD120" s="225"/>
      <c r="USE120" s="225"/>
      <c r="USF120" s="225"/>
      <c r="USG120" s="225"/>
      <c r="USH120" s="225"/>
      <c r="USI120" s="225"/>
      <c r="USJ120" s="225"/>
      <c r="USK120" s="225"/>
      <c r="USL120" s="225"/>
      <c r="USM120" s="225"/>
      <c r="USN120" s="225"/>
      <c r="USO120" s="225"/>
      <c r="USP120" s="225"/>
      <c r="USQ120" s="225"/>
      <c r="USR120" s="225"/>
      <c r="USS120" s="225"/>
      <c r="UST120" s="225"/>
      <c r="USU120" s="225"/>
      <c r="USV120" s="225"/>
      <c r="USW120" s="225"/>
      <c r="USX120" s="225"/>
      <c r="USY120" s="225"/>
      <c r="USZ120" s="225"/>
      <c r="UTA120" s="225"/>
      <c r="UTB120" s="225"/>
      <c r="UTC120" s="225"/>
      <c r="UTD120" s="225"/>
      <c r="UTE120" s="225"/>
      <c r="UTF120" s="225"/>
      <c r="UTG120" s="225"/>
      <c r="UTH120" s="225"/>
      <c r="UTI120" s="225"/>
      <c r="UTJ120" s="225"/>
      <c r="UTK120" s="225"/>
      <c r="UTL120" s="225"/>
      <c r="UTM120" s="225"/>
      <c r="UTN120" s="225"/>
      <c r="UTO120" s="225"/>
      <c r="UTP120" s="225"/>
      <c r="UTQ120" s="225"/>
      <c r="UTR120" s="225"/>
      <c r="UTS120" s="225"/>
      <c r="UTT120" s="225"/>
      <c r="UTU120" s="225"/>
      <c r="UTV120" s="225"/>
      <c r="UTW120" s="225"/>
      <c r="UTX120" s="225"/>
      <c r="UTY120" s="225"/>
      <c r="UTZ120" s="225"/>
      <c r="UUA120" s="225"/>
      <c r="UUB120" s="225"/>
      <c r="UUC120" s="225"/>
      <c r="UUD120" s="225"/>
      <c r="UUE120" s="225"/>
      <c r="UUF120" s="225"/>
      <c r="UUG120" s="225"/>
      <c r="UUH120" s="225"/>
      <c r="UUI120" s="225"/>
      <c r="UUJ120" s="225"/>
      <c r="UUK120" s="225"/>
      <c r="UUL120" s="225"/>
      <c r="UUM120" s="225"/>
      <c r="UUN120" s="225"/>
      <c r="UUO120" s="225"/>
      <c r="UUP120" s="225"/>
      <c r="UUQ120" s="225"/>
      <c r="UUR120" s="225"/>
      <c r="UUS120" s="225"/>
      <c r="UUT120" s="225"/>
      <c r="UUU120" s="225"/>
      <c r="UUV120" s="225"/>
      <c r="UUW120" s="225"/>
      <c r="UUX120" s="225"/>
      <c r="UUY120" s="225"/>
      <c r="UUZ120" s="225"/>
      <c r="UVA120" s="225"/>
      <c r="UVB120" s="225"/>
      <c r="UVC120" s="225"/>
      <c r="UVD120" s="225"/>
      <c r="UVE120" s="225"/>
      <c r="UVF120" s="225"/>
      <c r="UVG120" s="225"/>
      <c r="UVH120" s="225"/>
      <c r="UVI120" s="225"/>
      <c r="UVJ120" s="225"/>
      <c r="UVK120" s="225"/>
      <c r="UVL120" s="225"/>
      <c r="UVM120" s="225"/>
      <c r="UVN120" s="225"/>
      <c r="UVO120" s="225"/>
      <c r="UVP120" s="225"/>
      <c r="UVQ120" s="225"/>
      <c r="UVR120" s="225"/>
      <c r="UVS120" s="225"/>
      <c r="UVT120" s="225"/>
      <c r="UVU120" s="225"/>
      <c r="UVV120" s="225"/>
      <c r="UVW120" s="225"/>
      <c r="UVX120" s="225"/>
      <c r="UVY120" s="225"/>
      <c r="UVZ120" s="225"/>
      <c r="UWA120" s="225"/>
      <c r="UWB120" s="225"/>
      <c r="UWC120" s="225"/>
      <c r="UWD120" s="225"/>
      <c r="UWE120" s="225"/>
      <c r="UWF120" s="225"/>
      <c r="UWG120" s="225"/>
      <c r="UWH120" s="225"/>
      <c r="UWI120" s="225"/>
      <c r="UWJ120" s="225"/>
      <c r="UWK120" s="225"/>
      <c r="UWL120" s="225"/>
      <c r="UWM120" s="225"/>
      <c r="UWN120" s="225"/>
      <c r="UWO120" s="225"/>
      <c r="UWP120" s="225"/>
      <c r="UWQ120" s="225"/>
      <c r="UWR120" s="225"/>
      <c r="UWS120" s="225"/>
      <c r="UWT120" s="225"/>
      <c r="UWU120" s="225"/>
      <c r="UWV120" s="225"/>
      <c r="UWW120" s="225"/>
      <c r="UWX120" s="225"/>
      <c r="UWY120" s="225"/>
      <c r="UWZ120" s="225"/>
      <c r="UXA120" s="225"/>
      <c r="UXB120" s="225"/>
      <c r="UXC120" s="225"/>
      <c r="UXD120" s="225"/>
      <c r="UXE120" s="225"/>
      <c r="UXF120" s="225"/>
      <c r="UXG120" s="225"/>
      <c r="UXH120" s="225"/>
      <c r="UXI120" s="225"/>
      <c r="UXJ120" s="225"/>
      <c r="UXK120" s="225"/>
      <c r="UXL120" s="225"/>
      <c r="UXM120" s="225"/>
      <c r="UXN120" s="225"/>
      <c r="UXO120" s="225"/>
      <c r="UXP120" s="225"/>
      <c r="UXQ120" s="225"/>
      <c r="UXR120" s="225"/>
      <c r="UXS120" s="225"/>
      <c r="UXT120" s="225"/>
      <c r="UXU120" s="225"/>
      <c r="UXV120" s="225"/>
      <c r="UXW120" s="225"/>
      <c r="UXX120" s="225"/>
      <c r="UXY120" s="225"/>
      <c r="UXZ120" s="225"/>
      <c r="UYA120" s="225"/>
      <c r="UYB120" s="225"/>
      <c r="UYC120" s="225"/>
      <c r="UYD120" s="225"/>
      <c r="UYE120" s="225"/>
      <c r="UYF120" s="225"/>
      <c r="UYG120" s="225"/>
      <c r="UYH120" s="225"/>
      <c r="UYI120" s="225"/>
      <c r="UYJ120" s="225"/>
      <c r="UYK120" s="225"/>
      <c r="UYL120" s="225"/>
      <c r="UYM120" s="225"/>
      <c r="UYN120" s="225"/>
      <c r="UYO120" s="225"/>
      <c r="UYP120" s="225"/>
      <c r="UYQ120" s="225"/>
      <c r="UYR120" s="225"/>
      <c r="UYS120" s="225"/>
      <c r="UYT120" s="225"/>
      <c r="UYU120" s="225"/>
      <c r="UYV120" s="225"/>
      <c r="UYW120" s="225"/>
      <c r="UYX120" s="225"/>
      <c r="UYY120" s="225"/>
      <c r="UYZ120" s="225"/>
      <c r="UZA120" s="225"/>
      <c r="UZB120" s="225"/>
      <c r="UZC120" s="225"/>
      <c r="UZD120" s="225"/>
      <c r="UZE120" s="225"/>
      <c r="UZF120" s="225"/>
      <c r="UZG120" s="225"/>
      <c r="UZH120" s="225"/>
      <c r="UZI120" s="225"/>
      <c r="UZJ120" s="225"/>
      <c r="UZK120" s="225"/>
      <c r="UZL120" s="225"/>
      <c r="UZM120" s="225"/>
      <c r="UZN120" s="225"/>
      <c r="UZO120" s="225"/>
      <c r="UZP120" s="225"/>
      <c r="UZQ120" s="225"/>
      <c r="UZR120" s="225"/>
      <c r="UZS120" s="225"/>
      <c r="UZT120" s="225"/>
      <c r="UZU120" s="225"/>
      <c r="UZV120" s="225"/>
      <c r="UZW120" s="225"/>
      <c r="UZX120" s="225"/>
      <c r="UZY120" s="225"/>
      <c r="UZZ120" s="225"/>
      <c r="VAA120" s="225"/>
      <c r="VAB120" s="225"/>
      <c r="VAC120" s="225"/>
      <c r="VAD120" s="225"/>
      <c r="VAE120" s="225"/>
      <c r="VAF120" s="225"/>
      <c r="VAG120" s="225"/>
      <c r="VAH120" s="225"/>
      <c r="VAI120" s="225"/>
      <c r="VAJ120" s="225"/>
      <c r="VAK120" s="225"/>
      <c r="VAL120" s="225"/>
      <c r="VAM120" s="225"/>
      <c r="VAN120" s="225"/>
      <c r="VAO120" s="225"/>
      <c r="VAP120" s="225"/>
      <c r="VAQ120" s="225"/>
      <c r="VAR120" s="225"/>
      <c r="VAS120" s="225"/>
      <c r="VAT120" s="225"/>
      <c r="VAU120" s="225"/>
      <c r="VAV120" s="225"/>
      <c r="VAW120" s="225"/>
      <c r="VAX120" s="225"/>
      <c r="VAY120" s="225"/>
      <c r="VAZ120" s="225"/>
      <c r="VBA120" s="225"/>
      <c r="VBB120" s="225"/>
      <c r="VBC120" s="225"/>
      <c r="VBD120" s="225"/>
      <c r="VBE120" s="225"/>
      <c r="VBF120" s="225"/>
      <c r="VBG120" s="225"/>
      <c r="VBH120" s="225"/>
      <c r="VBI120" s="225"/>
      <c r="VBJ120" s="225"/>
      <c r="VBK120" s="225"/>
      <c r="VBL120" s="225"/>
      <c r="VBM120" s="225"/>
      <c r="VBN120" s="225"/>
      <c r="VBO120" s="225"/>
      <c r="VBP120" s="225"/>
      <c r="VBQ120" s="225"/>
      <c r="VBR120" s="225"/>
      <c r="VBS120" s="225"/>
      <c r="VBT120" s="225"/>
      <c r="VBU120" s="225"/>
      <c r="VBV120" s="225"/>
      <c r="VBW120" s="225"/>
      <c r="VBX120" s="225"/>
      <c r="VBY120" s="225"/>
      <c r="VBZ120" s="225"/>
      <c r="VCA120" s="225"/>
      <c r="VCB120" s="225"/>
      <c r="VCC120" s="225"/>
      <c r="VCD120" s="225"/>
      <c r="VCE120" s="225"/>
      <c r="VCF120" s="225"/>
      <c r="VCG120" s="225"/>
      <c r="VCH120" s="225"/>
      <c r="VCI120" s="225"/>
      <c r="VCJ120" s="225"/>
      <c r="VCK120" s="225"/>
      <c r="VCL120" s="225"/>
      <c r="VCM120" s="225"/>
      <c r="VCN120" s="225"/>
      <c r="VCO120" s="225"/>
      <c r="VCP120" s="225"/>
      <c r="VCQ120" s="225"/>
      <c r="VCR120" s="225"/>
      <c r="VCS120" s="225"/>
      <c r="VCT120" s="225"/>
      <c r="VCU120" s="225"/>
      <c r="VCV120" s="225"/>
      <c r="VCW120" s="225"/>
      <c r="VCX120" s="225"/>
      <c r="VCY120" s="225"/>
      <c r="VCZ120" s="225"/>
      <c r="VDA120" s="225"/>
      <c r="VDB120" s="225"/>
      <c r="VDC120" s="225"/>
      <c r="VDD120" s="225"/>
      <c r="VDE120" s="225"/>
      <c r="VDF120" s="225"/>
      <c r="VDG120" s="225"/>
      <c r="VDH120" s="225"/>
      <c r="VDI120" s="225"/>
      <c r="VDJ120" s="225"/>
      <c r="VDK120" s="225"/>
      <c r="VDL120" s="225"/>
      <c r="VDM120" s="225"/>
      <c r="VDN120" s="225"/>
      <c r="VDO120" s="225"/>
      <c r="VDP120" s="225"/>
      <c r="VDQ120" s="225"/>
      <c r="VDR120" s="225"/>
      <c r="VDS120" s="225"/>
      <c r="VDT120" s="225"/>
      <c r="VDU120" s="225"/>
      <c r="VDV120" s="225"/>
      <c r="VDW120" s="225"/>
      <c r="VDX120" s="225"/>
      <c r="VDY120" s="225"/>
      <c r="VDZ120" s="225"/>
      <c r="VEA120" s="225"/>
      <c r="VEB120" s="225"/>
      <c r="VEC120" s="225"/>
      <c r="VED120" s="225"/>
      <c r="VEE120" s="225"/>
      <c r="VEF120" s="225"/>
      <c r="VEG120" s="225"/>
      <c r="VEH120" s="225"/>
      <c r="VEI120" s="225"/>
      <c r="VEJ120" s="225"/>
      <c r="VEK120" s="225"/>
      <c r="VEL120" s="225"/>
      <c r="VEM120" s="225"/>
      <c r="VEN120" s="225"/>
      <c r="VEO120" s="225"/>
      <c r="VEP120" s="225"/>
      <c r="VEQ120" s="225"/>
      <c r="VER120" s="225"/>
      <c r="VES120" s="225"/>
      <c r="VET120" s="225"/>
      <c r="VEU120" s="225"/>
      <c r="VEV120" s="225"/>
      <c r="VEW120" s="225"/>
      <c r="VEX120" s="225"/>
      <c r="VEY120" s="225"/>
      <c r="VEZ120" s="225"/>
      <c r="VFA120" s="225"/>
      <c r="VFB120" s="225"/>
      <c r="VFC120" s="225"/>
      <c r="VFD120" s="225"/>
      <c r="VFE120" s="225"/>
      <c r="VFF120" s="225"/>
      <c r="VFG120" s="225"/>
      <c r="VFH120" s="225"/>
      <c r="VFI120" s="225"/>
      <c r="VFJ120" s="225"/>
      <c r="VFK120" s="225"/>
      <c r="VFL120" s="225"/>
      <c r="VFM120" s="225"/>
      <c r="VFN120" s="225"/>
      <c r="VFO120" s="225"/>
      <c r="VFP120" s="225"/>
      <c r="VFQ120" s="225"/>
      <c r="VFR120" s="225"/>
      <c r="VFS120" s="225"/>
      <c r="VFT120" s="225"/>
      <c r="VFU120" s="225"/>
      <c r="VFV120" s="225"/>
      <c r="VFW120" s="225"/>
      <c r="VFX120" s="225"/>
      <c r="VFY120" s="225"/>
      <c r="VFZ120" s="225"/>
      <c r="VGA120" s="225"/>
      <c r="VGB120" s="225"/>
      <c r="VGC120" s="225"/>
      <c r="VGD120" s="225"/>
      <c r="VGE120" s="225"/>
      <c r="VGF120" s="225"/>
      <c r="VGG120" s="225"/>
      <c r="VGH120" s="225"/>
      <c r="VGI120" s="225"/>
      <c r="VGJ120" s="225"/>
      <c r="VGK120" s="225"/>
      <c r="VGL120" s="225"/>
      <c r="VGM120" s="225"/>
      <c r="VGN120" s="225"/>
      <c r="VGO120" s="225"/>
      <c r="VGP120" s="225"/>
      <c r="VGQ120" s="225"/>
      <c r="VGR120" s="225"/>
      <c r="VGS120" s="225"/>
      <c r="VGT120" s="225"/>
      <c r="VGU120" s="225"/>
      <c r="VGV120" s="225"/>
      <c r="VGW120" s="225"/>
      <c r="VGX120" s="225"/>
      <c r="VGY120" s="225"/>
      <c r="VGZ120" s="225"/>
      <c r="VHA120" s="225"/>
      <c r="VHB120" s="225"/>
      <c r="VHC120" s="225"/>
      <c r="VHD120" s="225"/>
      <c r="VHE120" s="225"/>
      <c r="VHF120" s="225"/>
      <c r="VHG120" s="225"/>
      <c r="VHH120" s="225"/>
      <c r="VHI120" s="225"/>
      <c r="VHJ120" s="225"/>
      <c r="VHK120" s="225"/>
      <c r="VHL120" s="225"/>
      <c r="VHM120" s="225"/>
      <c r="VHN120" s="225"/>
      <c r="VHO120" s="225"/>
      <c r="VHP120" s="225"/>
      <c r="VHQ120" s="225"/>
      <c r="VHR120" s="225"/>
      <c r="VHS120" s="225"/>
      <c r="VHT120" s="225"/>
      <c r="VHU120" s="225"/>
      <c r="VHV120" s="225"/>
      <c r="VHW120" s="225"/>
      <c r="VHX120" s="225"/>
      <c r="VHY120" s="225"/>
      <c r="VHZ120" s="225"/>
      <c r="VIA120" s="225"/>
      <c r="VIB120" s="225"/>
      <c r="VIC120" s="225"/>
      <c r="VID120" s="225"/>
      <c r="VIE120" s="225"/>
      <c r="VIF120" s="225"/>
      <c r="VIG120" s="225"/>
      <c r="VIH120" s="225"/>
      <c r="VII120" s="225"/>
      <c r="VIJ120" s="225"/>
      <c r="VIK120" s="225"/>
      <c r="VIL120" s="225"/>
      <c r="VIM120" s="225"/>
      <c r="VIN120" s="225"/>
      <c r="VIO120" s="225"/>
      <c r="VIP120" s="225"/>
      <c r="VIQ120" s="225"/>
      <c r="VIR120" s="225"/>
      <c r="VIS120" s="225"/>
      <c r="VIT120" s="225"/>
      <c r="VIU120" s="225"/>
      <c r="VIV120" s="225"/>
      <c r="VIW120" s="225"/>
      <c r="VIX120" s="225"/>
      <c r="VIY120" s="225"/>
      <c r="VIZ120" s="225"/>
      <c r="VJA120" s="225"/>
      <c r="VJB120" s="225"/>
      <c r="VJC120" s="225"/>
      <c r="VJD120" s="225"/>
      <c r="VJE120" s="225"/>
      <c r="VJF120" s="225"/>
      <c r="VJG120" s="225"/>
      <c r="VJH120" s="225"/>
      <c r="VJI120" s="225"/>
      <c r="VJJ120" s="225"/>
      <c r="VJK120" s="225"/>
      <c r="VJL120" s="225"/>
      <c r="VJM120" s="225"/>
      <c r="VJN120" s="225"/>
      <c r="VJO120" s="225"/>
      <c r="VJP120" s="225"/>
      <c r="VJQ120" s="225"/>
      <c r="VJR120" s="225"/>
      <c r="VJS120" s="225"/>
      <c r="VJT120" s="225"/>
      <c r="VJU120" s="225"/>
      <c r="VJV120" s="225"/>
      <c r="VJW120" s="225"/>
      <c r="VJX120" s="225"/>
      <c r="VJY120" s="225"/>
      <c r="VJZ120" s="225"/>
      <c r="VKA120" s="225"/>
      <c r="VKB120" s="225"/>
      <c r="VKC120" s="225"/>
      <c r="VKD120" s="225"/>
      <c r="VKE120" s="225"/>
      <c r="VKF120" s="225"/>
      <c r="VKG120" s="225"/>
      <c r="VKH120" s="225"/>
      <c r="VKI120" s="225"/>
      <c r="VKJ120" s="225"/>
      <c r="VKK120" s="225"/>
      <c r="VKL120" s="225"/>
      <c r="VKM120" s="225"/>
      <c r="VKN120" s="225"/>
      <c r="VKO120" s="225"/>
      <c r="VKP120" s="225"/>
      <c r="VKQ120" s="225"/>
      <c r="VKR120" s="225"/>
      <c r="VKS120" s="225"/>
      <c r="VKT120" s="225"/>
      <c r="VKU120" s="225"/>
      <c r="VKV120" s="225"/>
      <c r="VKW120" s="225"/>
      <c r="VKX120" s="225"/>
      <c r="VKY120" s="225"/>
      <c r="VKZ120" s="225"/>
      <c r="VLA120" s="225"/>
      <c r="VLB120" s="225"/>
      <c r="VLC120" s="225"/>
      <c r="VLD120" s="225"/>
      <c r="VLE120" s="225"/>
      <c r="VLF120" s="225"/>
      <c r="VLG120" s="225"/>
      <c r="VLH120" s="225"/>
      <c r="VLI120" s="225"/>
      <c r="VLJ120" s="225"/>
      <c r="VLK120" s="225"/>
      <c r="VLL120" s="225"/>
      <c r="VLM120" s="225"/>
      <c r="VLN120" s="225"/>
      <c r="VLO120" s="225"/>
      <c r="VLP120" s="225"/>
      <c r="VLQ120" s="225"/>
      <c r="VLR120" s="225"/>
      <c r="VLS120" s="225"/>
      <c r="VLT120" s="225"/>
      <c r="VLU120" s="225"/>
      <c r="VLV120" s="225"/>
      <c r="VLW120" s="225"/>
      <c r="VLX120" s="225"/>
      <c r="VLY120" s="225"/>
      <c r="VLZ120" s="225"/>
      <c r="VMA120" s="225"/>
      <c r="VMB120" s="225"/>
      <c r="VMC120" s="225"/>
      <c r="VMD120" s="225"/>
      <c r="VME120" s="225"/>
      <c r="VMF120" s="225"/>
      <c r="VMG120" s="225"/>
      <c r="VMH120" s="225"/>
      <c r="VMI120" s="225"/>
      <c r="VMJ120" s="225"/>
      <c r="VMK120" s="225"/>
      <c r="VML120" s="225"/>
      <c r="VMM120" s="225"/>
      <c r="VMN120" s="225"/>
      <c r="VMO120" s="225"/>
      <c r="VMP120" s="225"/>
      <c r="VMQ120" s="225"/>
      <c r="VMR120" s="225"/>
      <c r="VMS120" s="225"/>
      <c r="VMT120" s="225"/>
      <c r="VMU120" s="225"/>
      <c r="VMV120" s="225"/>
      <c r="VMW120" s="225"/>
      <c r="VMX120" s="225"/>
      <c r="VMY120" s="225"/>
      <c r="VMZ120" s="225"/>
      <c r="VNA120" s="225"/>
      <c r="VNB120" s="225"/>
      <c r="VNC120" s="225"/>
      <c r="VND120" s="225"/>
      <c r="VNE120" s="225"/>
      <c r="VNF120" s="225"/>
      <c r="VNG120" s="225"/>
      <c r="VNH120" s="225"/>
      <c r="VNI120" s="225"/>
      <c r="VNJ120" s="225"/>
      <c r="VNK120" s="225"/>
      <c r="VNL120" s="225"/>
      <c r="VNM120" s="225"/>
      <c r="VNN120" s="225"/>
      <c r="VNO120" s="225"/>
      <c r="VNP120" s="225"/>
      <c r="VNQ120" s="225"/>
      <c r="VNR120" s="225"/>
      <c r="VNS120" s="225"/>
      <c r="VNT120" s="225"/>
      <c r="VNU120" s="225"/>
      <c r="VNV120" s="225"/>
      <c r="VNW120" s="225"/>
      <c r="VNX120" s="225"/>
      <c r="VNY120" s="225"/>
      <c r="VNZ120" s="225"/>
      <c r="VOA120" s="225"/>
      <c r="VOB120" s="225"/>
      <c r="VOC120" s="225"/>
      <c r="VOD120" s="225"/>
      <c r="VOE120" s="225"/>
      <c r="VOF120" s="225"/>
      <c r="VOG120" s="225"/>
      <c r="VOH120" s="225"/>
      <c r="VOI120" s="225"/>
      <c r="VOJ120" s="225"/>
      <c r="VOK120" s="225"/>
      <c r="VOL120" s="225"/>
      <c r="VOM120" s="225"/>
      <c r="VON120" s="225"/>
      <c r="VOO120" s="225"/>
      <c r="VOP120" s="225"/>
      <c r="VOQ120" s="225"/>
      <c r="VOR120" s="225"/>
      <c r="VOS120" s="225"/>
      <c r="VOT120" s="225"/>
      <c r="VOU120" s="225"/>
      <c r="VOV120" s="225"/>
      <c r="VOW120" s="225"/>
      <c r="VOX120" s="225"/>
      <c r="VOY120" s="225"/>
      <c r="VOZ120" s="225"/>
      <c r="VPA120" s="225"/>
      <c r="VPB120" s="225"/>
      <c r="VPC120" s="225"/>
      <c r="VPD120" s="225"/>
      <c r="VPE120" s="225"/>
      <c r="VPF120" s="225"/>
      <c r="VPG120" s="225"/>
      <c r="VPH120" s="225"/>
      <c r="VPI120" s="225"/>
      <c r="VPJ120" s="225"/>
      <c r="VPK120" s="225"/>
      <c r="VPL120" s="225"/>
      <c r="VPM120" s="225"/>
      <c r="VPN120" s="225"/>
      <c r="VPO120" s="225"/>
      <c r="VPP120" s="225"/>
      <c r="VPQ120" s="225"/>
      <c r="VPR120" s="225"/>
      <c r="VPS120" s="225"/>
      <c r="VPT120" s="225"/>
      <c r="VPU120" s="225"/>
      <c r="VPV120" s="225"/>
      <c r="VPW120" s="225"/>
      <c r="VPX120" s="225"/>
      <c r="VPY120" s="225"/>
      <c r="VPZ120" s="225"/>
      <c r="VQA120" s="225"/>
      <c r="VQB120" s="225"/>
      <c r="VQC120" s="225"/>
      <c r="VQD120" s="225"/>
      <c r="VQE120" s="225"/>
      <c r="VQF120" s="225"/>
      <c r="VQG120" s="225"/>
      <c r="VQH120" s="225"/>
      <c r="VQI120" s="225"/>
      <c r="VQJ120" s="225"/>
      <c r="VQK120" s="225"/>
      <c r="VQL120" s="225"/>
      <c r="VQM120" s="225"/>
      <c r="VQN120" s="225"/>
      <c r="VQO120" s="225"/>
      <c r="VQP120" s="225"/>
      <c r="VQQ120" s="225"/>
      <c r="VQR120" s="225"/>
      <c r="VQS120" s="225"/>
      <c r="VQT120" s="225"/>
      <c r="VQU120" s="225"/>
      <c r="VQV120" s="225"/>
      <c r="VQW120" s="225"/>
      <c r="VQX120" s="225"/>
      <c r="VQY120" s="225"/>
      <c r="VQZ120" s="225"/>
      <c r="VRA120" s="225"/>
      <c r="VRB120" s="225"/>
      <c r="VRC120" s="225"/>
      <c r="VRD120" s="225"/>
      <c r="VRE120" s="225"/>
      <c r="VRF120" s="225"/>
      <c r="VRG120" s="225"/>
      <c r="VRH120" s="225"/>
      <c r="VRI120" s="225"/>
      <c r="VRJ120" s="225"/>
      <c r="VRK120" s="225"/>
      <c r="VRL120" s="225"/>
      <c r="VRM120" s="225"/>
      <c r="VRN120" s="225"/>
      <c r="VRO120" s="225"/>
      <c r="VRP120" s="225"/>
      <c r="VRQ120" s="225"/>
      <c r="VRR120" s="225"/>
      <c r="VRS120" s="225"/>
      <c r="VRT120" s="225"/>
      <c r="VRU120" s="225"/>
      <c r="VRV120" s="225"/>
      <c r="VRW120" s="225"/>
      <c r="VRX120" s="225"/>
      <c r="VRY120" s="225"/>
      <c r="VRZ120" s="225"/>
      <c r="VSA120" s="225"/>
      <c r="VSB120" s="225"/>
      <c r="VSC120" s="225"/>
      <c r="VSD120" s="225"/>
      <c r="VSE120" s="225"/>
      <c r="VSF120" s="225"/>
      <c r="VSG120" s="225"/>
      <c r="VSH120" s="225"/>
      <c r="VSI120" s="225"/>
      <c r="VSJ120" s="225"/>
      <c r="VSK120" s="225"/>
      <c r="VSL120" s="225"/>
      <c r="VSM120" s="225"/>
      <c r="VSN120" s="225"/>
      <c r="VSO120" s="225"/>
      <c r="VSP120" s="225"/>
      <c r="VSQ120" s="225"/>
      <c r="VSR120" s="225"/>
      <c r="VSS120" s="225"/>
      <c r="VST120" s="225"/>
      <c r="VSU120" s="225"/>
      <c r="VSV120" s="225"/>
      <c r="VSW120" s="225"/>
      <c r="VSX120" s="225"/>
      <c r="VSY120" s="225"/>
      <c r="VSZ120" s="225"/>
      <c r="VTA120" s="225"/>
      <c r="VTB120" s="225"/>
      <c r="VTC120" s="225"/>
      <c r="VTD120" s="225"/>
      <c r="VTE120" s="225"/>
      <c r="VTF120" s="225"/>
      <c r="VTG120" s="225"/>
      <c r="VTH120" s="225"/>
      <c r="VTI120" s="225"/>
      <c r="VTJ120" s="225"/>
      <c r="VTK120" s="225"/>
      <c r="VTL120" s="225"/>
      <c r="VTM120" s="225"/>
      <c r="VTN120" s="225"/>
      <c r="VTO120" s="225"/>
      <c r="VTP120" s="225"/>
      <c r="VTQ120" s="225"/>
      <c r="VTR120" s="225"/>
      <c r="VTS120" s="225"/>
      <c r="VTT120" s="225"/>
      <c r="VTU120" s="225"/>
      <c r="VTV120" s="225"/>
      <c r="VTW120" s="225"/>
      <c r="VTX120" s="225"/>
      <c r="VTY120" s="225"/>
      <c r="VTZ120" s="225"/>
      <c r="VUA120" s="225"/>
      <c r="VUB120" s="225"/>
      <c r="VUC120" s="225"/>
      <c r="VUD120" s="225"/>
      <c r="VUE120" s="225"/>
      <c r="VUF120" s="225"/>
      <c r="VUG120" s="225"/>
      <c r="VUH120" s="225"/>
      <c r="VUI120" s="225"/>
      <c r="VUJ120" s="225"/>
      <c r="VUK120" s="225"/>
      <c r="VUL120" s="225"/>
      <c r="VUM120" s="225"/>
      <c r="VUN120" s="225"/>
      <c r="VUO120" s="225"/>
      <c r="VUP120" s="225"/>
      <c r="VUQ120" s="225"/>
      <c r="VUR120" s="225"/>
      <c r="VUS120" s="225"/>
      <c r="VUT120" s="225"/>
      <c r="VUU120" s="225"/>
      <c r="VUV120" s="225"/>
      <c r="VUW120" s="225"/>
      <c r="VUX120" s="225"/>
      <c r="VUY120" s="225"/>
      <c r="VUZ120" s="225"/>
      <c r="VVA120" s="225"/>
      <c r="VVB120" s="225"/>
      <c r="VVC120" s="225"/>
      <c r="VVD120" s="225"/>
      <c r="VVE120" s="225"/>
      <c r="VVF120" s="225"/>
      <c r="VVG120" s="225"/>
      <c r="VVH120" s="225"/>
      <c r="VVI120" s="225"/>
      <c r="VVJ120" s="225"/>
      <c r="VVK120" s="225"/>
      <c r="VVL120" s="225"/>
      <c r="VVM120" s="225"/>
      <c r="VVN120" s="225"/>
      <c r="VVO120" s="225"/>
      <c r="VVP120" s="225"/>
      <c r="VVQ120" s="225"/>
      <c r="VVR120" s="225"/>
      <c r="VVS120" s="225"/>
      <c r="VVT120" s="225"/>
      <c r="VVU120" s="225"/>
      <c r="VVV120" s="225"/>
      <c r="VVW120" s="225"/>
      <c r="VVX120" s="225"/>
      <c r="VVY120" s="225"/>
      <c r="VVZ120" s="225"/>
      <c r="VWA120" s="225"/>
      <c r="VWB120" s="225"/>
      <c r="VWC120" s="225"/>
      <c r="VWD120" s="225"/>
      <c r="VWE120" s="225"/>
      <c r="VWF120" s="225"/>
      <c r="VWG120" s="225"/>
      <c r="VWH120" s="225"/>
      <c r="VWI120" s="225"/>
      <c r="VWJ120" s="225"/>
      <c r="VWK120" s="225"/>
      <c r="VWL120" s="225"/>
      <c r="VWM120" s="225"/>
      <c r="VWN120" s="225"/>
      <c r="VWO120" s="225"/>
      <c r="VWP120" s="225"/>
      <c r="VWQ120" s="225"/>
      <c r="VWR120" s="225"/>
      <c r="VWS120" s="225"/>
      <c r="VWT120" s="225"/>
      <c r="VWU120" s="225"/>
      <c r="VWV120" s="225"/>
      <c r="VWW120" s="225"/>
      <c r="VWX120" s="225"/>
      <c r="VWY120" s="225"/>
      <c r="VWZ120" s="225"/>
      <c r="VXA120" s="225"/>
      <c r="VXB120" s="225"/>
      <c r="VXC120" s="225"/>
      <c r="VXD120" s="225"/>
      <c r="VXE120" s="225"/>
      <c r="VXF120" s="225"/>
      <c r="VXG120" s="225"/>
      <c r="VXH120" s="225"/>
      <c r="VXI120" s="225"/>
      <c r="VXJ120" s="225"/>
      <c r="VXK120" s="225"/>
      <c r="VXL120" s="225"/>
      <c r="VXM120" s="225"/>
      <c r="VXN120" s="225"/>
      <c r="VXO120" s="225"/>
      <c r="VXP120" s="225"/>
      <c r="VXQ120" s="225"/>
      <c r="VXR120" s="225"/>
      <c r="VXS120" s="225"/>
      <c r="VXT120" s="225"/>
      <c r="VXU120" s="225"/>
      <c r="VXV120" s="225"/>
      <c r="VXW120" s="225"/>
      <c r="VXX120" s="225"/>
      <c r="VXY120" s="225"/>
      <c r="VXZ120" s="225"/>
      <c r="VYA120" s="225"/>
      <c r="VYB120" s="225"/>
      <c r="VYC120" s="225"/>
      <c r="VYD120" s="225"/>
      <c r="VYE120" s="225"/>
      <c r="VYF120" s="225"/>
      <c r="VYG120" s="225"/>
      <c r="VYH120" s="225"/>
      <c r="VYI120" s="225"/>
      <c r="VYJ120" s="225"/>
      <c r="VYK120" s="225"/>
      <c r="VYL120" s="225"/>
      <c r="VYM120" s="225"/>
      <c r="VYN120" s="225"/>
      <c r="VYO120" s="225"/>
      <c r="VYP120" s="225"/>
      <c r="VYQ120" s="225"/>
      <c r="VYR120" s="225"/>
      <c r="VYS120" s="225"/>
      <c r="VYT120" s="225"/>
      <c r="VYU120" s="225"/>
      <c r="VYV120" s="225"/>
      <c r="VYW120" s="225"/>
      <c r="VYX120" s="225"/>
      <c r="VYY120" s="225"/>
      <c r="VYZ120" s="225"/>
      <c r="VZA120" s="225"/>
      <c r="VZB120" s="225"/>
      <c r="VZC120" s="225"/>
      <c r="VZD120" s="225"/>
      <c r="VZE120" s="225"/>
      <c r="VZF120" s="225"/>
      <c r="VZG120" s="225"/>
      <c r="VZH120" s="225"/>
      <c r="VZI120" s="225"/>
      <c r="VZJ120" s="225"/>
      <c r="VZK120" s="225"/>
      <c r="VZL120" s="225"/>
      <c r="VZM120" s="225"/>
      <c r="VZN120" s="225"/>
      <c r="VZO120" s="225"/>
      <c r="VZP120" s="225"/>
      <c r="VZQ120" s="225"/>
      <c r="VZR120" s="225"/>
      <c r="VZS120" s="225"/>
      <c r="VZT120" s="225"/>
      <c r="VZU120" s="225"/>
      <c r="VZV120" s="225"/>
      <c r="VZW120" s="225"/>
      <c r="VZX120" s="225"/>
      <c r="VZY120" s="225"/>
      <c r="VZZ120" s="225"/>
      <c r="WAA120" s="225"/>
      <c r="WAB120" s="225"/>
      <c r="WAC120" s="225"/>
      <c r="WAD120" s="225"/>
      <c r="WAE120" s="225"/>
      <c r="WAF120" s="225"/>
      <c r="WAG120" s="225"/>
      <c r="WAH120" s="225"/>
      <c r="WAI120" s="225"/>
      <c r="WAJ120" s="225"/>
      <c r="WAK120" s="225"/>
      <c r="WAL120" s="225"/>
      <c r="WAM120" s="225"/>
      <c r="WAN120" s="225"/>
      <c r="WAO120" s="225"/>
      <c r="WAP120" s="225"/>
      <c r="WAQ120" s="225"/>
      <c r="WAR120" s="225"/>
      <c r="WAS120" s="225"/>
      <c r="WAT120" s="225"/>
      <c r="WAU120" s="225"/>
      <c r="WAV120" s="225"/>
      <c r="WAW120" s="225"/>
      <c r="WAX120" s="225"/>
      <c r="WAY120" s="225"/>
      <c r="WAZ120" s="225"/>
      <c r="WBA120" s="225"/>
      <c r="WBB120" s="225"/>
      <c r="WBC120" s="225"/>
      <c r="WBD120" s="225"/>
      <c r="WBE120" s="225"/>
      <c r="WBF120" s="225"/>
      <c r="WBG120" s="225"/>
      <c r="WBH120" s="225"/>
      <c r="WBI120" s="225"/>
      <c r="WBJ120" s="225"/>
      <c r="WBK120" s="225"/>
      <c r="WBL120" s="225"/>
      <c r="WBM120" s="225"/>
      <c r="WBN120" s="225"/>
      <c r="WBO120" s="225"/>
      <c r="WBP120" s="225"/>
      <c r="WBQ120" s="225"/>
      <c r="WBR120" s="225"/>
      <c r="WBS120" s="225"/>
      <c r="WBT120" s="225"/>
      <c r="WBU120" s="225"/>
      <c r="WBV120" s="225"/>
      <c r="WBW120" s="225"/>
      <c r="WBX120" s="225"/>
      <c r="WBY120" s="225"/>
      <c r="WBZ120" s="225"/>
      <c r="WCA120" s="225"/>
      <c r="WCB120" s="225"/>
      <c r="WCC120" s="225"/>
      <c r="WCD120" s="225"/>
      <c r="WCE120" s="225"/>
      <c r="WCF120" s="225"/>
      <c r="WCG120" s="225"/>
      <c r="WCH120" s="225"/>
      <c r="WCI120" s="225"/>
      <c r="WCJ120" s="225"/>
      <c r="WCK120" s="225"/>
      <c r="WCL120" s="225"/>
      <c r="WCM120" s="225"/>
      <c r="WCN120" s="225"/>
      <c r="WCO120" s="225"/>
      <c r="WCP120" s="225"/>
      <c r="WCQ120" s="225"/>
      <c r="WCR120" s="225"/>
      <c r="WCS120" s="225"/>
      <c r="WCT120" s="225"/>
      <c r="WCU120" s="225"/>
      <c r="WCV120" s="225"/>
      <c r="WCW120" s="225"/>
      <c r="WCX120" s="225"/>
      <c r="WCY120" s="225"/>
      <c r="WCZ120" s="225"/>
      <c r="WDA120" s="225"/>
      <c r="WDB120" s="225"/>
      <c r="WDC120" s="225"/>
      <c r="WDD120" s="225"/>
      <c r="WDE120" s="225"/>
      <c r="WDF120" s="225"/>
      <c r="WDG120" s="225"/>
      <c r="WDH120" s="225"/>
      <c r="WDI120" s="225"/>
      <c r="WDJ120" s="225"/>
      <c r="WDK120" s="225"/>
      <c r="WDL120" s="225"/>
      <c r="WDM120" s="225"/>
      <c r="WDN120" s="225"/>
      <c r="WDO120" s="225"/>
      <c r="WDP120" s="225"/>
      <c r="WDQ120" s="225"/>
      <c r="WDR120" s="225"/>
      <c r="WDS120" s="225"/>
      <c r="WDT120" s="225"/>
      <c r="WDU120" s="225"/>
      <c r="WDV120" s="225"/>
      <c r="WDW120" s="225"/>
      <c r="WDX120" s="225"/>
      <c r="WDY120" s="225"/>
      <c r="WDZ120" s="225"/>
      <c r="WEA120" s="225"/>
      <c r="WEB120" s="225"/>
      <c r="WEC120" s="225"/>
      <c r="WED120" s="225"/>
      <c r="WEE120" s="225"/>
      <c r="WEF120" s="225"/>
      <c r="WEG120" s="225"/>
      <c r="WEH120" s="225"/>
      <c r="WEI120" s="225"/>
      <c r="WEJ120" s="225"/>
      <c r="WEK120" s="225"/>
      <c r="WEL120" s="225"/>
      <c r="WEM120" s="225"/>
      <c r="WEN120" s="225"/>
      <c r="WEO120" s="225"/>
      <c r="WEP120" s="225"/>
      <c r="WEQ120" s="225"/>
      <c r="WER120" s="225"/>
      <c r="WES120" s="225"/>
      <c r="WET120" s="225"/>
      <c r="WEU120" s="225"/>
      <c r="WEV120" s="225"/>
      <c r="WEW120" s="225"/>
      <c r="WEX120" s="225"/>
      <c r="WEY120" s="225"/>
      <c r="WEZ120" s="225"/>
      <c r="WFA120" s="225"/>
      <c r="WFB120" s="225"/>
      <c r="WFC120" s="225"/>
      <c r="WFD120" s="225"/>
      <c r="WFE120" s="225"/>
      <c r="WFF120" s="225"/>
      <c r="WFG120" s="225"/>
      <c r="WFH120" s="225"/>
      <c r="WFI120" s="225"/>
      <c r="WFJ120" s="225"/>
      <c r="WFK120" s="225"/>
      <c r="WFL120" s="225"/>
      <c r="WFM120" s="225"/>
      <c r="WFN120" s="225"/>
      <c r="WFO120" s="225"/>
      <c r="WFP120" s="225"/>
      <c r="WFQ120" s="225"/>
      <c r="WFR120" s="225"/>
      <c r="WFS120" s="225"/>
      <c r="WFT120" s="225"/>
      <c r="WFU120" s="225"/>
      <c r="WFV120" s="225"/>
      <c r="WFW120" s="225"/>
      <c r="WFX120" s="225"/>
      <c r="WFY120" s="225"/>
      <c r="WFZ120" s="225"/>
      <c r="WGA120" s="225"/>
      <c r="WGB120" s="225"/>
      <c r="WGC120" s="225"/>
      <c r="WGD120" s="225"/>
      <c r="WGE120" s="225"/>
      <c r="WGF120" s="225"/>
      <c r="WGG120" s="225"/>
      <c r="WGH120" s="225"/>
      <c r="WGI120" s="225"/>
      <c r="WGJ120" s="225"/>
      <c r="WGK120" s="225"/>
      <c r="WGL120" s="225"/>
      <c r="WGM120" s="225"/>
      <c r="WGN120" s="225"/>
      <c r="WGO120" s="225"/>
      <c r="WGP120" s="225"/>
      <c r="WGQ120" s="225"/>
      <c r="WGR120" s="225"/>
      <c r="WGS120" s="225"/>
      <c r="WGT120" s="225"/>
      <c r="WGU120" s="225"/>
      <c r="WGV120" s="225"/>
      <c r="WGW120" s="225"/>
      <c r="WGX120" s="225"/>
      <c r="WGY120" s="225"/>
      <c r="WGZ120" s="225"/>
      <c r="WHA120" s="225"/>
      <c r="WHB120" s="225"/>
      <c r="WHC120" s="225"/>
      <c r="WHD120" s="225"/>
      <c r="WHE120" s="225"/>
      <c r="WHF120" s="225"/>
      <c r="WHG120" s="225"/>
      <c r="WHH120" s="225"/>
      <c r="WHI120" s="225"/>
      <c r="WHJ120" s="225"/>
      <c r="WHK120" s="225"/>
      <c r="WHL120" s="225"/>
      <c r="WHM120" s="225"/>
      <c r="WHN120" s="225"/>
      <c r="WHO120" s="225"/>
      <c r="WHP120" s="225"/>
      <c r="WHQ120" s="225"/>
      <c r="WHR120" s="225"/>
      <c r="WHS120" s="225"/>
      <c r="WHT120" s="225"/>
      <c r="WHU120" s="225"/>
      <c r="WHV120" s="225"/>
      <c r="WHW120" s="225"/>
      <c r="WHX120" s="225"/>
      <c r="WHY120" s="225"/>
      <c r="WHZ120" s="225"/>
      <c r="WIA120" s="225"/>
      <c r="WIB120" s="225"/>
      <c r="WIC120" s="225"/>
      <c r="WID120" s="225"/>
      <c r="WIE120" s="225"/>
      <c r="WIF120" s="225"/>
      <c r="WIG120" s="225"/>
      <c r="WIH120" s="225"/>
      <c r="WII120" s="225"/>
      <c r="WIJ120" s="225"/>
      <c r="WIK120" s="225"/>
      <c r="WIL120" s="225"/>
      <c r="WIM120" s="225"/>
      <c r="WIN120" s="225"/>
      <c r="WIO120" s="225"/>
      <c r="WIP120" s="225"/>
      <c r="WIQ120" s="225"/>
      <c r="WIR120" s="225"/>
      <c r="WIS120" s="225"/>
      <c r="WIT120" s="225"/>
      <c r="WIU120" s="225"/>
      <c r="WIV120" s="225"/>
      <c r="WIW120" s="225"/>
      <c r="WIX120" s="225"/>
      <c r="WIY120" s="225"/>
      <c r="WIZ120" s="225"/>
      <c r="WJA120" s="225"/>
      <c r="WJB120" s="225"/>
      <c r="WJC120" s="225"/>
      <c r="WJD120" s="225"/>
      <c r="WJE120" s="225"/>
      <c r="WJF120" s="225"/>
      <c r="WJG120" s="225"/>
      <c r="WJH120" s="225"/>
      <c r="WJI120" s="225"/>
      <c r="WJJ120" s="225"/>
      <c r="WJK120" s="225"/>
      <c r="WJL120" s="225"/>
      <c r="WJM120" s="225"/>
      <c r="WJN120" s="225"/>
      <c r="WJO120" s="225"/>
      <c r="WJP120" s="225"/>
      <c r="WJQ120" s="225"/>
      <c r="WJR120" s="225"/>
      <c r="WJS120" s="225"/>
      <c r="WJT120" s="225"/>
      <c r="WJU120" s="225"/>
      <c r="WJV120" s="225"/>
      <c r="WJW120" s="225"/>
      <c r="WJX120" s="225"/>
      <c r="WJY120" s="225"/>
      <c r="WJZ120" s="225"/>
      <c r="WKA120" s="225"/>
      <c r="WKB120" s="225"/>
      <c r="WKC120" s="225"/>
      <c r="WKD120" s="225"/>
      <c r="WKE120" s="225"/>
      <c r="WKF120" s="225"/>
      <c r="WKG120" s="225"/>
      <c r="WKH120" s="225"/>
      <c r="WKI120" s="225"/>
      <c r="WKJ120" s="225"/>
      <c r="WKK120" s="225"/>
      <c r="WKL120" s="225"/>
      <c r="WKM120" s="225"/>
      <c r="WKN120" s="225"/>
      <c r="WKO120" s="225"/>
      <c r="WKP120" s="225"/>
      <c r="WKQ120" s="225"/>
      <c r="WKR120" s="225"/>
      <c r="WKS120" s="225"/>
      <c r="WKT120" s="225"/>
      <c r="WKU120" s="225"/>
      <c r="WKV120" s="225"/>
      <c r="WKW120" s="225"/>
      <c r="WKX120" s="225"/>
      <c r="WKY120" s="225"/>
      <c r="WKZ120" s="225"/>
      <c r="WLA120" s="225"/>
      <c r="WLB120" s="225"/>
      <c r="WLC120" s="225"/>
      <c r="WLD120" s="225"/>
      <c r="WLE120" s="225"/>
      <c r="WLF120" s="225"/>
      <c r="WLG120" s="225"/>
      <c r="WLH120" s="225"/>
      <c r="WLI120" s="225"/>
      <c r="WLJ120" s="225"/>
      <c r="WLK120" s="225"/>
      <c r="WLL120" s="225"/>
      <c r="WLM120" s="225"/>
      <c r="WLN120" s="225"/>
      <c r="WLO120" s="225"/>
      <c r="WLP120" s="225"/>
      <c r="WLQ120" s="225"/>
      <c r="WLR120" s="225"/>
      <c r="WLS120" s="225"/>
      <c r="WLT120" s="225"/>
      <c r="WLU120" s="225"/>
      <c r="WLV120" s="225"/>
      <c r="WLW120" s="225"/>
      <c r="WLX120" s="225"/>
      <c r="WLY120" s="225"/>
      <c r="WLZ120" s="225"/>
      <c r="WMA120" s="225"/>
      <c r="WMB120" s="225"/>
      <c r="WMC120" s="225"/>
      <c r="WMD120" s="225"/>
      <c r="WME120" s="225"/>
      <c r="WMF120" s="225"/>
      <c r="WMG120" s="225"/>
      <c r="WMH120" s="225"/>
      <c r="WMI120" s="225"/>
      <c r="WMJ120" s="225"/>
      <c r="WMK120" s="225"/>
      <c r="WML120" s="225"/>
      <c r="WMM120" s="225"/>
      <c r="WMN120" s="225"/>
      <c r="WMO120" s="225"/>
      <c r="WMP120" s="225"/>
      <c r="WMQ120" s="225"/>
      <c r="WMR120" s="225"/>
      <c r="WMS120" s="225"/>
      <c r="WMT120" s="225"/>
      <c r="WMU120" s="225"/>
      <c r="WMV120" s="225"/>
      <c r="WMW120" s="225"/>
      <c r="WMX120" s="225"/>
      <c r="WMY120" s="225"/>
      <c r="WMZ120" s="225"/>
      <c r="WNA120" s="225"/>
      <c r="WNB120" s="225"/>
      <c r="WNC120" s="225"/>
      <c r="WND120" s="225"/>
      <c r="WNE120" s="225"/>
      <c r="WNF120" s="225"/>
      <c r="WNG120" s="225"/>
      <c r="WNH120" s="225"/>
      <c r="WNI120" s="225"/>
      <c r="WNJ120" s="225"/>
      <c r="WNK120" s="225"/>
      <c r="WNL120" s="225"/>
      <c r="WNM120" s="225"/>
      <c r="WNN120" s="225"/>
      <c r="WNO120" s="225"/>
      <c r="WNP120" s="225"/>
      <c r="WNQ120" s="225"/>
      <c r="WNR120" s="225"/>
      <c r="WNS120" s="225"/>
      <c r="WNT120" s="225"/>
      <c r="WNU120" s="225"/>
      <c r="WNV120" s="225"/>
      <c r="WNW120" s="225"/>
      <c r="WNX120" s="225"/>
      <c r="WNY120" s="225"/>
      <c r="WNZ120" s="225"/>
      <c r="WOA120" s="225"/>
      <c r="WOB120" s="225"/>
      <c r="WOC120" s="225"/>
      <c r="WOD120" s="225"/>
      <c r="WOE120" s="225"/>
      <c r="WOF120" s="225"/>
      <c r="WOG120" s="225"/>
      <c r="WOH120" s="225"/>
      <c r="WOI120" s="225"/>
      <c r="WOJ120" s="225"/>
      <c r="WOK120" s="225"/>
      <c r="WOL120" s="225"/>
      <c r="WOM120" s="225"/>
      <c r="WON120" s="225"/>
      <c r="WOO120" s="225"/>
      <c r="WOP120" s="225"/>
      <c r="WOQ120" s="225"/>
      <c r="WOR120" s="225"/>
      <c r="WOS120" s="225"/>
      <c r="WOT120" s="225"/>
      <c r="WOU120" s="225"/>
      <c r="WOV120" s="225"/>
      <c r="WOW120" s="225"/>
      <c r="WOX120" s="225"/>
      <c r="WOY120" s="225"/>
      <c r="WOZ120" s="225"/>
      <c r="WPA120" s="225"/>
      <c r="WPB120" s="225"/>
      <c r="WPC120" s="225"/>
      <c r="WPD120" s="225"/>
      <c r="WPE120" s="225"/>
      <c r="WPF120" s="225"/>
      <c r="WPG120" s="225"/>
      <c r="WPH120" s="225"/>
      <c r="WPI120" s="225"/>
      <c r="WPJ120" s="225"/>
      <c r="WPK120" s="225"/>
      <c r="WPL120" s="225"/>
      <c r="WPM120" s="225"/>
      <c r="WPN120" s="225"/>
      <c r="WPO120" s="225"/>
      <c r="WPP120" s="225"/>
      <c r="WPQ120" s="225"/>
      <c r="WPR120" s="225"/>
      <c r="WPS120" s="225"/>
      <c r="WPT120" s="225"/>
      <c r="WPU120" s="225"/>
      <c r="WPV120" s="225"/>
      <c r="WPW120" s="225"/>
      <c r="WPX120" s="225"/>
      <c r="WPY120" s="225"/>
      <c r="WPZ120" s="225"/>
      <c r="WQA120" s="225"/>
      <c r="WQB120" s="225"/>
      <c r="WQC120" s="225"/>
      <c r="WQD120" s="225"/>
      <c r="WQE120" s="225"/>
      <c r="WQF120" s="225"/>
      <c r="WQG120" s="225"/>
      <c r="WQH120" s="225"/>
      <c r="WQI120" s="225"/>
      <c r="WQJ120" s="225"/>
      <c r="WQK120" s="225"/>
      <c r="WQL120" s="225"/>
      <c r="WQM120" s="225"/>
      <c r="WQN120" s="225"/>
      <c r="WQO120" s="225"/>
      <c r="WQP120" s="225"/>
      <c r="WQQ120" s="225"/>
      <c r="WQR120" s="225"/>
      <c r="WQS120" s="225"/>
      <c r="WQT120" s="225"/>
      <c r="WQU120" s="225"/>
      <c r="WQV120" s="225"/>
      <c r="WQW120" s="225"/>
      <c r="WQX120" s="225"/>
      <c r="WQY120" s="225"/>
      <c r="WQZ120" s="225"/>
      <c r="WRA120" s="225"/>
      <c r="WRB120" s="225"/>
      <c r="WRC120" s="225"/>
      <c r="WRD120" s="225"/>
      <c r="WRE120" s="225"/>
      <c r="WRF120" s="225"/>
      <c r="WRG120" s="225"/>
      <c r="WRH120" s="225"/>
      <c r="WRI120" s="225"/>
      <c r="WRJ120" s="225"/>
      <c r="WRK120" s="225"/>
      <c r="WRL120" s="225"/>
      <c r="WRM120" s="225"/>
      <c r="WRN120" s="225"/>
      <c r="WRO120" s="225"/>
      <c r="WRP120" s="225"/>
      <c r="WRQ120" s="225"/>
      <c r="WRR120" s="225"/>
      <c r="WRS120" s="225"/>
      <c r="WRT120" s="225"/>
      <c r="WRU120" s="225"/>
      <c r="WRV120" s="225"/>
      <c r="WRW120" s="225"/>
      <c r="WRX120" s="225"/>
      <c r="WRY120" s="225"/>
      <c r="WRZ120" s="225"/>
      <c r="WSA120" s="225"/>
      <c r="WSB120" s="225"/>
      <c r="WSC120" s="225"/>
      <c r="WSD120" s="225"/>
      <c r="WSE120" s="225"/>
      <c r="WSF120" s="225"/>
      <c r="WSG120" s="225"/>
      <c r="WSH120" s="225"/>
      <c r="WSI120" s="225"/>
      <c r="WSJ120" s="225"/>
      <c r="WSK120" s="225"/>
      <c r="WSL120" s="225"/>
      <c r="WSM120" s="225"/>
      <c r="WSN120" s="225"/>
      <c r="WSO120" s="225"/>
      <c r="WSP120" s="225"/>
      <c r="WSQ120" s="225"/>
      <c r="WSR120" s="225"/>
      <c r="WSS120" s="225"/>
      <c r="WST120" s="225"/>
      <c r="WSU120" s="225"/>
      <c r="WSV120" s="225"/>
      <c r="WSW120" s="225"/>
      <c r="WSX120" s="225"/>
      <c r="WSY120" s="225"/>
      <c r="WSZ120" s="225"/>
      <c r="WTA120" s="225"/>
      <c r="WTB120" s="225"/>
      <c r="WTC120" s="225"/>
      <c r="WTD120" s="225"/>
      <c r="WTE120" s="225"/>
      <c r="WTF120" s="225"/>
      <c r="WTG120" s="225"/>
      <c r="WTH120" s="225"/>
      <c r="WTI120" s="225"/>
      <c r="WTJ120" s="225"/>
      <c r="WTK120" s="225"/>
      <c r="WTL120" s="225"/>
      <c r="WTM120" s="225"/>
      <c r="WTN120" s="225"/>
      <c r="WTO120" s="225"/>
      <c r="WTP120" s="225"/>
      <c r="WTQ120" s="225"/>
      <c r="WTR120" s="225"/>
      <c r="WTS120" s="225"/>
      <c r="WTT120" s="225"/>
      <c r="WTU120" s="225"/>
      <c r="WTV120" s="225"/>
      <c r="WTW120" s="225"/>
      <c r="WTX120" s="225"/>
      <c r="WTY120" s="225"/>
      <c r="WTZ120" s="225"/>
      <c r="WUA120" s="225"/>
      <c r="WUB120" s="225"/>
      <c r="WUC120" s="225"/>
      <c r="WUD120" s="225"/>
      <c r="WUE120" s="225"/>
      <c r="WUF120" s="225"/>
      <c r="WUG120" s="225"/>
      <c r="WUH120" s="225"/>
      <c r="WUI120" s="225"/>
      <c r="WUJ120" s="225"/>
      <c r="WUK120" s="225"/>
      <c r="WUL120" s="225"/>
      <c r="WUM120" s="225"/>
      <c r="WUN120" s="225"/>
      <c r="WUO120" s="225"/>
      <c r="WUP120" s="225"/>
      <c r="WUQ120" s="225"/>
      <c r="WUR120" s="225"/>
      <c r="WUS120" s="225"/>
      <c r="WUT120" s="225"/>
      <c r="WUU120" s="225"/>
      <c r="WUV120" s="225"/>
      <c r="WUW120" s="225"/>
      <c r="WUX120" s="225"/>
      <c r="WUY120" s="225"/>
      <c r="WUZ120" s="225"/>
      <c r="WVA120" s="225"/>
      <c r="WVB120" s="225"/>
      <c r="WVC120" s="225"/>
      <c r="WVD120" s="225"/>
      <c r="WVE120" s="225"/>
      <c r="WVF120" s="225"/>
      <c r="WVG120" s="225"/>
      <c r="WVH120" s="225"/>
      <c r="WVI120" s="225"/>
      <c r="WVJ120" s="225"/>
      <c r="WVK120" s="225"/>
      <c r="WVL120" s="225"/>
      <c r="WVM120" s="225"/>
      <c r="WVN120" s="225"/>
      <c r="WVO120" s="225"/>
      <c r="WVP120" s="225"/>
      <c r="WVQ120" s="225"/>
      <c r="WVR120" s="225"/>
      <c r="WVS120" s="225"/>
      <c r="WVT120" s="225"/>
      <c r="WVU120" s="225"/>
      <c r="WVV120" s="225"/>
      <c r="WVW120" s="225"/>
    </row>
    <row r="121" spans="1:16143" s="230" customFormat="1" x14ac:dyDescent="0.2">
      <c r="A121" s="225"/>
      <c r="B121" s="574" t="s">
        <v>479</v>
      </c>
      <c r="C121" s="576" t="str">
        <f t="shared" ref="C121:N122" si="31">+IF(C9&lt;&gt;0,"Ok","")</f>
        <v>Ok</v>
      </c>
      <c r="D121" s="576" t="str">
        <f t="shared" si="31"/>
        <v>Ok</v>
      </c>
      <c r="E121" s="576" t="str">
        <f t="shared" si="31"/>
        <v>Ok</v>
      </c>
      <c r="F121" s="576" t="str">
        <f t="shared" si="31"/>
        <v>Ok</v>
      </c>
      <c r="G121" s="576" t="str">
        <f t="shared" si="31"/>
        <v>Ok</v>
      </c>
      <c r="H121" s="576" t="str">
        <f t="shared" si="31"/>
        <v>Ok</v>
      </c>
      <c r="I121" s="576" t="str">
        <f t="shared" si="31"/>
        <v>Ok</v>
      </c>
      <c r="J121" s="576" t="str">
        <f t="shared" si="31"/>
        <v>Ok</v>
      </c>
      <c r="K121" s="576" t="str">
        <f t="shared" si="31"/>
        <v>Ok</v>
      </c>
      <c r="L121" s="576" t="str">
        <f t="shared" si="31"/>
        <v>Ok</v>
      </c>
      <c r="M121" s="576" t="str">
        <f t="shared" si="31"/>
        <v>Ok</v>
      </c>
      <c r="N121" s="576" t="str">
        <f t="shared" si="31"/>
        <v>Ok</v>
      </c>
      <c r="Q121" s="284"/>
      <c r="R121" s="284"/>
      <c r="S121" s="225"/>
      <c r="T121" s="225"/>
      <c r="U121" s="225"/>
      <c r="V121" s="225"/>
      <c r="W121" s="225"/>
      <c r="X121" s="225"/>
      <c r="Y121" s="225"/>
      <c r="Z121" s="225"/>
      <c r="AA121" s="225"/>
      <c r="AB121" s="225"/>
      <c r="AC121" s="225"/>
      <c r="AD121" s="225"/>
      <c r="AE121" s="225"/>
      <c r="AF121" s="225"/>
      <c r="AG121" s="225"/>
      <c r="AH121" s="225"/>
      <c r="AI121" s="225"/>
      <c r="AJ121" s="225"/>
      <c r="AK121" s="225"/>
      <c r="AL121" s="225"/>
      <c r="AM121" s="225"/>
      <c r="AN121" s="225"/>
      <c r="AO121" s="225"/>
      <c r="AP121" s="225"/>
      <c r="AQ121" s="225"/>
      <c r="AR121" s="225"/>
      <c r="AS121" s="225"/>
      <c r="AT121" s="225"/>
      <c r="AU121" s="225"/>
      <c r="AV121" s="225"/>
      <c r="AW121" s="225"/>
      <c r="AX121" s="225"/>
      <c r="AY121" s="225"/>
      <c r="AZ121" s="225"/>
      <c r="BA121" s="225"/>
      <c r="BB121" s="225"/>
      <c r="BC121" s="225"/>
      <c r="BD121" s="225"/>
      <c r="BE121" s="225"/>
      <c r="BF121" s="225"/>
      <c r="BG121" s="225"/>
      <c r="BH121" s="225"/>
      <c r="BI121" s="225"/>
      <c r="BJ121" s="225"/>
      <c r="BK121" s="225"/>
      <c r="BL121" s="225"/>
      <c r="BM121" s="225"/>
      <c r="BN121" s="225"/>
      <c r="BO121" s="225"/>
      <c r="BP121" s="225"/>
      <c r="BQ121" s="225"/>
      <c r="BR121" s="225"/>
      <c r="BS121" s="225"/>
      <c r="BT121" s="225"/>
      <c r="BU121" s="225"/>
      <c r="BV121" s="225"/>
      <c r="BW121" s="225"/>
      <c r="BX121" s="225"/>
      <c r="BY121" s="225"/>
      <c r="BZ121" s="225"/>
      <c r="CA121" s="225"/>
      <c r="CB121" s="225"/>
      <c r="CC121" s="225"/>
      <c r="CD121" s="225"/>
      <c r="CE121" s="225"/>
      <c r="CF121" s="225"/>
      <c r="CG121" s="225"/>
      <c r="CH121" s="225"/>
      <c r="CI121" s="225"/>
      <c r="CJ121" s="225"/>
      <c r="CK121" s="225"/>
      <c r="CL121" s="225"/>
      <c r="CM121" s="225"/>
      <c r="CN121" s="225"/>
      <c r="CO121" s="225"/>
      <c r="CP121" s="225"/>
      <c r="CQ121" s="225"/>
      <c r="CR121" s="225"/>
      <c r="CS121" s="225"/>
      <c r="CT121" s="225"/>
      <c r="CU121" s="225"/>
      <c r="CV121" s="225"/>
      <c r="CW121" s="225"/>
      <c r="CX121" s="225"/>
      <c r="CY121" s="225"/>
      <c r="CZ121" s="225"/>
      <c r="DA121" s="225"/>
      <c r="DB121" s="225"/>
      <c r="DC121" s="225"/>
      <c r="DD121" s="225"/>
      <c r="DE121" s="225"/>
      <c r="DF121" s="225"/>
      <c r="DG121" s="225"/>
      <c r="DH121" s="225"/>
      <c r="DI121" s="225"/>
      <c r="DJ121" s="225"/>
      <c r="DK121" s="225"/>
      <c r="DL121" s="225"/>
      <c r="DM121" s="225"/>
      <c r="DN121" s="225"/>
      <c r="DO121" s="225"/>
      <c r="DP121" s="225"/>
      <c r="DQ121" s="225"/>
      <c r="DR121" s="225"/>
      <c r="DS121" s="225"/>
      <c r="DT121" s="225"/>
      <c r="DU121" s="225"/>
      <c r="DV121" s="225"/>
      <c r="DW121" s="225"/>
      <c r="DX121" s="225"/>
      <c r="DY121" s="225"/>
      <c r="DZ121" s="225"/>
      <c r="EA121" s="225"/>
      <c r="EB121" s="225"/>
      <c r="EC121" s="225"/>
      <c r="ED121" s="225"/>
      <c r="EE121" s="225"/>
      <c r="EF121" s="225"/>
      <c r="EG121" s="225"/>
      <c r="EH121" s="225"/>
      <c r="EI121" s="225"/>
      <c r="EJ121" s="225"/>
      <c r="EK121" s="225"/>
      <c r="EL121" s="225"/>
      <c r="EM121" s="225"/>
      <c r="EN121" s="225"/>
      <c r="EO121" s="225"/>
      <c r="EP121" s="225"/>
      <c r="EQ121" s="225"/>
      <c r="ER121" s="225"/>
      <c r="ES121" s="225"/>
      <c r="ET121" s="225"/>
      <c r="EU121" s="225"/>
      <c r="EV121" s="225"/>
      <c r="EW121" s="225"/>
      <c r="EX121" s="225"/>
      <c r="EY121" s="225"/>
      <c r="EZ121" s="225"/>
      <c r="FA121" s="225"/>
      <c r="FB121" s="225"/>
      <c r="FC121" s="225"/>
      <c r="FD121" s="225"/>
      <c r="FE121" s="225"/>
      <c r="FF121" s="225"/>
      <c r="FG121" s="225"/>
      <c r="FH121" s="225"/>
      <c r="FI121" s="225"/>
      <c r="FJ121" s="225"/>
      <c r="FK121" s="225"/>
      <c r="FL121" s="225"/>
      <c r="FM121" s="225"/>
      <c r="FN121" s="225"/>
      <c r="FO121" s="225"/>
      <c r="FP121" s="225"/>
      <c r="FQ121" s="225"/>
      <c r="FR121" s="225"/>
      <c r="FS121" s="225"/>
      <c r="FT121" s="225"/>
      <c r="FU121" s="225"/>
      <c r="FV121" s="225"/>
      <c r="FW121" s="225"/>
      <c r="FX121" s="225"/>
      <c r="FY121" s="225"/>
      <c r="FZ121" s="225"/>
      <c r="GA121" s="225"/>
      <c r="GB121" s="225"/>
      <c r="GC121" s="225"/>
      <c r="GD121" s="225"/>
      <c r="GE121" s="225"/>
      <c r="GF121" s="225"/>
      <c r="GG121" s="225"/>
      <c r="GH121" s="225"/>
      <c r="GI121" s="225"/>
      <c r="GJ121" s="225"/>
      <c r="GK121" s="225"/>
      <c r="GL121" s="225"/>
      <c r="GM121" s="225"/>
      <c r="GN121" s="225"/>
      <c r="GO121" s="225"/>
      <c r="GP121" s="225"/>
      <c r="GQ121" s="225"/>
      <c r="GR121" s="225"/>
      <c r="GS121" s="225"/>
      <c r="GT121" s="225"/>
      <c r="GU121" s="225"/>
      <c r="GV121" s="225"/>
      <c r="GW121" s="225"/>
      <c r="GX121" s="225"/>
      <c r="GY121" s="225"/>
      <c r="GZ121" s="225"/>
      <c r="HA121" s="225"/>
      <c r="HB121" s="225"/>
      <c r="HC121" s="225"/>
      <c r="HD121" s="225"/>
      <c r="HE121" s="225"/>
      <c r="HF121" s="225"/>
      <c r="HG121" s="225"/>
      <c r="HH121" s="225"/>
      <c r="HI121" s="225"/>
      <c r="HJ121" s="225"/>
      <c r="HK121" s="225"/>
      <c r="HL121" s="225"/>
      <c r="HM121" s="225"/>
      <c r="HN121" s="225"/>
      <c r="HO121" s="225"/>
      <c r="HP121" s="225"/>
      <c r="HQ121" s="225"/>
      <c r="HR121" s="225"/>
      <c r="HS121" s="225"/>
      <c r="HT121" s="225"/>
      <c r="HU121" s="225"/>
      <c r="HV121" s="225"/>
      <c r="HW121" s="225"/>
      <c r="HX121" s="225"/>
      <c r="HY121" s="225"/>
      <c r="HZ121" s="225"/>
      <c r="IA121" s="225"/>
      <c r="IB121" s="225"/>
      <c r="IC121" s="225"/>
      <c r="ID121" s="225"/>
      <c r="IE121" s="225"/>
      <c r="IF121" s="225"/>
      <c r="IG121" s="225"/>
      <c r="IH121" s="225"/>
      <c r="II121" s="225"/>
      <c r="IJ121" s="225"/>
      <c r="IK121" s="225"/>
      <c r="IL121" s="225"/>
      <c r="IM121" s="225"/>
      <c r="IN121" s="225"/>
      <c r="IO121" s="225"/>
      <c r="IP121" s="225"/>
      <c r="IQ121" s="225"/>
      <c r="IR121" s="225"/>
      <c r="IS121" s="225"/>
      <c r="IT121" s="225"/>
      <c r="IU121" s="225"/>
      <c r="IV121" s="225"/>
      <c r="IW121" s="225"/>
      <c r="IX121" s="225"/>
      <c r="IY121" s="225"/>
      <c r="IZ121" s="225"/>
      <c r="JA121" s="225"/>
      <c r="JB121" s="225"/>
      <c r="JC121" s="225"/>
      <c r="JD121" s="225"/>
      <c r="JE121" s="225"/>
      <c r="JF121" s="225"/>
      <c r="JG121" s="225"/>
      <c r="JH121" s="225"/>
      <c r="JI121" s="225"/>
      <c r="JJ121" s="225"/>
      <c r="JK121" s="225"/>
      <c r="JL121" s="225"/>
      <c r="JM121" s="225"/>
      <c r="JN121" s="225"/>
      <c r="JO121" s="225"/>
      <c r="JP121" s="225"/>
      <c r="JQ121" s="225"/>
      <c r="JR121" s="225"/>
      <c r="JS121" s="225"/>
      <c r="JT121" s="225"/>
      <c r="JU121" s="225"/>
      <c r="JV121" s="225"/>
      <c r="JW121" s="225"/>
      <c r="JX121" s="225"/>
      <c r="JY121" s="225"/>
      <c r="JZ121" s="225"/>
      <c r="KA121" s="225"/>
      <c r="KB121" s="225"/>
      <c r="KC121" s="225"/>
      <c r="KD121" s="225"/>
      <c r="KE121" s="225"/>
      <c r="KF121" s="225"/>
      <c r="KG121" s="225"/>
      <c r="KH121" s="225"/>
      <c r="KI121" s="225"/>
      <c r="KJ121" s="225"/>
      <c r="KK121" s="225"/>
      <c r="KL121" s="225"/>
      <c r="KM121" s="225"/>
      <c r="KN121" s="225"/>
      <c r="KO121" s="225"/>
      <c r="KP121" s="225"/>
      <c r="KQ121" s="225"/>
      <c r="KR121" s="225"/>
      <c r="KS121" s="225"/>
      <c r="KT121" s="225"/>
      <c r="KU121" s="225"/>
      <c r="KV121" s="225"/>
      <c r="KW121" s="225"/>
      <c r="KX121" s="225"/>
      <c r="KY121" s="225"/>
      <c r="KZ121" s="225"/>
      <c r="LA121" s="225"/>
      <c r="LB121" s="225"/>
      <c r="LC121" s="225"/>
      <c r="LD121" s="225"/>
      <c r="LE121" s="225"/>
      <c r="LF121" s="225"/>
      <c r="LG121" s="225"/>
      <c r="LH121" s="225"/>
      <c r="LI121" s="225"/>
      <c r="LJ121" s="225"/>
      <c r="LK121" s="225"/>
      <c r="LL121" s="225"/>
      <c r="LM121" s="225"/>
      <c r="LN121" s="225"/>
      <c r="LO121" s="225"/>
      <c r="LP121" s="225"/>
      <c r="LQ121" s="225"/>
      <c r="LR121" s="225"/>
      <c r="LS121" s="225"/>
      <c r="LT121" s="225"/>
      <c r="LU121" s="225"/>
      <c r="LV121" s="225"/>
      <c r="LW121" s="225"/>
      <c r="LX121" s="225"/>
      <c r="LY121" s="225"/>
      <c r="LZ121" s="225"/>
      <c r="MA121" s="225"/>
      <c r="MB121" s="225"/>
      <c r="MC121" s="225"/>
      <c r="MD121" s="225"/>
      <c r="ME121" s="225"/>
      <c r="MF121" s="225"/>
      <c r="MG121" s="225"/>
      <c r="MH121" s="225"/>
      <c r="MI121" s="225"/>
      <c r="MJ121" s="225"/>
      <c r="MK121" s="225"/>
      <c r="ML121" s="225"/>
      <c r="MM121" s="225"/>
      <c r="MN121" s="225"/>
      <c r="MO121" s="225"/>
      <c r="MP121" s="225"/>
      <c r="MQ121" s="225"/>
      <c r="MR121" s="225"/>
      <c r="MS121" s="225"/>
      <c r="MT121" s="225"/>
      <c r="MU121" s="225"/>
      <c r="MV121" s="225"/>
      <c r="MW121" s="225"/>
      <c r="MX121" s="225"/>
      <c r="MY121" s="225"/>
      <c r="MZ121" s="225"/>
      <c r="NA121" s="225"/>
      <c r="NB121" s="225"/>
      <c r="NC121" s="225"/>
      <c r="ND121" s="225"/>
      <c r="NE121" s="225"/>
      <c r="NF121" s="225"/>
      <c r="NG121" s="225"/>
      <c r="NH121" s="225"/>
      <c r="NI121" s="225"/>
      <c r="NJ121" s="225"/>
      <c r="NK121" s="225"/>
      <c r="NL121" s="225"/>
      <c r="NM121" s="225"/>
      <c r="NN121" s="225"/>
      <c r="NO121" s="225"/>
      <c r="NP121" s="225"/>
      <c r="NQ121" s="225"/>
      <c r="NR121" s="225"/>
      <c r="NS121" s="225"/>
      <c r="NT121" s="225"/>
      <c r="NU121" s="225"/>
      <c r="NV121" s="225"/>
      <c r="NW121" s="225"/>
      <c r="NX121" s="225"/>
      <c r="NY121" s="225"/>
      <c r="NZ121" s="225"/>
      <c r="OA121" s="225"/>
      <c r="OB121" s="225"/>
      <c r="OC121" s="225"/>
      <c r="OD121" s="225"/>
      <c r="OE121" s="225"/>
      <c r="OF121" s="225"/>
      <c r="OG121" s="225"/>
      <c r="OH121" s="225"/>
      <c r="OI121" s="225"/>
      <c r="OJ121" s="225"/>
      <c r="OK121" s="225"/>
      <c r="OL121" s="225"/>
      <c r="OM121" s="225"/>
      <c r="ON121" s="225"/>
      <c r="OO121" s="225"/>
      <c r="OP121" s="225"/>
      <c r="OQ121" s="225"/>
      <c r="OR121" s="225"/>
      <c r="OS121" s="225"/>
      <c r="OT121" s="225"/>
      <c r="OU121" s="225"/>
      <c r="OV121" s="225"/>
      <c r="OW121" s="225"/>
      <c r="OX121" s="225"/>
      <c r="OY121" s="225"/>
      <c r="OZ121" s="225"/>
      <c r="PA121" s="225"/>
      <c r="PB121" s="225"/>
      <c r="PC121" s="225"/>
      <c r="PD121" s="225"/>
      <c r="PE121" s="225"/>
      <c r="PF121" s="225"/>
      <c r="PG121" s="225"/>
      <c r="PH121" s="225"/>
      <c r="PI121" s="225"/>
      <c r="PJ121" s="225"/>
      <c r="PK121" s="225"/>
      <c r="PL121" s="225"/>
      <c r="PM121" s="225"/>
      <c r="PN121" s="225"/>
      <c r="PO121" s="225"/>
      <c r="PP121" s="225"/>
      <c r="PQ121" s="225"/>
      <c r="PR121" s="225"/>
      <c r="PS121" s="225"/>
      <c r="PT121" s="225"/>
      <c r="PU121" s="225"/>
      <c r="PV121" s="225"/>
      <c r="PW121" s="225"/>
      <c r="PX121" s="225"/>
      <c r="PY121" s="225"/>
      <c r="PZ121" s="225"/>
      <c r="QA121" s="225"/>
      <c r="QB121" s="225"/>
      <c r="QC121" s="225"/>
      <c r="QD121" s="225"/>
      <c r="QE121" s="225"/>
      <c r="QF121" s="225"/>
      <c r="QG121" s="225"/>
      <c r="QH121" s="225"/>
      <c r="QI121" s="225"/>
      <c r="QJ121" s="225"/>
      <c r="QK121" s="225"/>
      <c r="QL121" s="225"/>
      <c r="QM121" s="225"/>
      <c r="QN121" s="225"/>
      <c r="QO121" s="225"/>
      <c r="QP121" s="225"/>
      <c r="QQ121" s="225"/>
      <c r="QR121" s="225"/>
      <c r="QS121" s="225"/>
      <c r="QT121" s="225"/>
      <c r="QU121" s="225"/>
      <c r="QV121" s="225"/>
      <c r="QW121" s="225"/>
      <c r="QX121" s="225"/>
      <c r="QY121" s="225"/>
      <c r="QZ121" s="225"/>
      <c r="RA121" s="225"/>
      <c r="RB121" s="225"/>
      <c r="RC121" s="225"/>
      <c r="RD121" s="225"/>
      <c r="RE121" s="225"/>
      <c r="RF121" s="225"/>
      <c r="RG121" s="225"/>
      <c r="RH121" s="225"/>
      <c r="RI121" s="225"/>
      <c r="RJ121" s="225"/>
      <c r="RK121" s="225"/>
      <c r="RL121" s="225"/>
      <c r="RM121" s="225"/>
      <c r="RN121" s="225"/>
      <c r="RO121" s="225"/>
      <c r="RP121" s="225"/>
      <c r="RQ121" s="225"/>
      <c r="RR121" s="225"/>
      <c r="RS121" s="225"/>
      <c r="RT121" s="225"/>
      <c r="RU121" s="225"/>
      <c r="RV121" s="225"/>
      <c r="RW121" s="225"/>
      <c r="RX121" s="225"/>
      <c r="RY121" s="225"/>
      <c r="RZ121" s="225"/>
      <c r="SA121" s="225"/>
      <c r="SB121" s="225"/>
      <c r="SC121" s="225"/>
      <c r="SD121" s="225"/>
      <c r="SE121" s="225"/>
      <c r="SF121" s="225"/>
      <c r="SG121" s="225"/>
      <c r="SH121" s="225"/>
      <c r="SI121" s="225"/>
      <c r="SJ121" s="225"/>
      <c r="SK121" s="225"/>
      <c r="SL121" s="225"/>
      <c r="SM121" s="225"/>
      <c r="SN121" s="225"/>
      <c r="SO121" s="225"/>
      <c r="SP121" s="225"/>
      <c r="SQ121" s="225"/>
      <c r="SR121" s="225"/>
      <c r="SS121" s="225"/>
      <c r="ST121" s="225"/>
      <c r="SU121" s="225"/>
      <c r="SV121" s="225"/>
      <c r="SW121" s="225"/>
      <c r="SX121" s="225"/>
      <c r="SY121" s="225"/>
      <c r="SZ121" s="225"/>
      <c r="TA121" s="225"/>
      <c r="TB121" s="225"/>
      <c r="TC121" s="225"/>
      <c r="TD121" s="225"/>
      <c r="TE121" s="225"/>
      <c r="TF121" s="225"/>
      <c r="TG121" s="225"/>
      <c r="TH121" s="225"/>
      <c r="TI121" s="225"/>
      <c r="TJ121" s="225"/>
      <c r="TK121" s="225"/>
      <c r="TL121" s="225"/>
      <c r="TM121" s="225"/>
      <c r="TN121" s="225"/>
      <c r="TO121" s="225"/>
      <c r="TP121" s="225"/>
      <c r="TQ121" s="225"/>
      <c r="TR121" s="225"/>
      <c r="TS121" s="225"/>
      <c r="TT121" s="225"/>
      <c r="TU121" s="225"/>
      <c r="TV121" s="225"/>
      <c r="TW121" s="225"/>
      <c r="TX121" s="225"/>
      <c r="TY121" s="225"/>
      <c r="TZ121" s="225"/>
      <c r="UA121" s="225"/>
      <c r="UB121" s="225"/>
      <c r="UC121" s="225"/>
      <c r="UD121" s="225"/>
      <c r="UE121" s="225"/>
      <c r="UF121" s="225"/>
      <c r="UG121" s="225"/>
      <c r="UH121" s="225"/>
      <c r="UI121" s="225"/>
      <c r="UJ121" s="225"/>
      <c r="UK121" s="225"/>
      <c r="UL121" s="225"/>
      <c r="UM121" s="225"/>
      <c r="UN121" s="225"/>
      <c r="UO121" s="225"/>
      <c r="UP121" s="225"/>
      <c r="UQ121" s="225"/>
      <c r="UR121" s="225"/>
      <c r="US121" s="225"/>
      <c r="UT121" s="225"/>
      <c r="UU121" s="225"/>
      <c r="UV121" s="225"/>
      <c r="UW121" s="225"/>
      <c r="UX121" s="225"/>
      <c r="UY121" s="225"/>
      <c r="UZ121" s="225"/>
      <c r="VA121" s="225"/>
      <c r="VB121" s="225"/>
      <c r="VC121" s="225"/>
      <c r="VD121" s="225"/>
      <c r="VE121" s="225"/>
      <c r="VF121" s="225"/>
      <c r="VG121" s="225"/>
      <c r="VH121" s="225"/>
      <c r="VI121" s="225"/>
      <c r="VJ121" s="225"/>
      <c r="VK121" s="225"/>
      <c r="VL121" s="225"/>
      <c r="VM121" s="225"/>
      <c r="VN121" s="225"/>
      <c r="VO121" s="225"/>
      <c r="VP121" s="225"/>
      <c r="VQ121" s="225"/>
      <c r="VR121" s="225"/>
      <c r="VS121" s="225"/>
      <c r="VT121" s="225"/>
      <c r="VU121" s="225"/>
      <c r="VV121" s="225"/>
      <c r="VW121" s="225"/>
      <c r="VX121" s="225"/>
      <c r="VY121" s="225"/>
      <c r="VZ121" s="225"/>
      <c r="WA121" s="225"/>
      <c r="WB121" s="225"/>
      <c r="WC121" s="225"/>
      <c r="WD121" s="225"/>
      <c r="WE121" s="225"/>
      <c r="WF121" s="225"/>
      <c r="WG121" s="225"/>
      <c r="WH121" s="225"/>
      <c r="WI121" s="225"/>
      <c r="WJ121" s="225"/>
      <c r="WK121" s="225"/>
      <c r="WL121" s="225"/>
      <c r="WM121" s="225"/>
      <c r="WN121" s="225"/>
      <c r="WO121" s="225"/>
      <c r="WP121" s="225"/>
      <c r="WQ121" s="225"/>
      <c r="WR121" s="225"/>
      <c r="WS121" s="225"/>
      <c r="WT121" s="225"/>
      <c r="WU121" s="225"/>
      <c r="WV121" s="225"/>
      <c r="WW121" s="225"/>
      <c r="WX121" s="225"/>
      <c r="WY121" s="225"/>
      <c r="WZ121" s="225"/>
      <c r="XA121" s="225"/>
      <c r="XB121" s="225"/>
      <c r="XC121" s="225"/>
      <c r="XD121" s="225"/>
      <c r="XE121" s="225"/>
      <c r="XF121" s="225"/>
      <c r="XG121" s="225"/>
      <c r="XH121" s="225"/>
      <c r="XI121" s="225"/>
      <c r="XJ121" s="225"/>
      <c r="XK121" s="225"/>
      <c r="XL121" s="225"/>
      <c r="XM121" s="225"/>
      <c r="XN121" s="225"/>
      <c r="XO121" s="225"/>
      <c r="XP121" s="225"/>
      <c r="XQ121" s="225"/>
      <c r="XR121" s="225"/>
      <c r="XS121" s="225"/>
      <c r="XT121" s="225"/>
      <c r="XU121" s="225"/>
      <c r="XV121" s="225"/>
      <c r="XW121" s="225"/>
      <c r="XX121" s="225"/>
      <c r="XY121" s="225"/>
      <c r="XZ121" s="225"/>
      <c r="YA121" s="225"/>
      <c r="YB121" s="225"/>
      <c r="YC121" s="225"/>
      <c r="YD121" s="225"/>
      <c r="YE121" s="225"/>
      <c r="YF121" s="225"/>
      <c r="YG121" s="225"/>
      <c r="YH121" s="225"/>
      <c r="YI121" s="225"/>
      <c r="YJ121" s="225"/>
      <c r="YK121" s="225"/>
      <c r="YL121" s="225"/>
      <c r="YM121" s="225"/>
      <c r="YN121" s="225"/>
      <c r="YO121" s="225"/>
      <c r="YP121" s="225"/>
      <c r="YQ121" s="225"/>
      <c r="YR121" s="225"/>
      <c r="YS121" s="225"/>
      <c r="YT121" s="225"/>
      <c r="YU121" s="225"/>
      <c r="YV121" s="225"/>
      <c r="YW121" s="225"/>
      <c r="YX121" s="225"/>
      <c r="YY121" s="225"/>
      <c r="YZ121" s="225"/>
      <c r="ZA121" s="225"/>
      <c r="ZB121" s="225"/>
      <c r="ZC121" s="225"/>
      <c r="ZD121" s="225"/>
      <c r="ZE121" s="225"/>
      <c r="ZF121" s="225"/>
      <c r="ZG121" s="225"/>
      <c r="ZH121" s="225"/>
      <c r="ZI121" s="225"/>
      <c r="ZJ121" s="225"/>
      <c r="ZK121" s="225"/>
      <c r="ZL121" s="225"/>
      <c r="ZM121" s="225"/>
      <c r="ZN121" s="225"/>
      <c r="ZO121" s="225"/>
      <c r="ZP121" s="225"/>
      <c r="ZQ121" s="225"/>
      <c r="ZR121" s="225"/>
      <c r="ZS121" s="225"/>
      <c r="ZT121" s="225"/>
      <c r="ZU121" s="225"/>
      <c r="ZV121" s="225"/>
      <c r="ZW121" s="225"/>
      <c r="ZX121" s="225"/>
      <c r="ZY121" s="225"/>
      <c r="ZZ121" s="225"/>
      <c r="AAA121" s="225"/>
      <c r="AAB121" s="225"/>
      <c r="AAC121" s="225"/>
      <c r="AAD121" s="225"/>
      <c r="AAE121" s="225"/>
      <c r="AAF121" s="225"/>
      <c r="AAG121" s="225"/>
      <c r="AAH121" s="225"/>
      <c r="AAI121" s="225"/>
      <c r="AAJ121" s="225"/>
      <c r="AAK121" s="225"/>
      <c r="AAL121" s="225"/>
      <c r="AAM121" s="225"/>
      <c r="AAN121" s="225"/>
      <c r="AAO121" s="225"/>
      <c r="AAP121" s="225"/>
      <c r="AAQ121" s="225"/>
      <c r="AAR121" s="225"/>
      <c r="AAS121" s="225"/>
      <c r="AAT121" s="225"/>
      <c r="AAU121" s="225"/>
      <c r="AAV121" s="225"/>
      <c r="AAW121" s="225"/>
      <c r="AAX121" s="225"/>
      <c r="AAY121" s="225"/>
      <c r="AAZ121" s="225"/>
      <c r="ABA121" s="225"/>
      <c r="ABB121" s="225"/>
      <c r="ABC121" s="225"/>
      <c r="ABD121" s="225"/>
      <c r="ABE121" s="225"/>
      <c r="ABF121" s="225"/>
      <c r="ABG121" s="225"/>
      <c r="ABH121" s="225"/>
      <c r="ABI121" s="225"/>
      <c r="ABJ121" s="225"/>
      <c r="ABK121" s="225"/>
      <c r="ABL121" s="225"/>
      <c r="ABM121" s="225"/>
      <c r="ABN121" s="225"/>
      <c r="ABO121" s="225"/>
      <c r="ABP121" s="225"/>
      <c r="ABQ121" s="225"/>
      <c r="ABR121" s="225"/>
      <c r="ABS121" s="225"/>
      <c r="ABT121" s="225"/>
      <c r="ABU121" s="225"/>
      <c r="ABV121" s="225"/>
      <c r="ABW121" s="225"/>
      <c r="ABX121" s="225"/>
      <c r="ABY121" s="225"/>
      <c r="ABZ121" s="225"/>
      <c r="ACA121" s="225"/>
      <c r="ACB121" s="225"/>
      <c r="ACC121" s="225"/>
      <c r="ACD121" s="225"/>
      <c r="ACE121" s="225"/>
      <c r="ACF121" s="225"/>
      <c r="ACG121" s="225"/>
      <c r="ACH121" s="225"/>
      <c r="ACI121" s="225"/>
      <c r="ACJ121" s="225"/>
      <c r="ACK121" s="225"/>
      <c r="ACL121" s="225"/>
      <c r="ACM121" s="225"/>
      <c r="ACN121" s="225"/>
      <c r="ACO121" s="225"/>
      <c r="ACP121" s="225"/>
      <c r="ACQ121" s="225"/>
      <c r="ACR121" s="225"/>
      <c r="ACS121" s="225"/>
      <c r="ACT121" s="225"/>
      <c r="ACU121" s="225"/>
      <c r="ACV121" s="225"/>
      <c r="ACW121" s="225"/>
      <c r="ACX121" s="225"/>
      <c r="ACY121" s="225"/>
      <c r="ACZ121" s="225"/>
      <c r="ADA121" s="225"/>
      <c r="ADB121" s="225"/>
      <c r="ADC121" s="225"/>
      <c r="ADD121" s="225"/>
      <c r="ADE121" s="225"/>
      <c r="ADF121" s="225"/>
      <c r="ADG121" s="225"/>
      <c r="ADH121" s="225"/>
      <c r="ADI121" s="225"/>
      <c r="ADJ121" s="225"/>
      <c r="ADK121" s="225"/>
      <c r="ADL121" s="225"/>
      <c r="ADM121" s="225"/>
      <c r="ADN121" s="225"/>
      <c r="ADO121" s="225"/>
      <c r="ADP121" s="225"/>
      <c r="ADQ121" s="225"/>
      <c r="ADR121" s="225"/>
      <c r="ADS121" s="225"/>
      <c r="ADT121" s="225"/>
      <c r="ADU121" s="225"/>
      <c r="ADV121" s="225"/>
      <c r="ADW121" s="225"/>
      <c r="ADX121" s="225"/>
      <c r="ADY121" s="225"/>
      <c r="ADZ121" s="225"/>
      <c r="AEA121" s="225"/>
      <c r="AEB121" s="225"/>
      <c r="AEC121" s="225"/>
      <c r="AED121" s="225"/>
      <c r="AEE121" s="225"/>
      <c r="AEF121" s="225"/>
      <c r="AEG121" s="225"/>
      <c r="AEH121" s="225"/>
      <c r="AEI121" s="225"/>
      <c r="AEJ121" s="225"/>
      <c r="AEK121" s="225"/>
      <c r="AEL121" s="225"/>
      <c r="AEM121" s="225"/>
      <c r="AEN121" s="225"/>
      <c r="AEO121" s="225"/>
      <c r="AEP121" s="225"/>
      <c r="AEQ121" s="225"/>
      <c r="AER121" s="225"/>
      <c r="AES121" s="225"/>
      <c r="AET121" s="225"/>
      <c r="AEU121" s="225"/>
      <c r="AEV121" s="225"/>
      <c r="AEW121" s="225"/>
      <c r="AEX121" s="225"/>
      <c r="AEY121" s="225"/>
      <c r="AEZ121" s="225"/>
      <c r="AFA121" s="225"/>
      <c r="AFB121" s="225"/>
      <c r="AFC121" s="225"/>
      <c r="AFD121" s="225"/>
      <c r="AFE121" s="225"/>
      <c r="AFF121" s="225"/>
      <c r="AFG121" s="225"/>
      <c r="AFH121" s="225"/>
      <c r="AFI121" s="225"/>
      <c r="AFJ121" s="225"/>
      <c r="AFK121" s="225"/>
      <c r="AFL121" s="225"/>
      <c r="AFM121" s="225"/>
      <c r="AFN121" s="225"/>
      <c r="AFO121" s="225"/>
      <c r="AFP121" s="225"/>
      <c r="AFQ121" s="225"/>
      <c r="AFR121" s="225"/>
      <c r="AFS121" s="225"/>
      <c r="AFT121" s="225"/>
      <c r="AFU121" s="225"/>
      <c r="AFV121" s="225"/>
      <c r="AFW121" s="225"/>
      <c r="AFX121" s="225"/>
      <c r="AFY121" s="225"/>
      <c r="AFZ121" s="225"/>
      <c r="AGA121" s="225"/>
      <c r="AGB121" s="225"/>
      <c r="AGC121" s="225"/>
      <c r="AGD121" s="225"/>
      <c r="AGE121" s="225"/>
      <c r="AGF121" s="225"/>
      <c r="AGG121" s="225"/>
      <c r="AGH121" s="225"/>
      <c r="AGI121" s="225"/>
      <c r="AGJ121" s="225"/>
      <c r="AGK121" s="225"/>
      <c r="AGL121" s="225"/>
      <c r="AGM121" s="225"/>
      <c r="AGN121" s="225"/>
      <c r="AGO121" s="225"/>
      <c r="AGP121" s="225"/>
      <c r="AGQ121" s="225"/>
      <c r="AGR121" s="225"/>
      <c r="AGS121" s="225"/>
      <c r="AGT121" s="225"/>
      <c r="AGU121" s="225"/>
      <c r="AGV121" s="225"/>
      <c r="AGW121" s="225"/>
      <c r="AGX121" s="225"/>
      <c r="AGY121" s="225"/>
      <c r="AGZ121" s="225"/>
      <c r="AHA121" s="225"/>
      <c r="AHB121" s="225"/>
      <c r="AHC121" s="225"/>
      <c r="AHD121" s="225"/>
      <c r="AHE121" s="225"/>
      <c r="AHF121" s="225"/>
      <c r="AHG121" s="225"/>
      <c r="AHH121" s="225"/>
      <c r="AHI121" s="225"/>
      <c r="AHJ121" s="225"/>
      <c r="AHK121" s="225"/>
      <c r="AHL121" s="225"/>
      <c r="AHM121" s="225"/>
      <c r="AHN121" s="225"/>
      <c r="AHO121" s="225"/>
      <c r="AHP121" s="225"/>
      <c r="AHQ121" s="225"/>
      <c r="AHR121" s="225"/>
      <c r="AHS121" s="225"/>
      <c r="AHT121" s="225"/>
      <c r="AHU121" s="225"/>
      <c r="AHV121" s="225"/>
      <c r="AHW121" s="225"/>
      <c r="AHX121" s="225"/>
      <c r="AHY121" s="225"/>
      <c r="AHZ121" s="225"/>
      <c r="AIA121" s="225"/>
      <c r="AIB121" s="225"/>
      <c r="AIC121" s="225"/>
      <c r="AID121" s="225"/>
      <c r="AIE121" s="225"/>
      <c r="AIF121" s="225"/>
      <c r="AIG121" s="225"/>
      <c r="AIH121" s="225"/>
      <c r="AII121" s="225"/>
      <c r="AIJ121" s="225"/>
      <c r="AIK121" s="225"/>
      <c r="AIL121" s="225"/>
      <c r="AIM121" s="225"/>
      <c r="AIN121" s="225"/>
      <c r="AIO121" s="225"/>
      <c r="AIP121" s="225"/>
      <c r="AIQ121" s="225"/>
      <c r="AIR121" s="225"/>
      <c r="AIS121" s="225"/>
      <c r="AIT121" s="225"/>
      <c r="AIU121" s="225"/>
      <c r="AIV121" s="225"/>
      <c r="AIW121" s="225"/>
      <c r="AIX121" s="225"/>
      <c r="AIY121" s="225"/>
      <c r="AIZ121" s="225"/>
      <c r="AJA121" s="225"/>
      <c r="AJB121" s="225"/>
      <c r="AJC121" s="225"/>
      <c r="AJD121" s="225"/>
      <c r="AJE121" s="225"/>
      <c r="AJF121" s="225"/>
      <c r="AJG121" s="225"/>
      <c r="AJH121" s="225"/>
      <c r="AJI121" s="225"/>
      <c r="AJJ121" s="225"/>
      <c r="AJK121" s="225"/>
      <c r="AJL121" s="225"/>
      <c r="AJM121" s="225"/>
      <c r="AJN121" s="225"/>
      <c r="AJO121" s="225"/>
      <c r="AJP121" s="225"/>
      <c r="AJQ121" s="225"/>
      <c r="AJR121" s="225"/>
      <c r="AJS121" s="225"/>
      <c r="AJT121" s="225"/>
      <c r="AJU121" s="225"/>
      <c r="AJV121" s="225"/>
      <c r="AJW121" s="225"/>
      <c r="AJX121" s="225"/>
      <c r="AJY121" s="225"/>
      <c r="AJZ121" s="225"/>
      <c r="AKA121" s="225"/>
      <c r="AKB121" s="225"/>
      <c r="AKC121" s="225"/>
      <c r="AKD121" s="225"/>
      <c r="AKE121" s="225"/>
      <c r="AKF121" s="225"/>
      <c r="AKG121" s="225"/>
      <c r="AKH121" s="225"/>
      <c r="AKI121" s="225"/>
      <c r="AKJ121" s="225"/>
      <c r="AKK121" s="225"/>
      <c r="AKL121" s="225"/>
      <c r="AKM121" s="225"/>
      <c r="AKN121" s="225"/>
      <c r="AKO121" s="225"/>
      <c r="AKP121" s="225"/>
      <c r="AKQ121" s="225"/>
      <c r="AKR121" s="225"/>
      <c r="AKS121" s="225"/>
      <c r="AKT121" s="225"/>
      <c r="AKU121" s="225"/>
      <c r="AKV121" s="225"/>
      <c r="AKW121" s="225"/>
      <c r="AKX121" s="225"/>
      <c r="AKY121" s="225"/>
      <c r="AKZ121" s="225"/>
      <c r="ALA121" s="225"/>
      <c r="ALB121" s="225"/>
      <c r="ALC121" s="225"/>
      <c r="ALD121" s="225"/>
      <c r="ALE121" s="225"/>
      <c r="ALF121" s="225"/>
      <c r="ALG121" s="225"/>
      <c r="ALH121" s="225"/>
      <c r="ALI121" s="225"/>
      <c r="ALJ121" s="225"/>
      <c r="ALK121" s="225"/>
      <c r="ALL121" s="225"/>
      <c r="ALM121" s="225"/>
      <c r="ALN121" s="225"/>
      <c r="ALO121" s="225"/>
      <c r="ALP121" s="225"/>
      <c r="ALQ121" s="225"/>
      <c r="ALR121" s="225"/>
      <c r="ALS121" s="225"/>
      <c r="ALT121" s="225"/>
      <c r="ALU121" s="225"/>
      <c r="ALV121" s="225"/>
      <c r="ALW121" s="225"/>
      <c r="ALX121" s="225"/>
      <c r="ALY121" s="225"/>
      <c r="ALZ121" s="225"/>
      <c r="AMA121" s="225"/>
      <c r="AMB121" s="225"/>
      <c r="AMC121" s="225"/>
      <c r="AMD121" s="225"/>
      <c r="AME121" s="225"/>
      <c r="AMF121" s="225"/>
      <c r="AMG121" s="225"/>
      <c r="AMH121" s="225"/>
      <c r="AMI121" s="225"/>
      <c r="AMJ121" s="225"/>
      <c r="AMK121" s="225"/>
      <c r="AML121" s="225"/>
      <c r="AMM121" s="225"/>
      <c r="AMN121" s="225"/>
      <c r="AMO121" s="225"/>
      <c r="AMP121" s="225"/>
      <c r="AMQ121" s="225"/>
      <c r="AMR121" s="225"/>
      <c r="AMS121" s="225"/>
      <c r="AMT121" s="225"/>
      <c r="AMU121" s="225"/>
      <c r="AMV121" s="225"/>
      <c r="AMW121" s="225"/>
      <c r="AMX121" s="225"/>
      <c r="AMY121" s="225"/>
      <c r="AMZ121" s="225"/>
      <c r="ANA121" s="225"/>
      <c r="ANB121" s="225"/>
      <c r="ANC121" s="225"/>
      <c r="AND121" s="225"/>
      <c r="ANE121" s="225"/>
      <c r="ANF121" s="225"/>
      <c r="ANG121" s="225"/>
      <c r="ANH121" s="225"/>
      <c r="ANI121" s="225"/>
      <c r="ANJ121" s="225"/>
      <c r="ANK121" s="225"/>
      <c r="ANL121" s="225"/>
      <c r="ANM121" s="225"/>
      <c r="ANN121" s="225"/>
      <c r="ANO121" s="225"/>
      <c r="ANP121" s="225"/>
      <c r="ANQ121" s="225"/>
      <c r="ANR121" s="225"/>
      <c r="ANS121" s="225"/>
      <c r="ANT121" s="225"/>
      <c r="ANU121" s="225"/>
      <c r="ANV121" s="225"/>
      <c r="ANW121" s="225"/>
      <c r="ANX121" s="225"/>
      <c r="ANY121" s="225"/>
      <c r="ANZ121" s="225"/>
      <c r="AOA121" s="225"/>
      <c r="AOB121" s="225"/>
      <c r="AOC121" s="225"/>
      <c r="AOD121" s="225"/>
      <c r="AOE121" s="225"/>
      <c r="AOF121" s="225"/>
      <c r="AOG121" s="225"/>
      <c r="AOH121" s="225"/>
      <c r="AOI121" s="225"/>
      <c r="AOJ121" s="225"/>
      <c r="AOK121" s="225"/>
      <c r="AOL121" s="225"/>
      <c r="AOM121" s="225"/>
      <c r="AON121" s="225"/>
      <c r="AOO121" s="225"/>
      <c r="AOP121" s="225"/>
      <c r="AOQ121" s="225"/>
      <c r="AOR121" s="225"/>
      <c r="AOS121" s="225"/>
      <c r="AOT121" s="225"/>
      <c r="AOU121" s="225"/>
      <c r="AOV121" s="225"/>
      <c r="AOW121" s="225"/>
      <c r="AOX121" s="225"/>
      <c r="AOY121" s="225"/>
      <c r="AOZ121" s="225"/>
      <c r="APA121" s="225"/>
      <c r="APB121" s="225"/>
      <c r="APC121" s="225"/>
      <c r="APD121" s="225"/>
      <c r="APE121" s="225"/>
      <c r="APF121" s="225"/>
      <c r="APG121" s="225"/>
      <c r="APH121" s="225"/>
      <c r="API121" s="225"/>
      <c r="APJ121" s="225"/>
      <c r="APK121" s="225"/>
      <c r="APL121" s="225"/>
      <c r="APM121" s="225"/>
      <c r="APN121" s="225"/>
      <c r="APO121" s="225"/>
      <c r="APP121" s="225"/>
      <c r="APQ121" s="225"/>
      <c r="APR121" s="225"/>
      <c r="APS121" s="225"/>
      <c r="APT121" s="225"/>
      <c r="APU121" s="225"/>
      <c r="APV121" s="225"/>
      <c r="APW121" s="225"/>
      <c r="APX121" s="225"/>
      <c r="APY121" s="225"/>
      <c r="APZ121" s="225"/>
      <c r="AQA121" s="225"/>
      <c r="AQB121" s="225"/>
      <c r="AQC121" s="225"/>
      <c r="AQD121" s="225"/>
      <c r="AQE121" s="225"/>
      <c r="AQF121" s="225"/>
      <c r="AQG121" s="225"/>
      <c r="AQH121" s="225"/>
      <c r="AQI121" s="225"/>
      <c r="AQJ121" s="225"/>
      <c r="AQK121" s="225"/>
      <c r="AQL121" s="225"/>
      <c r="AQM121" s="225"/>
      <c r="AQN121" s="225"/>
      <c r="AQO121" s="225"/>
      <c r="AQP121" s="225"/>
      <c r="AQQ121" s="225"/>
      <c r="AQR121" s="225"/>
      <c r="AQS121" s="225"/>
      <c r="AQT121" s="225"/>
      <c r="AQU121" s="225"/>
      <c r="AQV121" s="225"/>
      <c r="AQW121" s="225"/>
      <c r="AQX121" s="225"/>
      <c r="AQY121" s="225"/>
      <c r="AQZ121" s="225"/>
      <c r="ARA121" s="225"/>
      <c r="ARB121" s="225"/>
      <c r="ARC121" s="225"/>
      <c r="ARD121" s="225"/>
      <c r="ARE121" s="225"/>
      <c r="ARF121" s="225"/>
      <c r="ARG121" s="225"/>
      <c r="ARH121" s="225"/>
      <c r="ARI121" s="225"/>
      <c r="ARJ121" s="225"/>
      <c r="ARK121" s="225"/>
      <c r="ARL121" s="225"/>
      <c r="ARM121" s="225"/>
      <c r="ARN121" s="225"/>
      <c r="ARO121" s="225"/>
      <c r="ARP121" s="225"/>
      <c r="ARQ121" s="225"/>
      <c r="ARR121" s="225"/>
      <c r="ARS121" s="225"/>
      <c r="ART121" s="225"/>
      <c r="ARU121" s="225"/>
      <c r="ARV121" s="225"/>
      <c r="ARW121" s="225"/>
      <c r="ARX121" s="225"/>
      <c r="ARY121" s="225"/>
      <c r="ARZ121" s="225"/>
      <c r="ASA121" s="225"/>
      <c r="ASB121" s="225"/>
      <c r="ASC121" s="225"/>
      <c r="ASD121" s="225"/>
      <c r="ASE121" s="225"/>
      <c r="ASF121" s="225"/>
      <c r="ASG121" s="225"/>
      <c r="ASH121" s="225"/>
      <c r="ASI121" s="225"/>
      <c r="ASJ121" s="225"/>
      <c r="ASK121" s="225"/>
      <c r="ASL121" s="225"/>
      <c r="ASM121" s="225"/>
      <c r="ASN121" s="225"/>
      <c r="ASO121" s="225"/>
      <c r="ASP121" s="225"/>
      <c r="ASQ121" s="225"/>
      <c r="ASR121" s="225"/>
      <c r="ASS121" s="225"/>
      <c r="AST121" s="225"/>
      <c r="ASU121" s="225"/>
      <c r="ASV121" s="225"/>
      <c r="ASW121" s="225"/>
      <c r="ASX121" s="225"/>
      <c r="ASY121" s="225"/>
      <c r="ASZ121" s="225"/>
      <c r="ATA121" s="225"/>
      <c r="ATB121" s="225"/>
      <c r="ATC121" s="225"/>
      <c r="ATD121" s="225"/>
      <c r="ATE121" s="225"/>
      <c r="ATF121" s="225"/>
      <c r="ATG121" s="225"/>
      <c r="ATH121" s="225"/>
      <c r="ATI121" s="225"/>
      <c r="ATJ121" s="225"/>
      <c r="ATK121" s="225"/>
      <c r="ATL121" s="225"/>
      <c r="ATM121" s="225"/>
      <c r="ATN121" s="225"/>
      <c r="ATO121" s="225"/>
      <c r="ATP121" s="225"/>
      <c r="ATQ121" s="225"/>
      <c r="ATR121" s="225"/>
      <c r="ATS121" s="225"/>
      <c r="ATT121" s="225"/>
      <c r="ATU121" s="225"/>
      <c r="ATV121" s="225"/>
      <c r="ATW121" s="225"/>
      <c r="ATX121" s="225"/>
      <c r="ATY121" s="225"/>
      <c r="ATZ121" s="225"/>
      <c r="AUA121" s="225"/>
      <c r="AUB121" s="225"/>
      <c r="AUC121" s="225"/>
      <c r="AUD121" s="225"/>
      <c r="AUE121" s="225"/>
      <c r="AUF121" s="225"/>
      <c r="AUG121" s="225"/>
      <c r="AUH121" s="225"/>
      <c r="AUI121" s="225"/>
      <c r="AUJ121" s="225"/>
      <c r="AUK121" s="225"/>
      <c r="AUL121" s="225"/>
      <c r="AUM121" s="225"/>
      <c r="AUN121" s="225"/>
      <c r="AUO121" s="225"/>
      <c r="AUP121" s="225"/>
      <c r="AUQ121" s="225"/>
      <c r="AUR121" s="225"/>
      <c r="AUS121" s="225"/>
      <c r="AUT121" s="225"/>
      <c r="AUU121" s="225"/>
      <c r="AUV121" s="225"/>
      <c r="AUW121" s="225"/>
      <c r="AUX121" s="225"/>
      <c r="AUY121" s="225"/>
      <c r="AUZ121" s="225"/>
      <c r="AVA121" s="225"/>
      <c r="AVB121" s="225"/>
      <c r="AVC121" s="225"/>
      <c r="AVD121" s="225"/>
      <c r="AVE121" s="225"/>
      <c r="AVF121" s="225"/>
      <c r="AVG121" s="225"/>
      <c r="AVH121" s="225"/>
      <c r="AVI121" s="225"/>
      <c r="AVJ121" s="225"/>
      <c r="AVK121" s="225"/>
      <c r="AVL121" s="225"/>
      <c r="AVM121" s="225"/>
      <c r="AVN121" s="225"/>
      <c r="AVO121" s="225"/>
      <c r="AVP121" s="225"/>
      <c r="AVQ121" s="225"/>
      <c r="AVR121" s="225"/>
      <c r="AVS121" s="225"/>
      <c r="AVT121" s="225"/>
      <c r="AVU121" s="225"/>
      <c r="AVV121" s="225"/>
      <c r="AVW121" s="225"/>
      <c r="AVX121" s="225"/>
      <c r="AVY121" s="225"/>
      <c r="AVZ121" s="225"/>
      <c r="AWA121" s="225"/>
      <c r="AWB121" s="225"/>
      <c r="AWC121" s="225"/>
      <c r="AWD121" s="225"/>
      <c r="AWE121" s="225"/>
      <c r="AWF121" s="225"/>
      <c r="AWG121" s="225"/>
      <c r="AWH121" s="225"/>
      <c r="AWI121" s="225"/>
      <c r="AWJ121" s="225"/>
      <c r="AWK121" s="225"/>
      <c r="AWL121" s="225"/>
      <c r="AWM121" s="225"/>
      <c r="AWN121" s="225"/>
      <c r="AWO121" s="225"/>
      <c r="AWP121" s="225"/>
      <c r="AWQ121" s="225"/>
      <c r="AWR121" s="225"/>
      <c r="AWS121" s="225"/>
      <c r="AWT121" s="225"/>
      <c r="AWU121" s="225"/>
      <c r="AWV121" s="225"/>
      <c r="AWW121" s="225"/>
      <c r="AWX121" s="225"/>
      <c r="AWY121" s="225"/>
      <c r="AWZ121" s="225"/>
      <c r="AXA121" s="225"/>
      <c r="AXB121" s="225"/>
      <c r="AXC121" s="225"/>
      <c r="AXD121" s="225"/>
      <c r="AXE121" s="225"/>
      <c r="AXF121" s="225"/>
      <c r="AXG121" s="225"/>
      <c r="AXH121" s="225"/>
      <c r="AXI121" s="225"/>
      <c r="AXJ121" s="225"/>
      <c r="AXK121" s="225"/>
      <c r="AXL121" s="225"/>
      <c r="AXM121" s="225"/>
      <c r="AXN121" s="225"/>
      <c r="AXO121" s="225"/>
      <c r="AXP121" s="225"/>
      <c r="AXQ121" s="225"/>
      <c r="AXR121" s="225"/>
      <c r="AXS121" s="225"/>
      <c r="AXT121" s="225"/>
      <c r="AXU121" s="225"/>
      <c r="AXV121" s="225"/>
      <c r="AXW121" s="225"/>
      <c r="AXX121" s="225"/>
      <c r="AXY121" s="225"/>
      <c r="AXZ121" s="225"/>
      <c r="AYA121" s="225"/>
      <c r="AYB121" s="225"/>
      <c r="AYC121" s="225"/>
      <c r="AYD121" s="225"/>
      <c r="AYE121" s="225"/>
      <c r="AYF121" s="225"/>
      <c r="AYG121" s="225"/>
      <c r="AYH121" s="225"/>
      <c r="AYI121" s="225"/>
      <c r="AYJ121" s="225"/>
      <c r="AYK121" s="225"/>
      <c r="AYL121" s="225"/>
      <c r="AYM121" s="225"/>
      <c r="AYN121" s="225"/>
      <c r="AYO121" s="225"/>
      <c r="AYP121" s="225"/>
      <c r="AYQ121" s="225"/>
      <c r="AYR121" s="225"/>
      <c r="AYS121" s="225"/>
      <c r="AYT121" s="225"/>
      <c r="AYU121" s="225"/>
      <c r="AYV121" s="225"/>
      <c r="AYW121" s="225"/>
      <c r="AYX121" s="225"/>
      <c r="AYY121" s="225"/>
      <c r="AYZ121" s="225"/>
      <c r="AZA121" s="225"/>
      <c r="AZB121" s="225"/>
      <c r="AZC121" s="225"/>
      <c r="AZD121" s="225"/>
      <c r="AZE121" s="225"/>
      <c r="AZF121" s="225"/>
      <c r="AZG121" s="225"/>
      <c r="AZH121" s="225"/>
      <c r="AZI121" s="225"/>
      <c r="AZJ121" s="225"/>
      <c r="AZK121" s="225"/>
      <c r="AZL121" s="225"/>
      <c r="AZM121" s="225"/>
      <c r="AZN121" s="225"/>
      <c r="AZO121" s="225"/>
      <c r="AZP121" s="225"/>
      <c r="AZQ121" s="225"/>
      <c r="AZR121" s="225"/>
      <c r="AZS121" s="225"/>
      <c r="AZT121" s="225"/>
      <c r="AZU121" s="225"/>
      <c r="AZV121" s="225"/>
      <c r="AZW121" s="225"/>
      <c r="AZX121" s="225"/>
      <c r="AZY121" s="225"/>
      <c r="AZZ121" s="225"/>
      <c r="BAA121" s="225"/>
      <c r="BAB121" s="225"/>
      <c r="BAC121" s="225"/>
      <c r="BAD121" s="225"/>
      <c r="BAE121" s="225"/>
      <c r="BAF121" s="225"/>
      <c r="BAG121" s="225"/>
      <c r="BAH121" s="225"/>
      <c r="BAI121" s="225"/>
      <c r="BAJ121" s="225"/>
      <c r="BAK121" s="225"/>
      <c r="BAL121" s="225"/>
      <c r="BAM121" s="225"/>
      <c r="BAN121" s="225"/>
      <c r="BAO121" s="225"/>
      <c r="BAP121" s="225"/>
      <c r="BAQ121" s="225"/>
      <c r="BAR121" s="225"/>
      <c r="BAS121" s="225"/>
      <c r="BAT121" s="225"/>
      <c r="BAU121" s="225"/>
      <c r="BAV121" s="225"/>
      <c r="BAW121" s="225"/>
      <c r="BAX121" s="225"/>
      <c r="BAY121" s="225"/>
      <c r="BAZ121" s="225"/>
      <c r="BBA121" s="225"/>
      <c r="BBB121" s="225"/>
      <c r="BBC121" s="225"/>
      <c r="BBD121" s="225"/>
      <c r="BBE121" s="225"/>
      <c r="BBF121" s="225"/>
      <c r="BBG121" s="225"/>
      <c r="BBH121" s="225"/>
      <c r="BBI121" s="225"/>
      <c r="BBJ121" s="225"/>
      <c r="BBK121" s="225"/>
      <c r="BBL121" s="225"/>
      <c r="BBM121" s="225"/>
      <c r="BBN121" s="225"/>
      <c r="BBO121" s="225"/>
      <c r="BBP121" s="225"/>
      <c r="BBQ121" s="225"/>
      <c r="BBR121" s="225"/>
      <c r="BBS121" s="225"/>
      <c r="BBT121" s="225"/>
      <c r="BBU121" s="225"/>
      <c r="BBV121" s="225"/>
      <c r="BBW121" s="225"/>
      <c r="BBX121" s="225"/>
      <c r="BBY121" s="225"/>
      <c r="BBZ121" s="225"/>
      <c r="BCA121" s="225"/>
      <c r="BCB121" s="225"/>
      <c r="BCC121" s="225"/>
      <c r="BCD121" s="225"/>
      <c r="BCE121" s="225"/>
      <c r="BCF121" s="225"/>
      <c r="BCG121" s="225"/>
      <c r="BCH121" s="225"/>
      <c r="BCI121" s="225"/>
      <c r="BCJ121" s="225"/>
      <c r="BCK121" s="225"/>
      <c r="BCL121" s="225"/>
      <c r="BCM121" s="225"/>
      <c r="BCN121" s="225"/>
      <c r="BCO121" s="225"/>
      <c r="BCP121" s="225"/>
      <c r="BCQ121" s="225"/>
      <c r="BCR121" s="225"/>
      <c r="BCS121" s="225"/>
      <c r="BCT121" s="225"/>
      <c r="BCU121" s="225"/>
      <c r="BCV121" s="225"/>
      <c r="BCW121" s="225"/>
      <c r="BCX121" s="225"/>
      <c r="BCY121" s="225"/>
      <c r="BCZ121" s="225"/>
      <c r="BDA121" s="225"/>
      <c r="BDB121" s="225"/>
      <c r="BDC121" s="225"/>
      <c r="BDD121" s="225"/>
      <c r="BDE121" s="225"/>
      <c r="BDF121" s="225"/>
      <c r="BDG121" s="225"/>
      <c r="BDH121" s="225"/>
      <c r="BDI121" s="225"/>
      <c r="BDJ121" s="225"/>
      <c r="BDK121" s="225"/>
      <c r="BDL121" s="225"/>
      <c r="BDM121" s="225"/>
      <c r="BDN121" s="225"/>
      <c r="BDO121" s="225"/>
      <c r="BDP121" s="225"/>
      <c r="BDQ121" s="225"/>
      <c r="BDR121" s="225"/>
      <c r="BDS121" s="225"/>
      <c r="BDT121" s="225"/>
      <c r="BDU121" s="225"/>
      <c r="BDV121" s="225"/>
      <c r="BDW121" s="225"/>
      <c r="BDX121" s="225"/>
      <c r="BDY121" s="225"/>
      <c r="BDZ121" s="225"/>
      <c r="BEA121" s="225"/>
      <c r="BEB121" s="225"/>
      <c r="BEC121" s="225"/>
      <c r="BED121" s="225"/>
      <c r="BEE121" s="225"/>
      <c r="BEF121" s="225"/>
      <c r="BEG121" s="225"/>
      <c r="BEH121" s="225"/>
      <c r="BEI121" s="225"/>
      <c r="BEJ121" s="225"/>
      <c r="BEK121" s="225"/>
      <c r="BEL121" s="225"/>
      <c r="BEM121" s="225"/>
      <c r="BEN121" s="225"/>
      <c r="BEO121" s="225"/>
      <c r="BEP121" s="225"/>
      <c r="BEQ121" s="225"/>
      <c r="BER121" s="225"/>
      <c r="BES121" s="225"/>
      <c r="BET121" s="225"/>
      <c r="BEU121" s="225"/>
      <c r="BEV121" s="225"/>
      <c r="BEW121" s="225"/>
      <c r="BEX121" s="225"/>
      <c r="BEY121" s="225"/>
      <c r="BEZ121" s="225"/>
      <c r="BFA121" s="225"/>
      <c r="BFB121" s="225"/>
      <c r="BFC121" s="225"/>
      <c r="BFD121" s="225"/>
      <c r="BFE121" s="225"/>
      <c r="BFF121" s="225"/>
      <c r="BFG121" s="225"/>
      <c r="BFH121" s="225"/>
      <c r="BFI121" s="225"/>
      <c r="BFJ121" s="225"/>
      <c r="BFK121" s="225"/>
      <c r="BFL121" s="225"/>
      <c r="BFM121" s="225"/>
      <c r="BFN121" s="225"/>
      <c r="BFO121" s="225"/>
      <c r="BFP121" s="225"/>
      <c r="BFQ121" s="225"/>
      <c r="BFR121" s="225"/>
      <c r="BFS121" s="225"/>
      <c r="BFT121" s="225"/>
      <c r="BFU121" s="225"/>
      <c r="BFV121" s="225"/>
      <c r="BFW121" s="225"/>
      <c r="BFX121" s="225"/>
      <c r="BFY121" s="225"/>
      <c r="BFZ121" s="225"/>
      <c r="BGA121" s="225"/>
      <c r="BGB121" s="225"/>
      <c r="BGC121" s="225"/>
      <c r="BGD121" s="225"/>
      <c r="BGE121" s="225"/>
      <c r="BGF121" s="225"/>
      <c r="BGG121" s="225"/>
      <c r="BGH121" s="225"/>
      <c r="BGI121" s="225"/>
      <c r="BGJ121" s="225"/>
      <c r="BGK121" s="225"/>
      <c r="BGL121" s="225"/>
      <c r="BGM121" s="225"/>
      <c r="BGN121" s="225"/>
      <c r="BGO121" s="225"/>
      <c r="BGP121" s="225"/>
      <c r="BGQ121" s="225"/>
      <c r="BGR121" s="225"/>
      <c r="BGS121" s="225"/>
      <c r="BGT121" s="225"/>
      <c r="BGU121" s="225"/>
      <c r="BGV121" s="225"/>
      <c r="BGW121" s="225"/>
      <c r="BGX121" s="225"/>
      <c r="BGY121" s="225"/>
      <c r="BGZ121" s="225"/>
      <c r="BHA121" s="225"/>
      <c r="BHB121" s="225"/>
      <c r="BHC121" s="225"/>
      <c r="BHD121" s="225"/>
      <c r="BHE121" s="225"/>
      <c r="BHF121" s="225"/>
      <c r="BHG121" s="225"/>
      <c r="BHH121" s="225"/>
      <c r="BHI121" s="225"/>
      <c r="BHJ121" s="225"/>
      <c r="BHK121" s="225"/>
      <c r="BHL121" s="225"/>
      <c r="BHM121" s="225"/>
      <c r="BHN121" s="225"/>
      <c r="BHO121" s="225"/>
      <c r="BHP121" s="225"/>
      <c r="BHQ121" s="225"/>
      <c r="BHR121" s="225"/>
      <c r="BHS121" s="225"/>
      <c r="BHT121" s="225"/>
      <c r="BHU121" s="225"/>
      <c r="BHV121" s="225"/>
      <c r="BHW121" s="225"/>
      <c r="BHX121" s="225"/>
      <c r="BHY121" s="225"/>
      <c r="BHZ121" s="225"/>
      <c r="BIA121" s="225"/>
      <c r="BIB121" s="225"/>
      <c r="BIC121" s="225"/>
      <c r="BID121" s="225"/>
      <c r="BIE121" s="225"/>
      <c r="BIF121" s="225"/>
      <c r="BIG121" s="225"/>
      <c r="BIH121" s="225"/>
      <c r="BII121" s="225"/>
      <c r="BIJ121" s="225"/>
      <c r="BIK121" s="225"/>
      <c r="BIL121" s="225"/>
      <c r="BIM121" s="225"/>
      <c r="BIN121" s="225"/>
      <c r="BIO121" s="225"/>
      <c r="BIP121" s="225"/>
      <c r="BIQ121" s="225"/>
      <c r="BIR121" s="225"/>
      <c r="BIS121" s="225"/>
      <c r="BIT121" s="225"/>
      <c r="BIU121" s="225"/>
      <c r="BIV121" s="225"/>
      <c r="BIW121" s="225"/>
      <c r="BIX121" s="225"/>
      <c r="BIY121" s="225"/>
      <c r="BIZ121" s="225"/>
      <c r="BJA121" s="225"/>
      <c r="BJB121" s="225"/>
      <c r="BJC121" s="225"/>
      <c r="BJD121" s="225"/>
      <c r="BJE121" s="225"/>
      <c r="BJF121" s="225"/>
      <c r="BJG121" s="225"/>
      <c r="BJH121" s="225"/>
      <c r="BJI121" s="225"/>
      <c r="BJJ121" s="225"/>
      <c r="BJK121" s="225"/>
      <c r="BJL121" s="225"/>
      <c r="BJM121" s="225"/>
      <c r="BJN121" s="225"/>
      <c r="BJO121" s="225"/>
      <c r="BJP121" s="225"/>
      <c r="BJQ121" s="225"/>
      <c r="BJR121" s="225"/>
      <c r="BJS121" s="225"/>
      <c r="BJT121" s="225"/>
      <c r="BJU121" s="225"/>
      <c r="BJV121" s="225"/>
      <c r="BJW121" s="225"/>
      <c r="BJX121" s="225"/>
      <c r="BJY121" s="225"/>
      <c r="BJZ121" s="225"/>
      <c r="BKA121" s="225"/>
      <c r="BKB121" s="225"/>
      <c r="BKC121" s="225"/>
      <c r="BKD121" s="225"/>
      <c r="BKE121" s="225"/>
      <c r="BKF121" s="225"/>
      <c r="BKG121" s="225"/>
      <c r="BKH121" s="225"/>
      <c r="BKI121" s="225"/>
      <c r="BKJ121" s="225"/>
      <c r="BKK121" s="225"/>
      <c r="BKL121" s="225"/>
      <c r="BKM121" s="225"/>
      <c r="BKN121" s="225"/>
      <c r="BKO121" s="225"/>
      <c r="BKP121" s="225"/>
      <c r="BKQ121" s="225"/>
      <c r="BKR121" s="225"/>
      <c r="BKS121" s="225"/>
      <c r="BKT121" s="225"/>
      <c r="BKU121" s="225"/>
      <c r="BKV121" s="225"/>
      <c r="BKW121" s="225"/>
      <c r="BKX121" s="225"/>
      <c r="BKY121" s="225"/>
      <c r="BKZ121" s="225"/>
      <c r="BLA121" s="225"/>
      <c r="BLB121" s="225"/>
      <c r="BLC121" s="225"/>
      <c r="BLD121" s="225"/>
      <c r="BLE121" s="225"/>
      <c r="BLF121" s="225"/>
      <c r="BLG121" s="225"/>
      <c r="BLH121" s="225"/>
      <c r="BLI121" s="225"/>
      <c r="BLJ121" s="225"/>
      <c r="BLK121" s="225"/>
      <c r="BLL121" s="225"/>
      <c r="BLM121" s="225"/>
      <c r="BLN121" s="225"/>
      <c r="BLO121" s="225"/>
      <c r="BLP121" s="225"/>
      <c r="BLQ121" s="225"/>
      <c r="BLR121" s="225"/>
      <c r="BLS121" s="225"/>
      <c r="BLT121" s="225"/>
      <c r="BLU121" s="225"/>
      <c r="BLV121" s="225"/>
      <c r="BLW121" s="225"/>
      <c r="BLX121" s="225"/>
      <c r="BLY121" s="225"/>
      <c r="BLZ121" s="225"/>
      <c r="BMA121" s="225"/>
      <c r="BMB121" s="225"/>
      <c r="BMC121" s="225"/>
      <c r="BMD121" s="225"/>
      <c r="BME121" s="225"/>
      <c r="BMF121" s="225"/>
      <c r="BMG121" s="225"/>
      <c r="BMH121" s="225"/>
      <c r="BMI121" s="225"/>
      <c r="BMJ121" s="225"/>
      <c r="BMK121" s="225"/>
      <c r="BML121" s="225"/>
      <c r="BMM121" s="225"/>
      <c r="BMN121" s="225"/>
      <c r="BMO121" s="225"/>
      <c r="BMP121" s="225"/>
      <c r="BMQ121" s="225"/>
      <c r="BMR121" s="225"/>
      <c r="BMS121" s="225"/>
      <c r="BMT121" s="225"/>
      <c r="BMU121" s="225"/>
      <c r="BMV121" s="225"/>
      <c r="BMW121" s="225"/>
      <c r="BMX121" s="225"/>
      <c r="BMY121" s="225"/>
      <c r="BMZ121" s="225"/>
      <c r="BNA121" s="225"/>
      <c r="BNB121" s="225"/>
      <c r="BNC121" s="225"/>
      <c r="BND121" s="225"/>
      <c r="BNE121" s="225"/>
      <c r="BNF121" s="225"/>
      <c r="BNG121" s="225"/>
      <c r="BNH121" s="225"/>
      <c r="BNI121" s="225"/>
      <c r="BNJ121" s="225"/>
      <c r="BNK121" s="225"/>
      <c r="BNL121" s="225"/>
      <c r="BNM121" s="225"/>
      <c r="BNN121" s="225"/>
      <c r="BNO121" s="225"/>
      <c r="BNP121" s="225"/>
      <c r="BNQ121" s="225"/>
      <c r="BNR121" s="225"/>
      <c r="BNS121" s="225"/>
      <c r="BNT121" s="225"/>
      <c r="BNU121" s="225"/>
      <c r="BNV121" s="225"/>
      <c r="BNW121" s="225"/>
      <c r="BNX121" s="225"/>
      <c r="BNY121" s="225"/>
      <c r="BNZ121" s="225"/>
      <c r="BOA121" s="225"/>
      <c r="BOB121" s="225"/>
      <c r="BOC121" s="225"/>
      <c r="BOD121" s="225"/>
      <c r="BOE121" s="225"/>
      <c r="BOF121" s="225"/>
      <c r="BOG121" s="225"/>
      <c r="BOH121" s="225"/>
      <c r="BOI121" s="225"/>
      <c r="BOJ121" s="225"/>
      <c r="BOK121" s="225"/>
      <c r="BOL121" s="225"/>
      <c r="BOM121" s="225"/>
      <c r="BON121" s="225"/>
      <c r="BOO121" s="225"/>
      <c r="BOP121" s="225"/>
      <c r="BOQ121" s="225"/>
      <c r="BOR121" s="225"/>
      <c r="BOS121" s="225"/>
      <c r="BOT121" s="225"/>
      <c r="BOU121" s="225"/>
      <c r="BOV121" s="225"/>
      <c r="BOW121" s="225"/>
      <c r="BOX121" s="225"/>
      <c r="BOY121" s="225"/>
      <c r="BOZ121" s="225"/>
      <c r="BPA121" s="225"/>
      <c r="BPB121" s="225"/>
      <c r="BPC121" s="225"/>
      <c r="BPD121" s="225"/>
      <c r="BPE121" s="225"/>
      <c r="BPF121" s="225"/>
      <c r="BPG121" s="225"/>
      <c r="BPH121" s="225"/>
      <c r="BPI121" s="225"/>
      <c r="BPJ121" s="225"/>
      <c r="BPK121" s="225"/>
      <c r="BPL121" s="225"/>
      <c r="BPM121" s="225"/>
      <c r="BPN121" s="225"/>
      <c r="BPO121" s="225"/>
      <c r="BPP121" s="225"/>
      <c r="BPQ121" s="225"/>
      <c r="BPR121" s="225"/>
      <c r="BPS121" s="225"/>
      <c r="BPT121" s="225"/>
      <c r="BPU121" s="225"/>
      <c r="BPV121" s="225"/>
      <c r="BPW121" s="225"/>
      <c r="BPX121" s="225"/>
      <c r="BPY121" s="225"/>
      <c r="BPZ121" s="225"/>
      <c r="BQA121" s="225"/>
      <c r="BQB121" s="225"/>
      <c r="BQC121" s="225"/>
      <c r="BQD121" s="225"/>
      <c r="BQE121" s="225"/>
      <c r="BQF121" s="225"/>
      <c r="BQG121" s="225"/>
      <c r="BQH121" s="225"/>
      <c r="BQI121" s="225"/>
      <c r="BQJ121" s="225"/>
      <c r="BQK121" s="225"/>
      <c r="BQL121" s="225"/>
      <c r="BQM121" s="225"/>
      <c r="BQN121" s="225"/>
      <c r="BQO121" s="225"/>
      <c r="BQP121" s="225"/>
      <c r="BQQ121" s="225"/>
      <c r="BQR121" s="225"/>
      <c r="BQS121" s="225"/>
      <c r="BQT121" s="225"/>
      <c r="BQU121" s="225"/>
      <c r="BQV121" s="225"/>
      <c r="BQW121" s="225"/>
      <c r="BQX121" s="225"/>
      <c r="BQY121" s="225"/>
      <c r="BQZ121" s="225"/>
      <c r="BRA121" s="225"/>
      <c r="BRB121" s="225"/>
      <c r="BRC121" s="225"/>
      <c r="BRD121" s="225"/>
      <c r="BRE121" s="225"/>
      <c r="BRF121" s="225"/>
      <c r="BRG121" s="225"/>
      <c r="BRH121" s="225"/>
      <c r="BRI121" s="225"/>
      <c r="BRJ121" s="225"/>
      <c r="BRK121" s="225"/>
      <c r="BRL121" s="225"/>
      <c r="BRM121" s="225"/>
      <c r="BRN121" s="225"/>
      <c r="BRO121" s="225"/>
      <c r="BRP121" s="225"/>
      <c r="BRQ121" s="225"/>
      <c r="BRR121" s="225"/>
      <c r="BRS121" s="225"/>
      <c r="BRT121" s="225"/>
      <c r="BRU121" s="225"/>
      <c r="BRV121" s="225"/>
      <c r="BRW121" s="225"/>
      <c r="BRX121" s="225"/>
      <c r="BRY121" s="225"/>
      <c r="BRZ121" s="225"/>
      <c r="BSA121" s="225"/>
      <c r="BSB121" s="225"/>
      <c r="BSC121" s="225"/>
      <c r="BSD121" s="225"/>
      <c r="BSE121" s="225"/>
      <c r="BSF121" s="225"/>
      <c r="BSG121" s="225"/>
      <c r="BSH121" s="225"/>
      <c r="BSI121" s="225"/>
      <c r="BSJ121" s="225"/>
      <c r="BSK121" s="225"/>
      <c r="BSL121" s="225"/>
      <c r="BSM121" s="225"/>
      <c r="BSN121" s="225"/>
      <c r="BSO121" s="225"/>
      <c r="BSP121" s="225"/>
      <c r="BSQ121" s="225"/>
      <c r="BSR121" s="225"/>
      <c r="BSS121" s="225"/>
      <c r="BST121" s="225"/>
      <c r="BSU121" s="225"/>
      <c r="BSV121" s="225"/>
      <c r="BSW121" s="225"/>
      <c r="BSX121" s="225"/>
      <c r="BSY121" s="225"/>
      <c r="BSZ121" s="225"/>
      <c r="BTA121" s="225"/>
      <c r="BTB121" s="225"/>
      <c r="BTC121" s="225"/>
      <c r="BTD121" s="225"/>
      <c r="BTE121" s="225"/>
      <c r="BTF121" s="225"/>
      <c r="BTG121" s="225"/>
      <c r="BTH121" s="225"/>
      <c r="BTI121" s="225"/>
      <c r="BTJ121" s="225"/>
      <c r="BTK121" s="225"/>
      <c r="BTL121" s="225"/>
      <c r="BTM121" s="225"/>
      <c r="BTN121" s="225"/>
      <c r="BTO121" s="225"/>
      <c r="BTP121" s="225"/>
      <c r="BTQ121" s="225"/>
      <c r="BTR121" s="225"/>
      <c r="BTS121" s="225"/>
      <c r="BTT121" s="225"/>
      <c r="BTU121" s="225"/>
      <c r="BTV121" s="225"/>
      <c r="BTW121" s="225"/>
      <c r="BTX121" s="225"/>
      <c r="BTY121" s="225"/>
      <c r="BTZ121" s="225"/>
      <c r="BUA121" s="225"/>
      <c r="BUB121" s="225"/>
      <c r="BUC121" s="225"/>
      <c r="BUD121" s="225"/>
      <c r="BUE121" s="225"/>
      <c r="BUF121" s="225"/>
      <c r="BUG121" s="225"/>
      <c r="BUH121" s="225"/>
      <c r="BUI121" s="225"/>
      <c r="BUJ121" s="225"/>
      <c r="BUK121" s="225"/>
      <c r="BUL121" s="225"/>
      <c r="BUM121" s="225"/>
      <c r="BUN121" s="225"/>
      <c r="BUO121" s="225"/>
      <c r="BUP121" s="225"/>
      <c r="BUQ121" s="225"/>
      <c r="BUR121" s="225"/>
      <c r="BUS121" s="225"/>
      <c r="BUT121" s="225"/>
      <c r="BUU121" s="225"/>
      <c r="BUV121" s="225"/>
      <c r="BUW121" s="225"/>
      <c r="BUX121" s="225"/>
      <c r="BUY121" s="225"/>
      <c r="BUZ121" s="225"/>
      <c r="BVA121" s="225"/>
      <c r="BVB121" s="225"/>
      <c r="BVC121" s="225"/>
      <c r="BVD121" s="225"/>
      <c r="BVE121" s="225"/>
      <c r="BVF121" s="225"/>
      <c r="BVG121" s="225"/>
      <c r="BVH121" s="225"/>
      <c r="BVI121" s="225"/>
      <c r="BVJ121" s="225"/>
      <c r="BVK121" s="225"/>
      <c r="BVL121" s="225"/>
      <c r="BVM121" s="225"/>
      <c r="BVN121" s="225"/>
      <c r="BVO121" s="225"/>
      <c r="BVP121" s="225"/>
      <c r="BVQ121" s="225"/>
      <c r="BVR121" s="225"/>
      <c r="BVS121" s="225"/>
      <c r="BVT121" s="225"/>
      <c r="BVU121" s="225"/>
      <c r="BVV121" s="225"/>
      <c r="BVW121" s="225"/>
      <c r="BVX121" s="225"/>
      <c r="BVY121" s="225"/>
      <c r="BVZ121" s="225"/>
      <c r="BWA121" s="225"/>
      <c r="BWB121" s="225"/>
      <c r="BWC121" s="225"/>
      <c r="BWD121" s="225"/>
      <c r="BWE121" s="225"/>
      <c r="BWF121" s="225"/>
      <c r="BWG121" s="225"/>
      <c r="BWH121" s="225"/>
      <c r="BWI121" s="225"/>
      <c r="BWJ121" s="225"/>
      <c r="BWK121" s="225"/>
      <c r="BWL121" s="225"/>
      <c r="BWM121" s="225"/>
      <c r="BWN121" s="225"/>
      <c r="BWO121" s="225"/>
      <c r="BWP121" s="225"/>
      <c r="BWQ121" s="225"/>
      <c r="BWR121" s="225"/>
      <c r="BWS121" s="225"/>
      <c r="BWT121" s="225"/>
      <c r="BWU121" s="225"/>
      <c r="BWV121" s="225"/>
      <c r="BWW121" s="225"/>
      <c r="BWX121" s="225"/>
      <c r="BWY121" s="225"/>
      <c r="BWZ121" s="225"/>
      <c r="BXA121" s="225"/>
      <c r="BXB121" s="225"/>
      <c r="BXC121" s="225"/>
      <c r="BXD121" s="225"/>
      <c r="BXE121" s="225"/>
      <c r="BXF121" s="225"/>
      <c r="BXG121" s="225"/>
      <c r="BXH121" s="225"/>
      <c r="BXI121" s="225"/>
      <c r="BXJ121" s="225"/>
      <c r="BXK121" s="225"/>
      <c r="BXL121" s="225"/>
      <c r="BXM121" s="225"/>
      <c r="BXN121" s="225"/>
      <c r="BXO121" s="225"/>
      <c r="BXP121" s="225"/>
      <c r="BXQ121" s="225"/>
      <c r="BXR121" s="225"/>
      <c r="BXS121" s="225"/>
      <c r="BXT121" s="225"/>
      <c r="BXU121" s="225"/>
      <c r="BXV121" s="225"/>
      <c r="BXW121" s="225"/>
      <c r="BXX121" s="225"/>
      <c r="BXY121" s="225"/>
      <c r="BXZ121" s="225"/>
      <c r="BYA121" s="225"/>
      <c r="BYB121" s="225"/>
      <c r="BYC121" s="225"/>
      <c r="BYD121" s="225"/>
      <c r="BYE121" s="225"/>
      <c r="BYF121" s="225"/>
      <c r="BYG121" s="225"/>
      <c r="BYH121" s="225"/>
      <c r="BYI121" s="225"/>
      <c r="BYJ121" s="225"/>
      <c r="BYK121" s="225"/>
      <c r="BYL121" s="225"/>
      <c r="BYM121" s="225"/>
      <c r="BYN121" s="225"/>
      <c r="BYO121" s="225"/>
      <c r="BYP121" s="225"/>
      <c r="BYQ121" s="225"/>
      <c r="BYR121" s="225"/>
      <c r="BYS121" s="225"/>
      <c r="BYT121" s="225"/>
      <c r="BYU121" s="225"/>
      <c r="BYV121" s="225"/>
      <c r="BYW121" s="225"/>
      <c r="BYX121" s="225"/>
      <c r="BYY121" s="225"/>
      <c r="BYZ121" s="225"/>
      <c r="BZA121" s="225"/>
      <c r="BZB121" s="225"/>
      <c r="BZC121" s="225"/>
      <c r="BZD121" s="225"/>
      <c r="BZE121" s="225"/>
      <c r="BZF121" s="225"/>
      <c r="BZG121" s="225"/>
      <c r="BZH121" s="225"/>
      <c r="BZI121" s="225"/>
      <c r="BZJ121" s="225"/>
      <c r="BZK121" s="225"/>
      <c r="BZL121" s="225"/>
      <c r="BZM121" s="225"/>
      <c r="BZN121" s="225"/>
      <c r="BZO121" s="225"/>
      <c r="BZP121" s="225"/>
      <c r="BZQ121" s="225"/>
      <c r="BZR121" s="225"/>
      <c r="BZS121" s="225"/>
      <c r="BZT121" s="225"/>
      <c r="BZU121" s="225"/>
      <c r="BZV121" s="225"/>
      <c r="BZW121" s="225"/>
      <c r="BZX121" s="225"/>
      <c r="BZY121" s="225"/>
      <c r="BZZ121" s="225"/>
      <c r="CAA121" s="225"/>
      <c r="CAB121" s="225"/>
      <c r="CAC121" s="225"/>
      <c r="CAD121" s="225"/>
      <c r="CAE121" s="225"/>
      <c r="CAF121" s="225"/>
      <c r="CAG121" s="225"/>
      <c r="CAH121" s="225"/>
      <c r="CAI121" s="225"/>
      <c r="CAJ121" s="225"/>
      <c r="CAK121" s="225"/>
      <c r="CAL121" s="225"/>
      <c r="CAM121" s="225"/>
      <c r="CAN121" s="225"/>
      <c r="CAO121" s="225"/>
      <c r="CAP121" s="225"/>
      <c r="CAQ121" s="225"/>
      <c r="CAR121" s="225"/>
      <c r="CAS121" s="225"/>
      <c r="CAT121" s="225"/>
      <c r="CAU121" s="225"/>
      <c r="CAV121" s="225"/>
      <c r="CAW121" s="225"/>
      <c r="CAX121" s="225"/>
      <c r="CAY121" s="225"/>
      <c r="CAZ121" s="225"/>
      <c r="CBA121" s="225"/>
      <c r="CBB121" s="225"/>
      <c r="CBC121" s="225"/>
      <c r="CBD121" s="225"/>
      <c r="CBE121" s="225"/>
      <c r="CBF121" s="225"/>
      <c r="CBG121" s="225"/>
      <c r="CBH121" s="225"/>
      <c r="CBI121" s="225"/>
      <c r="CBJ121" s="225"/>
      <c r="CBK121" s="225"/>
      <c r="CBL121" s="225"/>
      <c r="CBM121" s="225"/>
      <c r="CBN121" s="225"/>
      <c r="CBO121" s="225"/>
      <c r="CBP121" s="225"/>
      <c r="CBQ121" s="225"/>
      <c r="CBR121" s="225"/>
      <c r="CBS121" s="225"/>
      <c r="CBT121" s="225"/>
      <c r="CBU121" s="225"/>
      <c r="CBV121" s="225"/>
      <c r="CBW121" s="225"/>
      <c r="CBX121" s="225"/>
      <c r="CBY121" s="225"/>
      <c r="CBZ121" s="225"/>
      <c r="CCA121" s="225"/>
      <c r="CCB121" s="225"/>
      <c r="CCC121" s="225"/>
      <c r="CCD121" s="225"/>
      <c r="CCE121" s="225"/>
      <c r="CCF121" s="225"/>
      <c r="CCG121" s="225"/>
      <c r="CCH121" s="225"/>
      <c r="CCI121" s="225"/>
      <c r="CCJ121" s="225"/>
      <c r="CCK121" s="225"/>
      <c r="CCL121" s="225"/>
      <c r="CCM121" s="225"/>
      <c r="CCN121" s="225"/>
      <c r="CCO121" s="225"/>
      <c r="CCP121" s="225"/>
      <c r="CCQ121" s="225"/>
      <c r="CCR121" s="225"/>
      <c r="CCS121" s="225"/>
      <c r="CCT121" s="225"/>
      <c r="CCU121" s="225"/>
      <c r="CCV121" s="225"/>
      <c r="CCW121" s="225"/>
      <c r="CCX121" s="225"/>
      <c r="CCY121" s="225"/>
      <c r="CCZ121" s="225"/>
      <c r="CDA121" s="225"/>
      <c r="CDB121" s="225"/>
      <c r="CDC121" s="225"/>
      <c r="CDD121" s="225"/>
      <c r="CDE121" s="225"/>
      <c r="CDF121" s="225"/>
      <c r="CDG121" s="225"/>
      <c r="CDH121" s="225"/>
      <c r="CDI121" s="225"/>
      <c r="CDJ121" s="225"/>
      <c r="CDK121" s="225"/>
      <c r="CDL121" s="225"/>
      <c r="CDM121" s="225"/>
      <c r="CDN121" s="225"/>
      <c r="CDO121" s="225"/>
      <c r="CDP121" s="225"/>
      <c r="CDQ121" s="225"/>
      <c r="CDR121" s="225"/>
      <c r="CDS121" s="225"/>
      <c r="CDT121" s="225"/>
      <c r="CDU121" s="225"/>
      <c r="CDV121" s="225"/>
      <c r="CDW121" s="225"/>
      <c r="CDX121" s="225"/>
      <c r="CDY121" s="225"/>
      <c r="CDZ121" s="225"/>
      <c r="CEA121" s="225"/>
      <c r="CEB121" s="225"/>
      <c r="CEC121" s="225"/>
      <c r="CED121" s="225"/>
      <c r="CEE121" s="225"/>
      <c r="CEF121" s="225"/>
      <c r="CEG121" s="225"/>
      <c r="CEH121" s="225"/>
      <c r="CEI121" s="225"/>
      <c r="CEJ121" s="225"/>
      <c r="CEK121" s="225"/>
      <c r="CEL121" s="225"/>
      <c r="CEM121" s="225"/>
      <c r="CEN121" s="225"/>
      <c r="CEO121" s="225"/>
      <c r="CEP121" s="225"/>
      <c r="CEQ121" s="225"/>
      <c r="CER121" s="225"/>
      <c r="CES121" s="225"/>
      <c r="CET121" s="225"/>
      <c r="CEU121" s="225"/>
      <c r="CEV121" s="225"/>
      <c r="CEW121" s="225"/>
      <c r="CEX121" s="225"/>
      <c r="CEY121" s="225"/>
      <c r="CEZ121" s="225"/>
      <c r="CFA121" s="225"/>
      <c r="CFB121" s="225"/>
      <c r="CFC121" s="225"/>
      <c r="CFD121" s="225"/>
      <c r="CFE121" s="225"/>
      <c r="CFF121" s="225"/>
      <c r="CFG121" s="225"/>
      <c r="CFH121" s="225"/>
      <c r="CFI121" s="225"/>
      <c r="CFJ121" s="225"/>
      <c r="CFK121" s="225"/>
      <c r="CFL121" s="225"/>
      <c r="CFM121" s="225"/>
      <c r="CFN121" s="225"/>
      <c r="CFO121" s="225"/>
      <c r="CFP121" s="225"/>
      <c r="CFQ121" s="225"/>
      <c r="CFR121" s="225"/>
      <c r="CFS121" s="225"/>
      <c r="CFT121" s="225"/>
      <c r="CFU121" s="225"/>
      <c r="CFV121" s="225"/>
      <c r="CFW121" s="225"/>
      <c r="CFX121" s="225"/>
      <c r="CFY121" s="225"/>
      <c r="CFZ121" s="225"/>
      <c r="CGA121" s="225"/>
      <c r="CGB121" s="225"/>
      <c r="CGC121" s="225"/>
      <c r="CGD121" s="225"/>
      <c r="CGE121" s="225"/>
      <c r="CGF121" s="225"/>
      <c r="CGG121" s="225"/>
      <c r="CGH121" s="225"/>
      <c r="CGI121" s="225"/>
      <c r="CGJ121" s="225"/>
      <c r="CGK121" s="225"/>
      <c r="CGL121" s="225"/>
      <c r="CGM121" s="225"/>
      <c r="CGN121" s="225"/>
      <c r="CGO121" s="225"/>
      <c r="CGP121" s="225"/>
      <c r="CGQ121" s="225"/>
      <c r="CGR121" s="225"/>
      <c r="CGS121" s="225"/>
      <c r="CGT121" s="225"/>
      <c r="CGU121" s="225"/>
      <c r="CGV121" s="225"/>
      <c r="CGW121" s="225"/>
      <c r="CGX121" s="225"/>
      <c r="CGY121" s="225"/>
      <c r="CGZ121" s="225"/>
      <c r="CHA121" s="225"/>
      <c r="CHB121" s="225"/>
      <c r="CHC121" s="225"/>
      <c r="CHD121" s="225"/>
      <c r="CHE121" s="225"/>
      <c r="CHF121" s="225"/>
      <c r="CHG121" s="225"/>
      <c r="CHH121" s="225"/>
      <c r="CHI121" s="225"/>
      <c r="CHJ121" s="225"/>
      <c r="CHK121" s="225"/>
      <c r="CHL121" s="225"/>
      <c r="CHM121" s="225"/>
      <c r="CHN121" s="225"/>
      <c r="CHO121" s="225"/>
      <c r="CHP121" s="225"/>
      <c r="CHQ121" s="225"/>
      <c r="CHR121" s="225"/>
      <c r="CHS121" s="225"/>
      <c r="CHT121" s="225"/>
      <c r="CHU121" s="225"/>
      <c r="CHV121" s="225"/>
      <c r="CHW121" s="225"/>
      <c r="CHX121" s="225"/>
      <c r="CHY121" s="225"/>
      <c r="CHZ121" s="225"/>
      <c r="CIA121" s="225"/>
      <c r="CIB121" s="225"/>
      <c r="CIC121" s="225"/>
      <c r="CID121" s="225"/>
      <c r="CIE121" s="225"/>
      <c r="CIF121" s="225"/>
      <c r="CIG121" s="225"/>
      <c r="CIH121" s="225"/>
      <c r="CII121" s="225"/>
      <c r="CIJ121" s="225"/>
      <c r="CIK121" s="225"/>
      <c r="CIL121" s="225"/>
      <c r="CIM121" s="225"/>
      <c r="CIN121" s="225"/>
      <c r="CIO121" s="225"/>
      <c r="CIP121" s="225"/>
      <c r="CIQ121" s="225"/>
      <c r="CIR121" s="225"/>
      <c r="CIS121" s="225"/>
      <c r="CIT121" s="225"/>
      <c r="CIU121" s="225"/>
      <c r="CIV121" s="225"/>
      <c r="CIW121" s="225"/>
      <c r="CIX121" s="225"/>
      <c r="CIY121" s="225"/>
      <c r="CIZ121" s="225"/>
      <c r="CJA121" s="225"/>
      <c r="CJB121" s="225"/>
      <c r="CJC121" s="225"/>
      <c r="CJD121" s="225"/>
      <c r="CJE121" s="225"/>
      <c r="CJF121" s="225"/>
      <c r="CJG121" s="225"/>
      <c r="CJH121" s="225"/>
      <c r="CJI121" s="225"/>
      <c r="CJJ121" s="225"/>
      <c r="CJK121" s="225"/>
      <c r="CJL121" s="225"/>
      <c r="CJM121" s="225"/>
      <c r="CJN121" s="225"/>
      <c r="CJO121" s="225"/>
      <c r="CJP121" s="225"/>
      <c r="CJQ121" s="225"/>
      <c r="CJR121" s="225"/>
      <c r="CJS121" s="225"/>
      <c r="CJT121" s="225"/>
      <c r="CJU121" s="225"/>
      <c r="CJV121" s="225"/>
      <c r="CJW121" s="225"/>
      <c r="CJX121" s="225"/>
      <c r="CJY121" s="225"/>
      <c r="CJZ121" s="225"/>
      <c r="CKA121" s="225"/>
      <c r="CKB121" s="225"/>
      <c r="CKC121" s="225"/>
      <c r="CKD121" s="225"/>
      <c r="CKE121" s="225"/>
      <c r="CKF121" s="225"/>
      <c r="CKG121" s="225"/>
      <c r="CKH121" s="225"/>
      <c r="CKI121" s="225"/>
      <c r="CKJ121" s="225"/>
      <c r="CKK121" s="225"/>
      <c r="CKL121" s="225"/>
      <c r="CKM121" s="225"/>
      <c r="CKN121" s="225"/>
      <c r="CKO121" s="225"/>
      <c r="CKP121" s="225"/>
      <c r="CKQ121" s="225"/>
      <c r="CKR121" s="225"/>
      <c r="CKS121" s="225"/>
      <c r="CKT121" s="225"/>
      <c r="CKU121" s="225"/>
      <c r="CKV121" s="225"/>
      <c r="CKW121" s="225"/>
      <c r="CKX121" s="225"/>
      <c r="CKY121" s="225"/>
      <c r="CKZ121" s="225"/>
      <c r="CLA121" s="225"/>
      <c r="CLB121" s="225"/>
      <c r="CLC121" s="225"/>
      <c r="CLD121" s="225"/>
      <c r="CLE121" s="225"/>
      <c r="CLF121" s="225"/>
      <c r="CLG121" s="225"/>
      <c r="CLH121" s="225"/>
      <c r="CLI121" s="225"/>
      <c r="CLJ121" s="225"/>
      <c r="CLK121" s="225"/>
      <c r="CLL121" s="225"/>
      <c r="CLM121" s="225"/>
      <c r="CLN121" s="225"/>
      <c r="CLO121" s="225"/>
      <c r="CLP121" s="225"/>
      <c r="CLQ121" s="225"/>
      <c r="CLR121" s="225"/>
      <c r="CLS121" s="225"/>
      <c r="CLT121" s="225"/>
      <c r="CLU121" s="225"/>
      <c r="CLV121" s="225"/>
      <c r="CLW121" s="225"/>
      <c r="CLX121" s="225"/>
      <c r="CLY121" s="225"/>
      <c r="CLZ121" s="225"/>
      <c r="CMA121" s="225"/>
      <c r="CMB121" s="225"/>
      <c r="CMC121" s="225"/>
      <c r="CMD121" s="225"/>
      <c r="CME121" s="225"/>
      <c r="CMF121" s="225"/>
      <c r="CMG121" s="225"/>
      <c r="CMH121" s="225"/>
      <c r="CMI121" s="225"/>
      <c r="CMJ121" s="225"/>
      <c r="CMK121" s="225"/>
      <c r="CML121" s="225"/>
      <c r="CMM121" s="225"/>
      <c r="CMN121" s="225"/>
      <c r="CMO121" s="225"/>
      <c r="CMP121" s="225"/>
      <c r="CMQ121" s="225"/>
      <c r="CMR121" s="225"/>
      <c r="CMS121" s="225"/>
      <c r="CMT121" s="225"/>
      <c r="CMU121" s="225"/>
      <c r="CMV121" s="225"/>
      <c r="CMW121" s="225"/>
      <c r="CMX121" s="225"/>
      <c r="CMY121" s="225"/>
      <c r="CMZ121" s="225"/>
      <c r="CNA121" s="225"/>
      <c r="CNB121" s="225"/>
      <c r="CNC121" s="225"/>
      <c r="CND121" s="225"/>
      <c r="CNE121" s="225"/>
      <c r="CNF121" s="225"/>
      <c r="CNG121" s="225"/>
      <c r="CNH121" s="225"/>
      <c r="CNI121" s="225"/>
      <c r="CNJ121" s="225"/>
      <c r="CNK121" s="225"/>
      <c r="CNL121" s="225"/>
      <c r="CNM121" s="225"/>
      <c r="CNN121" s="225"/>
      <c r="CNO121" s="225"/>
      <c r="CNP121" s="225"/>
      <c r="CNQ121" s="225"/>
      <c r="CNR121" s="225"/>
      <c r="CNS121" s="225"/>
      <c r="CNT121" s="225"/>
      <c r="CNU121" s="225"/>
      <c r="CNV121" s="225"/>
      <c r="CNW121" s="225"/>
      <c r="CNX121" s="225"/>
      <c r="CNY121" s="225"/>
      <c r="CNZ121" s="225"/>
      <c r="COA121" s="225"/>
      <c r="COB121" s="225"/>
      <c r="COC121" s="225"/>
      <c r="COD121" s="225"/>
      <c r="COE121" s="225"/>
      <c r="COF121" s="225"/>
      <c r="COG121" s="225"/>
      <c r="COH121" s="225"/>
      <c r="COI121" s="225"/>
      <c r="COJ121" s="225"/>
      <c r="COK121" s="225"/>
      <c r="COL121" s="225"/>
      <c r="COM121" s="225"/>
      <c r="CON121" s="225"/>
      <c r="COO121" s="225"/>
      <c r="COP121" s="225"/>
      <c r="COQ121" s="225"/>
      <c r="COR121" s="225"/>
      <c r="COS121" s="225"/>
      <c r="COT121" s="225"/>
      <c r="COU121" s="225"/>
      <c r="COV121" s="225"/>
      <c r="COW121" s="225"/>
      <c r="COX121" s="225"/>
      <c r="COY121" s="225"/>
      <c r="COZ121" s="225"/>
      <c r="CPA121" s="225"/>
      <c r="CPB121" s="225"/>
      <c r="CPC121" s="225"/>
      <c r="CPD121" s="225"/>
      <c r="CPE121" s="225"/>
      <c r="CPF121" s="225"/>
      <c r="CPG121" s="225"/>
      <c r="CPH121" s="225"/>
      <c r="CPI121" s="225"/>
      <c r="CPJ121" s="225"/>
      <c r="CPK121" s="225"/>
      <c r="CPL121" s="225"/>
      <c r="CPM121" s="225"/>
      <c r="CPN121" s="225"/>
      <c r="CPO121" s="225"/>
      <c r="CPP121" s="225"/>
      <c r="CPQ121" s="225"/>
      <c r="CPR121" s="225"/>
      <c r="CPS121" s="225"/>
      <c r="CPT121" s="225"/>
      <c r="CPU121" s="225"/>
      <c r="CPV121" s="225"/>
      <c r="CPW121" s="225"/>
      <c r="CPX121" s="225"/>
      <c r="CPY121" s="225"/>
      <c r="CPZ121" s="225"/>
      <c r="CQA121" s="225"/>
      <c r="CQB121" s="225"/>
      <c r="CQC121" s="225"/>
      <c r="CQD121" s="225"/>
      <c r="CQE121" s="225"/>
      <c r="CQF121" s="225"/>
      <c r="CQG121" s="225"/>
      <c r="CQH121" s="225"/>
      <c r="CQI121" s="225"/>
      <c r="CQJ121" s="225"/>
      <c r="CQK121" s="225"/>
      <c r="CQL121" s="225"/>
      <c r="CQM121" s="225"/>
      <c r="CQN121" s="225"/>
      <c r="CQO121" s="225"/>
      <c r="CQP121" s="225"/>
      <c r="CQQ121" s="225"/>
      <c r="CQR121" s="225"/>
      <c r="CQS121" s="225"/>
      <c r="CQT121" s="225"/>
      <c r="CQU121" s="225"/>
      <c r="CQV121" s="225"/>
      <c r="CQW121" s="225"/>
      <c r="CQX121" s="225"/>
      <c r="CQY121" s="225"/>
      <c r="CQZ121" s="225"/>
      <c r="CRA121" s="225"/>
      <c r="CRB121" s="225"/>
      <c r="CRC121" s="225"/>
      <c r="CRD121" s="225"/>
      <c r="CRE121" s="225"/>
      <c r="CRF121" s="225"/>
      <c r="CRG121" s="225"/>
      <c r="CRH121" s="225"/>
      <c r="CRI121" s="225"/>
      <c r="CRJ121" s="225"/>
      <c r="CRK121" s="225"/>
      <c r="CRL121" s="225"/>
      <c r="CRM121" s="225"/>
      <c r="CRN121" s="225"/>
      <c r="CRO121" s="225"/>
      <c r="CRP121" s="225"/>
      <c r="CRQ121" s="225"/>
      <c r="CRR121" s="225"/>
      <c r="CRS121" s="225"/>
      <c r="CRT121" s="225"/>
      <c r="CRU121" s="225"/>
      <c r="CRV121" s="225"/>
      <c r="CRW121" s="225"/>
      <c r="CRX121" s="225"/>
      <c r="CRY121" s="225"/>
      <c r="CRZ121" s="225"/>
      <c r="CSA121" s="225"/>
      <c r="CSB121" s="225"/>
      <c r="CSC121" s="225"/>
      <c r="CSD121" s="225"/>
      <c r="CSE121" s="225"/>
      <c r="CSF121" s="225"/>
      <c r="CSG121" s="225"/>
      <c r="CSH121" s="225"/>
      <c r="CSI121" s="225"/>
      <c r="CSJ121" s="225"/>
      <c r="CSK121" s="225"/>
      <c r="CSL121" s="225"/>
      <c r="CSM121" s="225"/>
      <c r="CSN121" s="225"/>
      <c r="CSO121" s="225"/>
      <c r="CSP121" s="225"/>
      <c r="CSQ121" s="225"/>
      <c r="CSR121" s="225"/>
      <c r="CSS121" s="225"/>
      <c r="CST121" s="225"/>
      <c r="CSU121" s="225"/>
      <c r="CSV121" s="225"/>
      <c r="CSW121" s="225"/>
      <c r="CSX121" s="225"/>
      <c r="CSY121" s="225"/>
      <c r="CSZ121" s="225"/>
      <c r="CTA121" s="225"/>
      <c r="CTB121" s="225"/>
      <c r="CTC121" s="225"/>
      <c r="CTD121" s="225"/>
      <c r="CTE121" s="225"/>
      <c r="CTF121" s="225"/>
      <c r="CTG121" s="225"/>
      <c r="CTH121" s="225"/>
      <c r="CTI121" s="225"/>
      <c r="CTJ121" s="225"/>
      <c r="CTK121" s="225"/>
      <c r="CTL121" s="225"/>
      <c r="CTM121" s="225"/>
      <c r="CTN121" s="225"/>
      <c r="CTO121" s="225"/>
      <c r="CTP121" s="225"/>
      <c r="CTQ121" s="225"/>
      <c r="CTR121" s="225"/>
      <c r="CTS121" s="225"/>
      <c r="CTT121" s="225"/>
      <c r="CTU121" s="225"/>
      <c r="CTV121" s="225"/>
      <c r="CTW121" s="225"/>
      <c r="CTX121" s="225"/>
      <c r="CTY121" s="225"/>
      <c r="CTZ121" s="225"/>
      <c r="CUA121" s="225"/>
      <c r="CUB121" s="225"/>
      <c r="CUC121" s="225"/>
      <c r="CUD121" s="225"/>
      <c r="CUE121" s="225"/>
      <c r="CUF121" s="225"/>
      <c r="CUG121" s="225"/>
      <c r="CUH121" s="225"/>
      <c r="CUI121" s="225"/>
      <c r="CUJ121" s="225"/>
      <c r="CUK121" s="225"/>
      <c r="CUL121" s="225"/>
      <c r="CUM121" s="225"/>
      <c r="CUN121" s="225"/>
      <c r="CUO121" s="225"/>
      <c r="CUP121" s="225"/>
      <c r="CUQ121" s="225"/>
      <c r="CUR121" s="225"/>
      <c r="CUS121" s="225"/>
      <c r="CUT121" s="225"/>
      <c r="CUU121" s="225"/>
      <c r="CUV121" s="225"/>
      <c r="CUW121" s="225"/>
      <c r="CUX121" s="225"/>
      <c r="CUY121" s="225"/>
      <c r="CUZ121" s="225"/>
      <c r="CVA121" s="225"/>
      <c r="CVB121" s="225"/>
      <c r="CVC121" s="225"/>
      <c r="CVD121" s="225"/>
      <c r="CVE121" s="225"/>
      <c r="CVF121" s="225"/>
      <c r="CVG121" s="225"/>
      <c r="CVH121" s="225"/>
      <c r="CVI121" s="225"/>
      <c r="CVJ121" s="225"/>
      <c r="CVK121" s="225"/>
      <c r="CVL121" s="225"/>
      <c r="CVM121" s="225"/>
      <c r="CVN121" s="225"/>
      <c r="CVO121" s="225"/>
      <c r="CVP121" s="225"/>
      <c r="CVQ121" s="225"/>
      <c r="CVR121" s="225"/>
      <c r="CVS121" s="225"/>
      <c r="CVT121" s="225"/>
      <c r="CVU121" s="225"/>
      <c r="CVV121" s="225"/>
      <c r="CVW121" s="225"/>
      <c r="CVX121" s="225"/>
      <c r="CVY121" s="225"/>
      <c r="CVZ121" s="225"/>
      <c r="CWA121" s="225"/>
      <c r="CWB121" s="225"/>
      <c r="CWC121" s="225"/>
      <c r="CWD121" s="225"/>
      <c r="CWE121" s="225"/>
      <c r="CWF121" s="225"/>
      <c r="CWG121" s="225"/>
      <c r="CWH121" s="225"/>
      <c r="CWI121" s="225"/>
      <c r="CWJ121" s="225"/>
      <c r="CWK121" s="225"/>
      <c r="CWL121" s="225"/>
      <c r="CWM121" s="225"/>
      <c r="CWN121" s="225"/>
      <c r="CWO121" s="225"/>
      <c r="CWP121" s="225"/>
      <c r="CWQ121" s="225"/>
      <c r="CWR121" s="225"/>
      <c r="CWS121" s="225"/>
      <c r="CWT121" s="225"/>
      <c r="CWU121" s="225"/>
      <c r="CWV121" s="225"/>
      <c r="CWW121" s="225"/>
      <c r="CWX121" s="225"/>
      <c r="CWY121" s="225"/>
      <c r="CWZ121" s="225"/>
      <c r="CXA121" s="225"/>
      <c r="CXB121" s="225"/>
      <c r="CXC121" s="225"/>
      <c r="CXD121" s="225"/>
      <c r="CXE121" s="225"/>
      <c r="CXF121" s="225"/>
      <c r="CXG121" s="225"/>
      <c r="CXH121" s="225"/>
      <c r="CXI121" s="225"/>
      <c r="CXJ121" s="225"/>
      <c r="CXK121" s="225"/>
      <c r="CXL121" s="225"/>
      <c r="CXM121" s="225"/>
      <c r="CXN121" s="225"/>
      <c r="CXO121" s="225"/>
      <c r="CXP121" s="225"/>
      <c r="CXQ121" s="225"/>
      <c r="CXR121" s="225"/>
      <c r="CXS121" s="225"/>
      <c r="CXT121" s="225"/>
      <c r="CXU121" s="225"/>
      <c r="CXV121" s="225"/>
      <c r="CXW121" s="225"/>
      <c r="CXX121" s="225"/>
      <c r="CXY121" s="225"/>
      <c r="CXZ121" s="225"/>
      <c r="CYA121" s="225"/>
      <c r="CYB121" s="225"/>
      <c r="CYC121" s="225"/>
      <c r="CYD121" s="225"/>
      <c r="CYE121" s="225"/>
      <c r="CYF121" s="225"/>
      <c r="CYG121" s="225"/>
      <c r="CYH121" s="225"/>
      <c r="CYI121" s="225"/>
      <c r="CYJ121" s="225"/>
      <c r="CYK121" s="225"/>
      <c r="CYL121" s="225"/>
      <c r="CYM121" s="225"/>
      <c r="CYN121" s="225"/>
      <c r="CYO121" s="225"/>
      <c r="CYP121" s="225"/>
      <c r="CYQ121" s="225"/>
      <c r="CYR121" s="225"/>
      <c r="CYS121" s="225"/>
      <c r="CYT121" s="225"/>
      <c r="CYU121" s="225"/>
      <c r="CYV121" s="225"/>
      <c r="CYW121" s="225"/>
      <c r="CYX121" s="225"/>
      <c r="CYY121" s="225"/>
      <c r="CYZ121" s="225"/>
      <c r="CZA121" s="225"/>
      <c r="CZB121" s="225"/>
      <c r="CZC121" s="225"/>
      <c r="CZD121" s="225"/>
      <c r="CZE121" s="225"/>
      <c r="CZF121" s="225"/>
      <c r="CZG121" s="225"/>
      <c r="CZH121" s="225"/>
      <c r="CZI121" s="225"/>
      <c r="CZJ121" s="225"/>
      <c r="CZK121" s="225"/>
      <c r="CZL121" s="225"/>
      <c r="CZM121" s="225"/>
      <c r="CZN121" s="225"/>
      <c r="CZO121" s="225"/>
      <c r="CZP121" s="225"/>
      <c r="CZQ121" s="225"/>
      <c r="CZR121" s="225"/>
      <c r="CZS121" s="225"/>
      <c r="CZT121" s="225"/>
      <c r="CZU121" s="225"/>
      <c r="CZV121" s="225"/>
      <c r="CZW121" s="225"/>
      <c r="CZX121" s="225"/>
      <c r="CZY121" s="225"/>
      <c r="CZZ121" s="225"/>
      <c r="DAA121" s="225"/>
      <c r="DAB121" s="225"/>
      <c r="DAC121" s="225"/>
      <c r="DAD121" s="225"/>
      <c r="DAE121" s="225"/>
      <c r="DAF121" s="225"/>
      <c r="DAG121" s="225"/>
      <c r="DAH121" s="225"/>
      <c r="DAI121" s="225"/>
      <c r="DAJ121" s="225"/>
      <c r="DAK121" s="225"/>
      <c r="DAL121" s="225"/>
      <c r="DAM121" s="225"/>
      <c r="DAN121" s="225"/>
      <c r="DAO121" s="225"/>
      <c r="DAP121" s="225"/>
      <c r="DAQ121" s="225"/>
      <c r="DAR121" s="225"/>
      <c r="DAS121" s="225"/>
      <c r="DAT121" s="225"/>
      <c r="DAU121" s="225"/>
      <c r="DAV121" s="225"/>
      <c r="DAW121" s="225"/>
      <c r="DAX121" s="225"/>
      <c r="DAY121" s="225"/>
      <c r="DAZ121" s="225"/>
      <c r="DBA121" s="225"/>
      <c r="DBB121" s="225"/>
      <c r="DBC121" s="225"/>
      <c r="DBD121" s="225"/>
      <c r="DBE121" s="225"/>
      <c r="DBF121" s="225"/>
      <c r="DBG121" s="225"/>
      <c r="DBH121" s="225"/>
      <c r="DBI121" s="225"/>
      <c r="DBJ121" s="225"/>
      <c r="DBK121" s="225"/>
      <c r="DBL121" s="225"/>
      <c r="DBM121" s="225"/>
      <c r="DBN121" s="225"/>
      <c r="DBO121" s="225"/>
      <c r="DBP121" s="225"/>
      <c r="DBQ121" s="225"/>
      <c r="DBR121" s="225"/>
      <c r="DBS121" s="225"/>
      <c r="DBT121" s="225"/>
      <c r="DBU121" s="225"/>
      <c r="DBV121" s="225"/>
      <c r="DBW121" s="225"/>
      <c r="DBX121" s="225"/>
      <c r="DBY121" s="225"/>
      <c r="DBZ121" s="225"/>
      <c r="DCA121" s="225"/>
      <c r="DCB121" s="225"/>
      <c r="DCC121" s="225"/>
      <c r="DCD121" s="225"/>
      <c r="DCE121" s="225"/>
      <c r="DCF121" s="225"/>
      <c r="DCG121" s="225"/>
      <c r="DCH121" s="225"/>
      <c r="DCI121" s="225"/>
      <c r="DCJ121" s="225"/>
      <c r="DCK121" s="225"/>
      <c r="DCL121" s="225"/>
      <c r="DCM121" s="225"/>
      <c r="DCN121" s="225"/>
      <c r="DCO121" s="225"/>
      <c r="DCP121" s="225"/>
      <c r="DCQ121" s="225"/>
      <c r="DCR121" s="225"/>
      <c r="DCS121" s="225"/>
      <c r="DCT121" s="225"/>
      <c r="DCU121" s="225"/>
      <c r="DCV121" s="225"/>
      <c r="DCW121" s="225"/>
      <c r="DCX121" s="225"/>
      <c r="DCY121" s="225"/>
      <c r="DCZ121" s="225"/>
      <c r="DDA121" s="225"/>
      <c r="DDB121" s="225"/>
      <c r="DDC121" s="225"/>
      <c r="DDD121" s="225"/>
      <c r="DDE121" s="225"/>
      <c r="DDF121" s="225"/>
      <c r="DDG121" s="225"/>
      <c r="DDH121" s="225"/>
      <c r="DDI121" s="225"/>
      <c r="DDJ121" s="225"/>
      <c r="DDK121" s="225"/>
      <c r="DDL121" s="225"/>
      <c r="DDM121" s="225"/>
      <c r="DDN121" s="225"/>
      <c r="DDO121" s="225"/>
      <c r="DDP121" s="225"/>
      <c r="DDQ121" s="225"/>
      <c r="DDR121" s="225"/>
      <c r="DDS121" s="225"/>
      <c r="DDT121" s="225"/>
      <c r="DDU121" s="225"/>
      <c r="DDV121" s="225"/>
      <c r="DDW121" s="225"/>
      <c r="DDX121" s="225"/>
      <c r="DDY121" s="225"/>
      <c r="DDZ121" s="225"/>
      <c r="DEA121" s="225"/>
      <c r="DEB121" s="225"/>
      <c r="DEC121" s="225"/>
      <c r="DED121" s="225"/>
      <c r="DEE121" s="225"/>
      <c r="DEF121" s="225"/>
      <c r="DEG121" s="225"/>
      <c r="DEH121" s="225"/>
      <c r="DEI121" s="225"/>
      <c r="DEJ121" s="225"/>
      <c r="DEK121" s="225"/>
      <c r="DEL121" s="225"/>
      <c r="DEM121" s="225"/>
      <c r="DEN121" s="225"/>
      <c r="DEO121" s="225"/>
      <c r="DEP121" s="225"/>
      <c r="DEQ121" s="225"/>
      <c r="DER121" s="225"/>
      <c r="DES121" s="225"/>
      <c r="DET121" s="225"/>
      <c r="DEU121" s="225"/>
      <c r="DEV121" s="225"/>
      <c r="DEW121" s="225"/>
      <c r="DEX121" s="225"/>
      <c r="DEY121" s="225"/>
      <c r="DEZ121" s="225"/>
      <c r="DFA121" s="225"/>
      <c r="DFB121" s="225"/>
      <c r="DFC121" s="225"/>
      <c r="DFD121" s="225"/>
      <c r="DFE121" s="225"/>
      <c r="DFF121" s="225"/>
      <c r="DFG121" s="225"/>
      <c r="DFH121" s="225"/>
      <c r="DFI121" s="225"/>
      <c r="DFJ121" s="225"/>
      <c r="DFK121" s="225"/>
      <c r="DFL121" s="225"/>
      <c r="DFM121" s="225"/>
      <c r="DFN121" s="225"/>
      <c r="DFO121" s="225"/>
      <c r="DFP121" s="225"/>
      <c r="DFQ121" s="225"/>
      <c r="DFR121" s="225"/>
      <c r="DFS121" s="225"/>
      <c r="DFT121" s="225"/>
      <c r="DFU121" s="225"/>
      <c r="DFV121" s="225"/>
      <c r="DFW121" s="225"/>
      <c r="DFX121" s="225"/>
      <c r="DFY121" s="225"/>
      <c r="DFZ121" s="225"/>
      <c r="DGA121" s="225"/>
      <c r="DGB121" s="225"/>
      <c r="DGC121" s="225"/>
      <c r="DGD121" s="225"/>
      <c r="DGE121" s="225"/>
      <c r="DGF121" s="225"/>
      <c r="DGG121" s="225"/>
      <c r="DGH121" s="225"/>
      <c r="DGI121" s="225"/>
      <c r="DGJ121" s="225"/>
      <c r="DGK121" s="225"/>
      <c r="DGL121" s="225"/>
      <c r="DGM121" s="225"/>
      <c r="DGN121" s="225"/>
      <c r="DGO121" s="225"/>
      <c r="DGP121" s="225"/>
      <c r="DGQ121" s="225"/>
      <c r="DGR121" s="225"/>
      <c r="DGS121" s="225"/>
      <c r="DGT121" s="225"/>
      <c r="DGU121" s="225"/>
      <c r="DGV121" s="225"/>
      <c r="DGW121" s="225"/>
      <c r="DGX121" s="225"/>
      <c r="DGY121" s="225"/>
      <c r="DGZ121" s="225"/>
      <c r="DHA121" s="225"/>
      <c r="DHB121" s="225"/>
      <c r="DHC121" s="225"/>
      <c r="DHD121" s="225"/>
      <c r="DHE121" s="225"/>
      <c r="DHF121" s="225"/>
      <c r="DHG121" s="225"/>
      <c r="DHH121" s="225"/>
      <c r="DHI121" s="225"/>
      <c r="DHJ121" s="225"/>
      <c r="DHK121" s="225"/>
      <c r="DHL121" s="225"/>
      <c r="DHM121" s="225"/>
      <c r="DHN121" s="225"/>
      <c r="DHO121" s="225"/>
      <c r="DHP121" s="225"/>
      <c r="DHQ121" s="225"/>
      <c r="DHR121" s="225"/>
      <c r="DHS121" s="225"/>
      <c r="DHT121" s="225"/>
      <c r="DHU121" s="225"/>
      <c r="DHV121" s="225"/>
      <c r="DHW121" s="225"/>
      <c r="DHX121" s="225"/>
      <c r="DHY121" s="225"/>
      <c r="DHZ121" s="225"/>
      <c r="DIA121" s="225"/>
      <c r="DIB121" s="225"/>
      <c r="DIC121" s="225"/>
      <c r="DID121" s="225"/>
      <c r="DIE121" s="225"/>
      <c r="DIF121" s="225"/>
      <c r="DIG121" s="225"/>
      <c r="DIH121" s="225"/>
      <c r="DII121" s="225"/>
      <c r="DIJ121" s="225"/>
      <c r="DIK121" s="225"/>
      <c r="DIL121" s="225"/>
      <c r="DIM121" s="225"/>
      <c r="DIN121" s="225"/>
      <c r="DIO121" s="225"/>
      <c r="DIP121" s="225"/>
      <c r="DIQ121" s="225"/>
      <c r="DIR121" s="225"/>
      <c r="DIS121" s="225"/>
      <c r="DIT121" s="225"/>
      <c r="DIU121" s="225"/>
      <c r="DIV121" s="225"/>
      <c r="DIW121" s="225"/>
      <c r="DIX121" s="225"/>
      <c r="DIY121" s="225"/>
      <c r="DIZ121" s="225"/>
      <c r="DJA121" s="225"/>
      <c r="DJB121" s="225"/>
      <c r="DJC121" s="225"/>
      <c r="DJD121" s="225"/>
      <c r="DJE121" s="225"/>
      <c r="DJF121" s="225"/>
      <c r="DJG121" s="225"/>
      <c r="DJH121" s="225"/>
      <c r="DJI121" s="225"/>
      <c r="DJJ121" s="225"/>
      <c r="DJK121" s="225"/>
      <c r="DJL121" s="225"/>
      <c r="DJM121" s="225"/>
      <c r="DJN121" s="225"/>
      <c r="DJO121" s="225"/>
      <c r="DJP121" s="225"/>
      <c r="DJQ121" s="225"/>
      <c r="DJR121" s="225"/>
      <c r="DJS121" s="225"/>
      <c r="DJT121" s="225"/>
      <c r="DJU121" s="225"/>
      <c r="DJV121" s="225"/>
      <c r="DJW121" s="225"/>
      <c r="DJX121" s="225"/>
      <c r="DJY121" s="225"/>
      <c r="DJZ121" s="225"/>
      <c r="DKA121" s="225"/>
      <c r="DKB121" s="225"/>
      <c r="DKC121" s="225"/>
      <c r="DKD121" s="225"/>
      <c r="DKE121" s="225"/>
      <c r="DKF121" s="225"/>
      <c r="DKG121" s="225"/>
      <c r="DKH121" s="225"/>
      <c r="DKI121" s="225"/>
      <c r="DKJ121" s="225"/>
      <c r="DKK121" s="225"/>
      <c r="DKL121" s="225"/>
      <c r="DKM121" s="225"/>
      <c r="DKN121" s="225"/>
      <c r="DKO121" s="225"/>
      <c r="DKP121" s="225"/>
      <c r="DKQ121" s="225"/>
      <c r="DKR121" s="225"/>
      <c r="DKS121" s="225"/>
      <c r="DKT121" s="225"/>
      <c r="DKU121" s="225"/>
      <c r="DKV121" s="225"/>
      <c r="DKW121" s="225"/>
      <c r="DKX121" s="225"/>
      <c r="DKY121" s="225"/>
      <c r="DKZ121" s="225"/>
      <c r="DLA121" s="225"/>
      <c r="DLB121" s="225"/>
      <c r="DLC121" s="225"/>
      <c r="DLD121" s="225"/>
      <c r="DLE121" s="225"/>
      <c r="DLF121" s="225"/>
      <c r="DLG121" s="225"/>
      <c r="DLH121" s="225"/>
      <c r="DLI121" s="225"/>
      <c r="DLJ121" s="225"/>
      <c r="DLK121" s="225"/>
      <c r="DLL121" s="225"/>
      <c r="DLM121" s="225"/>
      <c r="DLN121" s="225"/>
      <c r="DLO121" s="225"/>
      <c r="DLP121" s="225"/>
      <c r="DLQ121" s="225"/>
      <c r="DLR121" s="225"/>
      <c r="DLS121" s="225"/>
      <c r="DLT121" s="225"/>
      <c r="DLU121" s="225"/>
      <c r="DLV121" s="225"/>
      <c r="DLW121" s="225"/>
      <c r="DLX121" s="225"/>
      <c r="DLY121" s="225"/>
      <c r="DLZ121" s="225"/>
      <c r="DMA121" s="225"/>
      <c r="DMB121" s="225"/>
      <c r="DMC121" s="225"/>
      <c r="DMD121" s="225"/>
      <c r="DME121" s="225"/>
      <c r="DMF121" s="225"/>
      <c r="DMG121" s="225"/>
      <c r="DMH121" s="225"/>
      <c r="DMI121" s="225"/>
      <c r="DMJ121" s="225"/>
      <c r="DMK121" s="225"/>
      <c r="DML121" s="225"/>
      <c r="DMM121" s="225"/>
      <c r="DMN121" s="225"/>
      <c r="DMO121" s="225"/>
      <c r="DMP121" s="225"/>
      <c r="DMQ121" s="225"/>
      <c r="DMR121" s="225"/>
      <c r="DMS121" s="225"/>
      <c r="DMT121" s="225"/>
      <c r="DMU121" s="225"/>
      <c r="DMV121" s="225"/>
      <c r="DMW121" s="225"/>
      <c r="DMX121" s="225"/>
      <c r="DMY121" s="225"/>
      <c r="DMZ121" s="225"/>
      <c r="DNA121" s="225"/>
      <c r="DNB121" s="225"/>
      <c r="DNC121" s="225"/>
      <c r="DND121" s="225"/>
      <c r="DNE121" s="225"/>
      <c r="DNF121" s="225"/>
      <c r="DNG121" s="225"/>
      <c r="DNH121" s="225"/>
      <c r="DNI121" s="225"/>
      <c r="DNJ121" s="225"/>
      <c r="DNK121" s="225"/>
      <c r="DNL121" s="225"/>
      <c r="DNM121" s="225"/>
      <c r="DNN121" s="225"/>
      <c r="DNO121" s="225"/>
      <c r="DNP121" s="225"/>
      <c r="DNQ121" s="225"/>
      <c r="DNR121" s="225"/>
      <c r="DNS121" s="225"/>
      <c r="DNT121" s="225"/>
      <c r="DNU121" s="225"/>
      <c r="DNV121" s="225"/>
      <c r="DNW121" s="225"/>
      <c r="DNX121" s="225"/>
      <c r="DNY121" s="225"/>
      <c r="DNZ121" s="225"/>
      <c r="DOA121" s="225"/>
      <c r="DOB121" s="225"/>
      <c r="DOC121" s="225"/>
      <c r="DOD121" s="225"/>
      <c r="DOE121" s="225"/>
      <c r="DOF121" s="225"/>
      <c r="DOG121" s="225"/>
      <c r="DOH121" s="225"/>
      <c r="DOI121" s="225"/>
      <c r="DOJ121" s="225"/>
      <c r="DOK121" s="225"/>
      <c r="DOL121" s="225"/>
      <c r="DOM121" s="225"/>
      <c r="DON121" s="225"/>
      <c r="DOO121" s="225"/>
      <c r="DOP121" s="225"/>
      <c r="DOQ121" s="225"/>
      <c r="DOR121" s="225"/>
      <c r="DOS121" s="225"/>
      <c r="DOT121" s="225"/>
      <c r="DOU121" s="225"/>
      <c r="DOV121" s="225"/>
      <c r="DOW121" s="225"/>
      <c r="DOX121" s="225"/>
      <c r="DOY121" s="225"/>
      <c r="DOZ121" s="225"/>
      <c r="DPA121" s="225"/>
      <c r="DPB121" s="225"/>
      <c r="DPC121" s="225"/>
      <c r="DPD121" s="225"/>
      <c r="DPE121" s="225"/>
      <c r="DPF121" s="225"/>
      <c r="DPG121" s="225"/>
      <c r="DPH121" s="225"/>
      <c r="DPI121" s="225"/>
      <c r="DPJ121" s="225"/>
      <c r="DPK121" s="225"/>
      <c r="DPL121" s="225"/>
      <c r="DPM121" s="225"/>
      <c r="DPN121" s="225"/>
      <c r="DPO121" s="225"/>
      <c r="DPP121" s="225"/>
      <c r="DPQ121" s="225"/>
      <c r="DPR121" s="225"/>
      <c r="DPS121" s="225"/>
      <c r="DPT121" s="225"/>
      <c r="DPU121" s="225"/>
      <c r="DPV121" s="225"/>
      <c r="DPW121" s="225"/>
      <c r="DPX121" s="225"/>
      <c r="DPY121" s="225"/>
      <c r="DPZ121" s="225"/>
      <c r="DQA121" s="225"/>
      <c r="DQB121" s="225"/>
      <c r="DQC121" s="225"/>
      <c r="DQD121" s="225"/>
      <c r="DQE121" s="225"/>
      <c r="DQF121" s="225"/>
      <c r="DQG121" s="225"/>
      <c r="DQH121" s="225"/>
      <c r="DQI121" s="225"/>
      <c r="DQJ121" s="225"/>
      <c r="DQK121" s="225"/>
      <c r="DQL121" s="225"/>
      <c r="DQM121" s="225"/>
      <c r="DQN121" s="225"/>
      <c r="DQO121" s="225"/>
      <c r="DQP121" s="225"/>
      <c r="DQQ121" s="225"/>
      <c r="DQR121" s="225"/>
      <c r="DQS121" s="225"/>
      <c r="DQT121" s="225"/>
      <c r="DQU121" s="225"/>
      <c r="DQV121" s="225"/>
      <c r="DQW121" s="225"/>
      <c r="DQX121" s="225"/>
      <c r="DQY121" s="225"/>
      <c r="DQZ121" s="225"/>
      <c r="DRA121" s="225"/>
      <c r="DRB121" s="225"/>
      <c r="DRC121" s="225"/>
      <c r="DRD121" s="225"/>
      <c r="DRE121" s="225"/>
      <c r="DRF121" s="225"/>
      <c r="DRG121" s="225"/>
      <c r="DRH121" s="225"/>
      <c r="DRI121" s="225"/>
      <c r="DRJ121" s="225"/>
      <c r="DRK121" s="225"/>
      <c r="DRL121" s="225"/>
      <c r="DRM121" s="225"/>
      <c r="DRN121" s="225"/>
      <c r="DRO121" s="225"/>
      <c r="DRP121" s="225"/>
      <c r="DRQ121" s="225"/>
      <c r="DRR121" s="225"/>
      <c r="DRS121" s="225"/>
      <c r="DRT121" s="225"/>
      <c r="DRU121" s="225"/>
      <c r="DRV121" s="225"/>
      <c r="DRW121" s="225"/>
      <c r="DRX121" s="225"/>
      <c r="DRY121" s="225"/>
      <c r="DRZ121" s="225"/>
      <c r="DSA121" s="225"/>
      <c r="DSB121" s="225"/>
      <c r="DSC121" s="225"/>
      <c r="DSD121" s="225"/>
      <c r="DSE121" s="225"/>
      <c r="DSF121" s="225"/>
      <c r="DSG121" s="225"/>
      <c r="DSH121" s="225"/>
      <c r="DSI121" s="225"/>
      <c r="DSJ121" s="225"/>
      <c r="DSK121" s="225"/>
      <c r="DSL121" s="225"/>
      <c r="DSM121" s="225"/>
      <c r="DSN121" s="225"/>
      <c r="DSO121" s="225"/>
      <c r="DSP121" s="225"/>
      <c r="DSQ121" s="225"/>
      <c r="DSR121" s="225"/>
      <c r="DSS121" s="225"/>
      <c r="DST121" s="225"/>
      <c r="DSU121" s="225"/>
      <c r="DSV121" s="225"/>
      <c r="DSW121" s="225"/>
      <c r="DSX121" s="225"/>
      <c r="DSY121" s="225"/>
      <c r="DSZ121" s="225"/>
      <c r="DTA121" s="225"/>
      <c r="DTB121" s="225"/>
      <c r="DTC121" s="225"/>
      <c r="DTD121" s="225"/>
      <c r="DTE121" s="225"/>
      <c r="DTF121" s="225"/>
      <c r="DTG121" s="225"/>
      <c r="DTH121" s="225"/>
      <c r="DTI121" s="225"/>
      <c r="DTJ121" s="225"/>
      <c r="DTK121" s="225"/>
      <c r="DTL121" s="225"/>
      <c r="DTM121" s="225"/>
      <c r="DTN121" s="225"/>
      <c r="DTO121" s="225"/>
      <c r="DTP121" s="225"/>
      <c r="DTQ121" s="225"/>
      <c r="DTR121" s="225"/>
      <c r="DTS121" s="225"/>
      <c r="DTT121" s="225"/>
      <c r="DTU121" s="225"/>
      <c r="DTV121" s="225"/>
      <c r="DTW121" s="225"/>
      <c r="DTX121" s="225"/>
      <c r="DTY121" s="225"/>
      <c r="DTZ121" s="225"/>
      <c r="DUA121" s="225"/>
      <c r="DUB121" s="225"/>
      <c r="DUC121" s="225"/>
      <c r="DUD121" s="225"/>
      <c r="DUE121" s="225"/>
      <c r="DUF121" s="225"/>
      <c r="DUG121" s="225"/>
      <c r="DUH121" s="225"/>
      <c r="DUI121" s="225"/>
      <c r="DUJ121" s="225"/>
      <c r="DUK121" s="225"/>
      <c r="DUL121" s="225"/>
      <c r="DUM121" s="225"/>
      <c r="DUN121" s="225"/>
      <c r="DUO121" s="225"/>
      <c r="DUP121" s="225"/>
      <c r="DUQ121" s="225"/>
      <c r="DUR121" s="225"/>
      <c r="DUS121" s="225"/>
      <c r="DUT121" s="225"/>
      <c r="DUU121" s="225"/>
      <c r="DUV121" s="225"/>
      <c r="DUW121" s="225"/>
      <c r="DUX121" s="225"/>
      <c r="DUY121" s="225"/>
      <c r="DUZ121" s="225"/>
      <c r="DVA121" s="225"/>
      <c r="DVB121" s="225"/>
      <c r="DVC121" s="225"/>
      <c r="DVD121" s="225"/>
      <c r="DVE121" s="225"/>
      <c r="DVF121" s="225"/>
      <c r="DVG121" s="225"/>
      <c r="DVH121" s="225"/>
      <c r="DVI121" s="225"/>
      <c r="DVJ121" s="225"/>
      <c r="DVK121" s="225"/>
      <c r="DVL121" s="225"/>
      <c r="DVM121" s="225"/>
      <c r="DVN121" s="225"/>
      <c r="DVO121" s="225"/>
      <c r="DVP121" s="225"/>
      <c r="DVQ121" s="225"/>
      <c r="DVR121" s="225"/>
      <c r="DVS121" s="225"/>
      <c r="DVT121" s="225"/>
      <c r="DVU121" s="225"/>
      <c r="DVV121" s="225"/>
      <c r="DVW121" s="225"/>
      <c r="DVX121" s="225"/>
      <c r="DVY121" s="225"/>
      <c r="DVZ121" s="225"/>
      <c r="DWA121" s="225"/>
      <c r="DWB121" s="225"/>
      <c r="DWC121" s="225"/>
      <c r="DWD121" s="225"/>
      <c r="DWE121" s="225"/>
      <c r="DWF121" s="225"/>
      <c r="DWG121" s="225"/>
      <c r="DWH121" s="225"/>
      <c r="DWI121" s="225"/>
      <c r="DWJ121" s="225"/>
      <c r="DWK121" s="225"/>
      <c r="DWL121" s="225"/>
      <c r="DWM121" s="225"/>
      <c r="DWN121" s="225"/>
      <c r="DWO121" s="225"/>
      <c r="DWP121" s="225"/>
      <c r="DWQ121" s="225"/>
      <c r="DWR121" s="225"/>
      <c r="DWS121" s="225"/>
      <c r="DWT121" s="225"/>
      <c r="DWU121" s="225"/>
      <c r="DWV121" s="225"/>
      <c r="DWW121" s="225"/>
      <c r="DWX121" s="225"/>
      <c r="DWY121" s="225"/>
      <c r="DWZ121" s="225"/>
      <c r="DXA121" s="225"/>
      <c r="DXB121" s="225"/>
      <c r="DXC121" s="225"/>
      <c r="DXD121" s="225"/>
      <c r="DXE121" s="225"/>
      <c r="DXF121" s="225"/>
      <c r="DXG121" s="225"/>
      <c r="DXH121" s="225"/>
      <c r="DXI121" s="225"/>
      <c r="DXJ121" s="225"/>
      <c r="DXK121" s="225"/>
      <c r="DXL121" s="225"/>
      <c r="DXM121" s="225"/>
      <c r="DXN121" s="225"/>
      <c r="DXO121" s="225"/>
      <c r="DXP121" s="225"/>
      <c r="DXQ121" s="225"/>
      <c r="DXR121" s="225"/>
      <c r="DXS121" s="225"/>
      <c r="DXT121" s="225"/>
      <c r="DXU121" s="225"/>
      <c r="DXV121" s="225"/>
      <c r="DXW121" s="225"/>
      <c r="DXX121" s="225"/>
      <c r="DXY121" s="225"/>
      <c r="DXZ121" s="225"/>
      <c r="DYA121" s="225"/>
      <c r="DYB121" s="225"/>
      <c r="DYC121" s="225"/>
      <c r="DYD121" s="225"/>
      <c r="DYE121" s="225"/>
      <c r="DYF121" s="225"/>
      <c r="DYG121" s="225"/>
      <c r="DYH121" s="225"/>
      <c r="DYI121" s="225"/>
      <c r="DYJ121" s="225"/>
      <c r="DYK121" s="225"/>
      <c r="DYL121" s="225"/>
      <c r="DYM121" s="225"/>
      <c r="DYN121" s="225"/>
      <c r="DYO121" s="225"/>
      <c r="DYP121" s="225"/>
      <c r="DYQ121" s="225"/>
      <c r="DYR121" s="225"/>
      <c r="DYS121" s="225"/>
      <c r="DYT121" s="225"/>
      <c r="DYU121" s="225"/>
      <c r="DYV121" s="225"/>
      <c r="DYW121" s="225"/>
      <c r="DYX121" s="225"/>
      <c r="DYY121" s="225"/>
      <c r="DYZ121" s="225"/>
      <c r="DZA121" s="225"/>
      <c r="DZB121" s="225"/>
      <c r="DZC121" s="225"/>
      <c r="DZD121" s="225"/>
      <c r="DZE121" s="225"/>
      <c r="DZF121" s="225"/>
      <c r="DZG121" s="225"/>
      <c r="DZH121" s="225"/>
      <c r="DZI121" s="225"/>
      <c r="DZJ121" s="225"/>
      <c r="DZK121" s="225"/>
      <c r="DZL121" s="225"/>
      <c r="DZM121" s="225"/>
      <c r="DZN121" s="225"/>
      <c r="DZO121" s="225"/>
      <c r="DZP121" s="225"/>
      <c r="DZQ121" s="225"/>
      <c r="DZR121" s="225"/>
      <c r="DZS121" s="225"/>
      <c r="DZT121" s="225"/>
      <c r="DZU121" s="225"/>
      <c r="DZV121" s="225"/>
      <c r="DZW121" s="225"/>
      <c r="DZX121" s="225"/>
      <c r="DZY121" s="225"/>
      <c r="DZZ121" s="225"/>
      <c r="EAA121" s="225"/>
      <c r="EAB121" s="225"/>
      <c r="EAC121" s="225"/>
      <c r="EAD121" s="225"/>
      <c r="EAE121" s="225"/>
      <c r="EAF121" s="225"/>
      <c r="EAG121" s="225"/>
      <c r="EAH121" s="225"/>
      <c r="EAI121" s="225"/>
      <c r="EAJ121" s="225"/>
      <c r="EAK121" s="225"/>
      <c r="EAL121" s="225"/>
      <c r="EAM121" s="225"/>
      <c r="EAN121" s="225"/>
      <c r="EAO121" s="225"/>
      <c r="EAP121" s="225"/>
      <c r="EAQ121" s="225"/>
      <c r="EAR121" s="225"/>
      <c r="EAS121" s="225"/>
      <c r="EAT121" s="225"/>
      <c r="EAU121" s="225"/>
      <c r="EAV121" s="225"/>
      <c r="EAW121" s="225"/>
      <c r="EAX121" s="225"/>
      <c r="EAY121" s="225"/>
      <c r="EAZ121" s="225"/>
      <c r="EBA121" s="225"/>
      <c r="EBB121" s="225"/>
      <c r="EBC121" s="225"/>
      <c r="EBD121" s="225"/>
      <c r="EBE121" s="225"/>
      <c r="EBF121" s="225"/>
      <c r="EBG121" s="225"/>
      <c r="EBH121" s="225"/>
      <c r="EBI121" s="225"/>
      <c r="EBJ121" s="225"/>
      <c r="EBK121" s="225"/>
      <c r="EBL121" s="225"/>
      <c r="EBM121" s="225"/>
      <c r="EBN121" s="225"/>
      <c r="EBO121" s="225"/>
      <c r="EBP121" s="225"/>
      <c r="EBQ121" s="225"/>
      <c r="EBR121" s="225"/>
      <c r="EBS121" s="225"/>
      <c r="EBT121" s="225"/>
      <c r="EBU121" s="225"/>
      <c r="EBV121" s="225"/>
      <c r="EBW121" s="225"/>
      <c r="EBX121" s="225"/>
      <c r="EBY121" s="225"/>
      <c r="EBZ121" s="225"/>
      <c r="ECA121" s="225"/>
      <c r="ECB121" s="225"/>
      <c r="ECC121" s="225"/>
      <c r="ECD121" s="225"/>
      <c r="ECE121" s="225"/>
      <c r="ECF121" s="225"/>
      <c r="ECG121" s="225"/>
      <c r="ECH121" s="225"/>
      <c r="ECI121" s="225"/>
      <c r="ECJ121" s="225"/>
      <c r="ECK121" s="225"/>
      <c r="ECL121" s="225"/>
      <c r="ECM121" s="225"/>
      <c r="ECN121" s="225"/>
      <c r="ECO121" s="225"/>
      <c r="ECP121" s="225"/>
      <c r="ECQ121" s="225"/>
      <c r="ECR121" s="225"/>
      <c r="ECS121" s="225"/>
      <c r="ECT121" s="225"/>
      <c r="ECU121" s="225"/>
      <c r="ECV121" s="225"/>
      <c r="ECW121" s="225"/>
      <c r="ECX121" s="225"/>
      <c r="ECY121" s="225"/>
      <c r="ECZ121" s="225"/>
      <c r="EDA121" s="225"/>
      <c r="EDB121" s="225"/>
      <c r="EDC121" s="225"/>
      <c r="EDD121" s="225"/>
      <c r="EDE121" s="225"/>
      <c r="EDF121" s="225"/>
      <c r="EDG121" s="225"/>
      <c r="EDH121" s="225"/>
      <c r="EDI121" s="225"/>
      <c r="EDJ121" s="225"/>
      <c r="EDK121" s="225"/>
      <c r="EDL121" s="225"/>
      <c r="EDM121" s="225"/>
      <c r="EDN121" s="225"/>
      <c r="EDO121" s="225"/>
      <c r="EDP121" s="225"/>
      <c r="EDQ121" s="225"/>
      <c r="EDR121" s="225"/>
      <c r="EDS121" s="225"/>
      <c r="EDT121" s="225"/>
      <c r="EDU121" s="225"/>
      <c r="EDV121" s="225"/>
      <c r="EDW121" s="225"/>
      <c r="EDX121" s="225"/>
      <c r="EDY121" s="225"/>
      <c r="EDZ121" s="225"/>
      <c r="EEA121" s="225"/>
      <c r="EEB121" s="225"/>
      <c r="EEC121" s="225"/>
      <c r="EED121" s="225"/>
      <c r="EEE121" s="225"/>
      <c r="EEF121" s="225"/>
      <c r="EEG121" s="225"/>
      <c r="EEH121" s="225"/>
      <c r="EEI121" s="225"/>
      <c r="EEJ121" s="225"/>
      <c r="EEK121" s="225"/>
      <c r="EEL121" s="225"/>
      <c r="EEM121" s="225"/>
      <c r="EEN121" s="225"/>
      <c r="EEO121" s="225"/>
      <c r="EEP121" s="225"/>
      <c r="EEQ121" s="225"/>
      <c r="EER121" s="225"/>
      <c r="EES121" s="225"/>
      <c r="EET121" s="225"/>
      <c r="EEU121" s="225"/>
      <c r="EEV121" s="225"/>
      <c r="EEW121" s="225"/>
      <c r="EEX121" s="225"/>
      <c r="EEY121" s="225"/>
      <c r="EEZ121" s="225"/>
      <c r="EFA121" s="225"/>
      <c r="EFB121" s="225"/>
      <c r="EFC121" s="225"/>
      <c r="EFD121" s="225"/>
      <c r="EFE121" s="225"/>
      <c r="EFF121" s="225"/>
      <c r="EFG121" s="225"/>
      <c r="EFH121" s="225"/>
      <c r="EFI121" s="225"/>
      <c r="EFJ121" s="225"/>
      <c r="EFK121" s="225"/>
      <c r="EFL121" s="225"/>
      <c r="EFM121" s="225"/>
      <c r="EFN121" s="225"/>
      <c r="EFO121" s="225"/>
      <c r="EFP121" s="225"/>
      <c r="EFQ121" s="225"/>
      <c r="EFR121" s="225"/>
      <c r="EFS121" s="225"/>
      <c r="EFT121" s="225"/>
      <c r="EFU121" s="225"/>
      <c r="EFV121" s="225"/>
      <c r="EFW121" s="225"/>
      <c r="EFX121" s="225"/>
      <c r="EFY121" s="225"/>
      <c r="EFZ121" s="225"/>
      <c r="EGA121" s="225"/>
      <c r="EGB121" s="225"/>
      <c r="EGC121" s="225"/>
      <c r="EGD121" s="225"/>
      <c r="EGE121" s="225"/>
      <c r="EGF121" s="225"/>
      <c r="EGG121" s="225"/>
      <c r="EGH121" s="225"/>
      <c r="EGI121" s="225"/>
      <c r="EGJ121" s="225"/>
      <c r="EGK121" s="225"/>
      <c r="EGL121" s="225"/>
      <c r="EGM121" s="225"/>
      <c r="EGN121" s="225"/>
      <c r="EGO121" s="225"/>
      <c r="EGP121" s="225"/>
      <c r="EGQ121" s="225"/>
      <c r="EGR121" s="225"/>
      <c r="EGS121" s="225"/>
      <c r="EGT121" s="225"/>
      <c r="EGU121" s="225"/>
      <c r="EGV121" s="225"/>
      <c r="EGW121" s="225"/>
      <c r="EGX121" s="225"/>
      <c r="EGY121" s="225"/>
      <c r="EGZ121" s="225"/>
      <c r="EHA121" s="225"/>
      <c r="EHB121" s="225"/>
      <c r="EHC121" s="225"/>
      <c r="EHD121" s="225"/>
      <c r="EHE121" s="225"/>
      <c r="EHF121" s="225"/>
      <c r="EHG121" s="225"/>
      <c r="EHH121" s="225"/>
      <c r="EHI121" s="225"/>
      <c r="EHJ121" s="225"/>
      <c r="EHK121" s="225"/>
      <c r="EHL121" s="225"/>
      <c r="EHM121" s="225"/>
      <c r="EHN121" s="225"/>
      <c r="EHO121" s="225"/>
      <c r="EHP121" s="225"/>
      <c r="EHQ121" s="225"/>
      <c r="EHR121" s="225"/>
      <c r="EHS121" s="225"/>
      <c r="EHT121" s="225"/>
      <c r="EHU121" s="225"/>
      <c r="EHV121" s="225"/>
      <c r="EHW121" s="225"/>
      <c r="EHX121" s="225"/>
      <c r="EHY121" s="225"/>
      <c r="EHZ121" s="225"/>
      <c r="EIA121" s="225"/>
      <c r="EIB121" s="225"/>
      <c r="EIC121" s="225"/>
      <c r="EID121" s="225"/>
      <c r="EIE121" s="225"/>
      <c r="EIF121" s="225"/>
      <c r="EIG121" s="225"/>
      <c r="EIH121" s="225"/>
      <c r="EII121" s="225"/>
      <c r="EIJ121" s="225"/>
      <c r="EIK121" s="225"/>
      <c r="EIL121" s="225"/>
      <c r="EIM121" s="225"/>
      <c r="EIN121" s="225"/>
      <c r="EIO121" s="225"/>
      <c r="EIP121" s="225"/>
      <c r="EIQ121" s="225"/>
      <c r="EIR121" s="225"/>
      <c r="EIS121" s="225"/>
      <c r="EIT121" s="225"/>
      <c r="EIU121" s="225"/>
      <c r="EIV121" s="225"/>
      <c r="EIW121" s="225"/>
      <c r="EIX121" s="225"/>
      <c r="EIY121" s="225"/>
      <c r="EIZ121" s="225"/>
      <c r="EJA121" s="225"/>
      <c r="EJB121" s="225"/>
      <c r="EJC121" s="225"/>
      <c r="EJD121" s="225"/>
      <c r="EJE121" s="225"/>
      <c r="EJF121" s="225"/>
      <c r="EJG121" s="225"/>
      <c r="EJH121" s="225"/>
      <c r="EJI121" s="225"/>
      <c r="EJJ121" s="225"/>
      <c r="EJK121" s="225"/>
      <c r="EJL121" s="225"/>
      <c r="EJM121" s="225"/>
      <c r="EJN121" s="225"/>
      <c r="EJO121" s="225"/>
      <c r="EJP121" s="225"/>
      <c r="EJQ121" s="225"/>
      <c r="EJR121" s="225"/>
      <c r="EJS121" s="225"/>
      <c r="EJT121" s="225"/>
      <c r="EJU121" s="225"/>
      <c r="EJV121" s="225"/>
      <c r="EJW121" s="225"/>
      <c r="EJX121" s="225"/>
      <c r="EJY121" s="225"/>
      <c r="EJZ121" s="225"/>
      <c r="EKA121" s="225"/>
      <c r="EKB121" s="225"/>
      <c r="EKC121" s="225"/>
      <c r="EKD121" s="225"/>
      <c r="EKE121" s="225"/>
      <c r="EKF121" s="225"/>
      <c r="EKG121" s="225"/>
      <c r="EKH121" s="225"/>
      <c r="EKI121" s="225"/>
      <c r="EKJ121" s="225"/>
      <c r="EKK121" s="225"/>
      <c r="EKL121" s="225"/>
      <c r="EKM121" s="225"/>
      <c r="EKN121" s="225"/>
      <c r="EKO121" s="225"/>
      <c r="EKP121" s="225"/>
      <c r="EKQ121" s="225"/>
      <c r="EKR121" s="225"/>
      <c r="EKS121" s="225"/>
      <c r="EKT121" s="225"/>
      <c r="EKU121" s="225"/>
      <c r="EKV121" s="225"/>
      <c r="EKW121" s="225"/>
      <c r="EKX121" s="225"/>
      <c r="EKY121" s="225"/>
      <c r="EKZ121" s="225"/>
      <c r="ELA121" s="225"/>
      <c r="ELB121" s="225"/>
      <c r="ELC121" s="225"/>
      <c r="ELD121" s="225"/>
      <c r="ELE121" s="225"/>
      <c r="ELF121" s="225"/>
      <c r="ELG121" s="225"/>
      <c r="ELH121" s="225"/>
      <c r="ELI121" s="225"/>
      <c r="ELJ121" s="225"/>
      <c r="ELK121" s="225"/>
      <c r="ELL121" s="225"/>
      <c r="ELM121" s="225"/>
      <c r="ELN121" s="225"/>
      <c r="ELO121" s="225"/>
      <c r="ELP121" s="225"/>
      <c r="ELQ121" s="225"/>
      <c r="ELR121" s="225"/>
      <c r="ELS121" s="225"/>
      <c r="ELT121" s="225"/>
      <c r="ELU121" s="225"/>
      <c r="ELV121" s="225"/>
      <c r="ELW121" s="225"/>
      <c r="ELX121" s="225"/>
      <c r="ELY121" s="225"/>
      <c r="ELZ121" s="225"/>
      <c r="EMA121" s="225"/>
      <c r="EMB121" s="225"/>
      <c r="EMC121" s="225"/>
      <c r="EMD121" s="225"/>
      <c r="EME121" s="225"/>
      <c r="EMF121" s="225"/>
      <c r="EMG121" s="225"/>
      <c r="EMH121" s="225"/>
      <c r="EMI121" s="225"/>
      <c r="EMJ121" s="225"/>
      <c r="EMK121" s="225"/>
      <c r="EML121" s="225"/>
      <c r="EMM121" s="225"/>
      <c r="EMN121" s="225"/>
      <c r="EMO121" s="225"/>
      <c r="EMP121" s="225"/>
      <c r="EMQ121" s="225"/>
      <c r="EMR121" s="225"/>
      <c r="EMS121" s="225"/>
      <c r="EMT121" s="225"/>
      <c r="EMU121" s="225"/>
      <c r="EMV121" s="225"/>
      <c r="EMW121" s="225"/>
      <c r="EMX121" s="225"/>
      <c r="EMY121" s="225"/>
      <c r="EMZ121" s="225"/>
      <c r="ENA121" s="225"/>
      <c r="ENB121" s="225"/>
      <c r="ENC121" s="225"/>
      <c r="END121" s="225"/>
      <c r="ENE121" s="225"/>
      <c r="ENF121" s="225"/>
      <c r="ENG121" s="225"/>
      <c r="ENH121" s="225"/>
      <c r="ENI121" s="225"/>
      <c r="ENJ121" s="225"/>
      <c r="ENK121" s="225"/>
      <c r="ENL121" s="225"/>
      <c r="ENM121" s="225"/>
      <c r="ENN121" s="225"/>
      <c r="ENO121" s="225"/>
      <c r="ENP121" s="225"/>
      <c r="ENQ121" s="225"/>
      <c r="ENR121" s="225"/>
      <c r="ENS121" s="225"/>
      <c r="ENT121" s="225"/>
      <c r="ENU121" s="225"/>
      <c r="ENV121" s="225"/>
      <c r="ENW121" s="225"/>
      <c r="ENX121" s="225"/>
      <c r="ENY121" s="225"/>
      <c r="ENZ121" s="225"/>
      <c r="EOA121" s="225"/>
      <c r="EOB121" s="225"/>
      <c r="EOC121" s="225"/>
      <c r="EOD121" s="225"/>
      <c r="EOE121" s="225"/>
      <c r="EOF121" s="225"/>
      <c r="EOG121" s="225"/>
      <c r="EOH121" s="225"/>
      <c r="EOI121" s="225"/>
      <c r="EOJ121" s="225"/>
      <c r="EOK121" s="225"/>
      <c r="EOL121" s="225"/>
      <c r="EOM121" s="225"/>
      <c r="EON121" s="225"/>
      <c r="EOO121" s="225"/>
      <c r="EOP121" s="225"/>
      <c r="EOQ121" s="225"/>
      <c r="EOR121" s="225"/>
      <c r="EOS121" s="225"/>
      <c r="EOT121" s="225"/>
      <c r="EOU121" s="225"/>
      <c r="EOV121" s="225"/>
      <c r="EOW121" s="225"/>
      <c r="EOX121" s="225"/>
      <c r="EOY121" s="225"/>
      <c r="EOZ121" s="225"/>
      <c r="EPA121" s="225"/>
      <c r="EPB121" s="225"/>
      <c r="EPC121" s="225"/>
      <c r="EPD121" s="225"/>
      <c r="EPE121" s="225"/>
      <c r="EPF121" s="225"/>
      <c r="EPG121" s="225"/>
      <c r="EPH121" s="225"/>
      <c r="EPI121" s="225"/>
      <c r="EPJ121" s="225"/>
      <c r="EPK121" s="225"/>
      <c r="EPL121" s="225"/>
      <c r="EPM121" s="225"/>
      <c r="EPN121" s="225"/>
      <c r="EPO121" s="225"/>
      <c r="EPP121" s="225"/>
      <c r="EPQ121" s="225"/>
      <c r="EPR121" s="225"/>
      <c r="EPS121" s="225"/>
      <c r="EPT121" s="225"/>
      <c r="EPU121" s="225"/>
      <c r="EPV121" s="225"/>
      <c r="EPW121" s="225"/>
      <c r="EPX121" s="225"/>
      <c r="EPY121" s="225"/>
      <c r="EPZ121" s="225"/>
      <c r="EQA121" s="225"/>
      <c r="EQB121" s="225"/>
      <c r="EQC121" s="225"/>
      <c r="EQD121" s="225"/>
      <c r="EQE121" s="225"/>
      <c r="EQF121" s="225"/>
      <c r="EQG121" s="225"/>
      <c r="EQH121" s="225"/>
      <c r="EQI121" s="225"/>
      <c r="EQJ121" s="225"/>
      <c r="EQK121" s="225"/>
      <c r="EQL121" s="225"/>
      <c r="EQM121" s="225"/>
      <c r="EQN121" s="225"/>
      <c r="EQO121" s="225"/>
      <c r="EQP121" s="225"/>
      <c r="EQQ121" s="225"/>
      <c r="EQR121" s="225"/>
      <c r="EQS121" s="225"/>
      <c r="EQT121" s="225"/>
      <c r="EQU121" s="225"/>
      <c r="EQV121" s="225"/>
      <c r="EQW121" s="225"/>
      <c r="EQX121" s="225"/>
      <c r="EQY121" s="225"/>
      <c r="EQZ121" s="225"/>
      <c r="ERA121" s="225"/>
      <c r="ERB121" s="225"/>
      <c r="ERC121" s="225"/>
      <c r="ERD121" s="225"/>
      <c r="ERE121" s="225"/>
      <c r="ERF121" s="225"/>
      <c r="ERG121" s="225"/>
      <c r="ERH121" s="225"/>
      <c r="ERI121" s="225"/>
      <c r="ERJ121" s="225"/>
      <c r="ERK121" s="225"/>
      <c r="ERL121" s="225"/>
      <c r="ERM121" s="225"/>
      <c r="ERN121" s="225"/>
      <c r="ERO121" s="225"/>
      <c r="ERP121" s="225"/>
      <c r="ERQ121" s="225"/>
      <c r="ERR121" s="225"/>
      <c r="ERS121" s="225"/>
      <c r="ERT121" s="225"/>
      <c r="ERU121" s="225"/>
      <c r="ERV121" s="225"/>
      <c r="ERW121" s="225"/>
      <c r="ERX121" s="225"/>
      <c r="ERY121" s="225"/>
      <c r="ERZ121" s="225"/>
      <c r="ESA121" s="225"/>
      <c r="ESB121" s="225"/>
      <c r="ESC121" s="225"/>
      <c r="ESD121" s="225"/>
      <c r="ESE121" s="225"/>
      <c r="ESF121" s="225"/>
      <c r="ESG121" s="225"/>
      <c r="ESH121" s="225"/>
      <c r="ESI121" s="225"/>
      <c r="ESJ121" s="225"/>
      <c r="ESK121" s="225"/>
      <c r="ESL121" s="225"/>
      <c r="ESM121" s="225"/>
      <c r="ESN121" s="225"/>
      <c r="ESO121" s="225"/>
      <c r="ESP121" s="225"/>
      <c r="ESQ121" s="225"/>
      <c r="ESR121" s="225"/>
      <c r="ESS121" s="225"/>
      <c r="EST121" s="225"/>
      <c r="ESU121" s="225"/>
      <c r="ESV121" s="225"/>
      <c r="ESW121" s="225"/>
      <c r="ESX121" s="225"/>
      <c r="ESY121" s="225"/>
      <c r="ESZ121" s="225"/>
      <c r="ETA121" s="225"/>
      <c r="ETB121" s="225"/>
      <c r="ETC121" s="225"/>
      <c r="ETD121" s="225"/>
      <c r="ETE121" s="225"/>
      <c r="ETF121" s="225"/>
      <c r="ETG121" s="225"/>
      <c r="ETH121" s="225"/>
      <c r="ETI121" s="225"/>
      <c r="ETJ121" s="225"/>
      <c r="ETK121" s="225"/>
      <c r="ETL121" s="225"/>
      <c r="ETM121" s="225"/>
      <c r="ETN121" s="225"/>
      <c r="ETO121" s="225"/>
      <c r="ETP121" s="225"/>
      <c r="ETQ121" s="225"/>
      <c r="ETR121" s="225"/>
      <c r="ETS121" s="225"/>
      <c r="ETT121" s="225"/>
      <c r="ETU121" s="225"/>
      <c r="ETV121" s="225"/>
      <c r="ETW121" s="225"/>
      <c r="ETX121" s="225"/>
      <c r="ETY121" s="225"/>
      <c r="ETZ121" s="225"/>
      <c r="EUA121" s="225"/>
      <c r="EUB121" s="225"/>
      <c r="EUC121" s="225"/>
      <c r="EUD121" s="225"/>
      <c r="EUE121" s="225"/>
      <c r="EUF121" s="225"/>
      <c r="EUG121" s="225"/>
      <c r="EUH121" s="225"/>
      <c r="EUI121" s="225"/>
      <c r="EUJ121" s="225"/>
      <c r="EUK121" s="225"/>
      <c r="EUL121" s="225"/>
      <c r="EUM121" s="225"/>
      <c r="EUN121" s="225"/>
      <c r="EUO121" s="225"/>
      <c r="EUP121" s="225"/>
      <c r="EUQ121" s="225"/>
      <c r="EUR121" s="225"/>
      <c r="EUS121" s="225"/>
      <c r="EUT121" s="225"/>
      <c r="EUU121" s="225"/>
      <c r="EUV121" s="225"/>
      <c r="EUW121" s="225"/>
      <c r="EUX121" s="225"/>
      <c r="EUY121" s="225"/>
      <c r="EUZ121" s="225"/>
      <c r="EVA121" s="225"/>
      <c r="EVB121" s="225"/>
      <c r="EVC121" s="225"/>
      <c r="EVD121" s="225"/>
      <c r="EVE121" s="225"/>
      <c r="EVF121" s="225"/>
      <c r="EVG121" s="225"/>
      <c r="EVH121" s="225"/>
      <c r="EVI121" s="225"/>
      <c r="EVJ121" s="225"/>
      <c r="EVK121" s="225"/>
      <c r="EVL121" s="225"/>
      <c r="EVM121" s="225"/>
      <c r="EVN121" s="225"/>
      <c r="EVO121" s="225"/>
      <c r="EVP121" s="225"/>
      <c r="EVQ121" s="225"/>
      <c r="EVR121" s="225"/>
      <c r="EVS121" s="225"/>
      <c r="EVT121" s="225"/>
      <c r="EVU121" s="225"/>
      <c r="EVV121" s="225"/>
      <c r="EVW121" s="225"/>
      <c r="EVX121" s="225"/>
      <c r="EVY121" s="225"/>
      <c r="EVZ121" s="225"/>
      <c r="EWA121" s="225"/>
      <c r="EWB121" s="225"/>
      <c r="EWC121" s="225"/>
      <c r="EWD121" s="225"/>
      <c r="EWE121" s="225"/>
      <c r="EWF121" s="225"/>
      <c r="EWG121" s="225"/>
      <c r="EWH121" s="225"/>
      <c r="EWI121" s="225"/>
      <c r="EWJ121" s="225"/>
      <c r="EWK121" s="225"/>
      <c r="EWL121" s="225"/>
      <c r="EWM121" s="225"/>
      <c r="EWN121" s="225"/>
      <c r="EWO121" s="225"/>
      <c r="EWP121" s="225"/>
      <c r="EWQ121" s="225"/>
      <c r="EWR121" s="225"/>
      <c r="EWS121" s="225"/>
      <c r="EWT121" s="225"/>
      <c r="EWU121" s="225"/>
      <c r="EWV121" s="225"/>
      <c r="EWW121" s="225"/>
      <c r="EWX121" s="225"/>
      <c r="EWY121" s="225"/>
      <c r="EWZ121" s="225"/>
      <c r="EXA121" s="225"/>
      <c r="EXB121" s="225"/>
      <c r="EXC121" s="225"/>
      <c r="EXD121" s="225"/>
      <c r="EXE121" s="225"/>
      <c r="EXF121" s="225"/>
      <c r="EXG121" s="225"/>
      <c r="EXH121" s="225"/>
      <c r="EXI121" s="225"/>
      <c r="EXJ121" s="225"/>
      <c r="EXK121" s="225"/>
      <c r="EXL121" s="225"/>
      <c r="EXM121" s="225"/>
      <c r="EXN121" s="225"/>
      <c r="EXO121" s="225"/>
      <c r="EXP121" s="225"/>
      <c r="EXQ121" s="225"/>
      <c r="EXR121" s="225"/>
      <c r="EXS121" s="225"/>
      <c r="EXT121" s="225"/>
      <c r="EXU121" s="225"/>
      <c r="EXV121" s="225"/>
      <c r="EXW121" s="225"/>
      <c r="EXX121" s="225"/>
      <c r="EXY121" s="225"/>
      <c r="EXZ121" s="225"/>
      <c r="EYA121" s="225"/>
      <c r="EYB121" s="225"/>
      <c r="EYC121" s="225"/>
      <c r="EYD121" s="225"/>
      <c r="EYE121" s="225"/>
      <c r="EYF121" s="225"/>
      <c r="EYG121" s="225"/>
      <c r="EYH121" s="225"/>
      <c r="EYI121" s="225"/>
      <c r="EYJ121" s="225"/>
      <c r="EYK121" s="225"/>
      <c r="EYL121" s="225"/>
      <c r="EYM121" s="225"/>
      <c r="EYN121" s="225"/>
      <c r="EYO121" s="225"/>
      <c r="EYP121" s="225"/>
      <c r="EYQ121" s="225"/>
      <c r="EYR121" s="225"/>
      <c r="EYS121" s="225"/>
      <c r="EYT121" s="225"/>
      <c r="EYU121" s="225"/>
      <c r="EYV121" s="225"/>
      <c r="EYW121" s="225"/>
      <c r="EYX121" s="225"/>
      <c r="EYY121" s="225"/>
      <c r="EYZ121" s="225"/>
      <c r="EZA121" s="225"/>
      <c r="EZB121" s="225"/>
      <c r="EZC121" s="225"/>
      <c r="EZD121" s="225"/>
      <c r="EZE121" s="225"/>
      <c r="EZF121" s="225"/>
      <c r="EZG121" s="225"/>
      <c r="EZH121" s="225"/>
      <c r="EZI121" s="225"/>
      <c r="EZJ121" s="225"/>
      <c r="EZK121" s="225"/>
      <c r="EZL121" s="225"/>
      <c r="EZM121" s="225"/>
      <c r="EZN121" s="225"/>
      <c r="EZO121" s="225"/>
      <c r="EZP121" s="225"/>
      <c r="EZQ121" s="225"/>
      <c r="EZR121" s="225"/>
      <c r="EZS121" s="225"/>
      <c r="EZT121" s="225"/>
      <c r="EZU121" s="225"/>
      <c r="EZV121" s="225"/>
      <c r="EZW121" s="225"/>
      <c r="EZX121" s="225"/>
      <c r="EZY121" s="225"/>
      <c r="EZZ121" s="225"/>
      <c r="FAA121" s="225"/>
      <c r="FAB121" s="225"/>
      <c r="FAC121" s="225"/>
      <c r="FAD121" s="225"/>
      <c r="FAE121" s="225"/>
      <c r="FAF121" s="225"/>
      <c r="FAG121" s="225"/>
      <c r="FAH121" s="225"/>
      <c r="FAI121" s="225"/>
      <c r="FAJ121" s="225"/>
      <c r="FAK121" s="225"/>
      <c r="FAL121" s="225"/>
      <c r="FAM121" s="225"/>
      <c r="FAN121" s="225"/>
      <c r="FAO121" s="225"/>
      <c r="FAP121" s="225"/>
      <c r="FAQ121" s="225"/>
      <c r="FAR121" s="225"/>
      <c r="FAS121" s="225"/>
      <c r="FAT121" s="225"/>
      <c r="FAU121" s="225"/>
      <c r="FAV121" s="225"/>
      <c r="FAW121" s="225"/>
      <c r="FAX121" s="225"/>
      <c r="FAY121" s="225"/>
      <c r="FAZ121" s="225"/>
      <c r="FBA121" s="225"/>
      <c r="FBB121" s="225"/>
      <c r="FBC121" s="225"/>
      <c r="FBD121" s="225"/>
      <c r="FBE121" s="225"/>
      <c r="FBF121" s="225"/>
      <c r="FBG121" s="225"/>
      <c r="FBH121" s="225"/>
      <c r="FBI121" s="225"/>
      <c r="FBJ121" s="225"/>
      <c r="FBK121" s="225"/>
      <c r="FBL121" s="225"/>
      <c r="FBM121" s="225"/>
      <c r="FBN121" s="225"/>
      <c r="FBO121" s="225"/>
      <c r="FBP121" s="225"/>
      <c r="FBQ121" s="225"/>
      <c r="FBR121" s="225"/>
      <c r="FBS121" s="225"/>
      <c r="FBT121" s="225"/>
      <c r="FBU121" s="225"/>
      <c r="FBV121" s="225"/>
      <c r="FBW121" s="225"/>
      <c r="FBX121" s="225"/>
      <c r="FBY121" s="225"/>
      <c r="FBZ121" s="225"/>
      <c r="FCA121" s="225"/>
      <c r="FCB121" s="225"/>
      <c r="FCC121" s="225"/>
      <c r="FCD121" s="225"/>
      <c r="FCE121" s="225"/>
      <c r="FCF121" s="225"/>
      <c r="FCG121" s="225"/>
      <c r="FCH121" s="225"/>
      <c r="FCI121" s="225"/>
      <c r="FCJ121" s="225"/>
      <c r="FCK121" s="225"/>
      <c r="FCL121" s="225"/>
      <c r="FCM121" s="225"/>
      <c r="FCN121" s="225"/>
      <c r="FCO121" s="225"/>
      <c r="FCP121" s="225"/>
      <c r="FCQ121" s="225"/>
      <c r="FCR121" s="225"/>
      <c r="FCS121" s="225"/>
      <c r="FCT121" s="225"/>
      <c r="FCU121" s="225"/>
      <c r="FCV121" s="225"/>
      <c r="FCW121" s="225"/>
      <c r="FCX121" s="225"/>
      <c r="FCY121" s="225"/>
      <c r="FCZ121" s="225"/>
      <c r="FDA121" s="225"/>
      <c r="FDB121" s="225"/>
      <c r="FDC121" s="225"/>
      <c r="FDD121" s="225"/>
      <c r="FDE121" s="225"/>
      <c r="FDF121" s="225"/>
      <c r="FDG121" s="225"/>
      <c r="FDH121" s="225"/>
      <c r="FDI121" s="225"/>
      <c r="FDJ121" s="225"/>
      <c r="FDK121" s="225"/>
      <c r="FDL121" s="225"/>
      <c r="FDM121" s="225"/>
      <c r="FDN121" s="225"/>
      <c r="FDO121" s="225"/>
      <c r="FDP121" s="225"/>
      <c r="FDQ121" s="225"/>
      <c r="FDR121" s="225"/>
      <c r="FDS121" s="225"/>
      <c r="FDT121" s="225"/>
      <c r="FDU121" s="225"/>
      <c r="FDV121" s="225"/>
      <c r="FDW121" s="225"/>
      <c r="FDX121" s="225"/>
      <c r="FDY121" s="225"/>
      <c r="FDZ121" s="225"/>
      <c r="FEA121" s="225"/>
      <c r="FEB121" s="225"/>
      <c r="FEC121" s="225"/>
      <c r="FED121" s="225"/>
      <c r="FEE121" s="225"/>
      <c r="FEF121" s="225"/>
      <c r="FEG121" s="225"/>
      <c r="FEH121" s="225"/>
      <c r="FEI121" s="225"/>
      <c r="FEJ121" s="225"/>
      <c r="FEK121" s="225"/>
      <c r="FEL121" s="225"/>
      <c r="FEM121" s="225"/>
      <c r="FEN121" s="225"/>
      <c r="FEO121" s="225"/>
      <c r="FEP121" s="225"/>
      <c r="FEQ121" s="225"/>
      <c r="FER121" s="225"/>
      <c r="FES121" s="225"/>
      <c r="FET121" s="225"/>
      <c r="FEU121" s="225"/>
      <c r="FEV121" s="225"/>
      <c r="FEW121" s="225"/>
      <c r="FEX121" s="225"/>
      <c r="FEY121" s="225"/>
      <c r="FEZ121" s="225"/>
      <c r="FFA121" s="225"/>
      <c r="FFB121" s="225"/>
      <c r="FFC121" s="225"/>
      <c r="FFD121" s="225"/>
      <c r="FFE121" s="225"/>
      <c r="FFF121" s="225"/>
      <c r="FFG121" s="225"/>
      <c r="FFH121" s="225"/>
      <c r="FFI121" s="225"/>
      <c r="FFJ121" s="225"/>
      <c r="FFK121" s="225"/>
      <c r="FFL121" s="225"/>
      <c r="FFM121" s="225"/>
      <c r="FFN121" s="225"/>
      <c r="FFO121" s="225"/>
      <c r="FFP121" s="225"/>
      <c r="FFQ121" s="225"/>
      <c r="FFR121" s="225"/>
      <c r="FFS121" s="225"/>
      <c r="FFT121" s="225"/>
      <c r="FFU121" s="225"/>
      <c r="FFV121" s="225"/>
      <c r="FFW121" s="225"/>
      <c r="FFX121" s="225"/>
      <c r="FFY121" s="225"/>
      <c r="FFZ121" s="225"/>
      <c r="FGA121" s="225"/>
      <c r="FGB121" s="225"/>
      <c r="FGC121" s="225"/>
      <c r="FGD121" s="225"/>
      <c r="FGE121" s="225"/>
      <c r="FGF121" s="225"/>
      <c r="FGG121" s="225"/>
      <c r="FGH121" s="225"/>
      <c r="FGI121" s="225"/>
      <c r="FGJ121" s="225"/>
      <c r="FGK121" s="225"/>
      <c r="FGL121" s="225"/>
      <c r="FGM121" s="225"/>
      <c r="FGN121" s="225"/>
      <c r="FGO121" s="225"/>
      <c r="FGP121" s="225"/>
      <c r="FGQ121" s="225"/>
      <c r="FGR121" s="225"/>
      <c r="FGS121" s="225"/>
      <c r="FGT121" s="225"/>
      <c r="FGU121" s="225"/>
      <c r="FGV121" s="225"/>
      <c r="FGW121" s="225"/>
      <c r="FGX121" s="225"/>
      <c r="FGY121" s="225"/>
      <c r="FGZ121" s="225"/>
      <c r="FHA121" s="225"/>
      <c r="FHB121" s="225"/>
      <c r="FHC121" s="225"/>
      <c r="FHD121" s="225"/>
      <c r="FHE121" s="225"/>
      <c r="FHF121" s="225"/>
      <c r="FHG121" s="225"/>
      <c r="FHH121" s="225"/>
      <c r="FHI121" s="225"/>
      <c r="FHJ121" s="225"/>
      <c r="FHK121" s="225"/>
      <c r="FHL121" s="225"/>
      <c r="FHM121" s="225"/>
      <c r="FHN121" s="225"/>
      <c r="FHO121" s="225"/>
      <c r="FHP121" s="225"/>
      <c r="FHQ121" s="225"/>
      <c r="FHR121" s="225"/>
      <c r="FHS121" s="225"/>
      <c r="FHT121" s="225"/>
      <c r="FHU121" s="225"/>
      <c r="FHV121" s="225"/>
      <c r="FHW121" s="225"/>
      <c r="FHX121" s="225"/>
      <c r="FHY121" s="225"/>
      <c r="FHZ121" s="225"/>
      <c r="FIA121" s="225"/>
      <c r="FIB121" s="225"/>
      <c r="FIC121" s="225"/>
      <c r="FID121" s="225"/>
      <c r="FIE121" s="225"/>
      <c r="FIF121" s="225"/>
      <c r="FIG121" s="225"/>
      <c r="FIH121" s="225"/>
      <c r="FII121" s="225"/>
      <c r="FIJ121" s="225"/>
      <c r="FIK121" s="225"/>
      <c r="FIL121" s="225"/>
      <c r="FIM121" s="225"/>
      <c r="FIN121" s="225"/>
      <c r="FIO121" s="225"/>
      <c r="FIP121" s="225"/>
      <c r="FIQ121" s="225"/>
      <c r="FIR121" s="225"/>
      <c r="FIS121" s="225"/>
      <c r="FIT121" s="225"/>
      <c r="FIU121" s="225"/>
      <c r="FIV121" s="225"/>
      <c r="FIW121" s="225"/>
      <c r="FIX121" s="225"/>
      <c r="FIY121" s="225"/>
      <c r="FIZ121" s="225"/>
      <c r="FJA121" s="225"/>
      <c r="FJB121" s="225"/>
      <c r="FJC121" s="225"/>
      <c r="FJD121" s="225"/>
      <c r="FJE121" s="225"/>
      <c r="FJF121" s="225"/>
      <c r="FJG121" s="225"/>
      <c r="FJH121" s="225"/>
      <c r="FJI121" s="225"/>
      <c r="FJJ121" s="225"/>
      <c r="FJK121" s="225"/>
      <c r="FJL121" s="225"/>
      <c r="FJM121" s="225"/>
      <c r="FJN121" s="225"/>
      <c r="FJO121" s="225"/>
      <c r="FJP121" s="225"/>
      <c r="FJQ121" s="225"/>
      <c r="FJR121" s="225"/>
      <c r="FJS121" s="225"/>
      <c r="FJT121" s="225"/>
      <c r="FJU121" s="225"/>
      <c r="FJV121" s="225"/>
      <c r="FJW121" s="225"/>
      <c r="FJX121" s="225"/>
      <c r="FJY121" s="225"/>
      <c r="FJZ121" s="225"/>
      <c r="FKA121" s="225"/>
      <c r="FKB121" s="225"/>
      <c r="FKC121" s="225"/>
      <c r="FKD121" s="225"/>
      <c r="FKE121" s="225"/>
      <c r="FKF121" s="225"/>
      <c r="FKG121" s="225"/>
      <c r="FKH121" s="225"/>
      <c r="FKI121" s="225"/>
      <c r="FKJ121" s="225"/>
      <c r="FKK121" s="225"/>
      <c r="FKL121" s="225"/>
      <c r="FKM121" s="225"/>
      <c r="FKN121" s="225"/>
      <c r="FKO121" s="225"/>
      <c r="FKP121" s="225"/>
      <c r="FKQ121" s="225"/>
      <c r="FKR121" s="225"/>
      <c r="FKS121" s="225"/>
      <c r="FKT121" s="225"/>
      <c r="FKU121" s="225"/>
      <c r="FKV121" s="225"/>
      <c r="FKW121" s="225"/>
      <c r="FKX121" s="225"/>
      <c r="FKY121" s="225"/>
      <c r="FKZ121" s="225"/>
      <c r="FLA121" s="225"/>
      <c r="FLB121" s="225"/>
      <c r="FLC121" s="225"/>
      <c r="FLD121" s="225"/>
      <c r="FLE121" s="225"/>
      <c r="FLF121" s="225"/>
      <c r="FLG121" s="225"/>
      <c r="FLH121" s="225"/>
      <c r="FLI121" s="225"/>
      <c r="FLJ121" s="225"/>
      <c r="FLK121" s="225"/>
      <c r="FLL121" s="225"/>
      <c r="FLM121" s="225"/>
      <c r="FLN121" s="225"/>
      <c r="FLO121" s="225"/>
      <c r="FLP121" s="225"/>
      <c r="FLQ121" s="225"/>
      <c r="FLR121" s="225"/>
      <c r="FLS121" s="225"/>
      <c r="FLT121" s="225"/>
      <c r="FLU121" s="225"/>
      <c r="FLV121" s="225"/>
      <c r="FLW121" s="225"/>
      <c r="FLX121" s="225"/>
      <c r="FLY121" s="225"/>
      <c r="FLZ121" s="225"/>
      <c r="FMA121" s="225"/>
      <c r="FMB121" s="225"/>
      <c r="FMC121" s="225"/>
      <c r="FMD121" s="225"/>
      <c r="FME121" s="225"/>
      <c r="FMF121" s="225"/>
      <c r="FMG121" s="225"/>
      <c r="FMH121" s="225"/>
      <c r="FMI121" s="225"/>
      <c r="FMJ121" s="225"/>
      <c r="FMK121" s="225"/>
      <c r="FML121" s="225"/>
      <c r="FMM121" s="225"/>
      <c r="FMN121" s="225"/>
      <c r="FMO121" s="225"/>
      <c r="FMP121" s="225"/>
      <c r="FMQ121" s="225"/>
      <c r="FMR121" s="225"/>
      <c r="FMS121" s="225"/>
      <c r="FMT121" s="225"/>
      <c r="FMU121" s="225"/>
      <c r="FMV121" s="225"/>
      <c r="FMW121" s="225"/>
      <c r="FMX121" s="225"/>
      <c r="FMY121" s="225"/>
      <c r="FMZ121" s="225"/>
      <c r="FNA121" s="225"/>
      <c r="FNB121" s="225"/>
      <c r="FNC121" s="225"/>
      <c r="FND121" s="225"/>
      <c r="FNE121" s="225"/>
      <c r="FNF121" s="225"/>
      <c r="FNG121" s="225"/>
      <c r="FNH121" s="225"/>
      <c r="FNI121" s="225"/>
      <c r="FNJ121" s="225"/>
      <c r="FNK121" s="225"/>
      <c r="FNL121" s="225"/>
      <c r="FNM121" s="225"/>
      <c r="FNN121" s="225"/>
      <c r="FNO121" s="225"/>
      <c r="FNP121" s="225"/>
      <c r="FNQ121" s="225"/>
      <c r="FNR121" s="225"/>
      <c r="FNS121" s="225"/>
      <c r="FNT121" s="225"/>
      <c r="FNU121" s="225"/>
      <c r="FNV121" s="225"/>
      <c r="FNW121" s="225"/>
      <c r="FNX121" s="225"/>
      <c r="FNY121" s="225"/>
      <c r="FNZ121" s="225"/>
      <c r="FOA121" s="225"/>
      <c r="FOB121" s="225"/>
      <c r="FOC121" s="225"/>
      <c r="FOD121" s="225"/>
      <c r="FOE121" s="225"/>
      <c r="FOF121" s="225"/>
      <c r="FOG121" s="225"/>
      <c r="FOH121" s="225"/>
      <c r="FOI121" s="225"/>
      <c r="FOJ121" s="225"/>
      <c r="FOK121" s="225"/>
      <c r="FOL121" s="225"/>
      <c r="FOM121" s="225"/>
      <c r="FON121" s="225"/>
      <c r="FOO121" s="225"/>
      <c r="FOP121" s="225"/>
      <c r="FOQ121" s="225"/>
      <c r="FOR121" s="225"/>
      <c r="FOS121" s="225"/>
      <c r="FOT121" s="225"/>
      <c r="FOU121" s="225"/>
      <c r="FOV121" s="225"/>
      <c r="FOW121" s="225"/>
      <c r="FOX121" s="225"/>
      <c r="FOY121" s="225"/>
      <c r="FOZ121" s="225"/>
      <c r="FPA121" s="225"/>
      <c r="FPB121" s="225"/>
      <c r="FPC121" s="225"/>
      <c r="FPD121" s="225"/>
      <c r="FPE121" s="225"/>
      <c r="FPF121" s="225"/>
      <c r="FPG121" s="225"/>
      <c r="FPH121" s="225"/>
      <c r="FPI121" s="225"/>
      <c r="FPJ121" s="225"/>
      <c r="FPK121" s="225"/>
      <c r="FPL121" s="225"/>
      <c r="FPM121" s="225"/>
      <c r="FPN121" s="225"/>
      <c r="FPO121" s="225"/>
      <c r="FPP121" s="225"/>
      <c r="FPQ121" s="225"/>
      <c r="FPR121" s="225"/>
      <c r="FPS121" s="225"/>
      <c r="FPT121" s="225"/>
      <c r="FPU121" s="225"/>
      <c r="FPV121" s="225"/>
      <c r="FPW121" s="225"/>
      <c r="FPX121" s="225"/>
      <c r="FPY121" s="225"/>
      <c r="FPZ121" s="225"/>
      <c r="FQA121" s="225"/>
      <c r="FQB121" s="225"/>
      <c r="FQC121" s="225"/>
      <c r="FQD121" s="225"/>
      <c r="FQE121" s="225"/>
      <c r="FQF121" s="225"/>
      <c r="FQG121" s="225"/>
      <c r="FQH121" s="225"/>
      <c r="FQI121" s="225"/>
      <c r="FQJ121" s="225"/>
      <c r="FQK121" s="225"/>
      <c r="FQL121" s="225"/>
      <c r="FQM121" s="225"/>
      <c r="FQN121" s="225"/>
      <c r="FQO121" s="225"/>
      <c r="FQP121" s="225"/>
      <c r="FQQ121" s="225"/>
      <c r="FQR121" s="225"/>
      <c r="FQS121" s="225"/>
      <c r="FQT121" s="225"/>
      <c r="FQU121" s="225"/>
      <c r="FQV121" s="225"/>
      <c r="FQW121" s="225"/>
      <c r="FQX121" s="225"/>
      <c r="FQY121" s="225"/>
      <c r="FQZ121" s="225"/>
      <c r="FRA121" s="225"/>
      <c r="FRB121" s="225"/>
      <c r="FRC121" s="225"/>
      <c r="FRD121" s="225"/>
      <c r="FRE121" s="225"/>
      <c r="FRF121" s="225"/>
      <c r="FRG121" s="225"/>
      <c r="FRH121" s="225"/>
      <c r="FRI121" s="225"/>
      <c r="FRJ121" s="225"/>
      <c r="FRK121" s="225"/>
      <c r="FRL121" s="225"/>
      <c r="FRM121" s="225"/>
      <c r="FRN121" s="225"/>
      <c r="FRO121" s="225"/>
      <c r="FRP121" s="225"/>
      <c r="FRQ121" s="225"/>
      <c r="FRR121" s="225"/>
      <c r="FRS121" s="225"/>
      <c r="FRT121" s="225"/>
      <c r="FRU121" s="225"/>
      <c r="FRV121" s="225"/>
      <c r="FRW121" s="225"/>
      <c r="FRX121" s="225"/>
      <c r="FRY121" s="225"/>
      <c r="FRZ121" s="225"/>
      <c r="FSA121" s="225"/>
      <c r="FSB121" s="225"/>
      <c r="FSC121" s="225"/>
      <c r="FSD121" s="225"/>
      <c r="FSE121" s="225"/>
      <c r="FSF121" s="225"/>
      <c r="FSG121" s="225"/>
      <c r="FSH121" s="225"/>
      <c r="FSI121" s="225"/>
      <c r="FSJ121" s="225"/>
      <c r="FSK121" s="225"/>
      <c r="FSL121" s="225"/>
      <c r="FSM121" s="225"/>
      <c r="FSN121" s="225"/>
      <c r="FSO121" s="225"/>
      <c r="FSP121" s="225"/>
      <c r="FSQ121" s="225"/>
      <c r="FSR121" s="225"/>
      <c r="FSS121" s="225"/>
      <c r="FST121" s="225"/>
      <c r="FSU121" s="225"/>
      <c r="FSV121" s="225"/>
      <c r="FSW121" s="225"/>
      <c r="FSX121" s="225"/>
      <c r="FSY121" s="225"/>
      <c r="FSZ121" s="225"/>
      <c r="FTA121" s="225"/>
      <c r="FTB121" s="225"/>
      <c r="FTC121" s="225"/>
      <c r="FTD121" s="225"/>
      <c r="FTE121" s="225"/>
      <c r="FTF121" s="225"/>
      <c r="FTG121" s="225"/>
      <c r="FTH121" s="225"/>
      <c r="FTI121" s="225"/>
      <c r="FTJ121" s="225"/>
      <c r="FTK121" s="225"/>
      <c r="FTL121" s="225"/>
      <c r="FTM121" s="225"/>
      <c r="FTN121" s="225"/>
      <c r="FTO121" s="225"/>
      <c r="FTP121" s="225"/>
      <c r="FTQ121" s="225"/>
      <c r="FTR121" s="225"/>
      <c r="FTS121" s="225"/>
      <c r="FTT121" s="225"/>
      <c r="FTU121" s="225"/>
      <c r="FTV121" s="225"/>
      <c r="FTW121" s="225"/>
      <c r="FTX121" s="225"/>
      <c r="FTY121" s="225"/>
      <c r="FTZ121" s="225"/>
      <c r="FUA121" s="225"/>
      <c r="FUB121" s="225"/>
      <c r="FUC121" s="225"/>
      <c r="FUD121" s="225"/>
      <c r="FUE121" s="225"/>
      <c r="FUF121" s="225"/>
      <c r="FUG121" s="225"/>
      <c r="FUH121" s="225"/>
      <c r="FUI121" s="225"/>
      <c r="FUJ121" s="225"/>
      <c r="FUK121" s="225"/>
      <c r="FUL121" s="225"/>
      <c r="FUM121" s="225"/>
      <c r="FUN121" s="225"/>
      <c r="FUO121" s="225"/>
      <c r="FUP121" s="225"/>
      <c r="FUQ121" s="225"/>
      <c r="FUR121" s="225"/>
      <c r="FUS121" s="225"/>
      <c r="FUT121" s="225"/>
      <c r="FUU121" s="225"/>
      <c r="FUV121" s="225"/>
      <c r="FUW121" s="225"/>
      <c r="FUX121" s="225"/>
      <c r="FUY121" s="225"/>
      <c r="FUZ121" s="225"/>
      <c r="FVA121" s="225"/>
      <c r="FVB121" s="225"/>
      <c r="FVC121" s="225"/>
      <c r="FVD121" s="225"/>
      <c r="FVE121" s="225"/>
      <c r="FVF121" s="225"/>
      <c r="FVG121" s="225"/>
      <c r="FVH121" s="225"/>
      <c r="FVI121" s="225"/>
      <c r="FVJ121" s="225"/>
      <c r="FVK121" s="225"/>
      <c r="FVL121" s="225"/>
      <c r="FVM121" s="225"/>
      <c r="FVN121" s="225"/>
      <c r="FVO121" s="225"/>
      <c r="FVP121" s="225"/>
      <c r="FVQ121" s="225"/>
      <c r="FVR121" s="225"/>
      <c r="FVS121" s="225"/>
      <c r="FVT121" s="225"/>
      <c r="FVU121" s="225"/>
      <c r="FVV121" s="225"/>
      <c r="FVW121" s="225"/>
      <c r="FVX121" s="225"/>
      <c r="FVY121" s="225"/>
      <c r="FVZ121" s="225"/>
      <c r="FWA121" s="225"/>
      <c r="FWB121" s="225"/>
      <c r="FWC121" s="225"/>
      <c r="FWD121" s="225"/>
      <c r="FWE121" s="225"/>
      <c r="FWF121" s="225"/>
      <c r="FWG121" s="225"/>
      <c r="FWH121" s="225"/>
      <c r="FWI121" s="225"/>
      <c r="FWJ121" s="225"/>
      <c r="FWK121" s="225"/>
      <c r="FWL121" s="225"/>
      <c r="FWM121" s="225"/>
      <c r="FWN121" s="225"/>
      <c r="FWO121" s="225"/>
      <c r="FWP121" s="225"/>
      <c r="FWQ121" s="225"/>
      <c r="FWR121" s="225"/>
      <c r="FWS121" s="225"/>
      <c r="FWT121" s="225"/>
      <c r="FWU121" s="225"/>
      <c r="FWV121" s="225"/>
      <c r="FWW121" s="225"/>
      <c r="FWX121" s="225"/>
      <c r="FWY121" s="225"/>
      <c r="FWZ121" s="225"/>
      <c r="FXA121" s="225"/>
      <c r="FXB121" s="225"/>
      <c r="FXC121" s="225"/>
      <c r="FXD121" s="225"/>
      <c r="FXE121" s="225"/>
      <c r="FXF121" s="225"/>
      <c r="FXG121" s="225"/>
      <c r="FXH121" s="225"/>
      <c r="FXI121" s="225"/>
      <c r="FXJ121" s="225"/>
      <c r="FXK121" s="225"/>
      <c r="FXL121" s="225"/>
      <c r="FXM121" s="225"/>
      <c r="FXN121" s="225"/>
      <c r="FXO121" s="225"/>
      <c r="FXP121" s="225"/>
      <c r="FXQ121" s="225"/>
      <c r="FXR121" s="225"/>
      <c r="FXS121" s="225"/>
      <c r="FXT121" s="225"/>
      <c r="FXU121" s="225"/>
      <c r="FXV121" s="225"/>
      <c r="FXW121" s="225"/>
      <c r="FXX121" s="225"/>
      <c r="FXY121" s="225"/>
      <c r="FXZ121" s="225"/>
      <c r="FYA121" s="225"/>
      <c r="FYB121" s="225"/>
      <c r="FYC121" s="225"/>
      <c r="FYD121" s="225"/>
      <c r="FYE121" s="225"/>
      <c r="FYF121" s="225"/>
      <c r="FYG121" s="225"/>
      <c r="FYH121" s="225"/>
      <c r="FYI121" s="225"/>
      <c r="FYJ121" s="225"/>
      <c r="FYK121" s="225"/>
      <c r="FYL121" s="225"/>
      <c r="FYM121" s="225"/>
      <c r="FYN121" s="225"/>
      <c r="FYO121" s="225"/>
      <c r="FYP121" s="225"/>
      <c r="FYQ121" s="225"/>
      <c r="FYR121" s="225"/>
      <c r="FYS121" s="225"/>
      <c r="FYT121" s="225"/>
      <c r="FYU121" s="225"/>
      <c r="FYV121" s="225"/>
      <c r="FYW121" s="225"/>
      <c r="FYX121" s="225"/>
      <c r="FYY121" s="225"/>
      <c r="FYZ121" s="225"/>
      <c r="FZA121" s="225"/>
      <c r="FZB121" s="225"/>
      <c r="FZC121" s="225"/>
      <c r="FZD121" s="225"/>
      <c r="FZE121" s="225"/>
      <c r="FZF121" s="225"/>
      <c r="FZG121" s="225"/>
      <c r="FZH121" s="225"/>
      <c r="FZI121" s="225"/>
      <c r="FZJ121" s="225"/>
      <c r="FZK121" s="225"/>
      <c r="FZL121" s="225"/>
      <c r="FZM121" s="225"/>
      <c r="FZN121" s="225"/>
      <c r="FZO121" s="225"/>
      <c r="FZP121" s="225"/>
      <c r="FZQ121" s="225"/>
      <c r="FZR121" s="225"/>
      <c r="FZS121" s="225"/>
      <c r="FZT121" s="225"/>
      <c r="FZU121" s="225"/>
      <c r="FZV121" s="225"/>
      <c r="FZW121" s="225"/>
      <c r="FZX121" s="225"/>
      <c r="FZY121" s="225"/>
      <c r="FZZ121" s="225"/>
      <c r="GAA121" s="225"/>
      <c r="GAB121" s="225"/>
      <c r="GAC121" s="225"/>
      <c r="GAD121" s="225"/>
      <c r="GAE121" s="225"/>
      <c r="GAF121" s="225"/>
      <c r="GAG121" s="225"/>
      <c r="GAH121" s="225"/>
      <c r="GAI121" s="225"/>
      <c r="GAJ121" s="225"/>
      <c r="GAK121" s="225"/>
      <c r="GAL121" s="225"/>
      <c r="GAM121" s="225"/>
      <c r="GAN121" s="225"/>
      <c r="GAO121" s="225"/>
      <c r="GAP121" s="225"/>
      <c r="GAQ121" s="225"/>
      <c r="GAR121" s="225"/>
      <c r="GAS121" s="225"/>
      <c r="GAT121" s="225"/>
      <c r="GAU121" s="225"/>
      <c r="GAV121" s="225"/>
      <c r="GAW121" s="225"/>
      <c r="GAX121" s="225"/>
      <c r="GAY121" s="225"/>
      <c r="GAZ121" s="225"/>
      <c r="GBA121" s="225"/>
      <c r="GBB121" s="225"/>
      <c r="GBC121" s="225"/>
      <c r="GBD121" s="225"/>
      <c r="GBE121" s="225"/>
      <c r="GBF121" s="225"/>
      <c r="GBG121" s="225"/>
      <c r="GBH121" s="225"/>
      <c r="GBI121" s="225"/>
      <c r="GBJ121" s="225"/>
      <c r="GBK121" s="225"/>
      <c r="GBL121" s="225"/>
      <c r="GBM121" s="225"/>
      <c r="GBN121" s="225"/>
      <c r="GBO121" s="225"/>
      <c r="GBP121" s="225"/>
      <c r="GBQ121" s="225"/>
      <c r="GBR121" s="225"/>
      <c r="GBS121" s="225"/>
      <c r="GBT121" s="225"/>
      <c r="GBU121" s="225"/>
      <c r="GBV121" s="225"/>
      <c r="GBW121" s="225"/>
      <c r="GBX121" s="225"/>
      <c r="GBY121" s="225"/>
      <c r="GBZ121" s="225"/>
      <c r="GCA121" s="225"/>
      <c r="GCB121" s="225"/>
      <c r="GCC121" s="225"/>
      <c r="GCD121" s="225"/>
      <c r="GCE121" s="225"/>
      <c r="GCF121" s="225"/>
      <c r="GCG121" s="225"/>
      <c r="GCH121" s="225"/>
      <c r="GCI121" s="225"/>
      <c r="GCJ121" s="225"/>
      <c r="GCK121" s="225"/>
      <c r="GCL121" s="225"/>
      <c r="GCM121" s="225"/>
      <c r="GCN121" s="225"/>
      <c r="GCO121" s="225"/>
      <c r="GCP121" s="225"/>
      <c r="GCQ121" s="225"/>
      <c r="GCR121" s="225"/>
      <c r="GCS121" s="225"/>
      <c r="GCT121" s="225"/>
      <c r="GCU121" s="225"/>
      <c r="GCV121" s="225"/>
      <c r="GCW121" s="225"/>
      <c r="GCX121" s="225"/>
      <c r="GCY121" s="225"/>
      <c r="GCZ121" s="225"/>
      <c r="GDA121" s="225"/>
      <c r="GDB121" s="225"/>
      <c r="GDC121" s="225"/>
      <c r="GDD121" s="225"/>
      <c r="GDE121" s="225"/>
      <c r="GDF121" s="225"/>
      <c r="GDG121" s="225"/>
      <c r="GDH121" s="225"/>
      <c r="GDI121" s="225"/>
      <c r="GDJ121" s="225"/>
      <c r="GDK121" s="225"/>
      <c r="GDL121" s="225"/>
      <c r="GDM121" s="225"/>
      <c r="GDN121" s="225"/>
      <c r="GDO121" s="225"/>
      <c r="GDP121" s="225"/>
      <c r="GDQ121" s="225"/>
      <c r="GDR121" s="225"/>
      <c r="GDS121" s="225"/>
      <c r="GDT121" s="225"/>
      <c r="GDU121" s="225"/>
      <c r="GDV121" s="225"/>
      <c r="GDW121" s="225"/>
      <c r="GDX121" s="225"/>
      <c r="GDY121" s="225"/>
      <c r="GDZ121" s="225"/>
      <c r="GEA121" s="225"/>
      <c r="GEB121" s="225"/>
      <c r="GEC121" s="225"/>
      <c r="GED121" s="225"/>
      <c r="GEE121" s="225"/>
      <c r="GEF121" s="225"/>
      <c r="GEG121" s="225"/>
      <c r="GEH121" s="225"/>
      <c r="GEI121" s="225"/>
      <c r="GEJ121" s="225"/>
      <c r="GEK121" s="225"/>
      <c r="GEL121" s="225"/>
      <c r="GEM121" s="225"/>
      <c r="GEN121" s="225"/>
      <c r="GEO121" s="225"/>
      <c r="GEP121" s="225"/>
      <c r="GEQ121" s="225"/>
      <c r="GER121" s="225"/>
      <c r="GES121" s="225"/>
      <c r="GET121" s="225"/>
      <c r="GEU121" s="225"/>
      <c r="GEV121" s="225"/>
      <c r="GEW121" s="225"/>
      <c r="GEX121" s="225"/>
      <c r="GEY121" s="225"/>
      <c r="GEZ121" s="225"/>
      <c r="GFA121" s="225"/>
      <c r="GFB121" s="225"/>
      <c r="GFC121" s="225"/>
      <c r="GFD121" s="225"/>
      <c r="GFE121" s="225"/>
      <c r="GFF121" s="225"/>
      <c r="GFG121" s="225"/>
      <c r="GFH121" s="225"/>
      <c r="GFI121" s="225"/>
      <c r="GFJ121" s="225"/>
      <c r="GFK121" s="225"/>
      <c r="GFL121" s="225"/>
      <c r="GFM121" s="225"/>
      <c r="GFN121" s="225"/>
      <c r="GFO121" s="225"/>
      <c r="GFP121" s="225"/>
      <c r="GFQ121" s="225"/>
      <c r="GFR121" s="225"/>
      <c r="GFS121" s="225"/>
      <c r="GFT121" s="225"/>
      <c r="GFU121" s="225"/>
      <c r="GFV121" s="225"/>
      <c r="GFW121" s="225"/>
      <c r="GFX121" s="225"/>
      <c r="GFY121" s="225"/>
      <c r="GFZ121" s="225"/>
      <c r="GGA121" s="225"/>
      <c r="GGB121" s="225"/>
      <c r="GGC121" s="225"/>
      <c r="GGD121" s="225"/>
      <c r="GGE121" s="225"/>
      <c r="GGF121" s="225"/>
      <c r="GGG121" s="225"/>
      <c r="GGH121" s="225"/>
      <c r="GGI121" s="225"/>
      <c r="GGJ121" s="225"/>
      <c r="GGK121" s="225"/>
      <c r="GGL121" s="225"/>
      <c r="GGM121" s="225"/>
      <c r="GGN121" s="225"/>
      <c r="GGO121" s="225"/>
      <c r="GGP121" s="225"/>
      <c r="GGQ121" s="225"/>
      <c r="GGR121" s="225"/>
      <c r="GGS121" s="225"/>
      <c r="GGT121" s="225"/>
      <c r="GGU121" s="225"/>
      <c r="GGV121" s="225"/>
      <c r="GGW121" s="225"/>
      <c r="GGX121" s="225"/>
      <c r="GGY121" s="225"/>
      <c r="GGZ121" s="225"/>
      <c r="GHA121" s="225"/>
      <c r="GHB121" s="225"/>
      <c r="GHC121" s="225"/>
      <c r="GHD121" s="225"/>
      <c r="GHE121" s="225"/>
      <c r="GHF121" s="225"/>
      <c r="GHG121" s="225"/>
      <c r="GHH121" s="225"/>
      <c r="GHI121" s="225"/>
      <c r="GHJ121" s="225"/>
      <c r="GHK121" s="225"/>
      <c r="GHL121" s="225"/>
      <c r="GHM121" s="225"/>
      <c r="GHN121" s="225"/>
      <c r="GHO121" s="225"/>
      <c r="GHP121" s="225"/>
      <c r="GHQ121" s="225"/>
      <c r="GHR121" s="225"/>
      <c r="GHS121" s="225"/>
      <c r="GHT121" s="225"/>
      <c r="GHU121" s="225"/>
      <c r="GHV121" s="225"/>
      <c r="GHW121" s="225"/>
      <c r="GHX121" s="225"/>
      <c r="GHY121" s="225"/>
      <c r="GHZ121" s="225"/>
      <c r="GIA121" s="225"/>
      <c r="GIB121" s="225"/>
      <c r="GIC121" s="225"/>
      <c r="GID121" s="225"/>
      <c r="GIE121" s="225"/>
      <c r="GIF121" s="225"/>
      <c r="GIG121" s="225"/>
      <c r="GIH121" s="225"/>
      <c r="GII121" s="225"/>
      <c r="GIJ121" s="225"/>
      <c r="GIK121" s="225"/>
      <c r="GIL121" s="225"/>
      <c r="GIM121" s="225"/>
      <c r="GIN121" s="225"/>
      <c r="GIO121" s="225"/>
      <c r="GIP121" s="225"/>
      <c r="GIQ121" s="225"/>
      <c r="GIR121" s="225"/>
      <c r="GIS121" s="225"/>
      <c r="GIT121" s="225"/>
      <c r="GIU121" s="225"/>
      <c r="GIV121" s="225"/>
      <c r="GIW121" s="225"/>
      <c r="GIX121" s="225"/>
      <c r="GIY121" s="225"/>
      <c r="GIZ121" s="225"/>
      <c r="GJA121" s="225"/>
      <c r="GJB121" s="225"/>
      <c r="GJC121" s="225"/>
      <c r="GJD121" s="225"/>
      <c r="GJE121" s="225"/>
      <c r="GJF121" s="225"/>
      <c r="GJG121" s="225"/>
      <c r="GJH121" s="225"/>
      <c r="GJI121" s="225"/>
      <c r="GJJ121" s="225"/>
      <c r="GJK121" s="225"/>
      <c r="GJL121" s="225"/>
      <c r="GJM121" s="225"/>
      <c r="GJN121" s="225"/>
      <c r="GJO121" s="225"/>
      <c r="GJP121" s="225"/>
      <c r="GJQ121" s="225"/>
      <c r="GJR121" s="225"/>
      <c r="GJS121" s="225"/>
      <c r="GJT121" s="225"/>
      <c r="GJU121" s="225"/>
      <c r="GJV121" s="225"/>
      <c r="GJW121" s="225"/>
      <c r="GJX121" s="225"/>
      <c r="GJY121" s="225"/>
      <c r="GJZ121" s="225"/>
      <c r="GKA121" s="225"/>
      <c r="GKB121" s="225"/>
      <c r="GKC121" s="225"/>
      <c r="GKD121" s="225"/>
      <c r="GKE121" s="225"/>
      <c r="GKF121" s="225"/>
      <c r="GKG121" s="225"/>
      <c r="GKH121" s="225"/>
      <c r="GKI121" s="225"/>
      <c r="GKJ121" s="225"/>
      <c r="GKK121" s="225"/>
      <c r="GKL121" s="225"/>
      <c r="GKM121" s="225"/>
      <c r="GKN121" s="225"/>
      <c r="GKO121" s="225"/>
      <c r="GKP121" s="225"/>
      <c r="GKQ121" s="225"/>
      <c r="GKR121" s="225"/>
      <c r="GKS121" s="225"/>
      <c r="GKT121" s="225"/>
      <c r="GKU121" s="225"/>
      <c r="GKV121" s="225"/>
      <c r="GKW121" s="225"/>
      <c r="GKX121" s="225"/>
      <c r="GKY121" s="225"/>
      <c r="GKZ121" s="225"/>
      <c r="GLA121" s="225"/>
      <c r="GLB121" s="225"/>
      <c r="GLC121" s="225"/>
      <c r="GLD121" s="225"/>
      <c r="GLE121" s="225"/>
      <c r="GLF121" s="225"/>
      <c r="GLG121" s="225"/>
      <c r="GLH121" s="225"/>
      <c r="GLI121" s="225"/>
      <c r="GLJ121" s="225"/>
      <c r="GLK121" s="225"/>
      <c r="GLL121" s="225"/>
      <c r="GLM121" s="225"/>
      <c r="GLN121" s="225"/>
      <c r="GLO121" s="225"/>
      <c r="GLP121" s="225"/>
      <c r="GLQ121" s="225"/>
      <c r="GLR121" s="225"/>
      <c r="GLS121" s="225"/>
      <c r="GLT121" s="225"/>
      <c r="GLU121" s="225"/>
      <c r="GLV121" s="225"/>
      <c r="GLW121" s="225"/>
      <c r="GLX121" s="225"/>
      <c r="GLY121" s="225"/>
      <c r="GLZ121" s="225"/>
      <c r="GMA121" s="225"/>
      <c r="GMB121" s="225"/>
      <c r="GMC121" s="225"/>
      <c r="GMD121" s="225"/>
      <c r="GME121" s="225"/>
      <c r="GMF121" s="225"/>
      <c r="GMG121" s="225"/>
      <c r="GMH121" s="225"/>
      <c r="GMI121" s="225"/>
      <c r="GMJ121" s="225"/>
      <c r="GMK121" s="225"/>
      <c r="GML121" s="225"/>
      <c r="GMM121" s="225"/>
      <c r="GMN121" s="225"/>
      <c r="GMO121" s="225"/>
      <c r="GMP121" s="225"/>
      <c r="GMQ121" s="225"/>
      <c r="GMR121" s="225"/>
      <c r="GMS121" s="225"/>
      <c r="GMT121" s="225"/>
      <c r="GMU121" s="225"/>
      <c r="GMV121" s="225"/>
      <c r="GMW121" s="225"/>
      <c r="GMX121" s="225"/>
      <c r="GMY121" s="225"/>
      <c r="GMZ121" s="225"/>
      <c r="GNA121" s="225"/>
      <c r="GNB121" s="225"/>
      <c r="GNC121" s="225"/>
      <c r="GND121" s="225"/>
      <c r="GNE121" s="225"/>
      <c r="GNF121" s="225"/>
      <c r="GNG121" s="225"/>
      <c r="GNH121" s="225"/>
      <c r="GNI121" s="225"/>
      <c r="GNJ121" s="225"/>
      <c r="GNK121" s="225"/>
      <c r="GNL121" s="225"/>
      <c r="GNM121" s="225"/>
      <c r="GNN121" s="225"/>
      <c r="GNO121" s="225"/>
      <c r="GNP121" s="225"/>
      <c r="GNQ121" s="225"/>
      <c r="GNR121" s="225"/>
      <c r="GNS121" s="225"/>
      <c r="GNT121" s="225"/>
      <c r="GNU121" s="225"/>
      <c r="GNV121" s="225"/>
      <c r="GNW121" s="225"/>
      <c r="GNX121" s="225"/>
      <c r="GNY121" s="225"/>
      <c r="GNZ121" s="225"/>
      <c r="GOA121" s="225"/>
      <c r="GOB121" s="225"/>
      <c r="GOC121" s="225"/>
      <c r="GOD121" s="225"/>
      <c r="GOE121" s="225"/>
      <c r="GOF121" s="225"/>
      <c r="GOG121" s="225"/>
      <c r="GOH121" s="225"/>
      <c r="GOI121" s="225"/>
      <c r="GOJ121" s="225"/>
      <c r="GOK121" s="225"/>
      <c r="GOL121" s="225"/>
      <c r="GOM121" s="225"/>
      <c r="GON121" s="225"/>
      <c r="GOO121" s="225"/>
      <c r="GOP121" s="225"/>
      <c r="GOQ121" s="225"/>
      <c r="GOR121" s="225"/>
      <c r="GOS121" s="225"/>
      <c r="GOT121" s="225"/>
      <c r="GOU121" s="225"/>
      <c r="GOV121" s="225"/>
      <c r="GOW121" s="225"/>
      <c r="GOX121" s="225"/>
      <c r="GOY121" s="225"/>
      <c r="GOZ121" s="225"/>
      <c r="GPA121" s="225"/>
      <c r="GPB121" s="225"/>
      <c r="GPC121" s="225"/>
      <c r="GPD121" s="225"/>
      <c r="GPE121" s="225"/>
      <c r="GPF121" s="225"/>
      <c r="GPG121" s="225"/>
      <c r="GPH121" s="225"/>
      <c r="GPI121" s="225"/>
      <c r="GPJ121" s="225"/>
      <c r="GPK121" s="225"/>
      <c r="GPL121" s="225"/>
      <c r="GPM121" s="225"/>
      <c r="GPN121" s="225"/>
      <c r="GPO121" s="225"/>
      <c r="GPP121" s="225"/>
      <c r="GPQ121" s="225"/>
      <c r="GPR121" s="225"/>
      <c r="GPS121" s="225"/>
      <c r="GPT121" s="225"/>
      <c r="GPU121" s="225"/>
      <c r="GPV121" s="225"/>
      <c r="GPW121" s="225"/>
      <c r="GPX121" s="225"/>
      <c r="GPY121" s="225"/>
      <c r="GPZ121" s="225"/>
      <c r="GQA121" s="225"/>
      <c r="GQB121" s="225"/>
      <c r="GQC121" s="225"/>
      <c r="GQD121" s="225"/>
      <c r="GQE121" s="225"/>
      <c r="GQF121" s="225"/>
      <c r="GQG121" s="225"/>
      <c r="GQH121" s="225"/>
      <c r="GQI121" s="225"/>
      <c r="GQJ121" s="225"/>
      <c r="GQK121" s="225"/>
      <c r="GQL121" s="225"/>
      <c r="GQM121" s="225"/>
      <c r="GQN121" s="225"/>
      <c r="GQO121" s="225"/>
      <c r="GQP121" s="225"/>
      <c r="GQQ121" s="225"/>
      <c r="GQR121" s="225"/>
      <c r="GQS121" s="225"/>
      <c r="GQT121" s="225"/>
      <c r="GQU121" s="225"/>
      <c r="GQV121" s="225"/>
      <c r="GQW121" s="225"/>
      <c r="GQX121" s="225"/>
      <c r="GQY121" s="225"/>
      <c r="GQZ121" s="225"/>
      <c r="GRA121" s="225"/>
      <c r="GRB121" s="225"/>
      <c r="GRC121" s="225"/>
      <c r="GRD121" s="225"/>
      <c r="GRE121" s="225"/>
      <c r="GRF121" s="225"/>
      <c r="GRG121" s="225"/>
      <c r="GRH121" s="225"/>
      <c r="GRI121" s="225"/>
      <c r="GRJ121" s="225"/>
      <c r="GRK121" s="225"/>
      <c r="GRL121" s="225"/>
      <c r="GRM121" s="225"/>
      <c r="GRN121" s="225"/>
      <c r="GRO121" s="225"/>
      <c r="GRP121" s="225"/>
      <c r="GRQ121" s="225"/>
      <c r="GRR121" s="225"/>
      <c r="GRS121" s="225"/>
      <c r="GRT121" s="225"/>
      <c r="GRU121" s="225"/>
      <c r="GRV121" s="225"/>
      <c r="GRW121" s="225"/>
      <c r="GRX121" s="225"/>
      <c r="GRY121" s="225"/>
      <c r="GRZ121" s="225"/>
      <c r="GSA121" s="225"/>
      <c r="GSB121" s="225"/>
      <c r="GSC121" s="225"/>
      <c r="GSD121" s="225"/>
      <c r="GSE121" s="225"/>
      <c r="GSF121" s="225"/>
      <c r="GSG121" s="225"/>
      <c r="GSH121" s="225"/>
      <c r="GSI121" s="225"/>
      <c r="GSJ121" s="225"/>
      <c r="GSK121" s="225"/>
      <c r="GSL121" s="225"/>
      <c r="GSM121" s="225"/>
      <c r="GSN121" s="225"/>
      <c r="GSO121" s="225"/>
      <c r="GSP121" s="225"/>
      <c r="GSQ121" s="225"/>
      <c r="GSR121" s="225"/>
      <c r="GSS121" s="225"/>
      <c r="GST121" s="225"/>
      <c r="GSU121" s="225"/>
      <c r="GSV121" s="225"/>
      <c r="GSW121" s="225"/>
      <c r="GSX121" s="225"/>
      <c r="GSY121" s="225"/>
      <c r="GSZ121" s="225"/>
      <c r="GTA121" s="225"/>
      <c r="GTB121" s="225"/>
      <c r="GTC121" s="225"/>
      <c r="GTD121" s="225"/>
      <c r="GTE121" s="225"/>
      <c r="GTF121" s="225"/>
      <c r="GTG121" s="225"/>
      <c r="GTH121" s="225"/>
      <c r="GTI121" s="225"/>
      <c r="GTJ121" s="225"/>
      <c r="GTK121" s="225"/>
      <c r="GTL121" s="225"/>
      <c r="GTM121" s="225"/>
      <c r="GTN121" s="225"/>
      <c r="GTO121" s="225"/>
      <c r="GTP121" s="225"/>
      <c r="GTQ121" s="225"/>
      <c r="GTR121" s="225"/>
      <c r="GTS121" s="225"/>
      <c r="GTT121" s="225"/>
      <c r="GTU121" s="225"/>
      <c r="GTV121" s="225"/>
      <c r="GTW121" s="225"/>
      <c r="GTX121" s="225"/>
      <c r="GTY121" s="225"/>
      <c r="GTZ121" s="225"/>
      <c r="GUA121" s="225"/>
      <c r="GUB121" s="225"/>
      <c r="GUC121" s="225"/>
      <c r="GUD121" s="225"/>
      <c r="GUE121" s="225"/>
      <c r="GUF121" s="225"/>
      <c r="GUG121" s="225"/>
      <c r="GUH121" s="225"/>
      <c r="GUI121" s="225"/>
      <c r="GUJ121" s="225"/>
      <c r="GUK121" s="225"/>
      <c r="GUL121" s="225"/>
      <c r="GUM121" s="225"/>
      <c r="GUN121" s="225"/>
      <c r="GUO121" s="225"/>
      <c r="GUP121" s="225"/>
      <c r="GUQ121" s="225"/>
      <c r="GUR121" s="225"/>
      <c r="GUS121" s="225"/>
      <c r="GUT121" s="225"/>
      <c r="GUU121" s="225"/>
      <c r="GUV121" s="225"/>
      <c r="GUW121" s="225"/>
      <c r="GUX121" s="225"/>
      <c r="GUY121" s="225"/>
      <c r="GUZ121" s="225"/>
      <c r="GVA121" s="225"/>
      <c r="GVB121" s="225"/>
      <c r="GVC121" s="225"/>
      <c r="GVD121" s="225"/>
      <c r="GVE121" s="225"/>
      <c r="GVF121" s="225"/>
      <c r="GVG121" s="225"/>
      <c r="GVH121" s="225"/>
      <c r="GVI121" s="225"/>
      <c r="GVJ121" s="225"/>
      <c r="GVK121" s="225"/>
      <c r="GVL121" s="225"/>
      <c r="GVM121" s="225"/>
      <c r="GVN121" s="225"/>
      <c r="GVO121" s="225"/>
      <c r="GVP121" s="225"/>
      <c r="GVQ121" s="225"/>
      <c r="GVR121" s="225"/>
      <c r="GVS121" s="225"/>
      <c r="GVT121" s="225"/>
      <c r="GVU121" s="225"/>
      <c r="GVV121" s="225"/>
      <c r="GVW121" s="225"/>
      <c r="GVX121" s="225"/>
      <c r="GVY121" s="225"/>
      <c r="GVZ121" s="225"/>
      <c r="GWA121" s="225"/>
      <c r="GWB121" s="225"/>
      <c r="GWC121" s="225"/>
      <c r="GWD121" s="225"/>
      <c r="GWE121" s="225"/>
      <c r="GWF121" s="225"/>
      <c r="GWG121" s="225"/>
      <c r="GWH121" s="225"/>
      <c r="GWI121" s="225"/>
      <c r="GWJ121" s="225"/>
      <c r="GWK121" s="225"/>
      <c r="GWL121" s="225"/>
      <c r="GWM121" s="225"/>
      <c r="GWN121" s="225"/>
      <c r="GWO121" s="225"/>
      <c r="GWP121" s="225"/>
      <c r="GWQ121" s="225"/>
      <c r="GWR121" s="225"/>
      <c r="GWS121" s="225"/>
      <c r="GWT121" s="225"/>
      <c r="GWU121" s="225"/>
      <c r="GWV121" s="225"/>
      <c r="GWW121" s="225"/>
      <c r="GWX121" s="225"/>
      <c r="GWY121" s="225"/>
      <c r="GWZ121" s="225"/>
      <c r="GXA121" s="225"/>
      <c r="GXB121" s="225"/>
      <c r="GXC121" s="225"/>
      <c r="GXD121" s="225"/>
      <c r="GXE121" s="225"/>
      <c r="GXF121" s="225"/>
      <c r="GXG121" s="225"/>
      <c r="GXH121" s="225"/>
      <c r="GXI121" s="225"/>
      <c r="GXJ121" s="225"/>
      <c r="GXK121" s="225"/>
      <c r="GXL121" s="225"/>
      <c r="GXM121" s="225"/>
      <c r="GXN121" s="225"/>
      <c r="GXO121" s="225"/>
      <c r="GXP121" s="225"/>
      <c r="GXQ121" s="225"/>
      <c r="GXR121" s="225"/>
      <c r="GXS121" s="225"/>
      <c r="GXT121" s="225"/>
      <c r="GXU121" s="225"/>
      <c r="GXV121" s="225"/>
      <c r="GXW121" s="225"/>
      <c r="GXX121" s="225"/>
      <c r="GXY121" s="225"/>
      <c r="GXZ121" s="225"/>
      <c r="GYA121" s="225"/>
      <c r="GYB121" s="225"/>
      <c r="GYC121" s="225"/>
      <c r="GYD121" s="225"/>
      <c r="GYE121" s="225"/>
      <c r="GYF121" s="225"/>
      <c r="GYG121" s="225"/>
      <c r="GYH121" s="225"/>
      <c r="GYI121" s="225"/>
      <c r="GYJ121" s="225"/>
      <c r="GYK121" s="225"/>
      <c r="GYL121" s="225"/>
      <c r="GYM121" s="225"/>
      <c r="GYN121" s="225"/>
      <c r="GYO121" s="225"/>
      <c r="GYP121" s="225"/>
      <c r="GYQ121" s="225"/>
      <c r="GYR121" s="225"/>
      <c r="GYS121" s="225"/>
      <c r="GYT121" s="225"/>
      <c r="GYU121" s="225"/>
      <c r="GYV121" s="225"/>
      <c r="GYW121" s="225"/>
      <c r="GYX121" s="225"/>
      <c r="GYY121" s="225"/>
      <c r="GYZ121" s="225"/>
      <c r="GZA121" s="225"/>
      <c r="GZB121" s="225"/>
      <c r="GZC121" s="225"/>
      <c r="GZD121" s="225"/>
      <c r="GZE121" s="225"/>
      <c r="GZF121" s="225"/>
      <c r="GZG121" s="225"/>
      <c r="GZH121" s="225"/>
      <c r="GZI121" s="225"/>
      <c r="GZJ121" s="225"/>
      <c r="GZK121" s="225"/>
      <c r="GZL121" s="225"/>
      <c r="GZM121" s="225"/>
      <c r="GZN121" s="225"/>
      <c r="GZO121" s="225"/>
      <c r="GZP121" s="225"/>
      <c r="GZQ121" s="225"/>
      <c r="GZR121" s="225"/>
      <c r="GZS121" s="225"/>
      <c r="GZT121" s="225"/>
      <c r="GZU121" s="225"/>
      <c r="GZV121" s="225"/>
      <c r="GZW121" s="225"/>
      <c r="GZX121" s="225"/>
      <c r="GZY121" s="225"/>
      <c r="GZZ121" s="225"/>
      <c r="HAA121" s="225"/>
      <c r="HAB121" s="225"/>
      <c r="HAC121" s="225"/>
      <c r="HAD121" s="225"/>
      <c r="HAE121" s="225"/>
      <c r="HAF121" s="225"/>
      <c r="HAG121" s="225"/>
      <c r="HAH121" s="225"/>
      <c r="HAI121" s="225"/>
      <c r="HAJ121" s="225"/>
      <c r="HAK121" s="225"/>
      <c r="HAL121" s="225"/>
      <c r="HAM121" s="225"/>
      <c r="HAN121" s="225"/>
      <c r="HAO121" s="225"/>
      <c r="HAP121" s="225"/>
      <c r="HAQ121" s="225"/>
      <c r="HAR121" s="225"/>
      <c r="HAS121" s="225"/>
      <c r="HAT121" s="225"/>
      <c r="HAU121" s="225"/>
      <c r="HAV121" s="225"/>
      <c r="HAW121" s="225"/>
      <c r="HAX121" s="225"/>
      <c r="HAY121" s="225"/>
      <c r="HAZ121" s="225"/>
      <c r="HBA121" s="225"/>
      <c r="HBB121" s="225"/>
      <c r="HBC121" s="225"/>
      <c r="HBD121" s="225"/>
      <c r="HBE121" s="225"/>
      <c r="HBF121" s="225"/>
      <c r="HBG121" s="225"/>
      <c r="HBH121" s="225"/>
      <c r="HBI121" s="225"/>
      <c r="HBJ121" s="225"/>
      <c r="HBK121" s="225"/>
      <c r="HBL121" s="225"/>
      <c r="HBM121" s="225"/>
      <c r="HBN121" s="225"/>
      <c r="HBO121" s="225"/>
      <c r="HBP121" s="225"/>
      <c r="HBQ121" s="225"/>
      <c r="HBR121" s="225"/>
      <c r="HBS121" s="225"/>
      <c r="HBT121" s="225"/>
      <c r="HBU121" s="225"/>
      <c r="HBV121" s="225"/>
      <c r="HBW121" s="225"/>
      <c r="HBX121" s="225"/>
      <c r="HBY121" s="225"/>
      <c r="HBZ121" s="225"/>
      <c r="HCA121" s="225"/>
      <c r="HCB121" s="225"/>
      <c r="HCC121" s="225"/>
      <c r="HCD121" s="225"/>
      <c r="HCE121" s="225"/>
      <c r="HCF121" s="225"/>
      <c r="HCG121" s="225"/>
      <c r="HCH121" s="225"/>
      <c r="HCI121" s="225"/>
      <c r="HCJ121" s="225"/>
      <c r="HCK121" s="225"/>
      <c r="HCL121" s="225"/>
      <c r="HCM121" s="225"/>
      <c r="HCN121" s="225"/>
      <c r="HCO121" s="225"/>
      <c r="HCP121" s="225"/>
      <c r="HCQ121" s="225"/>
      <c r="HCR121" s="225"/>
      <c r="HCS121" s="225"/>
      <c r="HCT121" s="225"/>
      <c r="HCU121" s="225"/>
      <c r="HCV121" s="225"/>
      <c r="HCW121" s="225"/>
      <c r="HCX121" s="225"/>
      <c r="HCY121" s="225"/>
      <c r="HCZ121" s="225"/>
      <c r="HDA121" s="225"/>
      <c r="HDB121" s="225"/>
      <c r="HDC121" s="225"/>
      <c r="HDD121" s="225"/>
      <c r="HDE121" s="225"/>
      <c r="HDF121" s="225"/>
      <c r="HDG121" s="225"/>
      <c r="HDH121" s="225"/>
      <c r="HDI121" s="225"/>
      <c r="HDJ121" s="225"/>
      <c r="HDK121" s="225"/>
      <c r="HDL121" s="225"/>
      <c r="HDM121" s="225"/>
      <c r="HDN121" s="225"/>
      <c r="HDO121" s="225"/>
      <c r="HDP121" s="225"/>
      <c r="HDQ121" s="225"/>
      <c r="HDR121" s="225"/>
      <c r="HDS121" s="225"/>
      <c r="HDT121" s="225"/>
      <c r="HDU121" s="225"/>
      <c r="HDV121" s="225"/>
      <c r="HDW121" s="225"/>
      <c r="HDX121" s="225"/>
      <c r="HDY121" s="225"/>
      <c r="HDZ121" s="225"/>
      <c r="HEA121" s="225"/>
      <c r="HEB121" s="225"/>
      <c r="HEC121" s="225"/>
      <c r="HED121" s="225"/>
      <c r="HEE121" s="225"/>
      <c r="HEF121" s="225"/>
      <c r="HEG121" s="225"/>
      <c r="HEH121" s="225"/>
      <c r="HEI121" s="225"/>
      <c r="HEJ121" s="225"/>
      <c r="HEK121" s="225"/>
      <c r="HEL121" s="225"/>
      <c r="HEM121" s="225"/>
      <c r="HEN121" s="225"/>
      <c r="HEO121" s="225"/>
      <c r="HEP121" s="225"/>
      <c r="HEQ121" s="225"/>
      <c r="HER121" s="225"/>
      <c r="HES121" s="225"/>
      <c r="HET121" s="225"/>
      <c r="HEU121" s="225"/>
      <c r="HEV121" s="225"/>
      <c r="HEW121" s="225"/>
      <c r="HEX121" s="225"/>
      <c r="HEY121" s="225"/>
      <c r="HEZ121" s="225"/>
      <c r="HFA121" s="225"/>
      <c r="HFB121" s="225"/>
      <c r="HFC121" s="225"/>
      <c r="HFD121" s="225"/>
      <c r="HFE121" s="225"/>
      <c r="HFF121" s="225"/>
      <c r="HFG121" s="225"/>
      <c r="HFH121" s="225"/>
      <c r="HFI121" s="225"/>
      <c r="HFJ121" s="225"/>
      <c r="HFK121" s="225"/>
      <c r="HFL121" s="225"/>
      <c r="HFM121" s="225"/>
      <c r="HFN121" s="225"/>
      <c r="HFO121" s="225"/>
      <c r="HFP121" s="225"/>
      <c r="HFQ121" s="225"/>
      <c r="HFR121" s="225"/>
      <c r="HFS121" s="225"/>
      <c r="HFT121" s="225"/>
      <c r="HFU121" s="225"/>
      <c r="HFV121" s="225"/>
      <c r="HFW121" s="225"/>
      <c r="HFX121" s="225"/>
      <c r="HFY121" s="225"/>
      <c r="HFZ121" s="225"/>
      <c r="HGA121" s="225"/>
      <c r="HGB121" s="225"/>
      <c r="HGC121" s="225"/>
      <c r="HGD121" s="225"/>
      <c r="HGE121" s="225"/>
      <c r="HGF121" s="225"/>
      <c r="HGG121" s="225"/>
      <c r="HGH121" s="225"/>
      <c r="HGI121" s="225"/>
      <c r="HGJ121" s="225"/>
      <c r="HGK121" s="225"/>
      <c r="HGL121" s="225"/>
      <c r="HGM121" s="225"/>
      <c r="HGN121" s="225"/>
      <c r="HGO121" s="225"/>
      <c r="HGP121" s="225"/>
      <c r="HGQ121" s="225"/>
      <c r="HGR121" s="225"/>
      <c r="HGS121" s="225"/>
      <c r="HGT121" s="225"/>
      <c r="HGU121" s="225"/>
      <c r="HGV121" s="225"/>
      <c r="HGW121" s="225"/>
      <c r="HGX121" s="225"/>
      <c r="HGY121" s="225"/>
      <c r="HGZ121" s="225"/>
      <c r="HHA121" s="225"/>
      <c r="HHB121" s="225"/>
      <c r="HHC121" s="225"/>
      <c r="HHD121" s="225"/>
      <c r="HHE121" s="225"/>
      <c r="HHF121" s="225"/>
      <c r="HHG121" s="225"/>
      <c r="HHH121" s="225"/>
      <c r="HHI121" s="225"/>
      <c r="HHJ121" s="225"/>
      <c r="HHK121" s="225"/>
      <c r="HHL121" s="225"/>
      <c r="HHM121" s="225"/>
      <c r="HHN121" s="225"/>
      <c r="HHO121" s="225"/>
      <c r="HHP121" s="225"/>
      <c r="HHQ121" s="225"/>
      <c r="HHR121" s="225"/>
      <c r="HHS121" s="225"/>
      <c r="HHT121" s="225"/>
      <c r="HHU121" s="225"/>
      <c r="HHV121" s="225"/>
      <c r="HHW121" s="225"/>
      <c r="HHX121" s="225"/>
      <c r="HHY121" s="225"/>
      <c r="HHZ121" s="225"/>
      <c r="HIA121" s="225"/>
      <c r="HIB121" s="225"/>
      <c r="HIC121" s="225"/>
      <c r="HID121" s="225"/>
      <c r="HIE121" s="225"/>
      <c r="HIF121" s="225"/>
      <c r="HIG121" s="225"/>
      <c r="HIH121" s="225"/>
      <c r="HII121" s="225"/>
      <c r="HIJ121" s="225"/>
      <c r="HIK121" s="225"/>
      <c r="HIL121" s="225"/>
      <c r="HIM121" s="225"/>
      <c r="HIN121" s="225"/>
      <c r="HIO121" s="225"/>
      <c r="HIP121" s="225"/>
      <c r="HIQ121" s="225"/>
      <c r="HIR121" s="225"/>
      <c r="HIS121" s="225"/>
      <c r="HIT121" s="225"/>
      <c r="HIU121" s="225"/>
      <c r="HIV121" s="225"/>
      <c r="HIW121" s="225"/>
      <c r="HIX121" s="225"/>
      <c r="HIY121" s="225"/>
      <c r="HIZ121" s="225"/>
      <c r="HJA121" s="225"/>
      <c r="HJB121" s="225"/>
      <c r="HJC121" s="225"/>
      <c r="HJD121" s="225"/>
      <c r="HJE121" s="225"/>
      <c r="HJF121" s="225"/>
      <c r="HJG121" s="225"/>
      <c r="HJH121" s="225"/>
      <c r="HJI121" s="225"/>
      <c r="HJJ121" s="225"/>
      <c r="HJK121" s="225"/>
      <c r="HJL121" s="225"/>
      <c r="HJM121" s="225"/>
      <c r="HJN121" s="225"/>
      <c r="HJO121" s="225"/>
      <c r="HJP121" s="225"/>
      <c r="HJQ121" s="225"/>
      <c r="HJR121" s="225"/>
      <c r="HJS121" s="225"/>
      <c r="HJT121" s="225"/>
      <c r="HJU121" s="225"/>
      <c r="HJV121" s="225"/>
      <c r="HJW121" s="225"/>
      <c r="HJX121" s="225"/>
      <c r="HJY121" s="225"/>
      <c r="HJZ121" s="225"/>
      <c r="HKA121" s="225"/>
      <c r="HKB121" s="225"/>
      <c r="HKC121" s="225"/>
      <c r="HKD121" s="225"/>
      <c r="HKE121" s="225"/>
      <c r="HKF121" s="225"/>
      <c r="HKG121" s="225"/>
      <c r="HKH121" s="225"/>
      <c r="HKI121" s="225"/>
      <c r="HKJ121" s="225"/>
      <c r="HKK121" s="225"/>
      <c r="HKL121" s="225"/>
      <c r="HKM121" s="225"/>
      <c r="HKN121" s="225"/>
      <c r="HKO121" s="225"/>
      <c r="HKP121" s="225"/>
      <c r="HKQ121" s="225"/>
      <c r="HKR121" s="225"/>
      <c r="HKS121" s="225"/>
      <c r="HKT121" s="225"/>
      <c r="HKU121" s="225"/>
      <c r="HKV121" s="225"/>
      <c r="HKW121" s="225"/>
      <c r="HKX121" s="225"/>
      <c r="HKY121" s="225"/>
      <c r="HKZ121" s="225"/>
      <c r="HLA121" s="225"/>
      <c r="HLB121" s="225"/>
      <c r="HLC121" s="225"/>
      <c r="HLD121" s="225"/>
      <c r="HLE121" s="225"/>
      <c r="HLF121" s="225"/>
      <c r="HLG121" s="225"/>
      <c r="HLH121" s="225"/>
      <c r="HLI121" s="225"/>
      <c r="HLJ121" s="225"/>
      <c r="HLK121" s="225"/>
      <c r="HLL121" s="225"/>
      <c r="HLM121" s="225"/>
      <c r="HLN121" s="225"/>
      <c r="HLO121" s="225"/>
      <c r="HLP121" s="225"/>
      <c r="HLQ121" s="225"/>
      <c r="HLR121" s="225"/>
      <c r="HLS121" s="225"/>
      <c r="HLT121" s="225"/>
      <c r="HLU121" s="225"/>
      <c r="HLV121" s="225"/>
      <c r="HLW121" s="225"/>
      <c r="HLX121" s="225"/>
      <c r="HLY121" s="225"/>
      <c r="HLZ121" s="225"/>
      <c r="HMA121" s="225"/>
      <c r="HMB121" s="225"/>
      <c r="HMC121" s="225"/>
      <c r="HMD121" s="225"/>
      <c r="HME121" s="225"/>
      <c r="HMF121" s="225"/>
      <c r="HMG121" s="225"/>
      <c r="HMH121" s="225"/>
      <c r="HMI121" s="225"/>
      <c r="HMJ121" s="225"/>
      <c r="HMK121" s="225"/>
      <c r="HML121" s="225"/>
      <c r="HMM121" s="225"/>
      <c r="HMN121" s="225"/>
      <c r="HMO121" s="225"/>
      <c r="HMP121" s="225"/>
      <c r="HMQ121" s="225"/>
      <c r="HMR121" s="225"/>
      <c r="HMS121" s="225"/>
      <c r="HMT121" s="225"/>
      <c r="HMU121" s="225"/>
      <c r="HMV121" s="225"/>
      <c r="HMW121" s="225"/>
      <c r="HMX121" s="225"/>
      <c r="HMY121" s="225"/>
      <c r="HMZ121" s="225"/>
      <c r="HNA121" s="225"/>
      <c r="HNB121" s="225"/>
      <c r="HNC121" s="225"/>
      <c r="HND121" s="225"/>
      <c r="HNE121" s="225"/>
      <c r="HNF121" s="225"/>
      <c r="HNG121" s="225"/>
      <c r="HNH121" s="225"/>
      <c r="HNI121" s="225"/>
      <c r="HNJ121" s="225"/>
      <c r="HNK121" s="225"/>
      <c r="HNL121" s="225"/>
      <c r="HNM121" s="225"/>
      <c r="HNN121" s="225"/>
      <c r="HNO121" s="225"/>
      <c r="HNP121" s="225"/>
      <c r="HNQ121" s="225"/>
      <c r="HNR121" s="225"/>
      <c r="HNS121" s="225"/>
      <c r="HNT121" s="225"/>
      <c r="HNU121" s="225"/>
      <c r="HNV121" s="225"/>
      <c r="HNW121" s="225"/>
      <c r="HNX121" s="225"/>
      <c r="HNY121" s="225"/>
      <c r="HNZ121" s="225"/>
      <c r="HOA121" s="225"/>
      <c r="HOB121" s="225"/>
      <c r="HOC121" s="225"/>
      <c r="HOD121" s="225"/>
      <c r="HOE121" s="225"/>
      <c r="HOF121" s="225"/>
      <c r="HOG121" s="225"/>
      <c r="HOH121" s="225"/>
      <c r="HOI121" s="225"/>
      <c r="HOJ121" s="225"/>
      <c r="HOK121" s="225"/>
      <c r="HOL121" s="225"/>
      <c r="HOM121" s="225"/>
      <c r="HON121" s="225"/>
      <c r="HOO121" s="225"/>
      <c r="HOP121" s="225"/>
      <c r="HOQ121" s="225"/>
      <c r="HOR121" s="225"/>
      <c r="HOS121" s="225"/>
      <c r="HOT121" s="225"/>
      <c r="HOU121" s="225"/>
      <c r="HOV121" s="225"/>
      <c r="HOW121" s="225"/>
      <c r="HOX121" s="225"/>
      <c r="HOY121" s="225"/>
      <c r="HOZ121" s="225"/>
      <c r="HPA121" s="225"/>
      <c r="HPB121" s="225"/>
      <c r="HPC121" s="225"/>
      <c r="HPD121" s="225"/>
      <c r="HPE121" s="225"/>
      <c r="HPF121" s="225"/>
      <c r="HPG121" s="225"/>
      <c r="HPH121" s="225"/>
      <c r="HPI121" s="225"/>
      <c r="HPJ121" s="225"/>
      <c r="HPK121" s="225"/>
      <c r="HPL121" s="225"/>
      <c r="HPM121" s="225"/>
      <c r="HPN121" s="225"/>
      <c r="HPO121" s="225"/>
      <c r="HPP121" s="225"/>
      <c r="HPQ121" s="225"/>
      <c r="HPR121" s="225"/>
      <c r="HPS121" s="225"/>
      <c r="HPT121" s="225"/>
      <c r="HPU121" s="225"/>
      <c r="HPV121" s="225"/>
      <c r="HPW121" s="225"/>
      <c r="HPX121" s="225"/>
      <c r="HPY121" s="225"/>
      <c r="HPZ121" s="225"/>
      <c r="HQA121" s="225"/>
      <c r="HQB121" s="225"/>
      <c r="HQC121" s="225"/>
      <c r="HQD121" s="225"/>
      <c r="HQE121" s="225"/>
      <c r="HQF121" s="225"/>
      <c r="HQG121" s="225"/>
      <c r="HQH121" s="225"/>
      <c r="HQI121" s="225"/>
      <c r="HQJ121" s="225"/>
      <c r="HQK121" s="225"/>
      <c r="HQL121" s="225"/>
      <c r="HQM121" s="225"/>
      <c r="HQN121" s="225"/>
      <c r="HQO121" s="225"/>
      <c r="HQP121" s="225"/>
      <c r="HQQ121" s="225"/>
      <c r="HQR121" s="225"/>
      <c r="HQS121" s="225"/>
      <c r="HQT121" s="225"/>
      <c r="HQU121" s="225"/>
      <c r="HQV121" s="225"/>
      <c r="HQW121" s="225"/>
      <c r="HQX121" s="225"/>
      <c r="HQY121" s="225"/>
      <c r="HQZ121" s="225"/>
      <c r="HRA121" s="225"/>
      <c r="HRB121" s="225"/>
      <c r="HRC121" s="225"/>
      <c r="HRD121" s="225"/>
      <c r="HRE121" s="225"/>
      <c r="HRF121" s="225"/>
      <c r="HRG121" s="225"/>
      <c r="HRH121" s="225"/>
      <c r="HRI121" s="225"/>
      <c r="HRJ121" s="225"/>
      <c r="HRK121" s="225"/>
      <c r="HRL121" s="225"/>
      <c r="HRM121" s="225"/>
      <c r="HRN121" s="225"/>
      <c r="HRO121" s="225"/>
      <c r="HRP121" s="225"/>
      <c r="HRQ121" s="225"/>
      <c r="HRR121" s="225"/>
      <c r="HRS121" s="225"/>
      <c r="HRT121" s="225"/>
      <c r="HRU121" s="225"/>
      <c r="HRV121" s="225"/>
      <c r="HRW121" s="225"/>
      <c r="HRX121" s="225"/>
      <c r="HRY121" s="225"/>
      <c r="HRZ121" s="225"/>
      <c r="HSA121" s="225"/>
      <c r="HSB121" s="225"/>
      <c r="HSC121" s="225"/>
      <c r="HSD121" s="225"/>
      <c r="HSE121" s="225"/>
      <c r="HSF121" s="225"/>
      <c r="HSG121" s="225"/>
      <c r="HSH121" s="225"/>
      <c r="HSI121" s="225"/>
      <c r="HSJ121" s="225"/>
      <c r="HSK121" s="225"/>
      <c r="HSL121" s="225"/>
      <c r="HSM121" s="225"/>
      <c r="HSN121" s="225"/>
      <c r="HSO121" s="225"/>
      <c r="HSP121" s="225"/>
      <c r="HSQ121" s="225"/>
      <c r="HSR121" s="225"/>
      <c r="HSS121" s="225"/>
      <c r="HST121" s="225"/>
      <c r="HSU121" s="225"/>
      <c r="HSV121" s="225"/>
      <c r="HSW121" s="225"/>
      <c r="HSX121" s="225"/>
      <c r="HSY121" s="225"/>
      <c r="HSZ121" s="225"/>
      <c r="HTA121" s="225"/>
      <c r="HTB121" s="225"/>
      <c r="HTC121" s="225"/>
      <c r="HTD121" s="225"/>
      <c r="HTE121" s="225"/>
      <c r="HTF121" s="225"/>
      <c r="HTG121" s="225"/>
      <c r="HTH121" s="225"/>
      <c r="HTI121" s="225"/>
      <c r="HTJ121" s="225"/>
      <c r="HTK121" s="225"/>
      <c r="HTL121" s="225"/>
      <c r="HTM121" s="225"/>
      <c r="HTN121" s="225"/>
      <c r="HTO121" s="225"/>
      <c r="HTP121" s="225"/>
      <c r="HTQ121" s="225"/>
      <c r="HTR121" s="225"/>
      <c r="HTS121" s="225"/>
      <c r="HTT121" s="225"/>
      <c r="HTU121" s="225"/>
      <c r="HTV121" s="225"/>
      <c r="HTW121" s="225"/>
      <c r="HTX121" s="225"/>
      <c r="HTY121" s="225"/>
      <c r="HTZ121" s="225"/>
      <c r="HUA121" s="225"/>
      <c r="HUB121" s="225"/>
      <c r="HUC121" s="225"/>
      <c r="HUD121" s="225"/>
      <c r="HUE121" s="225"/>
      <c r="HUF121" s="225"/>
      <c r="HUG121" s="225"/>
      <c r="HUH121" s="225"/>
      <c r="HUI121" s="225"/>
      <c r="HUJ121" s="225"/>
      <c r="HUK121" s="225"/>
      <c r="HUL121" s="225"/>
      <c r="HUM121" s="225"/>
      <c r="HUN121" s="225"/>
      <c r="HUO121" s="225"/>
      <c r="HUP121" s="225"/>
      <c r="HUQ121" s="225"/>
      <c r="HUR121" s="225"/>
      <c r="HUS121" s="225"/>
      <c r="HUT121" s="225"/>
      <c r="HUU121" s="225"/>
      <c r="HUV121" s="225"/>
      <c r="HUW121" s="225"/>
      <c r="HUX121" s="225"/>
      <c r="HUY121" s="225"/>
      <c r="HUZ121" s="225"/>
      <c r="HVA121" s="225"/>
      <c r="HVB121" s="225"/>
      <c r="HVC121" s="225"/>
      <c r="HVD121" s="225"/>
      <c r="HVE121" s="225"/>
      <c r="HVF121" s="225"/>
      <c r="HVG121" s="225"/>
      <c r="HVH121" s="225"/>
      <c r="HVI121" s="225"/>
      <c r="HVJ121" s="225"/>
      <c r="HVK121" s="225"/>
      <c r="HVL121" s="225"/>
      <c r="HVM121" s="225"/>
      <c r="HVN121" s="225"/>
      <c r="HVO121" s="225"/>
      <c r="HVP121" s="225"/>
      <c r="HVQ121" s="225"/>
      <c r="HVR121" s="225"/>
      <c r="HVS121" s="225"/>
      <c r="HVT121" s="225"/>
      <c r="HVU121" s="225"/>
      <c r="HVV121" s="225"/>
      <c r="HVW121" s="225"/>
      <c r="HVX121" s="225"/>
      <c r="HVY121" s="225"/>
      <c r="HVZ121" s="225"/>
      <c r="HWA121" s="225"/>
      <c r="HWB121" s="225"/>
      <c r="HWC121" s="225"/>
      <c r="HWD121" s="225"/>
      <c r="HWE121" s="225"/>
      <c r="HWF121" s="225"/>
      <c r="HWG121" s="225"/>
      <c r="HWH121" s="225"/>
      <c r="HWI121" s="225"/>
      <c r="HWJ121" s="225"/>
      <c r="HWK121" s="225"/>
      <c r="HWL121" s="225"/>
      <c r="HWM121" s="225"/>
      <c r="HWN121" s="225"/>
      <c r="HWO121" s="225"/>
      <c r="HWP121" s="225"/>
      <c r="HWQ121" s="225"/>
      <c r="HWR121" s="225"/>
      <c r="HWS121" s="225"/>
      <c r="HWT121" s="225"/>
      <c r="HWU121" s="225"/>
      <c r="HWV121" s="225"/>
      <c r="HWW121" s="225"/>
      <c r="HWX121" s="225"/>
      <c r="HWY121" s="225"/>
      <c r="HWZ121" s="225"/>
      <c r="HXA121" s="225"/>
      <c r="HXB121" s="225"/>
      <c r="HXC121" s="225"/>
      <c r="HXD121" s="225"/>
      <c r="HXE121" s="225"/>
      <c r="HXF121" s="225"/>
      <c r="HXG121" s="225"/>
      <c r="HXH121" s="225"/>
      <c r="HXI121" s="225"/>
      <c r="HXJ121" s="225"/>
      <c r="HXK121" s="225"/>
      <c r="HXL121" s="225"/>
      <c r="HXM121" s="225"/>
      <c r="HXN121" s="225"/>
      <c r="HXO121" s="225"/>
      <c r="HXP121" s="225"/>
      <c r="HXQ121" s="225"/>
      <c r="HXR121" s="225"/>
      <c r="HXS121" s="225"/>
      <c r="HXT121" s="225"/>
      <c r="HXU121" s="225"/>
      <c r="HXV121" s="225"/>
      <c r="HXW121" s="225"/>
      <c r="HXX121" s="225"/>
      <c r="HXY121" s="225"/>
      <c r="HXZ121" s="225"/>
      <c r="HYA121" s="225"/>
      <c r="HYB121" s="225"/>
      <c r="HYC121" s="225"/>
      <c r="HYD121" s="225"/>
      <c r="HYE121" s="225"/>
      <c r="HYF121" s="225"/>
      <c r="HYG121" s="225"/>
      <c r="HYH121" s="225"/>
      <c r="HYI121" s="225"/>
      <c r="HYJ121" s="225"/>
      <c r="HYK121" s="225"/>
      <c r="HYL121" s="225"/>
      <c r="HYM121" s="225"/>
      <c r="HYN121" s="225"/>
      <c r="HYO121" s="225"/>
      <c r="HYP121" s="225"/>
      <c r="HYQ121" s="225"/>
      <c r="HYR121" s="225"/>
      <c r="HYS121" s="225"/>
      <c r="HYT121" s="225"/>
      <c r="HYU121" s="225"/>
      <c r="HYV121" s="225"/>
      <c r="HYW121" s="225"/>
      <c r="HYX121" s="225"/>
      <c r="HYY121" s="225"/>
      <c r="HYZ121" s="225"/>
      <c r="HZA121" s="225"/>
      <c r="HZB121" s="225"/>
      <c r="HZC121" s="225"/>
      <c r="HZD121" s="225"/>
      <c r="HZE121" s="225"/>
      <c r="HZF121" s="225"/>
      <c r="HZG121" s="225"/>
      <c r="HZH121" s="225"/>
      <c r="HZI121" s="225"/>
      <c r="HZJ121" s="225"/>
      <c r="HZK121" s="225"/>
      <c r="HZL121" s="225"/>
      <c r="HZM121" s="225"/>
      <c r="HZN121" s="225"/>
      <c r="HZO121" s="225"/>
      <c r="HZP121" s="225"/>
      <c r="HZQ121" s="225"/>
      <c r="HZR121" s="225"/>
      <c r="HZS121" s="225"/>
      <c r="HZT121" s="225"/>
      <c r="HZU121" s="225"/>
      <c r="HZV121" s="225"/>
      <c r="HZW121" s="225"/>
      <c r="HZX121" s="225"/>
      <c r="HZY121" s="225"/>
      <c r="HZZ121" s="225"/>
      <c r="IAA121" s="225"/>
      <c r="IAB121" s="225"/>
      <c r="IAC121" s="225"/>
      <c r="IAD121" s="225"/>
      <c r="IAE121" s="225"/>
      <c r="IAF121" s="225"/>
      <c r="IAG121" s="225"/>
      <c r="IAH121" s="225"/>
      <c r="IAI121" s="225"/>
      <c r="IAJ121" s="225"/>
      <c r="IAK121" s="225"/>
      <c r="IAL121" s="225"/>
      <c r="IAM121" s="225"/>
      <c r="IAN121" s="225"/>
      <c r="IAO121" s="225"/>
      <c r="IAP121" s="225"/>
      <c r="IAQ121" s="225"/>
      <c r="IAR121" s="225"/>
      <c r="IAS121" s="225"/>
      <c r="IAT121" s="225"/>
      <c r="IAU121" s="225"/>
      <c r="IAV121" s="225"/>
      <c r="IAW121" s="225"/>
      <c r="IAX121" s="225"/>
      <c r="IAY121" s="225"/>
      <c r="IAZ121" s="225"/>
      <c r="IBA121" s="225"/>
      <c r="IBB121" s="225"/>
      <c r="IBC121" s="225"/>
      <c r="IBD121" s="225"/>
      <c r="IBE121" s="225"/>
      <c r="IBF121" s="225"/>
      <c r="IBG121" s="225"/>
      <c r="IBH121" s="225"/>
      <c r="IBI121" s="225"/>
      <c r="IBJ121" s="225"/>
      <c r="IBK121" s="225"/>
      <c r="IBL121" s="225"/>
      <c r="IBM121" s="225"/>
      <c r="IBN121" s="225"/>
      <c r="IBO121" s="225"/>
      <c r="IBP121" s="225"/>
      <c r="IBQ121" s="225"/>
      <c r="IBR121" s="225"/>
      <c r="IBS121" s="225"/>
      <c r="IBT121" s="225"/>
      <c r="IBU121" s="225"/>
      <c r="IBV121" s="225"/>
      <c r="IBW121" s="225"/>
      <c r="IBX121" s="225"/>
      <c r="IBY121" s="225"/>
      <c r="IBZ121" s="225"/>
      <c r="ICA121" s="225"/>
      <c r="ICB121" s="225"/>
      <c r="ICC121" s="225"/>
      <c r="ICD121" s="225"/>
      <c r="ICE121" s="225"/>
      <c r="ICF121" s="225"/>
      <c r="ICG121" s="225"/>
      <c r="ICH121" s="225"/>
      <c r="ICI121" s="225"/>
      <c r="ICJ121" s="225"/>
      <c r="ICK121" s="225"/>
      <c r="ICL121" s="225"/>
      <c r="ICM121" s="225"/>
      <c r="ICN121" s="225"/>
      <c r="ICO121" s="225"/>
      <c r="ICP121" s="225"/>
      <c r="ICQ121" s="225"/>
      <c r="ICR121" s="225"/>
      <c r="ICS121" s="225"/>
      <c r="ICT121" s="225"/>
      <c r="ICU121" s="225"/>
      <c r="ICV121" s="225"/>
      <c r="ICW121" s="225"/>
      <c r="ICX121" s="225"/>
      <c r="ICY121" s="225"/>
      <c r="ICZ121" s="225"/>
      <c r="IDA121" s="225"/>
      <c r="IDB121" s="225"/>
      <c r="IDC121" s="225"/>
      <c r="IDD121" s="225"/>
      <c r="IDE121" s="225"/>
      <c r="IDF121" s="225"/>
      <c r="IDG121" s="225"/>
      <c r="IDH121" s="225"/>
      <c r="IDI121" s="225"/>
      <c r="IDJ121" s="225"/>
      <c r="IDK121" s="225"/>
      <c r="IDL121" s="225"/>
      <c r="IDM121" s="225"/>
      <c r="IDN121" s="225"/>
      <c r="IDO121" s="225"/>
      <c r="IDP121" s="225"/>
      <c r="IDQ121" s="225"/>
      <c r="IDR121" s="225"/>
      <c r="IDS121" s="225"/>
      <c r="IDT121" s="225"/>
      <c r="IDU121" s="225"/>
      <c r="IDV121" s="225"/>
      <c r="IDW121" s="225"/>
      <c r="IDX121" s="225"/>
      <c r="IDY121" s="225"/>
      <c r="IDZ121" s="225"/>
      <c r="IEA121" s="225"/>
      <c r="IEB121" s="225"/>
      <c r="IEC121" s="225"/>
      <c r="IED121" s="225"/>
      <c r="IEE121" s="225"/>
      <c r="IEF121" s="225"/>
      <c r="IEG121" s="225"/>
      <c r="IEH121" s="225"/>
      <c r="IEI121" s="225"/>
      <c r="IEJ121" s="225"/>
      <c r="IEK121" s="225"/>
      <c r="IEL121" s="225"/>
      <c r="IEM121" s="225"/>
      <c r="IEN121" s="225"/>
      <c r="IEO121" s="225"/>
      <c r="IEP121" s="225"/>
      <c r="IEQ121" s="225"/>
      <c r="IER121" s="225"/>
      <c r="IES121" s="225"/>
      <c r="IET121" s="225"/>
      <c r="IEU121" s="225"/>
      <c r="IEV121" s="225"/>
      <c r="IEW121" s="225"/>
      <c r="IEX121" s="225"/>
      <c r="IEY121" s="225"/>
      <c r="IEZ121" s="225"/>
      <c r="IFA121" s="225"/>
      <c r="IFB121" s="225"/>
      <c r="IFC121" s="225"/>
      <c r="IFD121" s="225"/>
      <c r="IFE121" s="225"/>
      <c r="IFF121" s="225"/>
      <c r="IFG121" s="225"/>
      <c r="IFH121" s="225"/>
      <c r="IFI121" s="225"/>
      <c r="IFJ121" s="225"/>
      <c r="IFK121" s="225"/>
      <c r="IFL121" s="225"/>
      <c r="IFM121" s="225"/>
      <c r="IFN121" s="225"/>
      <c r="IFO121" s="225"/>
      <c r="IFP121" s="225"/>
      <c r="IFQ121" s="225"/>
      <c r="IFR121" s="225"/>
      <c r="IFS121" s="225"/>
      <c r="IFT121" s="225"/>
      <c r="IFU121" s="225"/>
      <c r="IFV121" s="225"/>
      <c r="IFW121" s="225"/>
      <c r="IFX121" s="225"/>
      <c r="IFY121" s="225"/>
      <c r="IFZ121" s="225"/>
      <c r="IGA121" s="225"/>
      <c r="IGB121" s="225"/>
      <c r="IGC121" s="225"/>
      <c r="IGD121" s="225"/>
      <c r="IGE121" s="225"/>
      <c r="IGF121" s="225"/>
      <c r="IGG121" s="225"/>
      <c r="IGH121" s="225"/>
      <c r="IGI121" s="225"/>
      <c r="IGJ121" s="225"/>
      <c r="IGK121" s="225"/>
      <c r="IGL121" s="225"/>
      <c r="IGM121" s="225"/>
      <c r="IGN121" s="225"/>
      <c r="IGO121" s="225"/>
      <c r="IGP121" s="225"/>
      <c r="IGQ121" s="225"/>
      <c r="IGR121" s="225"/>
      <c r="IGS121" s="225"/>
      <c r="IGT121" s="225"/>
      <c r="IGU121" s="225"/>
      <c r="IGV121" s="225"/>
      <c r="IGW121" s="225"/>
      <c r="IGX121" s="225"/>
      <c r="IGY121" s="225"/>
      <c r="IGZ121" s="225"/>
      <c r="IHA121" s="225"/>
      <c r="IHB121" s="225"/>
      <c r="IHC121" s="225"/>
      <c r="IHD121" s="225"/>
      <c r="IHE121" s="225"/>
      <c r="IHF121" s="225"/>
      <c r="IHG121" s="225"/>
      <c r="IHH121" s="225"/>
      <c r="IHI121" s="225"/>
      <c r="IHJ121" s="225"/>
      <c r="IHK121" s="225"/>
      <c r="IHL121" s="225"/>
      <c r="IHM121" s="225"/>
      <c r="IHN121" s="225"/>
      <c r="IHO121" s="225"/>
      <c r="IHP121" s="225"/>
      <c r="IHQ121" s="225"/>
      <c r="IHR121" s="225"/>
      <c r="IHS121" s="225"/>
      <c r="IHT121" s="225"/>
      <c r="IHU121" s="225"/>
      <c r="IHV121" s="225"/>
      <c r="IHW121" s="225"/>
      <c r="IHX121" s="225"/>
      <c r="IHY121" s="225"/>
      <c r="IHZ121" s="225"/>
      <c r="IIA121" s="225"/>
      <c r="IIB121" s="225"/>
      <c r="IIC121" s="225"/>
      <c r="IID121" s="225"/>
      <c r="IIE121" s="225"/>
      <c r="IIF121" s="225"/>
      <c r="IIG121" s="225"/>
      <c r="IIH121" s="225"/>
      <c r="III121" s="225"/>
      <c r="IIJ121" s="225"/>
      <c r="IIK121" s="225"/>
      <c r="IIL121" s="225"/>
      <c r="IIM121" s="225"/>
      <c r="IIN121" s="225"/>
      <c r="IIO121" s="225"/>
      <c r="IIP121" s="225"/>
      <c r="IIQ121" s="225"/>
      <c r="IIR121" s="225"/>
      <c r="IIS121" s="225"/>
      <c r="IIT121" s="225"/>
      <c r="IIU121" s="225"/>
      <c r="IIV121" s="225"/>
      <c r="IIW121" s="225"/>
      <c r="IIX121" s="225"/>
      <c r="IIY121" s="225"/>
      <c r="IIZ121" s="225"/>
      <c r="IJA121" s="225"/>
      <c r="IJB121" s="225"/>
      <c r="IJC121" s="225"/>
      <c r="IJD121" s="225"/>
      <c r="IJE121" s="225"/>
      <c r="IJF121" s="225"/>
      <c r="IJG121" s="225"/>
      <c r="IJH121" s="225"/>
      <c r="IJI121" s="225"/>
      <c r="IJJ121" s="225"/>
      <c r="IJK121" s="225"/>
      <c r="IJL121" s="225"/>
      <c r="IJM121" s="225"/>
      <c r="IJN121" s="225"/>
      <c r="IJO121" s="225"/>
      <c r="IJP121" s="225"/>
      <c r="IJQ121" s="225"/>
      <c r="IJR121" s="225"/>
      <c r="IJS121" s="225"/>
      <c r="IJT121" s="225"/>
      <c r="IJU121" s="225"/>
      <c r="IJV121" s="225"/>
      <c r="IJW121" s="225"/>
      <c r="IJX121" s="225"/>
      <c r="IJY121" s="225"/>
      <c r="IJZ121" s="225"/>
      <c r="IKA121" s="225"/>
      <c r="IKB121" s="225"/>
      <c r="IKC121" s="225"/>
      <c r="IKD121" s="225"/>
      <c r="IKE121" s="225"/>
      <c r="IKF121" s="225"/>
      <c r="IKG121" s="225"/>
      <c r="IKH121" s="225"/>
      <c r="IKI121" s="225"/>
      <c r="IKJ121" s="225"/>
      <c r="IKK121" s="225"/>
      <c r="IKL121" s="225"/>
      <c r="IKM121" s="225"/>
      <c r="IKN121" s="225"/>
      <c r="IKO121" s="225"/>
      <c r="IKP121" s="225"/>
      <c r="IKQ121" s="225"/>
      <c r="IKR121" s="225"/>
      <c r="IKS121" s="225"/>
      <c r="IKT121" s="225"/>
      <c r="IKU121" s="225"/>
      <c r="IKV121" s="225"/>
      <c r="IKW121" s="225"/>
      <c r="IKX121" s="225"/>
      <c r="IKY121" s="225"/>
      <c r="IKZ121" s="225"/>
      <c r="ILA121" s="225"/>
      <c r="ILB121" s="225"/>
      <c r="ILC121" s="225"/>
      <c r="ILD121" s="225"/>
      <c r="ILE121" s="225"/>
      <c r="ILF121" s="225"/>
      <c r="ILG121" s="225"/>
      <c r="ILH121" s="225"/>
      <c r="ILI121" s="225"/>
      <c r="ILJ121" s="225"/>
      <c r="ILK121" s="225"/>
      <c r="ILL121" s="225"/>
      <c r="ILM121" s="225"/>
      <c r="ILN121" s="225"/>
      <c r="ILO121" s="225"/>
      <c r="ILP121" s="225"/>
      <c r="ILQ121" s="225"/>
      <c r="ILR121" s="225"/>
      <c r="ILS121" s="225"/>
      <c r="ILT121" s="225"/>
      <c r="ILU121" s="225"/>
      <c r="ILV121" s="225"/>
      <c r="ILW121" s="225"/>
      <c r="ILX121" s="225"/>
      <c r="ILY121" s="225"/>
      <c r="ILZ121" s="225"/>
      <c r="IMA121" s="225"/>
      <c r="IMB121" s="225"/>
      <c r="IMC121" s="225"/>
      <c r="IMD121" s="225"/>
      <c r="IME121" s="225"/>
      <c r="IMF121" s="225"/>
      <c r="IMG121" s="225"/>
      <c r="IMH121" s="225"/>
      <c r="IMI121" s="225"/>
      <c r="IMJ121" s="225"/>
      <c r="IMK121" s="225"/>
      <c r="IML121" s="225"/>
      <c r="IMM121" s="225"/>
      <c r="IMN121" s="225"/>
      <c r="IMO121" s="225"/>
      <c r="IMP121" s="225"/>
      <c r="IMQ121" s="225"/>
      <c r="IMR121" s="225"/>
      <c r="IMS121" s="225"/>
      <c r="IMT121" s="225"/>
      <c r="IMU121" s="225"/>
      <c r="IMV121" s="225"/>
      <c r="IMW121" s="225"/>
      <c r="IMX121" s="225"/>
      <c r="IMY121" s="225"/>
      <c r="IMZ121" s="225"/>
      <c r="INA121" s="225"/>
      <c r="INB121" s="225"/>
      <c r="INC121" s="225"/>
      <c r="IND121" s="225"/>
      <c r="INE121" s="225"/>
      <c r="INF121" s="225"/>
      <c r="ING121" s="225"/>
      <c r="INH121" s="225"/>
      <c r="INI121" s="225"/>
      <c r="INJ121" s="225"/>
      <c r="INK121" s="225"/>
      <c r="INL121" s="225"/>
      <c r="INM121" s="225"/>
      <c r="INN121" s="225"/>
      <c r="INO121" s="225"/>
      <c r="INP121" s="225"/>
      <c r="INQ121" s="225"/>
      <c r="INR121" s="225"/>
      <c r="INS121" s="225"/>
      <c r="INT121" s="225"/>
      <c r="INU121" s="225"/>
      <c r="INV121" s="225"/>
      <c r="INW121" s="225"/>
      <c r="INX121" s="225"/>
      <c r="INY121" s="225"/>
      <c r="INZ121" s="225"/>
      <c r="IOA121" s="225"/>
      <c r="IOB121" s="225"/>
      <c r="IOC121" s="225"/>
      <c r="IOD121" s="225"/>
      <c r="IOE121" s="225"/>
      <c r="IOF121" s="225"/>
      <c r="IOG121" s="225"/>
      <c r="IOH121" s="225"/>
      <c r="IOI121" s="225"/>
      <c r="IOJ121" s="225"/>
      <c r="IOK121" s="225"/>
      <c r="IOL121" s="225"/>
      <c r="IOM121" s="225"/>
      <c r="ION121" s="225"/>
      <c r="IOO121" s="225"/>
      <c r="IOP121" s="225"/>
      <c r="IOQ121" s="225"/>
      <c r="IOR121" s="225"/>
      <c r="IOS121" s="225"/>
      <c r="IOT121" s="225"/>
      <c r="IOU121" s="225"/>
      <c r="IOV121" s="225"/>
      <c r="IOW121" s="225"/>
      <c r="IOX121" s="225"/>
      <c r="IOY121" s="225"/>
      <c r="IOZ121" s="225"/>
      <c r="IPA121" s="225"/>
      <c r="IPB121" s="225"/>
      <c r="IPC121" s="225"/>
      <c r="IPD121" s="225"/>
      <c r="IPE121" s="225"/>
      <c r="IPF121" s="225"/>
      <c r="IPG121" s="225"/>
      <c r="IPH121" s="225"/>
      <c r="IPI121" s="225"/>
      <c r="IPJ121" s="225"/>
      <c r="IPK121" s="225"/>
      <c r="IPL121" s="225"/>
      <c r="IPM121" s="225"/>
      <c r="IPN121" s="225"/>
      <c r="IPO121" s="225"/>
      <c r="IPP121" s="225"/>
      <c r="IPQ121" s="225"/>
      <c r="IPR121" s="225"/>
      <c r="IPS121" s="225"/>
      <c r="IPT121" s="225"/>
      <c r="IPU121" s="225"/>
      <c r="IPV121" s="225"/>
      <c r="IPW121" s="225"/>
      <c r="IPX121" s="225"/>
      <c r="IPY121" s="225"/>
      <c r="IPZ121" s="225"/>
      <c r="IQA121" s="225"/>
      <c r="IQB121" s="225"/>
      <c r="IQC121" s="225"/>
      <c r="IQD121" s="225"/>
      <c r="IQE121" s="225"/>
      <c r="IQF121" s="225"/>
      <c r="IQG121" s="225"/>
      <c r="IQH121" s="225"/>
      <c r="IQI121" s="225"/>
      <c r="IQJ121" s="225"/>
      <c r="IQK121" s="225"/>
      <c r="IQL121" s="225"/>
      <c r="IQM121" s="225"/>
      <c r="IQN121" s="225"/>
      <c r="IQO121" s="225"/>
      <c r="IQP121" s="225"/>
      <c r="IQQ121" s="225"/>
      <c r="IQR121" s="225"/>
      <c r="IQS121" s="225"/>
      <c r="IQT121" s="225"/>
      <c r="IQU121" s="225"/>
      <c r="IQV121" s="225"/>
      <c r="IQW121" s="225"/>
      <c r="IQX121" s="225"/>
      <c r="IQY121" s="225"/>
      <c r="IQZ121" s="225"/>
      <c r="IRA121" s="225"/>
      <c r="IRB121" s="225"/>
      <c r="IRC121" s="225"/>
      <c r="IRD121" s="225"/>
      <c r="IRE121" s="225"/>
      <c r="IRF121" s="225"/>
      <c r="IRG121" s="225"/>
      <c r="IRH121" s="225"/>
      <c r="IRI121" s="225"/>
      <c r="IRJ121" s="225"/>
      <c r="IRK121" s="225"/>
      <c r="IRL121" s="225"/>
      <c r="IRM121" s="225"/>
      <c r="IRN121" s="225"/>
      <c r="IRO121" s="225"/>
      <c r="IRP121" s="225"/>
      <c r="IRQ121" s="225"/>
      <c r="IRR121" s="225"/>
      <c r="IRS121" s="225"/>
      <c r="IRT121" s="225"/>
      <c r="IRU121" s="225"/>
      <c r="IRV121" s="225"/>
      <c r="IRW121" s="225"/>
      <c r="IRX121" s="225"/>
      <c r="IRY121" s="225"/>
      <c r="IRZ121" s="225"/>
      <c r="ISA121" s="225"/>
      <c r="ISB121" s="225"/>
      <c r="ISC121" s="225"/>
      <c r="ISD121" s="225"/>
      <c r="ISE121" s="225"/>
      <c r="ISF121" s="225"/>
      <c r="ISG121" s="225"/>
      <c r="ISH121" s="225"/>
      <c r="ISI121" s="225"/>
      <c r="ISJ121" s="225"/>
      <c r="ISK121" s="225"/>
      <c r="ISL121" s="225"/>
      <c r="ISM121" s="225"/>
      <c r="ISN121" s="225"/>
      <c r="ISO121" s="225"/>
      <c r="ISP121" s="225"/>
      <c r="ISQ121" s="225"/>
      <c r="ISR121" s="225"/>
      <c r="ISS121" s="225"/>
      <c r="IST121" s="225"/>
      <c r="ISU121" s="225"/>
      <c r="ISV121" s="225"/>
      <c r="ISW121" s="225"/>
      <c r="ISX121" s="225"/>
      <c r="ISY121" s="225"/>
      <c r="ISZ121" s="225"/>
      <c r="ITA121" s="225"/>
      <c r="ITB121" s="225"/>
      <c r="ITC121" s="225"/>
      <c r="ITD121" s="225"/>
      <c r="ITE121" s="225"/>
      <c r="ITF121" s="225"/>
      <c r="ITG121" s="225"/>
      <c r="ITH121" s="225"/>
      <c r="ITI121" s="225"/>
      <c r="ITJ121" s="225"/>
      <c r="ITK121" s="225"/>
      <c r="ITL121" s="225"/>
      <c r="ITM121" s="225"/>
      <c r="ITN121" s="225"/>
      <c r="ITO121" s="225"/>
      <c r="ITP121" s="225"/>
      <c r="ITQ121" s="225"/>
      <c r="ITR121" s="225"/>
      <c r="ITS121" s="225"/>
      <c r="ITT121" s="225"/>
      <c r="ITU121" s="225"/>
      <c r="ITV121" s="225"/>
      <c r="ITW121" s="225"/>
      <c r="ITX121" s="225"/>
      <c r="ITY121" s="225"/>
      <c r="ITZ121" s="225"/>
      <c r="IUA121" s="225"/>
      <c r="IUB121" s="225"/>
      <c r="IUC121" s="225"/>
      <c r="IUD121" s="225"/>
      <c r="IUE121" s="225"/>
      <c r="IUF121" s="225"/>
      <c r="IUG121" s="225"/>
      <c r="IUH121" s="225"/>
      <c r="IUI121" s="225"/>
      <c r="IUJ121" s="225"/>
      <c r="IUK121" s="225"/>
      <c r="IUL121" s="225"/>
      <c r="IUM121" s="225"/>
      <c r="IUN121" s="225"/>
      <c r="IUO121" s="225"/>
      <c r="IUP121" s="225"/>
      <c r="IUQ121" s="225"/>
      <c r="IUR121" s="225"/>
      <c r="IUS121" s="225"/>
      <c r="IUT121" s="225"/>
      <c r="IUU121" s="225"/>
      <c r="IUV121" s="225"/>
      <c r="IUW121" s="225"/>
      <c r="IUX121" s="225"/>
      <c r="IUY121" s="225"/>
      <c r="IUZ121" s="225"/>
      <c r="IVA121" s="225"/>
      <c r="IVB121" s="225"/>
      <c r="IVC121" s="225"/>
      <c r="IVD121" s="225"/>
      <c r="IVE121" s="225"/>
      <c r="IVF121" s="225"/>
      <c r="IVG121" s="225"/>
      <c r="IVH121" s="225"/>
      <c r="IVI121" s="225"/>
      <c r="IVJ121" s="225"/>
      <c r="IVK121" s="225"/>
      <c r="IVL121" s="225"/>
      <c r="IVM121" s="225"/>
      <c r="IVN121" s="225"/>
      <c r="IVO121" s="225"/>
      <c r="IVP121" s="225"/>
      <c r="IVQ121" s="225"/>
      <c r="IVR121" s="225"/>
      <c r="IVS121" s="225"/>
      <c r="IVT121" s="225"/>
      <c r="IVU121" s="225"/>
      <c r="IVV121" s="225"/>
      <c r="IVW121" s="225"/>
      <c r="IVX121" s="225"/>
      <c r="IVY121" s="225"/>
      <c r="IVZ121" s="225"/>
      <c r="IWA121" s="225"/>
      <c r="IWB121" s="225"/>
      <c r="IWC121" s="225"/>
      <c r="IWD121" s="225"/>
      <c r="IWE121" s="225"/>
      <c r="IWF121" s="225"/>
      <c r="IWG121" s="225"/>
      <c r="IWH121" s="225"/>
      <c r="IWI121" s="225"/>
      <c r="IWJ121" s="225"/>
      <c r="IWK121" s="225"/>
      <c r="IWL121" s="225"/>
      <c r="IWM121" s="225"/>
      <c r="IWN121" s="225"/>
      <c r="IWO121" s="225"/>
      <c r="IWP121" s="225"/>
      <c r="IWQ121" s="225"/>
      <c r="IWR121" s="225"/>
      <c r="IWS121" s="225"/>
      <c r="IWT121" s="225"/>
      <c r="IWU121" s="225"/>
      <c r="IWV121" s="225"/>
      <c r="IWW121" s="225"/>
      <c r="IWX121" s="225"/>
      <c r="IWY121" s="225"/>
      <c r="IWZ121" s="225"/>
      <c r="IXA121" s="225"/>
      <c r="IXB121" s="225"/>
      <c r="IXC121" s="225"/>
      <c r="IXD121" s="225"/>
      <c r="IXE121" s="225"/>
      <c r="IXF121" s="225"/>
      <c r="IXG121" s="225"/>
      <c r="IXH121" s="225"/>
      <c r="IXI121" s="225"/>
      <c r="IXJ121" s="225"/>
      <c r="IXK121" s="225"/>
      <c r="IXL121" s="225"/>
      <c r="IXM121" s="225"/>
      <c r="IXN121" s="225"/>
      <c r="IXO121" s="225"/>
      <c r="IXP121" s="225"/>
      <c r="IXQ121" s="225"/>
      <c r="IXR121" s="225"/>
      <c r="IXS121" s="225"/>
      <c r="IXT121" s="225"/>
      <c r="IXU121" s="225"/>
      <c r="IXV121" s="225"/>
      <c r="IXW121" s="225"/>
      <c r="IXX121" s="225"/>
      <c r="IXY121" s="225"/>
      <c r="IXZ121" s="225"/>
      <c r="IYA121" s="225"/>
      <c r="IYB121" s="225"/>
      <c r="IYC121" s="225"/>
      <c r="IYD121" s="225"/>
      <c r="IYE121" s="225"/>
      <c r="IYF121" s="225"/>
      <c r="IYG121" s="225"/>
      <c r="IYH121" s="225"/>
      <c r="IYI121" s="225"/>
      <c r="IYJ121" s="225"/>
      <c r="IYK121" s="225"/>
      <c r="IYL121" s="225"/>
      <c r="IYM121" s="225"/>
      <c r="IYN121" s="225"/>
      <c r="IYO121" s="225"/>
      <c r="IYP121" s="225"/>
      <c r="IYQ121" s="225"/>
      <c r="IYR121" s="225"/>
      <c r="IYS121" s="225"/>
      <c r="IYT121" s="225"/>
      <c r="IYU121" s="225"/>
      <c r="IYV121" s="225"/>
      <c r="IYW121" s="225"/>
      <c r="IYX121" s="225"/>
      <c r="IYY121" s="225"/>
      <c r="IYZ121" s="225"/>
      <c r="IZA121" s="225"/>
      <c r="IZB121" s="225"/>
      <c r="IZC121" s="225"/>
      <c r="IZD121" s="225"/>
      <c r="IZE121" s="225"/>
      <c r="IZF121" s="225"/>
      <c r="IZG121" s="225"/>
      <c r="IZH121" s="225"/>
      <c r="IZI121" s="225"/>
      <c r="IZJ121" s="225"/>
      <c r="IZK121" s="225"/>
      <c r="IZL121" s="225"/>
      <c r="IZM121" s="225"/>
      <c r="IZN121" s="225"/>
      <c r="IZO121" s="225"/>
      <c r="IZP121" s="225"/>
      <c r="IZQ121" s="225"/>
      <c r="IZR121" s="225"/>
      <c r="IZS121" s="225"/>
      <c r="IZT121" s="225"/>
      <c r="IZU121" s="225"/>
      <c r="IZV121" s="225"/>
      <c r="IZW121" s="225"/>
      <c r="IZX121" s="225"/>
      <c r="IZY121" s="225"/>
      <c r="IZZ121" s="225"/>
      <c r="JAA121" s="225"/>
      <c r="JAB121" s="225"/>
      <c r="JAC121" s="225"/>
      <c r="JAD121" s="225"/>
      <c r="JAE121" s="225"/>
      <c r="JAF121" s="225"/>
      <c r="JAG121" s="225"/>
      <c r="JAH121" s="225"/>
      <c r="JAI121" s="225"/>
      <c r="JAJ121" s="225"/>
      <c r="JAK121" s="225"/>
      <c r="JAL121" s="225"/>
      <c r="JAM121" s="225"/>
      <c r="JAN121" s="225"/>
      <c r="JAO121" s="225"/>
      <c r="JAP121" s="225"/>
      <c r="JAQ121" s="225"/>
      <c r="JAR121" s="225"/>
      <c r="JAS121" s="225"/>
      <c r="JAT121" s="225"/>
      <c r="JAU121" s="225"/>
      <c r="JAV121" s="225"/>
      <c r="JAW121" s="225"/>
      <c r="JAX121" s="225"/>
      <c r="JAY121" s="225"/>
      <c r="JAZ121" s="225"/>
      <c r="JBA121" s="225"/>
      <c r="JBB121" s="225"/>
      <c r="JBC121" s="225"/>
      <c r="JBD121" s="225"/>
      <c r="JBE121" s="225"/>
      <c r="JBF121" s="225"/>
      <c r="JBG121" s="225"/>
      <c r="JBH121" s="225"/>
      <c r="JBI121" s="225"/>
      <c r="JBJ121" s="225"/>
      <c r="JBK121" s="225"/>
      <c r="JBL121" s="225"/>
      <c r="JBM121" s="225"/>
      <c r="JBN121" s="225"/>
      <c r="JBO121" s="225"/>
      <c r="JBP121" s="225"/>
      <c r="JBQ121" s="225"/>
      <c r="JBR121" s="225"/>
      <c r="JBS121" s="225"/>
      <c r="JBT121" s="225"/>
      <c r="JBU121" s="225"/>
      <c r="JBV121" s="225"/>
      <c r="JBW121" s="225"/>
      <c r="JBX121" s="225"/>
      <c r="JBY121" s="225"/>
      <c r="JBZ121" s="225"/>
      <c r="JCA121" s="225"/>
      <c r="JCB121" s="225"/>
      <c r="JCC121" s="225"/>
      <c r="JCD121" s="225"/>
      <c r="JCE121" s="225"/>
      <c r="JCF121" s="225"/>
      <c r="JCG121" s="225"/>
      <c r="JCH121" s="225"/>
      <c r="JCI121" s="225"/>
      <c r="JCJ121" s="225"/>
      <c r="JCK121" s="225"/>
      <c r="JCL121" s="225"/>
      <c r="JCM121" s="225"/>
      <c r="JCN121" s="225"/>
      <c r="JCO121" s="225"/>
      <c r="JCP121" s="225"/>
      <c r="JCQ121" s="225"/>
      <c r="JCR121" s="225"/>
      <c r="JCS121" s="225"/>
      <c r="JCT121" s="225"/>
      <c r="JCU121" s="225"/>
      <c r="JCV121" s="225"/>
      <c r="JCW121" s="225"/>
      <c r="JCX121" s="225"/>
      <c r="JCY121" s="225"/>
      <c r="JCZ121" s="225"/>
      <c r="JDA121" s="225"/>
      <c r="JDB121" s="225"/>
      <c r="JDC121" s="225"/>
      <c r="JDD121" s="225"/>
      <c r="JDE121" s="225"/>
      <c r="JDF121" s="225"/>
      <c r="JDG121" s="225"/>
      <c r="JDH121" s="225"/>
      <c r="JDI121" s="225"/>
      <c r="JDJ121" s="225"/>
      <c r="JDK121" s="225"/>
      <c r="JDL121" s="225"/>
      <c r="JDM121" s="225"/>
      <c r="JDN121" s="225"/>
      <c r="JDO121" s="225"/>
      <c r="JDP121" s="225"/>
      <c r="JDQ121" s="225"/>
      <c r="JDR121" s="225"/>
      <c r="JDS121" s="225"/>
      <c r="JDT121" s="225"/>
      <c r="JDU121" s="225"/>
      <c r="JDV121" s="225"/>
      <c r="JDW121" s="225"/>
      <c r="JDX121" s="225"/>
      <c r="JDY121" s="225"/>
      <c r="JDZ121" s="225"/>
      <c r="JEA121" s="225"/>
      <c r="JEB121" s="225"/>
      <c r="JEC121" s="225"/>
      <c r="JED121" s="225"/>
      <c r="JEE121" s="225"/>
      <c r="JEF121" s="225"/>
      <c r="JEG121" s="225"/>
      <c r="JEH121" s="225"/>
      <c r="JEI121" s="225"/>
      <c r="JEJ121" s="225"/>
      <c r="JEK121" s="225"/>
      <c r="JEL121" s="225"/>
      <c r="JEM121" s="225"/>
      <c r="JEN121" s="225"/>
      <c r="JEO121" s="225"/>
      <c r="JEP121" s="225"/>
      <c r="JEQ121" s="225"/>
      <c r="JER121" s="225"/>
      <c r="JES121" s="225"/>
      <c r="JET121" s="225"/>
      <c r="JEU121" s="225"/>
      <c r="JEV121" s="225"/>
      <c r="JEW121" s="225"/>
      <c r="JEX121" s="225"/>
      <c r="JEY121" s="225"/>
      <c r="JEZ121" s="225"/>
      <c r="JFA121" s="225"/>
      <c r="JFB121" s="225"/>
      <c r="JFC121" s="225"/>
      <c r="JFD121" s="225"/>
      <c r="JFE121" s="225"/>
      <c r="JFF121" s="225"/>
      <c r="JFG121" s="225"/>
      <c r="JFH121" s="225"/>
      <c r="JFI121" s="225"/>
      <c r="JFJ121" s="225"/>
      <c r="JFK121" s="225"/>
      <c r="JFL121" s="225"/>
      <c r="JFM121" s="225"/>
      <c r="JFN121" s="225"/>
      <c r="JFO121" s="225"/>
      <c r="JFP121" s="225"/>
      <c r="JFQ121" s="225"/>
      <c r="JFR121" s="225"/>
      <c r="JFS121" s="225"/>
      <c r="JFT121" s="225"/>
      <c r="JFU121" s="225"/>
      <c r="JFV121" s="225"/>
      <c r="JFW121" s="225"/>
      <c r="JFX121" s="225"/>
      <c r="JFY121" s="225"/>
      <c r="JFZ121" s="225"/>
      <c r="JGA121" s="225"/>
      <c r="JGB121" s="225"/>
      <c r="JGC121" s="225"/>
      <c r="JGD121" s="225"/>
      <c r="JGE121" s="225"/>
      <c r="JGF121" s="225"/>
      <c r="JGG121" s="225"/>
      <c r="JGH121" s="225"/>
      <c r="JGI121" s="225"/>
      <c r="JGJ121" s="225"/>
      <c r="JGK121" s="225"/>
      <c r="JGL121" s="225"/>
      <c r="JGM121" s="225"/>
      <c r="JGN121" s="225"/>
      <c r="JGO121" s="225"/>
      <c r="JGP121" s="225"/>
      <c r="JGQ121" s="225"/>
      <c r="JGR121" s="225"/>
      <c r="JGS121" s="225"/>
      <c r="JGT121" s="225"/>
      <c r="JGU121" s="225"/>
      <c r="JGV121" s="225"/>
      <c r="JGW121" s="225"/>
      <c r="JGX121" s="225"/>
      <c r="JGY121" s="225"/>
      <c r="JGZ121" s="225"/>
      <c r="JHA121" s="225"/>
      <c r="JHB121" s="225"/>
      <c r="JHC121" s="225"/>
      <c r="JHD121" s="225"/>
      <c r="JHE121" s="225"/>
      <c r="JHF121" s="225"/>
      <c r="JHG121" s="225"/>
      <c r="JHH121" s="225"/>
      <c r="JHI121" s="225"/>
      <c r="JHJ121" s="225"/>
      <c r="JHK121" s="225"/>
      <c r="JHL121" s="225"/>
      <c r="JHM121" s="225"/>
      <c r="JHN121" s="225"/>
      <c r="JHO121" s="225"/>
      <c r="JHP121" s="225"/>
      <c r="JHQ121" s="225"/>
      <c r="JHR121" s="225"/>
      <c r="JHS121" s="225"/>
      <c r="JHT121" s="225"/>
      <c r="JHU121" s="225"/>
      <c r="JHV121" s="225"/>
      <c r="JHW121" s="225"/>
      <c r="JHX121" s="225"/>
      <c r="JHY121" s="225"/>
      <c r="JHZ121" s="225"/>
      <c r="JIA121" s="225"/>
      <c r="JIB121" s="225"/>
      <c r="JIC121" s="225"/>
      <c r="JID121" s="225"/>
      <c r="JIE121" s="225"/>
      <c r="JIF121" s="225"/>
      <c r="JIG121" s="225"/>
      <c r="JIH121" s="225"/>
      <c r="JII121" s="225"/>
      <c r="JIJ121" s="225"/>
      <c r="JIK121" s="225"/>
      <c r="JIL121" s="225"/>
      <c r="JIM121" s="225"/>
      <c r="JIN121" s="225"/>
      <c r="JIO121" s="225"/>
      <c r="JIP121" s="225"/>
      <c r="JIQ121" s="225"/>
      <c r="JIR121" s="225"/>
      <c r="JIS121" s="225"/>
      <c r="JIT121" s="225"/>
      <c r="JIU121" s="225"/>
      <c r="JIV121" s="225"/>
      <c r="JIW121" s="225"/>
      <c r="JIX121" s="225"/>
      <c r="JIY121" s="225"/>
      <c r="JIZ121" s="225"/>
      <c r="JJA121" s="225"/>
      <c r="JJB121" s="225"/>
      <c r="JJC121" s="225"/>
      <c r="JJD121" s="225"/>
      <c r="JJE121" s="225"/>
      <c r="JJF121" s="225"/>
      <c r="JJG121" s="225"/>
      <c r="JJH121" s="225"/>
      <c r="JJI121" s="225"/>
      <c r="JJJ121" s="225"/>
      <c r="JJK121" s="225"/>
      <c r="JJL121" s="225"/>
      <c r="JJM121" s="225"/>
      <c r="JJN121" s="225"/>
      <c r="JJO121" s="225"/>
      <c r="JJP121" s="225"/>
      <c r="JJQ121" s="225"/>
      <c r="JJR121" s="225"/>
      <c r="JJS121" s="225"/>
      <c r="JJT121" s="225"/>
      <c r="JJU121" s="225"/>
      <c r="JJV121" s="225"/>
      <c r="JJW121" s="225"/>
      <c r="JJX121" s="225"/>
      <c r="JJY121" s="225"/>
      <c r="JJZ121" s="225"/>
      <c r="JKA121" s="225"/>
      <c r="JKB121" s="225"/>
      <c r="JKC121" s="225"/>
      <c r="JKD121" s="225"/>
      <c r="JKE121" s="225"/>
      <c r="JKF121" s="225"/>
      <c r="JKG121" s="225"/>
      <c r="JKH121" s="225"/>
      <c r="JKI121" s="225"/>
      <c r="JKJ121" s="225"/>
      <c r="JKK121" s="225"/>
      <c r="JKL121" s="225"/>
      <c r="JKM121" s="225"/>
      <c r="JKN121" s="225"/>
      <c r="JKO121" s="225"/>
      <c r="JKP121" s="225"/>
      <c r="JKQ121" s="225"/>
      <c r="JKR121" s="225"/>
      <c r="JKS121" s="225"/>
      <c r="JKT121" s="225"/>
      <c r="JKU121" s="225"/>
      <c r="JKV121" s="225"/>
      <c r="JKW121" s="225"/>
      <c r="JKX121" s="225"/>
      <c r="JKY121" s="225"/>
      <c r="JKZ121" s="225"/>
      <c r="JLA121" s="225"/>
      <c r="JLB121" s="225"/>
      <c r="JLC121" s="225"/>
      <c r="JLD121" s="225"/>
      <c r="JLE121" s="225"/>
      <c r="JLF121" s="225"/>
      <c r="JLG121" s="225"/>
      <c r="JLH121" s="225"/>
      <c r="JLI121" s="225"/>
      <c r="JLJ121" s="225"/>
      <c r="JLK121" s="225"/>
      <c r="JLL121" s="225"/>
      <c r="JLM121" s="225"/>
      <c r="JLN121" s="225"/>
      <c r="JLO121" s="225"/>
      <c r="JLP121" s="225"/>
      <c r="JLQ121" s="225"/>
      <c r="JLR121" s="225"/>
      <c r="JLS121" s="225"/>
      <c r="JLT121" s="225"/>
      <c r="JLU121" s="225"/>
      <c r="JLV121" s="225"/>
      <c r="JLW121" s="225"/>
      <c r="JLX121" s="225"/>
      <c r="JLY121" s="225"/>
      <c r="JLZ121" s="225"/>
      <c r="JMA121" s="225"/>
      <c r="JMB121" s="225"/>
      <c r="JMC121" s="225"/>
      <c r="JMD121" s="225"/>
      <c r="JME121" s="225"/>
      <c r="JMF121" s="225"/>
      <c r="JMG121" s="225"/>
      <c r="JMH121" s="225"/>
      <c r="JMI121" s="225"/>
      <c r="JMJ121" s="225"/>
      <c r="JMK121" s="225"/>
      <c r="JML121" s="225"/>
      <c r="JMM121" s="225"/>
      <c r="JMN121" s="225"/>
      <c r="JMO121" s="225"/>
      <c r="JMP121" s="225"/>
      <c r="JMQ121" s="225"/>
      <c r="JMR121" s="225"/>
      <c r="JMS121" s="225"/>
      <c r="JMT121" s="225"/>
      <c r="JMU121" s="225"/>
      <c r="JMV121" s="225"/>
      <c r="JMW121" s="225"/>
      <c r="JMX121" s="225"/>
      <c r="JMY121" s="225"/>
      <c r="JMZ121" s="225"/>
      <c r="JNA121" s="225"/>
      <c r="JNB121" s="225"/>
      <c r="JNC121" s="225"/>
      <c r="JND121" s="225"/>
      <c r="JNE121" s="225"/>
      <c r="JNF121" s="225"/>
      <c r="JNG121" s="225"/>
      <c r="JNH121" s="225"/>
      <c r="JNI121" s="225"/>
      <c r="JNJ121" s="225"/>
      <c r="JNK121" s="225"/>
      <c r="JNL121" s="225"/>
      <c r="JNM121" s="225"/>
      <c r="JNN121" s="225"/>
      <c r="JNO121" s="225"/>
      <c r="JNP121" s="225"/>
      <c r="JNQ121" s="225"/>
      <c r="JNR121" s="225"/>
      <c r="JNS121" s="225"/>
      <c r="JNT121" s="225"/>
      <c r="JNU121" s="225"/>
      <c r="JNV121" s="225"/>
      <c r="JNW121" s="225"/>
      <c r="JNX121" s="225"/>
      <c r="JNY121" s="225"/>
      <c r="JNZ121" s="225"/>
      <c r="JOA121" s="225"/>
      <c r="JOB121" s="225"/>
      <c r="JOC121" s="225"/>
      <c r="JOD121" s="225"/>
      <c r="JOE121" s="225"/>
      <c r="JOF121" s="225"/>
      <c r="JOG121" s="225"/>
      <c r="JOH121" s="225"/>
      <c r="JOI121" s="225"/>
      <c r="JOJ121" s="225"/>
      <c r="JOK121" s="225"/>
      <c r="JOL121" s="225"/>
      <c r="JOM121" s="225"/>
      <c r="JON121" s="225"/>
      <c r="JOO121" s="225"/>
      <c r="JOP121" s="225"/>
      <c r="JOQ121" s="225"/>
      <c r="JOR121" s="225"/>
      <c r="JOS121" s="225"/>
      <c r="JOT121" s="225"/>
      <c r="JOU121" s="225"/>
      <c r="JOV121" s="225"/>
      <c r="JOW121" s="225"/>
      <c r="JOX121" s="225"/>
      <c r="JOY121" s="225"/>
      <c r="JOZ121" s="225"/>
      <c r="JPA121" s="225"/>
      <c r="JPB121" s="225"/>
      <c r="JPC121" s="225"/>
      <c r="JPD121" s="225"/>
      <c r="JPE121" s="225"/>
      <c r="JPF121" s="225"/>
      <c r="JPG121" s="225"/>
      <c r="JPH121" s="225"/>
      <c r="JPI121" s="225"/>
      <c r="JPJ121" s="225"/>
      <c r="JPK121" s="225"/>
      <c r="JPL121" s="225"/>
      <c r="JPM121" s="225"/>
      <c r="JPN121" s="225"/>
      <c r="JPO121" s="225"/>
      <c r="JPP121" s="225"/>
      <c r="JPQ121" s="225"/>
      <c r="JPR121" s="225"/>
      <c r="JPS121" s="225"/>
      <c r="JPT121" s="225"/>
      <c r="JPU121" s="225"/>
      <c r="JPV121" s="225"/>
      <c r="JPW121" s="225"/>
      <c r="JPX121" s="225"/>
      <c r="JPY121" s="225"/>
      <c r="JPZ121" s="225"/>
      <c r="JQA121" s="225"/>
      <c r="JQB121" s="225"/>
      <c r="JQC121" s="225"/>
      <c r="JQD121" s="225"/>
      <c r="JQE121" s="225"/>
      <c r="JQF121" s="225"/>
      <c r="JQG121" s="225"/>
      <c r="JQH121" s="225"/>
      <c r="JQI121" s="225"/>
      <c r="JQJ121" s="225"/>
      <c r="JQK121" s="225"/>
      <c r="JQL121" s="225"/>
      <c r="JQM121" s="225"/>
      <c r="JQN121" s="225"/>
      <c r="JQO121" s="225"/>
      <c r="JQP121" s="225"/>
      <c r="JQQ121" s="225"/>
      <c r="JQR121" s="225"/>
      <c r="JQS121" s="225"/>
      <c r="JQT121" s="225"/>
      <c r="JQU121" s="225"/>
      <c r="JQV121" s="225"/>
      <c r="JQW121" s="225"/>
      <c r="JQX121" s="225"/>
      <c r="JQY121" s="225"/>
      <c r="JQZ121" s="225"/>
      <c r="JRA121" s="225"/>
      <c r="JRB121" s="225"/>
      <c r="JRC121" s="225"/>
      <c r="JRD121" s="225"/>
      <c r="JRE121" s="225"/>
      <c r="JRF121" s="225"/>
      <c r="JRG121" s="225"/>
      <c r="JRH121" s="225"/>
      <c r="JRI121" s="225"/>
      <c r="JRJ121" s="225"/>
      <c r="JRK121" s="225"/>
      <c r="JRL121" s="225"/>
      <c r="JRM121" s="225"/>
      <c r="JRN121" s="225"/>
      <c r="JRO121" s="225"/>
      <c r="JRP121" s="225"/>
      <c r="JRQ121" s="225"/>
      <c r="JRR121" s="225"/>
      <c r="JRS121" s="225"/>
      <c r="JRT121" s="225"/>
      <c r="JRU121" s="225"/>
      <c r="JRV121" s="225"/>
      <c r="JRW121" s="225"/>
      <c r="JRX121" s="225"/>
      <c r="JRY121" s="225"/>
      <c r="JRZ121" s="225"/>
      <c r="JSA121" s="225"/>
      <c r="JSB121" s="225"/>
      <c r="JSC121" s="225"/>
      <c r="JSD121" s="225"/>
      <c r="JSE121" s="225"/>
      <c r="JSF121" s="225"/>
      <c r="JSG121" s="225"/>
      <c r="JSH121" s="225"/>
      <c r="JSI121" s="225"/>
      <c r="JSJ121" s="225"/>
      <c r="JSK121" s="225"/>
      <c r="JSL121" s="225"/>
      <c r="JSM121" s="225"/>
      <c r="JSN121" s="225"/>
      <c r="JSO121" s="225"/>
      <c r="JSP121" s="225"/>
      <c r="JSQ121" s="225"/>
      <c r="JSR121" s="225"/>
      <c r="JSS121" s="225"/>
      <c r="JST121" s="225"/>
      <c r="JSU121" s="225"/>
      <c r="JSV121" s="225"/>
      <c r="JSW121" s="225"/>
      <c r="JSX121" s="225"/>
      <c r="JSY121" s="225"/>
      <c r="JSZ121" s="225"/>
      <c r="JTA121" s="225"/>
      <c r="JTB121" s="225"/>
      <c r="JTC121" s="225"/>
      <c r="JTD121" s="225"/>
      <c r="JTE121" s="225"/>
      <c r="JTF121" s="225"/>
      <c r="JTG121" s="225"/>
      <c r="JTH121" s="225"/>
      <c r="JTI121" s="225"/>
      <c r="JTJ121" s="225"/>
      <c r="JTK121" s="225"/>
      <c r="JTL121" s="225"/>
      <c r="JTM121" s="225"/>
      <c r="JTN121" s="225"/>
      <c r="JTO121" s="225"/>
      <c r="JTP121" s="225"/>
      <c r="JTQ121" s="225"/>
      <c r="JTR121" s="225"/>
      <c r="JTS121" s="225"/>
      <c r="JTT121" s="225"/>
      <c r="JTU121" s="225"/>
      <c r="JTV121" s="225"/>
      <c r="JTW121" s="225"/>
      <c r="JTX121" s="225"/>
      <c r="JTY121" s="225"/>
      <c r="JTZ121" s="225"/>
      <c r="JUA121" s="225"/>
      <c r="JUB121" s="225"/>
      <c r="JUC121" s="225"/>
      <c r="JUD121" s="225"/>
      <c r="JUE121" s="225"/>
      <c r="JUF121" s="225"/>
      <c r="JUG121" s="225"/>
      <c r="JUH121" s="225"/>
      <c r="JUI121" s="225"/>
      <c r="JUJ121" s="225"/>
      <c r="JUK121" s="225"/>
      <c r="JUL121" s="225"/>
      <c r="JUM121" s="225"/>
      <c r="JUN121" s="225"/>
      <c r="JUO121" s="225"/>
      <c r="JUP121" s="225"/>
      <c r="JUQ121" s="225"/>
      <c r="JUR121" s="225"/>
      <c r="JUS121" s="225"/>
      <c r="JUT121" s="225"/>
      <c r="JUU121" s="225"/>
      <c r="JUV121" s="225"/>
      <c r="JUW121" s="225"/>
      <c r="JUX121" s="225"/>
      <c r="JUY121" s="225"/>
      <c r="JUZ121" s="225"/>
      <c r="JVA121" s="225"/>
      <c r="JVB121" s="225"/>
      <c r="JVC121" s="225"/>
      <c r="JVD121" s="225"/>
      <c r="JVE121" s="225"/>
      <c r="JVF121" s="225"/>
      <c r="JVG121" s="225"/>
      <c r="JVH121" s="225"/>
      <c r="JVI121" s="225"/>
      <c r="JVJ121" s="225"/>
      <c r="JVK121" s="225"/>
      <c r="JVL121" s="225"/>
      <c r="JVM121" s="225"/>
      <c r="JVN121" s="225"/>
      <c r="JVO121" s="225"/>
      <c r="JVP121" s="225"/>
      <c r="JVQ121" s="225"/>
      <c r="JVR121" s="225"/>
      <c r="JVS121" s="225"/>
      <c r="JVT121" s="225"/>
      <c r="JVU121" s="225"/>
      <c r="JVV121" s="225"/>
      <c r="JVW121" s="225"/>
      <c r="JVX121" s="225"/>
      <c r="JVY121" s="225"/>
      <c r="JVZ121" s="225"/>
      <c r="JWA121" s="225"/>
      <c r="JWB121" s="225"/>
      <c r="JWC121" s="225"/>
      <c r="JWD121" s="225"/>
      <c r="JWE121" s="225"/>
      <c r="JWF121" s="225"/>
      <c r="JWG121" s="225"/>
      <c r="JWH121" s="225"/>
      <c r="JWI121" s="225"/>
      <c r="JWJ121" s="225"/>
      <c r="JWK121" s="225"/>
      <c r="JWL121" s="225"/>
      <c r="JWM121" s="225"/>
      <c r="JWN121" s="225"/>
      <c r="JWO121" s="225"/>
      <c r="JWP121" s="225"/>
      <c r="JWQ121" s="225"/>
      <c r="JWR121" s="225"/>
      <c r="JWS121" s="225"/>
      <c r="JWT121" s="225"/>
      <c r="JWU121" s="225"/>
      <c r="JWV121" s="225"/>
      <c r="JWW121" s="225"/>
      <c r="JWX121" s="225"/>
      <c r="JWY121" s="225"/>
      <c r="JWZ121" s="225"/>
      <c r="JXA121" s="225"/>
      <c r="JXB121" s="225"/>
      <c r="JXC121" s="225"/>
      <c r="JXD121" s="225"/>
      <c r="JXE121" s="225"/>
      <c r="JXF121" s="225"/>
      <c r="JXG121" s="225"/>
      <c r="JXH121" s="225"/>
      <c r="JXI121" s="225"/>
      <c r="JXJ121" s="225"/>
      <c r="JXK121" s="225"/>
      <c r="JXL121" s="225"/>
      <c r="JXM121" s="225"/>
      <c r="JXN121" s="225"/>
      <c r="JXO121" s="225"/>
      <c r="JXP121" s="225"/>
      <c r="JXQ121" s="225"/>
      <c r="JXR121" s="225"/>
      <c r="JXS121" s="225"/>
      <c r="JXT121" s="225"/>
      <c r="JXU121" s="225"/>
      <c r="JXV121" s="225"/>
      <c r="JXW121" s="225"/>
      <c r="JXX121" s="225"/>
      <c r="JXY121" s="225"/>
      <c r="JXZ121" s="225"/>
      <c r="JYA121" s="225"/>
      <c r="JYB121" s="225"/>
      <c r="JYC121" s="225"/>
      <c r="JYD121" s="225"/>
      <c r="JYE121" s="225"/>
      <c r="JYF121" s="225"/>
      <c r="JYG121" s="225"/>
      <c r="JYH121" s="225"/>
      <c r="JYI121" s="225"/>
      <c r="JYJ121" s="225"/>
      <c r="JYK121" s="225"/>
      <c r="JYL121" s="225"/>
      <c r="JYM121" s="225"/>
      <c r="JYN121" s="225"/>
      <c r="JYO121" s="225"/>
      <c r="JYP121" s="225"/>
      <c r="JYQ121" s="225"/>
      <c r="JYR121" s="225"/>
      <c r="JYS121" s="225"/>
      <c r="JYT121" s="225"/>
      <c r="JYU121" s="225"/>
      <c r="JYV121" s="225"/>
      <c r="JYW121" s="225"/>
      <c r="JYX121" s="225"/>
      <c r="JYY121" s="225"/>
      <c r="JYZ121" s="225"/>
      <c r="JZA121" s="225"/>
      <c r="JZB121" s="225"/>
      <c r="JZC121" s="225"/>
      <c r="JZD121" s="225"/>
      <c r="JZE121" s="225"/>
      <c r="JZF121" s="225"/>
      <c r="JZG121" s="225"/>
      <c r="JZH121" s="225"/>
      <c r="JZI121" s="225"/>
      <c r="JZJ121" s="225"/>
      <c r="JZK121" s="225"/>
      <c r="JZL121" s="225"/>
      <c r="JZM121" s="225"/>
      <c r="JZN121" s="225"/>
      <c r="JZO121" s="225"/>
      <c r="JZP121" s="225"/>
      <c r="JZQ121" s="225"/>
      <c r="JZR121" s="225"/>
      <c r="JZS121" s="225"/>
      <c r="JZT121" s="225"/>
      <c r="JZU121" s="225"/>
      <c r="JZV121" s="225"/>
      <c r="JZW121" s="225"/>
      <c r="JZX121" s="225"/>
      <c r="JZY121" s="225"/>
      <c r="JZZ121" s="225"/>
      <c r="KAA121" s="225"/>
      <c r="KAB121" s="225"/>
      <c r="KAC121" s="225"/>
      <c r="KAD121" s="225"/>
      <c r="KAE121" s="225"/>
      <c r="KAF121" s="225"/>
      <c r="KAG121" s="225"/>
      <c r="KAH121" s="225"/>
      <c r="KAI121" s="225"/>
      <c r="KAJ121" s="225"/>
      <c r="KAK121" s="225"/>
      <c r="KAL121" s="225"/>
      <c r="KAM121" s="225"/>
      <c r="KAN121" s="225"/>
      <c r="KAO121" s="225"/>
      <c r="KAP121" s="225"/>
      <c r="KAQ121" s="225"/>
      <c r="KAR121" s="225"/>
      <c r="KAS121" s="225"/>
      <c r="KAT121" s="225"/>
      <c r="KAU121" s="225"/>
      <c r="KAV121" s="225"/>
      <c r="KAW121" s="225"/>
      <c r="KAX121" s="225"/>
      <c r="KAY121" s="225"/>
      <c r="KAZ121" s="225"/>
      <c r="KBA121" s="225"/>
      <c r="KBB121" s="225"/>
      <c r="KBC121" s="225"/>
      <c r="KBD121" s="225"/>
      <c r="KBE121" s="225"/>
      <c r="KBF121" s="225"/>
      <c r="KBG121" s="225"/>
      <c r="KBH121" s="225"/>
      <c r="KBI121" s="225"/>
      <c r="KBJ121" s="225"/>
      <c r="KBK121" s="225"/>
      <c r="KBL121" s="225"/>
      <c r="KBM121" s="225"/>
      <c r="KBN121" s="225"/>
      <c r="KBO121" s="225"/>
      <c r="KBP121" s="225"/>
      <c r="KBQ121" s="225"/>
      <c r="KBR121" s="225"/>
      <c r="KBS121" s="225"/>
      <c r="KBT121" s="225"/>
      <c r="KBU121" s="225"/>
      <c r="KBV121" s="225"/>
      <c r="KBW121" s="225"/>
      <c r="KBX121" s="225"/>
      <c r="KBY121" s="225"/>
      <c r="KBZ121" s="225"/>
      <c r="KCA121" s="225"/>
      <c r="KCB121" s="225"/>
      <c r="KCC121" s="225"/>
      <c r="KCD121" s="225"/>
      <c r="KCE121" s="225"/>
      <c r="KCF121" s="225"/>
      <c r="KCG121" s="225"/>
      <c r="KCH121" s="225"/>
      <c r="KCI121" s="225"/>
      <c r="KCJ121" s="225"/>
      <c r="KCK121" s="225"/>
      <c r="KCL121" s="225"/>
      <c r="KCM121" s="225"/>
      <c r="KCN121" s="225"/>
      <c r="KCO121" s="225"/>
      <c r="KCP121" s="225"/>
      <c r="KCQ121" s="225"/>
      <c r="KCR121" s="225"/>
      <c r="KCS121" s="225"/>
      <c r="KCT121" s="225"/>
      <c r="KCU121" s="225"/>
      <c r="KCV121" s="225"/>
      <c r="KCW121" s="225"/>
      <c r="KCX121" s="225"/>
      <c r="KCY121" s="225"/>
      <c r="KCZ121" s="225"/>
      <c r="KDA121" s="225"/>
      <c r="KDB121" s="225"/>
      <c r="KDC121" s="225"/>
      <c r="KDD121" s="225"/>
      <c r="KDE121" s="225"/>
      <c r="KDF121" s="225"/>
      <c r="KDG121" s="225"/>
      <c r="KDH121" s="225"/>
      <c r="KDI121" s="225"/>
      <c r="KDJ121" s="225"/>
      <c r="KDK121" s="225"/>
      <c r="KDL121" s="225"/>
      <c r="KDM121" s="225"/>
      <c r="KDN121" s="225"/>
      <c r="KDO121" s="225"/>
      <c r="KDP121" s="225"/>
      <c r="KDQ121" s="225"/>
      <c r="KDR121" s="225"/>
      <c r="KDS121" s="225"/>
      <c r="KDT121" s="225"/>
      <c r="KDU121" s="225"/>
      <c r="KDV121" s="225"/>
      <c r="KDW121" s="225"/>
      <c r="KDX121" s="225"/>
      <c r="KDY121" s="225"/>
      <c r="KDZ121" s="225"/>
      <c r="KEA121" s="225"/>
      <c r="KEB121" s="225"/>
      <c r="KEC121" s="225"/>
      <c r="KED121" s="225"/>
      <c r="KEE121" s="225"/>
      <c r="KEF121" s="225"/>
      <c r="KEG121" s="225"/>
      <c r="KEH121" s="225"/>
      <c r="KEI121" s="225"/>
      <c r="KEJ121" s="225"/>
      <c r="KEK121" s="225"/>
      <c r="KEL121" s="225"/>
      <c r="KEM121" s="225"/>
      <c r="KEN121" s="225"/>
      <c r="KEO121" s="225"/>
      <c r="KEP121" s="225"/>
      <c r="KEQ121" s="225"/>
      <c r="KER121" s="225"/>
      <c r="KES121" s="225"/>
      <c r="KET121" s="225"/>
      <c r="KEU121" s="225"/>
      <c r="KEV121" s="225"/>
      <c r="KEW121" s="225"/>
      <c r="KEX121" s="225"/>
      <c r="KEY121" s="225"/>
      <c r="KEZ121" s="225"/>
      <c r="KFA121" s="225"/>
      <c r="KFB121" s="225"/>
      <c r="KFC121" s="225"/>
      <c r="KFD121" s="225"/>
      <c r="KFE121" s="225"/>
      <c r="KFF121" s="225"/>
      <c r="KFG121" s="225"/>
      <c r="KFH121" s="225"/>
      <c r="KFI121" s="225"/>
      <c r="KFJ121" s="225"/>
      <c r="KFK121" s="225"/>
      <c r="KFL121" s="225"/>
      <c r="KFM121" s="225"/>
      <c r="KFN121" s="225"/>
      <c r="KFO121" s="225"/>
      <c r="KFP121" s="225"/>
      <c r="KFQ121" s="225"/>
      <c r="KFR121" s="225"/>
      <c r="KFS121" s="225"/>
      <c r="KFT121" s="225"/>
      <c r="KFU121" s="225"/>
      <c r="KFV121" s="225"/>
      <c r="KFW121" s="225"/>
      <c r="KFX121" s="225"/>
      <c r="KFY121" s="225"/>
      <c r="KFZ121" s="225"/>
      <c r="KGA121" s="225"/>
      <c r="KGB121" s="225"/>
      <c r="KGC121" s="225"/>
      <c r="KGD121" s="225"/>
      <c r="KGE121" s="225"/>
      <c r="KGF121" s="225"/>
      <c r="KGG121" s="225"/>
      <c r="KGH121" s="225"/>
      <c r="KGI121" s="225"/>
      <c r="KGJ121" s="225"/>
      <c r="KGK121" s="225"/>
      <c r="KGL121" s="225"/>
      <c r="KGM121" s="225"/>
      <c r="KGN121" s="225"/>
      <c r="KGO121" s="225"/>
      <c r="KGP121" s="225"/>
      <c r="KGQ121" s="225"/>
      <c r="KGR121" s="225"/>
      <c r="KGS121" s="225"/>
      <c r="KGT121" s="225"/>
      <c r="KGU121" s="225"/>
      <c r="KGV121" s="225"/>
      <c r="KGW121" s="225"/>
      <c r="KGX121" s="225"/>
      <c r="KGY121" s="225"/>
      <c r="KGZ121" s="225"/>
      <c r="KHA121" s="225"/>
      <c r="KHB121" s="225"/>
      <c r="KHC121" s="225"/>
      <c r="KHD121" s="225"/>
      <c r="KHE121" s="225"/>
      <c r="KHF121" s="225"/>
      <c r="KHG121" s="225"/>
      <c r="KHH121" s="225"/>
      <c r="KHI121" s="225"/>
      <c r="KHJ121" s="225"/>
      <c r="KHK121" s="225"/>
      <c r="KHL121" s="225"/>
      <c r="KHM121" s="225"/>
      <c r="KHN121" s="225"/>
      <c r="KHO121" s="225"/>
      <c r="KHP121" s="225"/>
      <c r="KHQ121" s="225"/>
      <c r="KHR121" s="225"/>
      <c r="KHS121" s="225"/>
      <c r="KHT121" s="225"/>
      <c r="KHU121" s="225"/>
      <c r="KHV121" s="225"/>
      <c r="KHW121" s="225"/>
      <c r="KHX121" s="225"/>
      <c r="KHY121" s="225"/>
      <c r="KHZ121" s="225"/>
      <c r="KIA121" s="225"/>
      <c r="KIB121" s="225"/>
      <c r="KIC121" s="225"/>
      <c r="KID121" s="225"/>
      <c r="KIE121" s="225"/>
      <c r="KIF121" s="225"/>
      <c r="KIG121" s="225"/>
      <c r="KIH121" s="225"/>
      <c r="KII121" s="225"/>
      <c r="KIJ121" s="225"/>
      <c r="KIK121" s="225"/>
      <c r="KIL121" s="225"/>
      <c r="KIM121" s="225"/>
      <c r="KIN121" s="225"/>
      <c r="KIO121" s="225"/>
      <c r="KIP121" s="225"/>
      <c r="KIQ121" s="225"/>
      <c r="KIR121" s="225"/>
      <c r="KIS121" s="225"/>
      <c r="KIT121" s="225"/>
      <c r="KIU121" s="225"/>
      <c r="KIV121" s="225"/>
      <c r="KIW121" s="225"/>
      <c r="KIX121" s="225"/>
      <c r="KIY121" s="225"/>
      <c r="KIZ121" s="225"/>
      <c r="KJA121" s="225"/>
      <c r="KJB121" s="225"/>
      <c r="KJC121" s="225"/>
      <c r="KJD121" s="225"/>
      <c r="KJE121" s="225"/>
      <c r="KJF121" s="225"/>
      <c r="KJG121" s="225"/>
      <c r="KJH121" s="225"/>
      <c r="KJI121" s="225"/>
      <c r="KJJ121" s="225"/>
      <c r="KJK121" s="225"/>
      <c r="KJL121" s="225"/>
      <c r="KJM121" s="225"/>
      <c r="KJN121" s="225"/>
      <c r="KJO121" s="225"/>
      <c r="KJP121" s="225"/>
      <c r="KJQ121" s="225"/>
      <c r="KJR121" s="225"/>
      <c r="KJS121" s="225"/>
      <c r="KJT121" s="225"/>
      <c r="KJU121" s="225"/>
      <c r="KJV121" s="225"/>
      <c r="KJW121" s="225"/>
      <c r="KJX121" s="225"/>
      <c r="KJY121" s="225"/>
      <c r="KJZ121" s="225"/>
      <c r="KKA121" s="225"/>
      <c r="KKB121" s="225"/>
      <c r="KKC121" s="225"/>
      <c r="KKD121" s="225"/>
      <c r="KKE121" s="225"/>
      <c r="KKF121" s="225"/>
      <c r="KKG121" s="225"/>
      <c r="KKH121" s="225"/>
      <c r="KKI121" s="225"/>
      <c r="KKJ121" s="225"/>
      <c r="KKK121" s="225"/>
      <c r="KKL121" s="225"/>
      <c r="KKM121" s="225"/>
      <c r="KKN121" s="225"/>
      <c r="KKO121" s="225"/>
      <c r="KKP121" s="225"/>
      <c r="KKQ121" s="225"/>
      <c r="KKR121" s="225"/>
      <c r="KKS121" s="225"/>
      <c r="KKT121" s="225"/>
      <c r="KKU121" s="225"/>
      <c r="KKV121" s="225"/>
      <c r="KKW121" s="225"/>
      <c r="KKX121" s="225"/>
      <c r="KKY121" s="225"/>
      <c r="KKZ121" s="225"/>
      <c r="KLA121" s="225"/>
      <c r="KLB121" s="225"/>
      <c r="KLC121" s="225"/>
      <c r="KLD121" s="225"/>
      <c r="KLE121" s="225"/>
      <c r="KLF121" s="225"/>
      <c r="KLG121" s="225"/>
      <c r="KLH121" s="225"/>
      <c r="KLI121" s="225"/>
      <c r="KLJ121" s="225"/>
      <c r="KLK121" s="225"/>
      <c r="KLL121" s="225"/>
      <c r="KLM121" s="225"/>
      <c r="KLN121" s="225"/>
      <c r="KLO121" s="225"/>
      <c r="KLP121" s="225"/>
      <c r="KLQ121" s="225"/>
      <c r="KLR121" s="225"/>
      <c r="KLS121" s="225"/>
      <c r="KLT121" s="225"/>
      <c r="KLU121" s="225"/>
      <c r="KLV121" s="225"/>
      <c r="KLW121" s="225"/>
      <c r="KLX121" s="225"/>
      <c r="KLY121" s="225"/>
      <c r="KLZ121" s="225"/>
      <c r="KMA121" s="225"/>
      <c r="KMB121" s="225"/>
      <c r="KMC121" s="225"/>
      <c r="KMD121" s="225"/>
      <c r="KME121" s="225"/>
      <c r="KMF121" s="225"/>
      <c r="KMG121" s="225"/>
      <c r="KMH121" s="225"/>
      <c r="KMI121" s="225"/>
      <c r="KMJ121" s="225"/>
      <c r="KMK121" s="225"/>
      <c r="KML121" s="225"/>
      <c r="KMM121" s="225"/>
      <c r="KMN121" s="225"/>
      <c r="KMO121" s="225"/>
      <c r="KMP121" s="225"/>
      <c r="KMQ121" s="225"/>
      <c r="KMR121" s="225"/>
      <c r="KMS121" s="225"/>
      <c r="KMT121" s="225"/>
      <c r="KMU121" s="225"/>
      <c r="KMV121" s="225"/>
      <c r="KMW121" s="225"/>
      <c r="KMX121" s="225"/>
      <c r="KMY121" s="225"/>
      <c r="KMZ121" s="225"/>
      <c r="KNA121" s="225"/>
      <c r="KNB121" s="225"/>
      <c r="KNC121" s="225"/>
      <c r="KND121" s="225"/>
      <c r="KNE121" s="225"/>
      <c r="KNF121" s="225"/>
      <c r="KNG121" s="225"/>
      <c r="KNH121" s="225"/>
      <c r="KNI121" s="225"/>
      <c r="KNJ121" s="225"/>
      <c r="KNK121" s="225"/>
      <c r="KNL121" s="225"/>
      <c r="KNM121" s="225"/>
      <c r="KNN121" s="225"/>
      <c r="KNO121" s="225"/>
      <c r="KNP121" s="225"/>
      <c r="KNQ121" s="225"/>
      <c r="KNR121" s="225"/>
      <c r="KNS121" s="225"/>
      <c r="KNT121" s="225"/>
      <c r="KNU121" s="225"/>
      <c r="KNV121" s="225"/>
      <c r="KNW121" s="225"/>
      <c r="KNX121" s="225"/>
      <c r="KNY121" s="225"/>
      <c r="KNZ121" s="225"/>
      <c r="KOA121" s="225"/>
      <c r="KOB121" s="225"/>
      <c r="KOC121" s="225"/>
      <c r="KOD121" s="225"/>
      <c r="KOE121" s="225"/>
      <c r="KOF121" s="225"/>
      <c r="KOG121" s="225"/>
      <c r="KOH121" s="225"/>
      <c r="KOI121" s="225"/>
      <c r="KOJ121" s="225"/>
      <c r="KOK121" s="225"/>
      <c r="KOL121" s="225"/>
      <c r="KOM121" s="225"/>
      <c r="KON121" s="225"/>
      <c r="KOO121" s="225"/>
      <c r="KOP121" s="225"/>
      <c r="KOQ121" s="225"/>
      <c r="KOR121" s="225"/>
      <c r="KOS121" s="225"/>
      <c r="KOT121" s="225"/>
      <c r="KOU121" s="225"/>
      <c r="KOV121" s="225"/>
      <c r="KOW121" s="225"/>
      <c r="KOX121" s="225"/>
      <c r="KOY121" s="225"/>
      <c r="KOZ121" s="225"/>
      <c r="KPA121" s="225"/>
      <c r="KPB121" s="225"/>
      <c r="KPC121" s="225"/>
      <c r="KPD121" s="225"/>
      <c r="KPE121" s="225"/>
      <c r="KPF121" s="225"/>
      <c r="KPG121" s="225"/>
      <c r="KPH121" s="225"/>
      <c r="KPI121" s="225"/>
      <c r="KPJ121" s="225"/>
      <c r="KPK121" s="225"/>
      <c r="KPL121" s="225"/>
      <c r="KPM121" s="225"/>
      <c r="KPN121" s="225"/>
      <c r="KPO121" s="225"/>
      <c r="KPP121" s="225"/>
      <c r="KPQ121" s="225"/>
      <c r="KPR121" s="225"/>
      <c r="KPS121" s="225"/>
      <c r="KPT121" s="225"/>
      <c r="KPU121" s="225"/>
      <c r="KPV121" s="225"/>
      <c r="KPW121" s="225"/>
      <c r="KPX121" s="225"/>
      <c r="KPY121" s="225"/>
      <c r="KPZ121" s="225"/>
      <c r="KQA121" s="225"/>
      <c r="KQB121" s="225"/>
      <c r="KQC121" s="225"/>
      <c r="KQD121" s="225"/>
      <c r="KQE121" s="225"/>
      <c r="KQF121" s="225"/>
      <c r="KQG121" s="225"/>
      <c r="KQH121" s="225"/>
      <c r="KQI121" s="225"/>
      <c r="KQJ121" s="225"/>
      <c r="KQK121" s="225"/>
      <c r="KQL121" s="225"/>
      <c r="KQM121" s="225"/>
      <c r="KQN121" s="225"/>
      <c r="KQO121" s="225"/>
      <c r="KQP121" s="225"/>
      <c r="KQQ121" s="225"/>
      <c r="KQR121" s="225"/>
      <c r="KQS121" s="225"/>
      <c r="KQT121" s="225"/>
      <c r="KQU121" s="225"/>
      <c r="KQV121" s="225"/>
      <c r="KQW121" s="225"/>
      <c r="KQX121" s="225"/>
      <c r="KQY121" s="225"/>
      <c r="KQZ121" s="225"/>
      <c r="KRA121" s="225"/>
      <c r="KRB121" s="225"/>
      <c r="KRC121" s="225"/>
      <c r="KRD121" s="225"/>
      <c r="KRE121" s="225"/>
      <c r="KRF121" s="225"/>
      <c r="KRG121" s="225"/>
      <c r="KRH121" s="225"/>
      <c r="KRI121" s="225"/>
      <c r="KRJ121" s="225"/>
      <c r="KRK121" s="225"/>
      <c r="KRL121" s="225"/>
      <c r="KRM121" s="225"/>
      <c r="KRN121" s="225"/>
      <c r="KRO121" s="225"/>
      <c r="KRP121" s="225"/>
      <c r="KRQ121" s="225"/>
      <c r="KRR121" s="225"/>
      <c r="KRS121" s="225"/>
      <c r="KRT121" s="225"/>
      <c r="KRU121" s="225"/>
      <c r="KRV121" s="225"/>
      <c r="KRW121" s="225"/>
      <c r="KRX121" s="225"/>
      <c r="KRY121" s="225"/>
      <c r="KRZ121" s="225"/>
      <c r="KSA121" s="225"/>
      <c r="KSB121" s="225"/>
      <c r="KSC121" s="225"/>
      <c r="KSD121" s="225"/>
      <c r="KSE121" s="225"/>
      <c r="KSF121" s="225"/>
      <c r="KSG121" s="225"/>
      <c r="KSH121" s="225"/>
      <c r="KSI121" s="225"/>
      <c r="KSJ121" s="225"/>
      <c r="KSK121" s="225"/>
      <c r="KSL121" s="225"/>
      <c r="KSM121" s="225"/>
      <c r="KSN121" s="225"/>
      <c r="KSO121" s="225"/>
      <c r="KSP121" s="225"/>
      <c r="KSQ121" s="225"/>
      <c r="KSR121" s="225"/>
      <c r="KSS121" s="225"/>
      <c r="KST121" s="225"/>
      <c r="KSU121" s="225"/>
      <c r="KSV121" s="225"/>
      <c r="KSW121" s="225"/>
      <c r="KSX121" s="225"/>
      <c r="KSY121" s="225"/>
      <c r="KSZ121" s="225"/>
      <c r="KTA121" s="225"/>
      <c r="KTB121" s="225"/>
      <c r="KTC121" s="225"/>
      <c r="KTD121" s="225"/>
      <c r="KTE121" s="225"/>
      <c r="KTF121" s="225"/>
      <c r="KTG121" s="225"/>
      <c r="KTH121" s="225"/>
      <c r="KTI121" s="225"/>
      <c r="KTJ121" s="225"/>
      <c r="KTK121" s="225"/>
      <c r="KTL121" s="225"/>
      <c r="KTM121" s="225"/>
      <c r="KTN121" s="225"/>
      <c r="KTO121" s="225"/>
      <c r="KTP121" s="225"/>
      <c r="KTQ121" s="225"/>
      <c r="KTR121" s="225"/>
      <c r="KTS121" s="225"/>
      <c r="KTT121" s="225"/>
      <c r="KTU121" s="225"/>
      <c r="KTV121" s="225"/>
      <c r="KTW121" s="225"/>
      <c r="KTX121" s="225"/>
      <c r="KTY121" s="225"/>
      <c r="KTZ121" s="225"/>
      <c r="KUA121" s="225"/>
      <c r="KUB121" s="225"/>
      <c r="KUC121" s="225"/>
      <c r="KUD121" s="225"/>
      <c r="KUE121" s="225"/>
      <c r="KUF121" s="225"/>
      <c r="KUG121" s="225"/>
      <c r="KUH121" s="225"/>
      <c r="KUI121" s="225"/>
      <c r="KUJ121" s="225"/>
      <c r="KUK121" s="225"/>
      <c r="KUL121" s="225"/>
      <c r="KUM121" s="225"/>
      <c r="KUN121" s="225"/>
      <c r="KUO121" s="225"/>
      <c r="KUP121" s="225"/>
      <c r="KUQ121" s="225"/>
      <c r="KUR121" s="225"/>
      <c r="KUS121" s="225"/>
      <c r="KUT121" s="225"/>
      <c r="KUU121" s="225"/>
      <c r="KUV121" s="225"/>
      <c r="KUW121" s="225"/>
      <c r="KUX121" s="225"/>
      <c r="KUY121" s="225"/>
      <c r="KUZ121" s="225"/>
      <c r="KVA121" s="225"/>
      <c r="KVB121" s="225"/>
      <c r="KVC121" s="225"/>
      <c r="KVD121" s="225"/>
      <c r="KVE121" s="225"/>
      <c r="KVF121" s="225"/>
      <c r="KVG121" s="225"/>
      <c r="KVH121" s="225"/>
      <c r="KVI121" s="225"/>
      <c r="KVJ121" s="225"/>
      <c r="KVK121" s="225"/>
      <c r="KVL121" s="225"/>
      <c r="KVM121" s="225"/>
      <c r="KVN121" s="225"/>
      <c r="KVO121" s="225"/>
      <c r="KVP121" s="225"/>
      <c r="KVQ121" s="225"/>
      <c r="KVR121" s="225"/>
      <c r="KVS121" s="225"/>
      <c r="KVT121" s="225"/>
      <c r="KVU121" s="225"/>
      <c r="KVV121" s="225"/>
      <c r="KVW121" s="225"/>
      <c r="KVX121" s="225"/>
      <c r="KVY121" s="225"/>
      <c r="KVZ121" s="225"/>
      <c r="KWA121" s="225"/>
      <c r="KWB121" s="225"/>
      <c r="KWC121" s="225"/>
      <c r="KWD121" s="225"/>
      <c r="KWE121" s="225"/>
      <c r="KWF121" s="225"/>
      <c r="KWG121" s="225"/>
      <c r="KWH121" s="225"/>
      <c r="KWI121" s="225"/>
      <c r="KWJ121" s="225"/>
      <c r="KWK121" s="225"/>
      <c r="KWL121" s="225"/>
      <c r="KWM121" s="225"/>
      <c r="KWN121" s="225"/>
      <c r="KWO121" s="225"/>
      <c r="KWP121" s="225"/>
      <c r="KWQ121" s="225"/>
      <c r="KWR121" s="225"/>
      <c r="KWS121" s="225"/>
      <c r="KWT121" s="225"/>
      <c r="KWU121" s="225"/>
      <c r="KWV121" s="225"/>
      <c r="KWW121" s="225"/>
      <c r="KWX121" s="225"/>
      <c r="KWY121" s="225"/>
      <c r="KWZ121" s="225"/>
      <c r="KXA121" s="225"/>
      <c r="KXB121" s="225"/>
      <c r="KXC121" s="225"/>
      <c r="KXD121" s="225"/>
      <c r="KXE121" s="225"/>
      <c r="KXF121" s="225"/>
      <c r="KXG121" s="225"/>
      <c r="KXH121" s="225"/>
      <c r="KXI121" s="225"/>
      <c r="KXJ121" s="225"/>
      <c r="KXK121" s="225"/>
      <c r="KXL121" s="225"/>
      <c r="KXM121" s="225"/>
      <c r="KXN121" s="225"/>
      <c r="KXO121" s="225"/>
      <c r="KXP121" s="225"/>
      <c r="KXQ121" s="225"/>
      <c r="KXR121" s="225"/>
      <c r="KXS121" s="225"/>
      <c r="KXT121" s="225"/>
      <c r="KXU121" s="225"/>
      <c r="KXV121" s="225"/>
      <c r="KXW121" s="225"/>
      <c r="KXX121" s="225"/>
      <c r="KXY121" s="225"/>
      <c r="KXZ121" s="225"/>
      <c r="KYA121" s="225"/>
      <c r="KYB121" s="225"/>
      <c r="KYC121" s="225"/>
      <c r="KYD121" s="225"/>
      <c r="KYE121" s="225"/>
      <c r="KYF121" s="225"/>
      <c r="KYG121" s="225"/>
      <c r="KYH121" s="225"/>
      <c r="KYI121" s="225"/>
      <c r="KYJ121" s="225"/>
      <c r="KYK121" s="225"/>
      <c r="KYL121" s="225"/>
      <c r="KYM121" s="225"/>
      <c r="KYN121" s="225"/>
      <c r="KYO121" s="225"/>
      <c r="KYP121" s="225"/>
      <c r="KYQ121" s="225"/>
      <c r="KYR121" s="225"/>
      <c r="KYS121" s="225"/>
      <c r="KYT121" s="225"/>
      <c r="KYU121" s="225"/>
      <c r="KYV121" s="225"/>
      <c r="KYW121" s="225"/>
      <c r="KYX121" s="225"/>
      <c r="KYY121" s="225"/>
      <c r="KYZ121" s="225"/>
      <c r="KZA121" s="225"/>
      <c r="KZB121" s="225"/>
      <c r="KZC121" s="225"/>
      <c r="KZD121" s="225"/>
      <c r="KZE121" s="225"/>
      <c r="KZF121" s="225"/>
      <c r="KZG121" s="225"/>
      <c r="KZH121" s="225"/>
      <c r="KZI121" s="225"/>
      <c r="KZJ121" s="225"/>
      <c r="KZK121" s="225"/>
      <c r="KZL121" s="225"/>
      <c r="KZM121" s="225"/>
      <c r="KZN121" s="225"/>
      <c r="KZO121" s="225"/>
      <c r="KZP121" s="225"/>
      <c r="KZQ121" s="225"/>
      <c r="KZR121" s="225"/>
      <c r="KZS121" s="225"/>
      <c r="KZT121" s="225"/>
      <c r="KZU121" s="225"/>
      <c r="KZV121" s="225"/>
      <c r="KZW121" s="225"/>
      <c r="KZX121" s="225"/>
      <c r="KZY121" s="225"/>
      <c r="KZZ121" s="225"/>
      <c r="LAA121" s="225"/>
      <c r="LAB121" s="225"/>
      <c r="LAC121" s="225"/>
      <c r="LAD121" s="225"/>
      <c r="LAE121" s="225"/>
      <c r="LAF121" s="225"/>
      <c r="LAG121" s="225"/>
      <c r="LAH121" s="225"/>
      <c r="LAI121" s="225"/>
      <c r="LAJ121" s="225"/>
      <c r="LAK121" s="225"/>
      <c r="LAL121" s="225"/>
      <c r="LAM121" s="225"/>
      <c r="LAN121" s="225"/>
      <c r="LAO121" s="225"/>
      <c r="LAP121" s="225"/>
      <c r="LAQ121" s="225"/>
      <c r="LAR121" s="225"/>
      <c r="LAS121" s="225"/>
      <c r="LAT121" s="225"/>
      <c r="LAU121" s="225"/>
      <c r="LAV121" s="225"/>
      <c r="LAW121" s="225"/>
      <c r="LAX121" s="225"/>
      <c r="LAY121" s="225"/>
      <c r="LAZ121" s="225"/>
      <c r="LBA121" s="225"/>
      <c r="LBB121" s="225"/>
      <c r="LBC121" s="225"/>
      <c r="LBD121" s="225"/>
      <c r="LBE121" s="225"/>
      <c r="LBF121" s="225"/>
      <c r="LBG121" s="225"/>
      <c r="LBH121" s="225"/>
      <c r="LBI121" s="225"/>
      <c r="LBJ121" s="225"/>
      <c r="LBK121" s="225"/>
      <c r="LBL121" s="225"/>
      <c r="LBM121" s="225"/>
      <c r="LBN121" s="225"/>
      <c r="LBO121" s="225"/>
      <c r="LBP121" s="225"/>
      <c r="LBQ121" s="225"/>
      <c r="LBR121" s="225"/>
      <c r="LBS121" s="225"/>
      <c r="LBT121" s="225"/>
      <c r="LBU121" s="225"/>
      <c r="LBV121" s="225"/>
      <c r="LBW121" s="225"/>
      <c r="LBX121" s="225"/>
      <c r="LBY121" s="225"/>
      <c r="LBZ121" s="225"/>
      <c r="LCA121" s="225"/>
      <c r="LCB121" s="225"/>
      <c r="LCC121" s="225"/>
      <c r="LCD121" s="225"/>
      <c r="LCE121" s="225"/>
      <c r="LCF121" s="225"/>
      <c r="LCG121" s="225"/>
      <c r="LCH121" s="225"/>
      <c r="LCI121" s="225"/>
      <c r="LCJ121" s="225"/>
      <c r="LCK121" s="225"/>
      <c r="LCL121" s="225"/>
      <c r="LCM121" s="225"/>
      <c r="LCN121" s="225"/>
      <c r="LCO121" s="225"/>
      <c r="LCP121" s="225"/>
      <c r="LCQ121" s="225"/>
      <c r="LCR121" s="225"/>
      <c r="LCS121" s="225"/>
      <c r="LCT121" s="225"/>
      <c r="LCU121" s="225"/>
      <c r="LCV121" s="225"/>
      <c r="LCW121" s="225"/>
      <c r="LCX121" s="225"/>
      <c r="LCY121" s="225"/>
      <c r="LCZ121" s="225"/>
      <c r="LDA121" s="225"/>
      <c r="LDB121" s="225"/>
      <c r="LDC121" s="225"/>
      <c r="LDD121" s="225"/>
      <c r="LDE121" s="225"/>
      <c r="LDF121" s="225"/>
      <c r="LDG121" s="225"/>
      <c r="LDH121" s="225"/>
      <c r="LDI121" s="225"/>
      <c r="LDJ121" s="225"/>
      <c r="LDK121" s="225"/>
      <c r="LDL121" s="225"/>
      <c r="LDM121" s="225"/>
      <c r="LDN121" s="225"/>
      <c r="LDO121" s="225"/>
      <c r="LDP121" s="225"/>
      <c r="LDQ121" s="225"/>
      <c r="LDR121" s="225"/>
      <c r="LDS121" s="225"/>
      <c r="LDT121" s="225"/>
      <c r="LDU121" s="225"/>
      <c r="LDV121" s="225"/>
      <c r="LDW121" s="225"/>
      <c r="LDX121" s="225"/>
      <c r="LDY121" s="225"/>
      <c r="LDZ121" s="225"/>
      <c r="LEA121" s="225"/>
      <c r="LEB121" s="225"/>
      <c r="LEC121" s="225"/>
      <c r="LED121" s="225"/>
      <c r="LEE121" s="225"/>
      <c r="LEF121" s="225"/>
      <c r="LEG121" s="225"/>
      <c r="LEH121" s="225"/>
      <c r="LEI121" s="225"/>
      <c r="LEJ121" s="225"/>
      <c r="LEK121" s="225"/>
      <c r="LEL121" s="225"/>
      <c r="LEM121" s="225"/>
      <c r="LEN121" s="225"/>
      <c r="LEO121" s="225"/>
      <c r="LEP121" s="225"/>
      <c r="LEQ121" s="225"/>
      <c r="LER121" s="225"/>
      <c r="LES121" s="225"/>
      <c r="LET121" s="225"/>
      <c r="LEU121" s="225"/>
      <c r="LEV121" s="225"/>
      <c r="LEW121" s="225"/>
      <c r="LEX121" s="225"/>
      <c r="LEY121" s="225"/>
      <c r="LEZ121" s="225"/>
      <c r="LFA121" s="225"/>
      <c r="LFB121" s="225"/>
      <c r="LFC121" s="225"/>
      <c r="LFD121" s="225"/>
      <c r="LFE121" s="225"/>
      <c r="LFF121" s="225"/>
      <c r="LFG121" s="225"/>
      <c r="LFH121" s="225"/>
      <c r="LFI121" s="225"/>
      <c r="LFJ121" s="225"/>
      <c r="LFK121" s="225"/>
      <c r="LFL121" s="225"/>
      <c r="LFM121" s="225"/>
      <c r="LFN121" s="225"/>
      <c r="LFO121" s="225"/>
      <c r="LFP121" s="225"/>
      <c r="LFQ121" s="225"/>
      <c r="LFR121" s="225"/>
      <c r="LFS121" s="225"/>
      <c r="LFT121" s="225"/>
      <c r="LFU121" s="225"/>
      <c r="LFV121" s="225"/>
      <c r="LFW121" s="225"/>
      <c r="LFX121" s="225"/>
      <c r="LFY121" s="225"/>
      <c r="LFZ121" s="225"/>
      <c r="LGA121" s="225"/>
      <c r="LGB121" s="225"/>
      <c r="LGC121" s="225"/>
      <c r="LGD121" s="225"/>
      <c r="LGE121" s="225"/>
      <c r="LGF121" s="225"/>
      <c r="LGG121" s="225"/>
      <c r="LGH121" s="225"/>
      <c r="LGI121" s="225"/>
      <c r="LGJ121" s="225"/>
      <c r="LGK121" s="225"/>
      <c r="LGL121" s="225"/>
      <c r="LGM121" s="225"/>
      <c r="LGN121" s="225"/>
      <c r="LGO121" s="225"/>
      <c r="LGP121" s="225"/>
      <c r="LGQ121" s="225"/>
      <c r="LGR121" s="225"/>
      <c r="LGS121" s="225"/>
      <c r="LGT121" s="225"/>
      <c r="LGU121" s="225"/>
      <c r="LGV121" s="225"/>
      <c r="LGW121" s="225"/>
      <c r="LGX121" s="225"/>
      <c r="LGY121" s="225"/>
      <c r="LGZ121" s="225"/>
      <c r="LHA121" s="225"/>
      <c r="LHB121" s="225"/>
      <c r="LHC121" s="225"/>
      <c r="LHD121" s="225"/>
      <c r="LHE121" s="225"/>
      <c r="LHF121" s="225"/>
      <c r="LHG121" s="225"/>
      <c r="LHH121" s="225"/>
      <c r="LHI121" s="225"/>
      <c r="LHJ121" s="225"/>
      <c r="LHK121" s="225"/>
      <c r="LHL121" s="225"/>
      <c r="LHM121" s="225"/>
      <c r="LHN121" s="225"/>
      <c r="LHO121" s="225"/>
      <c r="LHP121" s="225"/>
      <c r="LHQ121" s="225"/>
      <c r="LHR121" s="225"/>
      <c r="LHS121" s="225"/>
      <c r="LHT121" s="225"/>
      <c r="LHU121" s="225"/>
      <c r="LHV121" s="225"/>
      <c r="LHW121" s="225"/>
      <c r="LHX121" s="225"/>
      <c r="LHY121" s="225"/>
      <c r="LHZ121" s="225"/>
      <c r="LIA121" s="225"/>
      <c r="LIB121" s="225"/>
      <c r="LIC121" s="225"/>
      <c r="LID121" s="225"/>
      <c r="LIE121" s="225"/>
      <c r="LIF121" s="225"/>
      <c r="LIG121" s="225"/>
      <c r="LIH121" s="225"/>
      <c r="LII121" s="225"/>
      <c r="LIJ121" s="225"/>
      <c r="LIK121" s="225"/>
      <c r="LIL121" s="225"/>
      <c r="LIM121" s="225"/>
      <c r="LIN121" s="225"/>
      <c r="LIO121" s="225"/>
      <c r="LIP121" s="225"/>
      <c r="LIQ121" s="225"/>
      <c r="LIR121" s="225"/>
      <c r="LIS121" s="225"/>
      <c r="LIT121" s="225"/>
      <c r="LIU121" s="225"/>
      <c r="LIV121" s="225"/>
      <c r="LIW121" s="225"/>
      <c r="LIX121" s="225"/>
      <c r="LIY121" s="225"/>
      <c r="LIZ121" s="225"/>
      <c r="LJA121" s="225"/>
      <c r="LJB121" s="225"/>
      <c r="LJC121" s="225"/>
      <c r="LJD121" s="225"/>
      <c r="LJE121" s="225"/>
      <c r="LJF121" s="225"/>
      <c r="LJG121" s="225"/>
      <c r="LJH121" s="225"/>
      <c r="LJI121" s="225"/>
      <c r="LJJ121" s="225"/>
      <c r="LJK121" s="225"/>
      <c r="LJL121" s="225"/>
      <c r="LJM121" s="225"/>
      <c r="LJN121" s="225"/>
      <c r="LJO121" s="225"/>
      <c r="LJP121" s="225"/>
      <c r="LJQ121" s="225"/>
      <c r="LJR121" s="225"/>
      <c r="LJS121" s="225"/>
      <c r="LJT121" s="225"/>
      <c r="LJU121" s="225"/>
      <c r="LJV121" s="225"/>
      <c r="LJW121" s="225"/>
      <c r="LJX121" s="225"/>
      <c r="LJY121" s="225"/>
      <c r="LJZ121" s="225"/>
      <c r="LKA121" s="225"/>
      <c r="LKB121" s="225"/>
      <c r="LKC121" s="225"/>
      <c r="LKD121" s="225"/>
      <c r="LKE121" s="225"/>
      <c r="LKF121" s="225"/>
      <c r="LKG121" s="225"/>
      <c r="LKH121" s="225"/>
      <c r="LKI121" s="225"/>
      <c r="LKJ121" s="225"/>
      <c r="LKK121" s="225"/>
      <c r="LKL121" s="225"/>
      <c r="LKM121" s="225"/>
      <c r="LKN121" s="225"/>
      <c r="LKO121" s="225"/>
      <c r="LKP121" s="225"/>
      <c r="LKQ121" s="225"/>
      <c r="LKR121" s="225"/>
      <c r="LKS121" s="225"/>
      <c r="LKT121" s="225"/>
      <c r="LKU121" s="225"/>
      <c r="LKV121" s="225"/>
      <c r="LKW121" s="225"/>
      <c r="LKX121" s="225"/>
      <c r="LKY121" s="225"/>
      <c r="LKZ121" s="225"/>
      <c r="LLA121" s="225"/>
      <c r="LLB121" s="225"/>
      <c r="LLC121" s="225"/>
      <c r="LLD121" s="225"/>
      <c r="LLE121" s="225"/>
      <c r="LLF121" s="225"/>
      <c r="LLG121" s="225"/>
      <c r="LLH121" s="225"/>
      <c r="LLI121" s="225"/>
      <c r="LLJ121" s="225"/>
      <c r="LLK121" s="225"/>
      <c r="LLL121" s="225"/>
      <c r="LLM121" s="225"/>
      <c r="LLN121" s="225"/>
      <c r="LLO121" s="225"/>
      <c r="LLP121" s="225"/>
      <c r="LLQ121" s="225"/>
      <c r="LLR121" s="225"/>
      <c r="LLS121" s="225"/>
      <c r="LLT121" s="225"/>
      <c r="LLU121" s="225"/>
      <c r="LLV121" s="225"/>
      <c r="LLW121" s="225"/>
      <c r="LLX121" s="225"/>
      <c r="LLY121" s="225"/>
      <c r="LLZ121" s="225"/>
      <c r="LMA121" s="225"/>
      <c r="LMB121" s="225"/>
      <c r="LMC121" s="225"/>
      <c r="LMD121" s="225"/>
      <c r="LME121" s="225"/>
      <c r="LMF121" s="225"/>
      <c r="LMG121" s="225"/>
      <c r="LMH121" s="225"/>
      <c r="LMI121" s="225"/>
      <c r="LMJ121" s="225"/>
      <c r="LMK121" s="225"/>
      <c r="LML121" s="225"/>
      <c r="LMM121" s="225"/>
      <c r="LMN121" s="225"/>
      <c r="LMO121" s="225"/>
      <c r="LMP121" s="225"/>
      <c r="LMQ121" s="225"/>
      <c r="LMR121" s="225"/>
      <c r="LMS121" s="225"/>
      <c r="LMT121" s="225"/>
      <c r="LMU121" s="225"/>
      <c r="LMV121" s="225"/>
      <c r="LMW121" s="225"/>
      <c r="LMX121" s="225"/>
      <c r="LMY121" s="225"/>
      <c r="LMZ121" s="225"/>
      <c r="LNA121" s="225"/>
      <c r="LNB121" s="225"/>
      <c r="LNC121" s="225"/>
      <c r="LND121" s="225"/>
      <c r="LNE121" s="225"/>
      <c r="LNF121" s="225"/>
      <c r="LNG121" s="225"/>
      <c r="LNH121" s="225"/>
      <c r="LNI121" s="225"/>
      <c r="LNJ121" s="225"/>
      <c r="LNK121" s="225"/>
      <c r="LNL121" s="225"/>
      <c r="LNM121" s="225"/>
      <c r="LNN121" s="225"/>
      <c r="LNO121" s="225"/>
      <c r="LNP121" s="225"/>
      <c r="LNQ121" s="225"/>
      <c r="LNR121" s="225"/>
      <c r="LNS121" s="225"/>
      <c r="LNT121" s="225"/>
      <c r="LNU121" s="225"/>
      <c r="LNV121" s="225"/>
      <c r="LNW121" s="225"/>
      <c r="LNX121" s="225"/>
      <c r="LNY121" s="225"/>
      <c r="LNZ121" s="225"/>
      <c r="LOA121" s="225"/>
      <c r="LOB121" s="225"/>
      <c r="LOC121" s="225"/>
      <c r="LOD121" s="225"/>
      <c r="LOE121" s="225"/>
      <c r="LOF121" s="225"/>
      <c r="LOG121" s="225"/>
      <c r="LOH121" s="225"/>
      <c r="LOI121" s="225"/>
      <c r="LOJ121" s="225"/>
      <c r="LOK121" s="225"/>
      <c r="LOL121" s="225"/>
      <c r="LOM121" s="225"/>
      <c r="LON121" s="225"/>
      <c r="LOO121" s="225"/>
      <c r="LOP121" s="225"/>
      <c r="LOQ121" s="225"/>
      <c r="LOR121" s="225"/>
      <c r="LOS121" s="225"/>
      <c r="LOT121" s="225"/>
      <c r="LOU121" s="225"/>
      <c r="LOV121" s="225"/>
      <c r="LOW121" s="225"/>
      <c r="LOX121" s="225"/>
      <c r="LOY121" s="225"/>
      <c r="LOZ121" s="225"/>
      <c r="LPA121" s="225"/>
      <c r="LPB121" s="225"/>
      <c r="LPC121" s="225"/>
      <c r="LPD121" s="225"/>
      <c r="LPE121" s="225"/>
      <c r="LPF121" s="225"/>
      <c r="LPG121" s="225"/>
      <c r="LPH121" s="225"/>
      <c r="LPI121" s="225"/>
      <c r="LPJ121" s="225"/>
      <c r="LPK121" s="225"/>
      <c r="LPL121" s="225"/>
      <c r="LPM121" s="225"/>
      <c r="LPN121" s="225"/>
      <c r="LPO121" s="225"/>
      <c r="LPP121" s="225"/>
      <c r="LPQ121" s="225"/>
      <c r="LPR121" s="225"/>
      <c r="LPS121" s="225"/>
      <c r="LPT121" s="225"/>
      <c r="LPU121" s="225"/>
      <c r="LPV121" s="225"/>
      <c r="LPW121" s="225"/>
      <c r="LPX121" s="225"/>
      <c r="LPY121" s="225"/>
      <c r="LPZ121" s="225"/>
      <c r="LQA121" s="225"/>
      <c r="LQB121" s="225"/>
      <c r="LQC121" s="225"/>
      <c r="LQD121" s="225"/>
      <c r="LQE121" s="225"/>
      <c r="LQF121" s="225"/>
      <c r="LQG121" s="225"/>
      <c r="LQH121" s="225"/>
      <c r="LQI121" s="225"/>
      <c r="LQJ121" s="225"/>
      <c r="LQK121" s="225"/>
      <c r="LQL121" s="225"/>
      <c r="LQM121" s="225"/>
      <c r="LQN121" s="225"/>
      <c r="LQO121" s="225"/>
      <c r="LQP121" s="225"/>
      <c r="LQQ121" s="225"/>
      <c r="LQR121" s="225"/>
      <c r="LQS121" s="225"/>
      <c r="LQT121" s="225"/>
      <c r="LQU121" s="225"/>
      <c r="LQV121" s="225"/>
      <c r="LQW121" s="225"/>
      <c r="LQX121" s="225"/>
      <c r="LQY121" s="225"/>
      <c r="LQZ121" s="225"/>
      <c r="LRA121" s="225"/>
      <c r="LRB121" s="225"/>
      <c r="LRC121" s="225"/>
      <c r="LRD121" s="225"/>
      <c r="LRE121" s="225"/>
      <c r="LRF121" s="225"/>
      <c r="LRG121" s="225"/>
      <c r="LRH121" s="225"/>
      <c r="LRI121" s="225"/>
      <c r="LRJ121" s="225"/>
      <c r="LRK121" s="225"/>
      <c r="LRL121" s="225"/>
      <c r="LRM121" s="225"/>
      <c r="LRN121" s="225"/>
      <c r="LRO121" s="225"/>
      <c r="LRP121" s="225"/>
      <c r="LRQ121" s="225"/>
      <c r="LRR121" s="225"/>
      <c r="LRS121" s="225"/>
      <c r="LRT121" s="225"/>
      <c r="LRU121" s="225"/>
      <c r="LRV121" s="225"/>
      <c r="LRW121" s="225"/>
      <c r="LRX121" s="225"/>
      <c r="LRY121" s="225"/>
      <c r="LRZ121" s="225"/>
      <c r="LSA121" s="225"/>
      <c r="LSB121" s="225"/>
      <c r="LSC121" s="225"/>
      <c r="LSD121" s="225"/>
      <c r="LSE121" s="225"/>
      <c r="LSF121" s="225"/>
      <c r="LSG121" s="225"/>
      <c r="LSH121" s="225"/>
      <c r="LSI121" s="225"/>
      <c r="LSJ121" s="225"/>
      <c r="LSK121" s="225"/>
      <c r="LSL121" s="225"/>
      <c r="LSM121" s="225"/>
      <c r="LSN121" s="225"/>
      <c r="LSO121" s="225"/>
      <c r="LSP121" s="225"/>
      <c r="LSQ121" s="225"/>
      <c r="LSR121" s="225"/>
      <c r="LSS121" s="225"/>
      <c r="LST121" s="225"/>
      <c r="LSU121" s="225"/>
      <c r="LSV121" s="225"/>
      <c r="LSW121" s="225"/>
      <c r="LSX121" s="225"/>
      <c r="LSY121" s="225"/>
      <c r="LSZ121" s="225"/>
      <c r="LTA121" s="225"/>
      <c r="LTB121" s="225"/>
      <c r="LTC121" s="225"/>
      <c r="LTD121" s="225"/>
      <c r="LTE121" s="225"/>
      <c r="LTF121" s="225"/>
      <c r="LTG121" s="225"/>
      <c r="LTH121" s="225"/>
      <c r="LTI121" s="225"/>
      <c r="LTJ121" s="225"/>
      <c r="LTK121" s="225"/>
      <c r="LTL121" s="225"/>
      <c r="LTM121" s="225"/>
      <c r="LTN121" s="225"/>
      <c r="LTO121" s="225"/>
      <c r="LTP121" s="225"/>
      <c r="LTQ121" s="225"/>
      <c r="LTR121" s="225"/>
      <c r="LTS121" s="225"/>
      <c r="LTT121" s="225"/>
      <c r="LTU121" s="225"/>
      <c r="LTV121" s="225"/>
      <c r="LTW121" s="225"/>
      <c r="LTX121" s="225"/>
      <c r="LTY121" s="225"/>
      <c r="LTZ121" s="225"/>
      <c r="LUA121" s="225"/>
      <c r="LUB121" s="225"/>
      <c r="LUC121" s="225"/>
      <c r="LUD121" s="225"/>
      <c r="LUE121" s="225"/>
      <c r="LUF121" s="225"/>
      <c r="LUG121" s="225"/>
      <c r="LUH121" s="225"/>
      <c r="LUI121" s="225"/>
      <c r="LUJ121" s="225"/>
      <c r="LUK121" s="225"/>
      <c r="LUL121" s="225"/>
      <c r="LUM121" s="225"/>
      <c r="LUN121" s="225"/>
      <c r="LUO121" s="225"/>
      <c r="LUP121" s="225"/>
      <c r="LUQ121" s="225"/>
      <c r="LUR121" s="225"/>
      <c r="LUS121" s="225"/>
      <c r="LUT121" s="225"/>
      <c r="LUU121" s="225"/>
      <c r="LUV121" s="225"/>
      <c r="LUW121" s="225"/>
      <c r="LUX121" s="225"/>
      <c r="LUY121" s="225"/>
      <c r="LUZ121" s="225"/>
      <c r="LVA121" s="225"/>
      <c r="LVB121" s="225"/>
      <c r="LVC121" s="225"/>
      <c r="LVD121" s="225"/>
      <c r="LVE121" s="225"/>
      <c r="LVF121" s="225"/>
      <c r="LVG121" s="225"/>
      <c r="LVH121" s="225"/>
      <c r="LVI121" s="225"/>
      <c r="LVJ121" s="225"/>
      <c r="LVK121" s="225"/>
      <c r="LVL121" s="225"/>
      <c r="LVM121" s="225"/>
      <c r="LVN121" s="225"/>
      <c r="LVO121" s="225"/>
      <c r="LVP121" s="225"/>
      <c r="LVQ121" s="225"/>
      <c r="LVR121" s="225"/>
      <c r="LVS121" s="225"/>
      <c r="LVT121" s="225"/>
      <c r="LVU121" s="225"/>
      <c r="LVV121" s="225"/>
      <c r="LVW121" s="225"/>
      <c r="LVX121" s="225"/>
      <c r="LVY121" s="225"/>
      <c r="LVZ121" s="225"/>
      <c r="LWA121" s="225"/>
      <c r="LWB121" s="225"/>
      <c r="LWC121" s="225"/>
      <c r="LWD121" s="225"/>
      <c r="LWE121" s="225"/>
      <c r="LWF121" s="225"/>
      <c r="LWG121" s="225"/>
      <c r="LWH121" s="225"/>
      <c r="LWI121" s="225"/>
      <c r="LWJ121" s="225"/>
      <c r="LWK121" s="225"/>
      <c r="LWL121" s="225"/>
      <c r="LWM121" s="225"/>
      <c r="LWN121" s="225"/>
      <c r="LWO121" s="225"/>
      <c r="LWP121" s="225"/>
      <c r="LWQ121" s="225"/>
      <c r="LWR121" s="225"/>
      <c r="LWS121" s="225"/>
      <c r="LWT121" s="225"/>
      <c r="LWU121" s="225"/>
      <c r="LWV121" s="225"/>
      <c r="LWW121" s="225"/>
      <c r="LWX121" s="225"/>
      <c r="LWY121" s="225"/>
      <c r="LWZ121" s="225"/>
      <c r="LXA121" s="225"/>
      <c r="LXB121" s="225"/>
      <c r="LXC121" s="225"/>
      <c r="LXD121" s="225"/>
      <c r="LXE121" s="225"/>
      <c r="LXF121" s="225"/>
      <c r="LXG121" s="225"/>
      <c r="LXH121" s="225"/>
      <c r="LXI121" s="225"/>
      <c r="LXJ121" s="225"/>
      <c r="LXK121" s="225"/>
      <c r="LXL121" s="225"/>
      <c r="LXM121" s="225"/>
      <c r="LXN121" s="225"/>
      <c r="LXO121" s="225"/>
      <c r="LXP121" s="225"/>
      <c r="LXQ121" s="225"/>
      <c r="LXR121" s="225"/>
      <c r="LXS121" s="225"/>
      <c r="LXT121" s="225"/>
      <c r="LXU121" s="225"/>
      <c r="LXV121" s="225"/>
      <c r="LXW121" s="225"/>
      <c r="LXX121" s="225"/>
      <c r="LXY121" s="225"/>
      <c r="LXZ121" s="225"/>
      <c r="LYA121" s="225"/>
      <c r="LYB121" s="225"/>
      <c r="LYC121" s="225"/>
      <c r="LYD121" s="225"/>
      <c r="LYE121" s="225"/>
      <c r="LYF121" s="225"/>
      <c r="LYG121" s="225"/>
      <c r="LYH121" s="225"/>
      <c r="LYI121" s="225"/>
      <c r="LYJ121" s="225"/>
      <c r="LYK121" s="225"/>
      <c r="LYL121" s="225"/>
      <c r="LYM121" s="225"/>
      <c r="LYN121" s="225"/>
      <c r="LYO121" s="225"/>
      <c r="LYP121" s="225"/>
      <c r="LYQ121" s="225"/>
      <c r="LYR121" s="225"/>
      <c r="LYS121" s="225"/>
      <c r="LYT121" s="225"/>
      <c r="LYU121" s="225"/>
      <c r="LYV121" s="225"/>
      <c r="LYW121" s="225"/>
      <c r="LYX121" s="225"/>
      <c r="LYY121" s="225"/>
      <c r="LYZ121" s="225"/>
      <c r="LZA121" s="225"/>
      <c r="LZB121" s="225"/>
      <c r="LZC121" s="225"/>
      <c r="LZD121" s="225"/>
      <c r="LZE121" s="225"/>
      <c r="LZF121" s="225"/>
      <c r="LZG121" s="225"/>
      <c r="LZH121" s="225"/>
      <c r="LZI121" s="225"/>
      <c r="LZJ121" s="225"/>
      <c r="LZK121" s="225"/>
      <c r="LZL121" s="225"/>
      <c r="LZM121" s="225"/>
      <c r="LZN121" s="225"/>
      <c r="LZO121" s="225"/>
      <c r="LZP121" s="225"/>
      <c r="LZQ121" s="225"/>
      <c r="LZR121" s="225"/>
      <c r="LZS121" s="225"/>
      <c r="LZT121" s="225"/>
      <c r="LZU121" s="225"/>
      <c r="LZV121" s="225"/>
      <c r="LZW121" s="225"/>
      <c r="LZX121" s="225"/>
      <c r="LZY121" s="225"/>
      <c r="LZZ121" s="225"/>
      <c r="MAA121" s="225"/>
      <c r="MAB121" s="225"/>
      <c r="MAC121" s="225"/>
      <c r="MAD121" s="225"/>
      <c r="MAE121" s="225"/>
      <c r="MAF121" s="225"/>
      <c r="MAG121" s="225"/>
      <c r="MAH121" s="225"/>
      <c r="MAI121" s="225"/>
      <c r="MAJ121" s="225"/>
      <c r="MAK121" s="225"/>
      <c r="MAL121" s="225"/>
      <c r="MAM121" s="225"/>
      <c r="MAN121" s="225"/>
      <c r="MAO121" s="225"/>
      <c r="MAP121" s="225"/>
      <c r="MAQ121" s="225"/>
      <c r="MAR121" s="225"/>
      <c r="MAS121" s="225"/>
      <c r="MAT121" s="225"/>
      <c r="MAU121" s="225"/>
      <c r="MAV121" s="225"/>
      <c r="MAW121" s="225"/>
      <c r="MAX121" s="225"/>
      <c r="MAY121" s="225"/>
      <c r="MAZ121" s="225"/>
      <c r="MBA121" s="225"/>
      <c r="MBB121" s="225"/>
      <c r="MBC121" s="225"/>
      <c r="MBD121" s="225"/>
      <c r="MBE121" s="225"/>
      <c r="MBF121" s="225"/>
      <c r="MBG121" s="225"/>
      <c r="MBH121" s="225"/>
      <c r="MBI121" s="225"/>
      <c r="MBJ121" s="225"/>
      <c r="MBK121" s="225"/>
      <c r="MBL121" s="225"/>
      <c r="MBM121" s="225"/>
      <c r="MBN121" s="225"/>
      <c r="MBO121" s="225"/>
      <c r="MBP121" s="225"/>
      <c r="MBQ121" s="225"/>
      <c r="MBR121" s="225"/>
      <c r="MBS121" s="225"/>
      <c r="MBT121" s="225"/>
      <c r="MBU121" s="225"/>
      <c r="MBV121" s="225"/>
      <c r="MBW121" s="225"/>
      <c r="MBX121" s="225"/>
      <c r="MBY121" s="225"/>
      <c r="MBZ121" s="225"/>
      <c r="MCA121" s="225"/>
      <c r="MCB121" s="225"/>
      <c r="MCC121" s="225"/>
      <c r="MCD121" s="225"/>
      <c r="MCE121" s="225"/>
      <c r="MCF121" s="225"/>
      <c r="MCG121" s="225"/>
      <c r="MCH121" s="225"/>
      <c r="MCI121" s="225"/>
      <c r="MCJ121" s="225"/>
      <c r="MCK121" s="225"/>
      <c r="MCL121" s="225"/>
      <c r="MCM121" s="225"/>
      <c r="MCN121" s="225"/>
      <c r="MCO121" s="225"/>
      <c r="MCP121" s="225"/>
      <c r="MCQ121" s="225"/>
      <c r="MCR121" s="225"/>
      <c r="MCS121" s="225"/>
      <c r="MCT121" s="225"/>
      <c r="MCU121" s="225"/>
      <c r="MCV121" s="225"/>
      <c r="MCW121" s="225"/>
      <c r="MCX121" s="225"/>
      <c r="MCY121" s="225"/>
      <c r="MCZ121" s="225"/>
      <c r="MDA121" s="225"/>
      <c r="MDB121" s="225"/>
      <c r="MDC121" s="225"/>
      <c r="MDD121" s="225"/>
      <c r="MDE121" s="225"/>
      <c r="MDF121" s="225"/>
      <c r="MDG121" s="225"/>
      <c r="MDH121" s="225"/>
      <c r="MDI121" s="225"/>
      <c r="MDJ121" s="225"/>
      <c r="MDK121" s="225"/>
      <c r="MDL121" s="225"/>
      <c r="MDM121" s="225"/>
      <c r="MDN121" s="225"/>
      <c r="MDO121" s="225"/>
      <c r="MDP121" s="225"/>
      <c r="MDQ121" s="225"/>
      <c r="MDR121" s="225"/>
      <c r="MDS121" s="225"/>
      <c r="MDT121" s="225"/>
      <c r="MDU121" s="225"/>
      <c r="MDV121" s="225"/>
      <c r="MDW121" s="225"/>
      <c r="MDX121" s="225"/>
      <c r="MDY121" s="225"/>
      <c r="MDZ121" s="225"/>
      <c r="MEA121" s="225"/>
      <c r="MEB121" s="225"/>
      <c r="MEC121" s="225"/>
      <c r="MED121" s="225"/>
      <c r="MEE121" s="225"/>
      <c r="MEF121" s="225"/>
      <c r="MEG121" s="225"/>
      <c r="MEH121" s="225"/>
      <c r="MEI121" s="225"/>
      <c r="MEJ121" s="225"/>
      <c r="MEK121" s="225"/>
      <c r="MEL121" s="225"/>
      <c r="MEM121" s="225"/>
      <c r="MEN121" s="225"/>
      <c r="MEO121" s="225"/>
      <c r="MEP121" s="225"/>
      <c r="MEQ121" s="225"/>
      <c r="MER121" s="225"/>
      <c r="MES121" s="225"/>
      <c r="MET121" s="225"/>
      <c r="MEU121" s="225"/>
      <c r="MEV121" s="225"/>
      <c r="MEW121" s="225"/>
      <c r="MEX121" s="225"/>
      <c r="MEY121" s="225"/>
      <c r="MEZ121" s="225"/>
      <c r="MFA121" s="225"/>
      <c r="MFB121" s="225"/>
      <c r="MFC121" s="225"/>
      <c r="MFD121" s="225"/>
      <c r="MFE121" s="225"/>
      <c r="MFF121" s="225"/>
      <c r="MFG121" s="225"/>
      <c r="MFH121" s="225"/>
      <c r="MFI121" s="225"/>
      <c r="MFJ121" s="225"/>
      <c r="MFK121" s="225"/>
      <c r="MFL121" s="225"/>
      <c r="MFM121" s="225"/>
      <c r="MFN121" s="225"/>
      <c r="MFO121" s="225"/>
      <c r="MFP121" s="225"/>
      <c r="MFQ121" s="225"/>
      <c r="MFR121" s="225"/>
      <c r="MFS121" s="225"/>
      <c r="MFT121" s="225"/>
      <c r="MFU121" s="225"/>
      <c r="MFV121" s="225"/>
      <c r="MFW121" s="225"/>
      <c r="MFX121" s="225"/>
      <c r="MFY121" s="225"/>
      <c r="MFZ121" s="225"/>
      <c r="MGA121" s="225"/>
      <c r="MGB121" s="225"/>
      <c r="MGC121" s="225"/>
      <c r="MGD121" s="225"/>
      <c r="MGE121" s="225"/>
      <c r="MGF121" s="225"/>
      <c r="MGG121" s="225"/>
      <c r="MGH121" s="225"/>
      <c r="MGI121" s="225"/>
      <c r="MGJ121" s="225"/>
      <c r="MGK121" s="225"/>
      <c r="MGL121" s="225"/>
      <c r="MGM121" s="225"/>
      <c r="MGN121" s="225"/>
      <c r="MGO121" s="225"/>
      <c r="MGP121" s="225"/>
      <c r="MGQ121" s="225"/>
      <c r="MGR121" s="225"/>
      <c r="MGS121" s="225"/>
      <c r="MGT121" s="225"/>
      <c r="MGU121" s="225"/>
      <c r="MGV121" s="225"/>
      <c r="MGW121" s="225"/>
      <c r="MGX121" s="225"/>
      <c r="MGY121" s="225"/>
      <c r="MGZ121" s="225"/>
      <c r="MHA121" s="225"/>
      <c r="MHB121" s="225"/>
      <c r="MHC121" s="225"/>
      <c r="MHD121" s="225"/>
      <c r="MHE121" s="225"/>
      <c r="MHF121" s="225"/>
      <c r="MHG121" s="225"/>
      <c r="MHH121" s="225"/>
      <c r="MHI121" s="225"/>
      <c r="MHJ121" s="225"/>
      <c r="MHK121" s="225"/>
      <c r="MHL121" s="225"/>
      <c r="MHM121" s="225"/>
      <c r="MHN121" s="225"/>
      <c r="MHO121" s="225"/>
      <c r="MHP121" s="225"/>
      <c r="MHQ121" s="225"/>
      <c r="MHR121" s="225"/>
      <c r="MHS121" s="225"/>
      <c r="MHT121" s="225"/>
      <c r="MHU121" s="225"/>
      <c r="MHV121" s="225"/>
      <c r="MHW121" s="225"/>
      <c r="MHX121" s="225"/>
      <c r="MHY121" s="225"/>
      <c r="MHZ121" s="225"/>
      <c r="MIA121" s="225"/>
      <c r="MIB121" s="225"/>
      <c r="MIC121" s="225"/>
      <c r="MID121" s="225"/>
      <c r="MIE121" s="225"/>
      <c r="MIF121" s="225"/>
      <c r="MIG121" s="225"/>
      <c r="MIH121" s="225"/>
      <c r="MII121" s="225"/>
      <c r="MIJ121" s="225"/>
      <c r="MIK121" s="225"/>
      <c r="MIL121" s="225"/>
      <c r="MIM121" s="225"/>
      <c r="MIN121" s="225"/>
      <c r="MIO121" s="225"/>
      <c r="MIP121" s="225"/>
      <c r="MIQ121" s="225"/>
      <c r="MIR121" s="225"/>
      <c r="MIS121" s="225"/>
      <c r="MIT121" s="225"/>
      <c r="MIU121" s="225"/>
      <c r="MIV121" s="225"/>
      <c r="MIW121" s="225"/>
      <c r="MIX121" s="225"/>
      <c r="MIY121" s="225"/>
      <c r="MIZ121" s="225"/>
      <c r="MJA121" s="225"/>
      <c r="MJB121" s="225"/>
      <c r="MJC121" s="225"/>
      <c r="MJD121" s="225"/>
      <c r="MJE121" s="225"/>
      <c r="MJF121" s="225"/>
      <c r="MJG121" s="225"/>
      <c r="MJH121" s="225"/>
      <c r="MJI121" s="225"/>
      <c r="MJJ121" s="225"/>
      <c r="MJK121" s="225"/>
      <c r="MJL121" s="225"/>
      <c r="MJM121" s="225"/>
      <c r="MJN121" s="225"/>
      <c r="MJO121" s="225"/>
      <c r="MJP121" s="225"/>
      <c r="MJQ121" s="225"/>
      <c r="MJR121" s="225"/>
      <c r="MJS121" s="225"/>
      <c r="MJT121" s="225"/>
      <c r="MJU121" s="225"/>
      <c r="MJV121" s="225"/>
      <c r="MJW121" s="225"/>
      <c r="MJX121" s="225"/>
      <c r="MJY121" s="225"/>
      <c r="MJZ121" s="225"/>
      <c r="MKA121" s="225"/>
      <c r="MKB121" s="225"/>
      <c r="MKC121" s="225"/>
      <c r="MKD121" s="225"/>
      <c r="MKE121" s="225"/>
      <c r="MKF121" s="225"/>
      <c r="MKG121" s="225"/>
      <c r="MKH121" s="225"/>
      <c r="MKI121" s="225"/>
      <c r="MKJ121" s="225"/>
      <c r="MKK121" s="225"/>
      <c r="MKL121" s="225"/>
      <c r="MKM121" s="225"/>
      <c r="MKN121" s="225"/>
      <c r="MKO121" s="225"/>
      <c r="MKP121" s="225"/>
      <c r="MKQ121" s="225"/>
      <c r="MKR121" s="225"/>
      <c r="MKS121" s="225"/>
      <c r="MKT121" s="225"/>
      <c r="MKU121" s="225"/>
      <c r="MKV121" s="225"/>
      <c r="MKW121" s="225"/>
      <c r="MKX121" s="225"/>
      <c r="MKY121" s="225"/>
      <c r="MKZ121" s="225"/>
      <c r="MLA121" s="225"/>
      <c r="MLB121" s="225"/>
      <c r="MLC121" s="225"/>
      <c r="MLD121" s="225"/>
      <c r="MLE121" s="225"/>
      <c r="MLF121" s="225"/>
      <c r="MLG121" s="225"/>
      <c r="MLH121" s="225"/>
      <c r="MLI121" s="225"/>
      <c r="MLJ121" s="225"/>
      <c r="MLK121" s="225"/>
      <c r="MLL121" s="225"/>
      <c r="MLM121" s="225"/>
      <c r="MLN121" s="225"/>
      <c r="MLO121" s="225"/>
      <c r="MLP121" s="225"/>
      <c r="MLQ121" s="225"/>
      <c r="MLR121" s="225"/>
      <c r="MLS121" s="225"/>
      <c r="MLT121" s="225"/>
      <c r="MLU121" s="225"/>
      <c r="MLV121" s="225"/>
      <c r="MLW121" s="225"/>
      <c r="MLX121" s="225"/>
      <c r="MLY121" s="225"/>
      <c r="MLZ121" s="225"/>
      <c r="MMA121" s="225"/>
      <c r="MMB121" s="225"/>
      <c r="MMC121" s="225"/>
      <c r="MMD121" s="225"/>
      <c r="MME121" s="225"/>
      <c r="MMF121" s="225"/>
      <c r="MMG121" s="225"/>
      <c r="MMH121" s="225"/>
      <c r="MMI121" s="225"/>
      <c r="MMJ121" s="225"/>
      <c r="MMK121" s="225"/>
      <c r="MML121" s="225"/>
      <c r="MMM121" s="225"/>
      <c r="MMN121" s="225"/>
      <c r="MMO121" s="225"/>
      <c r="MMP121" s="225"/>
      <c r="MMQ121" s="225"/>
      <c r="MMR121" s="225"/>
      <c r="MMS121" s="225"/>
      <c r="MMT121" s="225"/>
      <c r="MMU121" s="225"/>
      <c r="MMV121" s="225"/>
      <c r="MMW121" s="225"/>
      <c r="MMX121" s="225"/>
      <c r="MMY121" s="225"/>
      <c r="MMZ121" s="225"/>
      <c r="MNA121" s="225"/>
      <c r="MNB121" s="225"/>
      <c r="MNC121" s="225"/>
      <c r="MND121" s="225"/>
      <c r="MNE121" s="225"/>
      <c r="MNF121" s="225"/>
      <c r="MNG121" s="225"/>
      <c r="MNH121" s="225"/>
      <c r="MNI121" s="225"/>
      <c r="MNJ121" s="225"/>
      <c r="MNK121" s="225"/>
      <c r="MNL121" s="225"/>
      <c r="MNM121" s="225"/>
      <c r="MNN121" s="225"/>
      <c r="MNO121" s="225"/>
      <c r="MNP121" s="225"/>
      <c r="MNQ121" s="225"/>
      <c r="MNR121" s="225"/>
      <c r="MNS121" s="225"/>
      <c r="MNT121" s="225"/>
      <c r="MNU121" s="225"/>
      <c r="MNV121" s="225"/>
      <c r="MNW121" s="225"/>
      <c r="MNX121" s="225"/>
      <c r="MNY121" s="225"/>
      <c r="MNZ121" s="225"/>
      <c r="MOA121" s="225"/>
      <c r="MOB121" s="225"/>
      <c r="MOC121" s="225"/>
      <c r="MOD121" s="225"/>
      <c r="MOE121" s="225"/>
      <c r="MOF121" s="225"/>
      <c r="MOG121" s="225"/>
      <c r="MOH121" s="225"/>
      <c r="MOI121" s="225"/>
      <c r="MOJ121" s="225"/>
      <c r="MOK121" s="225"/>
      <c r="MOL121" s="225"/>
      <c r="MOM121" s="225"/>
      <c r="MON121" s="225"/>
      <c r="MOO121" s="225"/>
      <c r="MOP121" s="225"/>
      <c r="MOQ121" s="225"/>
      <c r="MOR121" s="225"/>
      <c r="MOS121" s="225"/>
      <c r="MOT121" s="225"/>
      <c r="MOU121" s="225"/>
      <c r="MOV121" s="225"/>
      <c r="MOW121" s="225"/>
      <c r="MOX121" s="225"/>
      <c r="MOY121" s="225"/>
      <c r="MOZ121" s="225"/>
      <c r="MPA121" s="225"/>
      <c r="MPB121" s="225"/>
      <c r="MPC121" s="225"/>
      <c r="MPD121" s="225"/>
      <c r="MPE121" s="225"/>
      <c r="MPF121" s="225"/>
      <c r="MPG121" s="225"/>
      <c r="MPH121" s="225"/>
      <c r="MPI121" s="225"/>
      <c r="MPJ121" s="225"/>
      <c r="MPK121" s="225"/>
      <c r="MPL121" s="225"/>
      <c r="MPM121" s="225"/>
      <c r="MPN121" s="225"/>
      <c r="MPO121" s="225"/>
      <c r="MPP121" s="225"/>
      <c r="MPQ121" s="225"/>
      <c r="MPR121" s="225"/>
      <c r="MPS121" s="225"/>
      <c r="MPT121" s="225"/>
      <c r="MPU121" s="225"/>
      <c r="MPV121" s="225"/>
      <c r="MPW121" s="225"/>
      <c r="MPX121" s="225"/>
      <c r="MPY121" s="225"/>
      <c r="MPZ121" s="225"/>
      <c r="MQA121" s="225"/>
      <c r="MQB121" s="225"/>
      <c r="MQC121" s="225"/>
      <c r="MQD121" s="225"/>
      <c r="MQE121" s="225"/>
      <c r="MQF121" s="225"/>
      <c r="MQG121" s="225"/>
      <c r="MQH121" s="225"/>
      <c r="MQI121" s="225"/>
      <c r="MQJ121" s="225"/>
      <c r="MQK121" s="225"/>
      <c r="MQL121" s="225"/>
      <c r="MQM121" s="225"/>
      <c r="MQN121" s="225"/>
      <c r="MQO121" s="225"/>
      <c r="MQP121" s="225"/>
      <c r="MQQ121" s="225"/>
      <c r="MQR121" s="225"/>
      <c r="MQS121" s="225"/>
      <c r="MQT121" s="225"/>
      <c r="MQU121" s="225"/>
      <c r="MQV121" s="225"/>
      <c r="MQW121" s="225"/>
      <c r="MQX121" s="225"/>
      <c r="MQY121" s="225"/>
      <c r="MQZ121" s="225"/>
      <c r="MRA121" s="225"/>
      <c r="MRB121" s="225"/>
      <c r="MRC121" s="225"/>
      <c r="MRD121" s="225"/>
      <c r="MRE121" s="225"/>
      <c r="MRF121" s="225"/>
      <c r="MRG121" s="225"/>
      <c r="MRH121" s="225"/>
      <c r="MRI121" s="225"/>
      <c r="MRJ121" s="225"/>
      <c r="MRK121" s="225"/>
      <c r="MRL121" s="225"/>
      <c r="MRM121" s="225"/>
      <c r="MRN121" s="225"/>
      <c r="MRO121" s="225"/>
      <c r="MRP121" s="225"/>
      <c r="MRQ121" s="225"/>
      <c r="MRR121" s="225"/>
      <c r="MRS121" s="225"/>
      <c r="MRT121" s="225"/>
      <c r="MRU121" s="225"/>
      <c r="MRV121" s="225"/>
      <c r="MRW121" s="225"/>
      <c r="MRX121" s="225"/>
      <c r="MRY121" s="225"/>
      <c r="MRZ121" s="225"/>
      <c r="MSA121" s="225"/>
      <c r="MSB121" s="225"/>
      <c r="MSC121" s="225"/>
      <c r="MSD121" s="225"/>
      <c r="MSE121" s="225"/>
      <c r="MSF121" s="225"/>
      <c r="MSG121" s="225"/>
      <c r="MSH121" s="225"/>
      <c r="MSI121" s="225"/>
      <c r="MSJ121" s="225"/>
      <c r="MSK121" s="225"/>
      <c r="MSL121" s="225"/>
      <c r="MSM121" s="225"/>
      <c r="MSN121" s="225"/>
      <c r="MSO121" s="225"/>
      <c r="MSP121" s="225"/>
      <c r="MSQ121" s="225"/>
      <c r="MSR121" s="225"/>
      <c r="MSS121" s="225"/>
      <c r="MST121" s="225"/>
      <c r="MSU121" s="225"/>
      <c r="MSV121" s="225"/>
      <c r="MSW121" s="225"/>
      <c r="MSX121" s="225"/>
      <c r="MSY121" s="225"/>
      <c r="MSZ121" s="225"/>
      <c r="MTA121" s="225"/>
      <c r="MTB121" s="225"/>
      <c r="MTC121" s="225"/>
      <c r="MTD121" s="225"/>
      <c r="MTE121" s="225"/>
      <c r="MTF121" s="225"/>
      <c r="MTG121" s="225"/>
      <c r="MTH121" s="225"/>
      <c r="MTI121" s="225"/>
      <c r="MTJ121" s="225"/>
      <c r="MTK121" s="225"/>
      <c r="MTL121" s="225"/>
      <c r="MTM121" s="225"/>
      <c r="MTN121" s="225"/>
      <c r="MTO121" s="225"/>
      <c r="MTP121" s="225"/>
      <c r="MTQ121" s="225"/>
      <c r="MTR121" s="225"/>
      <c r="MTS121" s="225"/>
      <c r="MTT121" s="225"/>
      <c r="MTU121" s="225"/>
      <c r="MTV121" s="225"/>
      <c r="MTW121" s="225"/>
      <c r="MTX121" s="225"/>
      <c r="MTY121" s="225"/>
      <c r="MTZ121" s="225"/>
      <c r="MUA121" s="225"/>
      <c r="MUB121" s="225"/>
      <c r="MUC121" s="225"/>
      <c r="MUD121" s="225"/>
      <c r="MUE121" s="225"/>
      <c r="MUF121" s="225"/>
      <c r="MUG121" s="225"/>
      <c r="MUH121" s="225"/>
      <c r="MUI121" s="225"/>
      <c r="MUJ121" s="225"/>
      <c r="MUK121" s="225"/>
      <c r="MUL121" s="225"/>
      <c r="MUM121" s="225"/>
      <c r="MUN121" s="225"/>
      <c r="MUO121" s="225"/>
      <c r="MUP121" s="225"/>
      <c r="MUQ121" s="225"/>
      <c r="MUR121" s="225"/>
      <c r="MUS121" s="225"/>
      <c r="MUT121" s="225"/>
      <c r="MUU121" s="225"/>
      <c r="MUV121" s="225"/>
      <c r="MUW121" s="225"/>
      <c r="MUX121" s="225"/>
      <c r="MUY121" s="225"/>
      <c r="MUZ121" s="225"/>
      <c r="MVA121" s="225"/>
      <c r="MVB121" s="225"/>
      <c r="MVC121" s="225"/>
      <c r="MVD121" s="225"/>
      <c r="MVE121" s="225"/>
      <c r="MVF121" s="225"/>
      <c r="MVG121" s="225"/>
      <c r="MVH121" s="225"/>
      <c r="MVI121" s="225"/>
      <c r="MVJ121" s="225"/>
      <c r="MVK121" s="225"/>
      <c r="MVL121" s="225"/>
      <c r="MVM121" s="225"/>
      <c r="MVN121" s="225"/>
      <c r="MVO121" s="225"/>
      <c r="MVP121" s="225"/>
      <c r="MVQ121" s="225"/>
      <c r="MVR121" s="225"/>
      <c r="MVS121" s="225"/>
      <c r="MVT121" s="225"/>
      <c r="MVU121" s="225"/>
      <c r="MVV121" s="225"/>
      <c r="MVW121" s="225"/>
      <c r="MVX121" s="225"/>
      <c r="MVY121" s="225"/>
      <c r="MVZ121" s="225"/>
      <c r="MWA121" s="225"/>
      <c r="MWB121" s="225"/>
      <c r="MWC121" s="225"/>
      <c r="MWD121" s="225"/>
      <c r="MWE121" s="225"/>
      <c r="MWF121" s="225"/>
      <c r="MWG121" s="225"/>
      <c r="MWH121" s="225"/>
      <c r="MWI121" s="225"/>
      <c r="MWJ121" s="225"/>
      <c r="MWK121" s="225"/>
      <c r="MWL121" s="225"/>
      <c r="MWM121" s="225"/>
      <c r="MWN121" s="225"/>
      <c r="MWO121" s="225"/>
      <c r="MWP121" s="225"/>
      <c r="MWQ121" s="225"/>
      <c r="MWR121" s="225"/>
      <c r="MWS121" s="225"/>
      <c r="MWT121" s="225"/>
      <c r="MWU121" s="225"/>
      <c r="MWV121" s="225"/>
      <c r="MWW121" s="225"/>
      <c r="MWX121" s="225"/>
      <c r="MWY121" s="225"/>
      <c r="MWZ121" s="225"/>
      <c r="MXA121" s="225"/>
      <c r="MXB121" s="225"/>
      <c r="MXC121" s="225"/>
      <c r="MXD121" s="225"/>
      <c r="MXE121" s="225"/>
      <c r="MXF121" s="225"/>
      <c r="MXG121" s="225"/>
      <c r="MXH121" s="225"/>
      <c r="MXI121" s="225"/>
      <c r="MXJ121" s="225"/>
      <c r="MXK121" s="225"/>
      <c r="MXL121" s="225"/>
      <c r="MXM121" s="225"/>
      <c r="MXN121" s="225"/>
      <c r="MXO121" s="225"/>
      <c r="MXP121" s="225"/>
      <c r="MXQ121" s="225"/>
      <c r="MXR121" s="225"/>
      <c r="MXS121" s="225"/>
      <c r="MXT121" s="225"/>
      <c r="MXU121" s="225"/>
      <c r="MXV121" s="225"/>
      <c r="MXW121" s="225"/>
      <c r="MXX121" s="225"/>
      <c r="MXY121" s="225"/>
      <c r="MXZ121" s="225"/>
      <c r="MYA121" s="225"/>
      <c r="MYB121" s="225"/>
      <c r="MYC121" s="225"/>
      <c r="MYD121" s="225"/>
      <c r="MYE121" s="225"/>
      <c r="MYF121" s="225"/>
      <c r="MYG121" s="225"/>
      <c r="MYH121" s="225"/>
      <c r="MYI121" s="225"/>
      <c r="MYJ121" s="225"/>
      <c r="MYK121" s="225"/>
      <c r="MYL121" s="225"/>
      <c r="MYM121" s="225"/>
      <c r="MYN121" s="225"/>
      <c r="MYO121" s="225"/>
      <c r="MYP121" s="225"/>
      <c r="MYQ121" s="225"/>
      <c r="MYR121" s="225"/>
      <c r="MYS121" s="225"/>
      <c r="MYT121" s="225"/>
      <c r="MYU121" s="225"/>
      <c r="MYV121" s="225"/>
      <c r="MYW121" s="225"/>
      <c r="MYX121" s="225"/>
      <c r="MYY121" s="225"/>
      <c r="MYZ121" s="225"/>
      <c r="MZA121" s="225"/>
      <c r="MZB121" s="225"/>
      <c r="MZC121" s="225"/>
      <c r="MZD121" s="225"/>
      <c r="MZE121" s="225"/>
      <c r="MZF121" s="225"/>
      <c r="MZG121" s="225"/>
      <c r="MZH121" s="225"/>
      <c r="MZI121" s="225"/>
      <c r="MZJ121" s="225"/>
      <c r="MZK121" s="225"/>
      <c r="MZL121" s="225"/>
      <c r="MZM121" s="225"/>
      <c r="MZN121" s="225"/>
      <c r="MZO121" s="225"/>
      <c r="MZP121" s="225"/>
      <c r="MZQ121" s="225"/>
      <c r="MZR121" s="225"/>
      <c r="MZS121" s="225"/>
      <c r="MZT121" s="225"/>
      <c r="MZU121" s="225"/>
      <c r="MZV121" s="225"/>
      <c r="MZW121" s="225"/>
      <c r="MZX121" s="225"/>
      <c r="MZY121" s="225"/>
      <c r="MZZ121" s="225"/>
      <c r="NAA121" s="225"/>
      <c r="NAB121" s="225"/>
      <c r="NAC121" s="225"/>
      <c r="NAD121" s="225"/>
      <c r="NAE121" s="225"/>
      <c r="NAF121" s="225"/>
      <c r="NAG121" s="225"/>
      <c r="NAH121" s="225"/>
      <c r="NAI121" s="225"/>
      <c r="NAJ121" s="225"/>
      <c r="NAK121" s="225"/>
      <c r="NAL121" s="225"/>
      <c r="NAM121" s="225"/>
      <c r="NAN121" s="225"/>
      <c r="NAO121" s="225"/>
      <c r="NAP121" s="225"/>
      <c r="NAQ121" s="225"/>
      <c r="NAR121" s="225"/>
      <c r="NAS121" s="225"/>
      <c r="NAT121" s="225"/>
      <c r="NAU121" s="225"/>
      <c r="NAV121" s="225"/>
      <c r="NAW121" s="225"/>
      <c r="NAX121" s="225"/>
      <c r="NAY121" s="225"/>
      <c r="NAZ121" s="225"/>
      <c r="NBA121" s="225"/>
      <c r="NBB121" s="225"/>
      <c r="NBC121" s="225"/>
      <c r="NBD121" s="225"/>
      <c r="NBE121" s="225"/>
      <c r="NBF121" s="225"/>
      <c r="NBG121" s="225"/>
      <c r="NBH121" s="225"/>
      <c r="NBI121" s="225"/>
      <c r="NBJ121" s="225"/>
      <c r="NBK121" s="225"/>
      <c r="NBL121" s="225"/>
      <c r="NBM121" s="225"/>
      <c r="NBN121" s="225"/>
      <c r="NBO121" s="225"/>
      <c r="NBP121" s="225"/>
      <c r="NBQ121" s="225"/>
      <c r="NBR121" s="225"/>
      <c r="NBS121" s="225"/>
      <c r="NBT121" s="225"/>
      <c r="NBU121" s="225"/>
      <c r="NBV121" s="225"/>
      <c r="NBW121" s="225"/>
      <c r="NBX121" s="225"/>
      <c r="NBY121" s="225"/>
      <c r="NBZ121" s="225"/>
      <c r="NCA121" s="225"/>
      <c r="NCB121" s="225"/>
      <c r="NCC121" s="225"/>
      <c r="NCD121" s="225"/>
      <c r="NCE121" s="225"/>
      <c r="NCF121" s="225"/>
      <c r="NCG121" s="225"/>
      <c r="NCH121" s="225"/>
      <c r="NCI121" s="225"/>
      <c r="NCJ121" s="225"/>
      <c r="NCK121" s="225"/>
      <c r="NCL121" s="225"/>
      <c r="NCM121" s="225"/>
      <c r="NCN121" s="225"/>
      <c r="NCO121" s="225"/>
      <c r="NCP121" s="225"/>
      <c r="NCQ121" s="225"/>
      <c r="NCR121" s="225"/>
      <c r="NCS121" s="225"/>
      <c r="NCT121" s="225"/>
      <c r="NCU121" s="225"/>
      <c r="NCV121" s="225"/>
      <c r="NCW121" s="225"/>
      <c r="NCX121" s="225"/>
      <c r="NCY121" s="225"/>
      <c r="NCZ121" s="225"/>
      <c r="NDA121" s="225"/>
      <c r="NDB121" s="225"/>
      <c r="NDC121" s="225"/>
      <c r="NDD121" s="225"/>
      <c r="NDE121" s="225"/>
      <c r="NDF121" s="225"/>
      <c r="NDG121" s="225"/>
      <c r="NDH121" s="225"/>
      <c r="NDI121" s="225"/>
      <c r="NDJ121" s="225"/>
      <c r="NDK121" s="225"/>
      <c r="NDL121" s="225"/>
      <c r="NDM121" s="225"/>
      <c r="NDN121" s="225"/>
      <c r="NDO121" s="225"/>
      <c r="NDP121" s="225"/>
      <c r="NDQ121" s="225"/>
      <c r="NDR121" s="225"/>
      <c r="NDS121" s="225"/>
      <c r="NDT121" s="225"/>
      <c r="NDU121" s="225"/>
      <c r="NDV121" s="225"/>
      <c r="NDW121" s="225"/>
      <c r="NDX121" s="225"/>
      <c r="NDY121" s="225"/>
      <c r="NDZ121" s="225"/>
      <c r="NEA121" s="225"/>
      <c r="NEB121" s="225"/>
      <c r="NEC121" s="225"/>
      <c r="NED121" s="225"/>
      <c r="NEE121" s="225"/>
      <c r="NEF121" s="225"/>
      <c r="NEG121" s="225"/>
      <c r="NEH121" s="225"/>
      <c r="NEI121" s="225"/>
      <c r="NEJ121" s="225"/>
      <c r="NEK121" s="225"/>
      <c r="NEL121" s="225"/>
      <c r="NEM121" s="225"/>
      <c r="NEN121" s="225"/>
      <c r="NEO121" s="225"/>
      <c r="NEP121" s="225"/>
      <c r="NEQ121" s="225"/>
      <c r="NER121" s="225"/>
      <c r="NES121" s="225"/>
      <c r="NET121" s="225"/>
      <c r="NEU121" s="225"/>
      <c r="NEV121" s="225"/>
      <c r="NEW121" s="225"/>
      <c r="NEX121" s="225"/>
      <c r="NEY121" s="225"/>
      <c r="NEZ121" s="225"/>
      <c r="NFA121" s="225"/>
      <c r="NFB121" s="225"/>
      <c r="NFC121" s="225"/>
      <c r="NFD121" s="225"/>
      <c r="NFE121" s="225"/>
      <c r="NFF121" s="225"/>
      <c r="NFG121" s="225"/>
      <c r="NFH121" s="225"/>
      <c r="NFI121" s="225"/>
      <c r="NFJ121" s="225"/>
      <c r="NFK121" s="225"/>
      <c r="NFL121" s="225"/>
      <c r="NFM121" s="225"/>
      <c r="NFN121" s="225"/>
      <c r="NFO121" s="225"/>
      <c r="NFP121" s="225"/>
      <c r="NFQ121" s="225"/>
      <c r="NFR121" s="225"/>
      <c r="NFS121" s="225"/>
      <c r="NFT121" s="225"/>
      <c r="NFU121" s="225"/>
      <c r="NFV121" s="225"/>
      <c r="NFW121" s="225"/>
      <c r="NFX121" s="225"/>
      <c r="NFY121" s="225"/>
      <c r="NFZ121" s="225"/>
      <c r="NGA121" s="225"/>
      <c r="NGB121" s="225"/>
      <c r="NGC121" s="225"/>
      <c r="NGD121" s="225"/>
      <c r="NGE121" s="225"/>
      <c r="NGF121" s="225"/>
      <c r="NGG121" s="225"/>
      <c r="NGH121" s="225"/>
      <c r="NGI121" s="225"/>
      <c r="NGJ121" s="225"/>
      <c r="NGK121" s="225"/>
      <c r="NGL121" s="225"/>
      <c r="NGM121" s="225"/>
      <c r="NGN121" s="225"/>
      <c r="NGO121" s="225"/>
      <c r="NGP121" s="225"/>
      <c r="NGQ121" s="225"/>
      <c r="NGR121" s="225"/>
      <c r="NGS121" s="225"/>
      <c r="NGT121" s="225"/>
      <c r="NGU121" s="225"/>
      <c r="NGV121" s="225"/>
      <c r="NGW121" s="225"/>
      <c r="NGX121" s="225"/>
      <c r="NGY121" s="225"/>
      <c r="NGZ121" s="225"/>
      <c r="NHA121" s="225"/>
      <c r="NHB121" s="225"/>
      <c r="NHC121" s="225"/>
      <c r="NHD121" s="225"/>
      <c r="NHE121" s="225"/>
      <c r="NHF121" s="225"/>
      <c r="NHG121" s="225"/>
      <c r="NHH121" s="225"/>
      <c r="NHI121" s="225"/>
      <c r="NHJ121" s="225"/>
      <c r="NHK121" s="225"/>
      <c r="NHL121" s="225"/>
      <c r="NHM121" s="225"/>
      <c r="NHN121" s="225"/>
      <c r="NHO121" s="225"/>
      <c r="NHP121" s="225"/>
      <c r="NHQ121" s="225"/>
      <c r="NHR121" s="225"/>
      <c r="NHS121" s="225"/>
      <c r="NHT121" s="225"/>
      <c r="NHU121" s="225"/>
      <c r="NHV121" s="225"/>
      <c r="NHW121" s="225"/>
      <c r="NHX121" s="225"/>
      <c r="NHY121" s="225"/>
      <c r="NHZ121" s="225"/>
      <c r="NIA121" s="225"/>
      <c r="NIB121" s="225"/>
      <c r="NIC121" s="225"/>
      <c r="NID121" s="225"/>
      <c r="NIE121" s="225"/>
      <c r="NIF121" s="225"/>
      <c r="NIG121" s="225"/>
      <c r="NIH121" s="225"/>
      <c r="NII121" s="225"/>
      <c r="NIJ121" s="225"/>
      <c r="NIK121" s="225"/>
      <c r="NIL121" s="225"/>
      <c r="NIM121" s="225"/>
      <c r="NIN121" s="225"/>
      <c r="NIO121" s="225"/>
      <c r="NIP121" s="225"/>
      <c r="NIQ121" s="225"/>
      <c r="NIR121" s="225"/>
      <c r="NIS121" s="225"/>
      <c r="NIT121" s="225"/>
      <c r="NIU121" s="225"/>
      <c r="NIV121" s="225"/>
      <c r="NIW121" s="225"/>
      <c r="NIX121" s="225"/>
      <c r="NIY121" s="225"/>
      <c r="NIZ121" s="225"/>
      <c r="NJA121" s="225"/>
      <c r="NJB121" s="225"/>
      <c r="NJC121" s="225"/>
      <c r="NJD121" s="225"/>
      <c r="NJE121" s="225"/>
      <c r="NJF121" s="225"/>
      <c r="NJG121" s="225"/>
      <c r="NJH121" s="225"/>
      <c r="NJI121" s="225"/>
      <c r="NJJ121" s="225"/>
      <c r="NJK121" s="225"/>
      <c r="NJL121" s="225"/>
      <c r="NJM121" s="225"/>
      <c r="NJN121" s="225"/>
      <c r="NJO121" s="225"/>
      <c r="NJP121" s="225"/>
      <c r="NJQ121" s="225"/>
      <c r="NJR121" s="225"/>
      <c r="NJS121" s="225"/>
      <c r="NJT121" s="225"/>
      <c r="NJU121" s="225"/>
      <c r="NJV121" s="225"/>
      <c r="NJW121" s="225"/>
      <c r="NJX121" s="225"/>
      <c r="NJY121" s="225"/>
      <c r="NJZ121" s="225"/>
      <c r="NKA121" s="225"/>
      <c r="NKB121" s="225"/>
      <c r="NKC121" s="225"/>
      <c r="NKD121" s="225"/>
      <c r="NKE121" s="225"/>
      <c r="NKF121" s="225"/>
      <c r="NKG121" s="225"/>
      <c r="NKH121" s="225"/>
      <c r="NKI121" s="225"/>
      <c r="NKJ121" s="225"/>
      <c r="NKK121" s="225"/>
      <c r="NKL121" s="225"/>
      <c r="NKM121" s="225"/>
      <c r="NKN121" s="225"/>
      <c r="NKO121" s="225"/>
      <c r="NKP121" s="225"/>
      <c r="NKQ121" s="225"/>
      <c r="NKR121" s="225"/>
      <c r="NKS121" s="225"/>
      <c r="NKT121" s="225"/>
      <c r="NKU121" s="225"/>
      <c r="NKV121" s="225"/>
      <c r="NKW121" s="225"/>
      <c r="NKX121" s="225"/>
      <c r="NKY121" s="225"/>
      <c r="NKZ121" s="225"/>
      <c r="NLA121" s="225"/>
      <c r="NLB121" s="225"/>
      <c r="NLC121" s="225"/>
      <c r="NLD121" s="225"/>
      <c r="NLE121" s="225"/>
      <c r="NLF121" s="225"/>
      <c r="NLG121" s="225"/>
      <c r="NLH121" s="225"/>
      <c r="NLI121" s="225"/>
      <c r="NLJ121" s="225"/>
      <c r="NLK121" s="225"/>
      <c r="NLL121" s="225"/>
      <c r="NLM121" s="225"/>
      <c r="NLN121" s="225"/>
      <c r="NLO121" s="225"/>
      <c r="NLP121" s="225"/>
      <c r="NLQ121" s="225"/>
      <c r="NLR121" s="225"/>
      <c r="NLS121" s="225"/>
      <c r="NLT121" s="225"/>
      <c r="NLU121" s="225"/>
      <c r="NLV121" s="225"/>
      <c r="NLW121" s="225"/>
      <c r="NLX121" s="225"/>
      <c r="NLY121" s="225"/>
      <c r="NLZ121" s="225"/>
      <c r="NMA121" s="225"/>
      <c r="NMB121" s="225"/>
      <c r="NMC121" s="225"/>
      <c r="NMD121" s="225"/>
      <c r="NME121" s="225"/>
      <c r="NMF121" s="225"/>
      <c r="NMG121" s="225"/>
      <c r="NMH121" s="225"/>
      <c r="NMI121" s="225"/>
      <c r="NMJ121" s="225"/>
      <c r="NMK121" s="225"/>
      <c r="NML121" s="225"/>
      <c r="NMM121" s="225"/>
      <c r="NMN121" s="225"/>
      <c r="NMO121" s="225"/>
      <c r="NMP121" s="225"/>
      <c r="NMQ121" s="225"/>
      <c r="NMR121" s="225"/>
      <c r="NMS121" s="225"/>
      <c r="NMT121" s="225"/>
      <c r="NMU121" s="225"/>
      <c r="NMV121" s="225"/>
      <c r="NMW121" s="225"/>
      <c r="NMX121" s="225"/>
      <c r="NMY121" s="225"/>
      <c r="NMZ121" s="225"/>
      <c r="NNA121" s="225"/>
      <c r="NNB121" s="225"/>
      <c r="NNC121" s="225"/>
      <c r="NND121" s="225"/>
      <c r="NNE121" s="225"/>
      <c r="NNF121" s="225"/>
      <c r="NNG121" s="225"/>
      <c r="NNH121" s="225"/>
      <c r="NNI121" s="225"/>
      <c r="NNJ121" s="225"/>
      <c r="NNK121" s="225"/>
      <c r="NNL121" s="225"/>
      <c r="NNM121" s="225"/>
      <c r="NNN121" s="225"/>
      <c r="NNO121" s="225"/>
      <c r="NNP121" s="225"/>
      <c r="NNQ121" s="225"/>
      <c r="NNR121" s="225"/>
      <c r="NNS121" s="225"/>
      <c r="NNT121" s="225"/>
      <c r="NNU121" s="225"/>
      <c r="NNV121" s="225"/>
      <c r="NNW121" s="225"/>
      <c r="NNX121" s="225"/>
      <c r="NNY121" s="225"/>
      <c r="NNZ121" s="225"/>
      <c r="NOA121" s="225"/>
      <c r="NOB121" s="225"/>
      <c r="NOC121" s="225"/>
      <c r="NOD121" s="225"/>
      <c r="NOE121" s="225"/>
      <c r="NOF121" s="225"/>
      <c r="NOG121" s="225"/>
      <c r="NOH121" s="225"/>
      <c r="NOI121" s="225"/>
      <c r="NOJ121" s="225"/>
      <c r="NOK121" s="225"/>
      <c r="NOL121" s="225"/>
      <c r="NOM121" s="225"/>
      <c r="NON121" s="225"/>
      <c r="NOO121" s="225"/>
      <c r="NOP121" s="225"/>
      <c r="NOQ121" s="225"/>
      <c r="NOR121" s="225"/>
      <c r="NOS121" s="225"/>
      <c r="NOT121" s="225"/>
      <c r="NOU121" s="225"/>
      <c r="NOV121" s="225"/>
      <c r="NOW121" s="225"/>
      <c r="NOX121" s="225"/>
      <c r="NOY121" s="225"/>
      <c r="NOZ121" s="225"/>
      <c r="NPA121" s="225"/>
      <c r="NPB121" s="225"/>
      <c r="NPC121" s="225"/>
      <c r="NPD121" s="225"/>
      <c r="NPE121" s="225"/>
      <c r="NPF121" s="225"/>
      <c r="NPG121" s="225"/>
      <c r="NPH121" s="225"/>
      <c r="NPI121" s="225"/>
      <c r="NPJ121" s="225"/>
      <c r="NPK121" s="225"/>
      <c r="NPL121" s="225"/>
      <c r="NPM121" s="225"/>
      <c r="NPN121" s="225"/>
      <c r="NPO121" s="225"/>
      <c r="NPP121" s="225"/>
      <c r="NPQ121" s="225"/>
      <c r="NPR121" s="225"/>
      <c r="NPS121" s="225"/>
      <c r="NPT121" s="225"/>
      <c r="NPU121" s="225"/>
      <c r="NPV121" s="225"/>
      <c r="NPW121" s="225"/>
      <c r="NPX121" s="225"/>
      <c r="NPY121" s="225"/>
      <c r="NPZ121" s="225"/>
      <c r="NQA121" s="225"/>
      <c r="NQB121" s="225"/>
      <c r="NQC121" s="225"/>
      <c r="NQD121" s="225"/>
      <c r="NQE121" s="225"/>
      <c r="NQF121" s="225"/>
      <c r="NQG121" s="225"/>
      <c r="NQH121" s="225"/>
      <c r="NQI121" s="225"/>
      <c r="NQJ121" s="225"/>
      <c r="NQK121" s="225"/>
      <c r="NQL121" s="225"/>
      <c r="NQM121" s="225"/>
      <c r="NQN121" s="225"/>
      <c r="NQO121" s="225"/>
      <c r="NQP121" s="225"/>
      <c r="NQQ121" s="225"/>
      <c r="NQR121" s="225"/>
      <c r="NQS121" s="225"/>
      <c r="NQT121" s="225"/>
      <c r="NQU121" s="225"/>
      <c r="NQV121" s="225"/>
      <c r="NQW121" s="225"/>
      <c r="NQX121" s="225"/>
      <c r="NQY121" s="225"/>
      <c r="NQZ121" s="225"/>
      <c r="NRA121" s="225"/>
      <c r="NRB121" s="225"/>
      <c r="NRC121" s="225"/>
      <c r="NRD121" s="225"/>
      <c r="NRE121" s="225"/>
      <c r="NRF121" s="225"/>
      <c r="NRG121" s="225"/>
      <c r="NRH121" s="225"/>
      <c r="NRI121" s="225"/>
      <c r="NRJ121" s="225"/>
      <c r="NRK121" s="225"/>
      <c r="NRL121" s="225"/>
      <c r="NRM121" s="225"/>
      <c r="NRN121" s="225"/>
      <c r="NRO121" s="225"/>
      <c r="NRP121" s="225"/>
      <c r="NRQ121" s="225"/>
      <c r="NRR121" s="225"/>
      <c r="NRS121" s="225"/>
      <c r="NRT121" s="225"/>
      <c r="NRU121" s="225"/>
      <c r="NRV121" s="225"/>
      <c r="NRW121" s="225"/>
      <c r="NRX121" s="225"/>
      <c r="NRY121" s="225"/>
      <c r="NRZ121" s="225"/>
      <c r="NSA121" s="225"/>
      <c r="NSB121" s="225"/>
      <c r="NSC121" s="225"/>
      <c r="NSD121" s="225"/>
      <c r="NSE121" s="225"/>
      <c r="NSF121" s="225"/>
      <c r="NSG121" s="225"/>
      <c r="NSH121" s="225"/>
      <c r="NSI121" s="225"/>
      <c r="NSJ121" s="225"/>
      <c r="NSK121" s="225"/>
      <c r="NSL121" s="225"/>
      <c r="NSM121" s="225"/>
      <c r="NSN121" s="225"/>
      <c r="NSO121" s="225"/>
      <c r="NSP121" s="225"/>
      <c r="NSQ121" s="225"/>
      <c r="NSR121" s="225"/>
      <c r="NSS121" s="225"/>
      <c r="NST121" s="225"/>
      <c r="NSU121" s="225"/>
      <c r="NSV121" s="225"/>
      <c r="NSW121" s="225"/>
      <c r="NSX121" s="225"/>
      <c r="NSY121" s="225"/>
      <c r="NSZ121" s="225"/>
      <c r="NTA121" s="225"/>
      <c r="NTB121" s="225"/>
      <c r="NTC121" s="225"/>
      <c r="NTD121" s="225"/>
      <c r="NTE121" s="225"/>
      <c r="NTF121" s="225"/>
      <c r="NTG121" s="225"/>
      <c r="NTH121" s="225"/>
      <c r="NTI121" s="225"/>
      <c r="NTJ121" s="225"/>
      <c r="NTK121" s="225"/>
      <c r="NTL121" s="225"/>
      <c r="NTM121" s="225"/>
      <c r="NTN121" s="225"/>
      <c r="NTO121" s="225"/>
      <c r="NTP121" s="225"/>
      <c r="NTQ121" s="225"/>
      <c r="NTR121" s="225"/>
      <c r="NTS121" s="225"/>
      <c r="NTT121" s="225"/>
      <c r="NTU121" s="225"/>
      <c r="NTV121" s="225"/>
      <c r="NTW121" s="225"/>
      <c r="NTX121" s="225"/>
      <c r="NTY121" s="225"/>
      <c r="NTZ121" s="225"/>
      <c r="NUA121" s="225"/>
      <c r="NUB121" s="225"/>
      <c r="NUC121" s="225"/>
      <c r="NUD121" s="225"/>
      <c r="NUE121" s="225"/>
      <c r="NUF121" s="225"/>
      <c r="NUG121" s="225"/>
      <c r="NUH121" s="225"/>
      <c r="NUI121" s="225"/>
      <c r="NUJ121" s="225"/>
      <c r="NUK121" s="225"/>
      <c r="NUL121" s="225"/>
      <c r="NUM121" s="225"/>
      <c r="NUN121" s="225"/>
      <c r="NUO121" s="225"/>
      <c r="NUP121" s="225"/>
      <c r="NUQ121" s="225"/>
      <c r="NUR121" s="225"/>
      <c r="NUS121" s="225"/>
      <c r="NUT121" s="225"/>
      <c r="NUU121" s="225"/>
      <c r="NUV121" s="225"/>
      <c r="NUW121" s="225"/>
      <c r="NUX121" s="225"/>
      <c r="NUY121" s="225"/>
      <c r="NUZ121" s="225"/>
      <c r="NVA121" s="225"/>
      <c r="NVB121" s="225"/>
      <c r="NVC121" s="225"/>
      <c r="NVD121" s="225"/>
      <c r="NVE121" s="225"/>
      <c r="NVF121" s="225"/>
      <c r="NVG121" s="225"/>
      <c r="NVH121" s="225"/>
      <c r="NVI121" s="225"/>
      <c r="NVJ121" s="225"/>
      <c r="NVK121" s="225"/>
      <c r="NVL121" s="225"/>
      <c r="NVM121" s="225"/>
      <c r="NVN121" s="225"/>
      <c r="NVO121" s="225"/>
      <c r="NVP121" s="225"/>
      <c r="NVQ121" s="225"/>
      <c r="NVR121" s="225"/>
      <c r="NVS121" s="225"/>
      <c r="NVT121" s="225"/>
      <c r="NVU121" s="225"/>
      <c r="NVV121" s="225"/>
      <c r="NVW121" s="225"/>
      <c r="NVX121" s="225"/>
      <c r="NVY121" s="225"/>
      <c r="NVZ121" s="225"/>
      <c r="NWA121" s="225"/>
      <c r="NWB121" s="225"/>
      <c r="NWC121" s="225"/>
      <c r="NWD121" s="225"/>
      <c r="NWE121" s="225"/>
      <c r="NWF121" s="225"/>
      <c r="NWG121" s="225"/>
      <c r="NWH121" s="225"/>
      <c r="NWI121" s="225"/>
      <c r="NWJ121" s="225"/>
      <c r="NWK121" s="225"/>
      <c r="NWL121" s="225"/>
      <c r="NWM121" s="225"/>
      <c r="NWN121" s="225"/>
      <c r="NWO121" s="225"/>
      <c r="NWP121" s="225"/>
      <c r="NWQ121" s="225"/>
      <c r="NWR121" s="225"/>
      <c r="NWS121" s="225"/>
      <c r="NWT121" s="225"/>
      <c r="NWU121" s="225"/>
      <c r="NWV121" s="225"/>
      <c r="NWW121" s="225"/>
      <c r="NWX121" s="225"/>
      <c r="NWY121" s="225"/>
      <c r="NWZ121" s="225"/>
      <c r="NXA121" s="225"/>
      <c r="NXB121" s="225"/>
      <c r="NXC121" s="225"/>
      <c r="NXD121" s="225"/>
      <c r="NXE121" s="225"/>
      <c r="NXF121" s="225"/>
      <c r="NXG121" s="225"/>
      <c r="NXH121" s="225"/>
      <c r="NXI121" s="225"/>
      <c r="NXJ121" s="225"/>
      <c r="NXK121" s="225"/>
      <c r="NXL121" s="225"/>
      <c r="NXM121" s="225"/>
      <c r="NXN121" s="225"/>
      <c r="NXO121" s="225"/>
      <c r="NXP121" s="225"/>
      <c r="NXQ121" s="225"/>
      <c r="NXR121" s="225"/>
      <c r="NXS121" s="225"/>
      <c r="NXT121" s="225"/>
      <c r="NXU121" s="225"/>
      <c r="NXV121" s="225"/>
      <c r="NXW121" s="225"/>
      <c r="NXX121" s="225"/>
      <c r="NXY121" s="225"/>
      <c r="NXZ121" s="225"/>
      <c r="NYA121" s="225"/>
      <c r="NYB121" s="225"/>
      <c r="NYC121" s="225"/>
      <c r="NYD121" s="225"/>
      <c r="NYE121" s="225"/>
      <c r="NYF121" s="225"/>
      <c r="NYG121" s="225"/>
      <c r="NYH121" s="225"/>
      <c r="NYI121" s="225"/>
      <c r="NYJ121" s="225"/>
      <c r="NYK121" s="225"/>
      <c r="NYL121" s="225"/>
      <c r="NYM121" s="225"/>
      <c r="NYN121" s="225"/>
      <c r="NYO121" s="225"/>
      <c r="NYP121" s="225"/>
      <c r="NYQ121" s="225"/>
      <c r="NYR121" s="225"/>
      <c r="NYS121" s="225"/>
      <c r="NYT121" s="225"/>
      <c r="NYU121" s="225"/>
      <c r="NYV121" s="225"/>
      <c r="NYW121" s="225"/>
      <c r="NYX121" s="225"/>
      <c r="NYY121" s="225"/>
      <c r="NYZ121" s="225"/>
      <c r="NZA121" s="225"/>
      <c r="NZB121" s="225"/>
      <c r="NZC121" s="225"/>
      <c r="NZD121" s="225"/>
      <c r="NZE121" s="225"/>
      <c r="NZF121" s="225"/>
      <c r="NZG121" s="225"/>
      <c r="NZH121" s="225"/>
      <c r="NZI121" s="225"/>
      <c r="NZJ121" s="225"/>
      <c r="NZK121" s="225"/>
      <c r="NZL121" s="225"/>
      <c r="NZM121" s="225"/>
      <c r="NZN121" s="225"/>
      <c r="NZO121" s="225"/>
      <c r="NZP121" s="225"/>
      <c r="NZQ121" s="225"/>
      <c r="NZR121" s="225"/>
      <c r="NZS121" s="225"/>
      <c r="NZT121" s="225"/>
      <c r="NZU121" s="225"/>
      <c r="NZV121" s="225"/>
      <c r="NZW121" s="225"/>
      <c r="NZX121" s="225"/>
      <c r="NZY121" s="225"/>
      <c r="NZZ121" s="225"/>
      <c r="OAA121" s="225"/>
      <c r="OAB121" s="225"/>
      <c r="OAC121" s="225"/>
      <c r="OAD121" s="225"/>
      <c r="OAE121" s="225"/>
      <c r="OAF121" s="225"/>
      <c r="OAG121" s="225"/>
      <c r="OAH121" s="225"/>
      <c r="OAI121" s="225"/>
      <c r="OAJ121" s="225"/>
      <c r="OAK121" s="225"/>
      <c r="OAL121" s="225"/>
      <c r="OAM121" s="225"/>
      <c r="OAN121" s="225"/>
      <c r="OAO121" s="225"/>
      <c r="OAP121" s="225"/>
      <c r="OAQ121" s="225"/>
      <c r="OAR121" s="225"/>
      <c r="OAS121" s="225"/>
      <c r="OAT121" s="225"/>
      <c r="OAU121" s="225"/>
      <c r="OAV121" s="225"/>
      <c r="OAW121" s="225"/>
      <c r="OAX121" s="225"/>
      <c r="OAY121" s="225"/>
      <c r="OAZ121" s="225"/>
      <c r="OBA121" s="225"/>
      <c r="OBB121" s="225"/>
      <c r="OBC121" s="225"/>
      <c r="OBD121" s="225"/>
      <c r="OBE121" s="225"/>
      <c r="OBF121" s="225"/>
      <c r="OBG121" s="225"/>
      <c r="OBH121" s="225"/>
      <c r="OBI121" s="225"/>
      <c r="OBJ121" s="225"/>
      <c r="OBK121" s="225"/>
      <c r="OBL121" s="225"/>
      <c r="OBM121" s="225"/>
      <c r="OBN121" s="225"/>
      <c r="OBO121" s="225"/>
      <c r="OBP121" s="225"/>
      <c r="OBQ121" s="225"/>
      <c r="OBR121" s="225"/>
      <c r="OBS121" s="225"/>
      <c r="OBT121" s="225"/>
      <c r="OBU121" s="225"/>
      <c r="OBV121" s="225"/>
      <c r="OBW121" s="225"/>
      <c r="OBX121" s="225"/>
      <c r="OBY121" s="225"/>
      <c r="OBZ121" s="225"/>
      <c r="OCA121" s="225"/>
      <c r="OCB121" s="225"/>
      <c r="OCC121" s="225"/>
      <c r="OCD121" s="225"/>
      <c r="OCE121" s="225"/>
      <c r="OCF121" s="225"/>
      <c r="OCG121" s="225"/>
      <c r="OCH121" s="225"/>
      <c r="OCI121" s="225"/>
      <c r="OCJ121" s="225"/>
      <c r="OCK121" s="225"/>
      <c r="OCL121" s="225"/>
      <c r="OCM121" s="225"/>
      <c r="OCN121" s="225"/>
      <c r="OCO121" s="225"/>
      <c r="OCP121" s="225"/>
      <c r="OCQ121" s="225"/>
      <c r="OCR121" s="225"/>
      <c r="OCS121" s="225"/>
      <c r="OCT121" s="225"/>
      <c r="OCU121" s="225"/>
      <c r="OCV121" s="225"/>
      <c r="OCW121" s="225"/>
      <c r="OCX121" s="225"/>
      <c r="OCY121" s="225"/>
      <c r="OCZ121" s="225"/>
      <c r="ODA121" s="225"/>
      <c r="ODB121" s="225"/>
      <c r="ODC121" s="225"/>
      <c r="ODD121" s="225"/>
      <c r="ODE121" s="225"/>
      <c r="ODF121" s="225"/>
      <c r="ODG121" s="225"/>
      <c r="ODH121" s="225"/>
      <c r="ODI121" s="225"/>
      <c r="ODJ121" s="225"/>
      <c r="ODK121" s="225"/>
      <c r="ODL121" s="225"/>
      <c r="ODM121" s="225"/>
      <c r="ODN121" s="225"/>
      <c r="ODO121" s="225"/>
      <c r="ODP121" s="225"/>
      <c r="ODQ121" s="225"/>
      <c r="ODR121" s="225"/>
      <c r="ODS121" s="225"/>
      <c r="ODT121" s="225"/>
      <c r="ODU121" s="225"/>
      <c r="ODV121" s="225"/>
      <c r="ODW121" s="225"/>
      <c r="ODX121" s="225"/>
      <c r="ODY121" s="225"/>
      <c r="ODZ121" s="225"/>
      <c r="OEA121" s="225"/>
      <c r="OEB121" s="225"/>
      <c r="OEC121" s="225"/>
      <c r="OED121" s="225"/>
      <c r="OEE121" s="225"/>
      <c r="OEF121" s="225"/>
      <c r="OEG121" s="225"/>
      <c r="OEH121" s="225"/>
      <c r="OEI121" s="225"/>
      <c r="OEJ121" s="225"/>
      <c r="OEK121" s="225"/>
      <c r="OEL121" s="225"/>
      <c r="OEM121" s="225"/>
      <c r="OEN121" s="225"/>
      <c r="OEO121" s="225"/>
      <c r="OEP121" s="225"/>
      <c r="OEQ121" s="225"/>
      <c r="OER121" s="225"/>
      <c r="OES121" s="225"/>
      <c r="OET121" s="225"/>
      <c r="OEU121" s="225"/>
      <c r="OEV121" s="225"/>
      <c r="OEW121" s="225"/>
      <c r="OEX121" s="225"/>
      <c r="OEY121" s="225"/>
      <c r="OEZ121" s="225"/>
      <c r="OFA121" s="225"/>
      <c r="OFB121" s="225"/>
      <c r="OFC121" s="225"/>
      <c r="OFD121" s="225"/>
      <c r="OFE121" s="225"/>
      <c r="OFF121" s="225"/>
      <c r="OFG121" s="225"/>
      <c r="OFH121" s="225"/>
      <c r="OFI121" s="225"/>
      <c r="OFJ121" s="225"/>
      <c r="OFK121" s="225"/>
      <c r="OFL121" s="225"/>
      <c r="OFM121" s="225"/>
      <c r="OFN121" s="225"/>
      <c r="OFO121" s="225"/>
      <c r="OFP121" s="225"/>
      <c r="OFQ121" s="225"/>
      <c r="OFR121" s="225"/>
      <c r="OFS121" s="225"/>
      <c r="OFT121" s="225"/>
      <c r="OFU121" s="225"/>
      <c r="OFV121" s="225"/>
      <c r="OFW121" s="225"/>
      <c r="OFX121" s="225"/>
      <c r="OFY121" s="225"/>
      <c r="OFZ121" s="225"/>
      <c r="OGA121" s="225"/>
      <c r="OGB121" s="225"/>
      <c r="OGC121" s="225"/>
      <c r="OGD121" s="225"/>
      <c r="OGE121" s="225"/>
      <c r="OGF121" s="225"/>
      <c r="OGG121" s="225"/>
      <c r="OGH121" s="225"/>
      <c r="OGI121" s="225"/>
      <c r="OGJ121" s="225"/>
      <c r="OGK121" s="225"/>
      <c r="OGL121" s="225"/>
      <c r="OGM121" s="225"/>
      <c r="OGN121" s="225"/>
      <c r="OGO121" s="225"/>
      <c r="OGP121" s="225"/>
      <c r="OGQ121" s="225"/>
      <c r="OGR121" s="225"/>
      <c r="OGS121" s="225"/>
      <c r="OGT121" s="225"/>
      <c r="OGU121" s="225"/>
      <c r="OGV121" s="225"/>
      <c r="OGW121" s="225"/>
      <c r="OGX121" s="225"/>
      <c r="OGY121" s="225"/>
      <c r="OGZ121" s="225"/>
      <c r="OHA121" s="225"/>
      <c r="OHB121" s="225"/>
      <c r="OHC121" s="225"/>
      <c r="OHD121" s="225"/>
      <c r="OHE121" s="225"/>
      <c r="OHF121" s="225"/>
      <c r="OHG121" s="225"/>
      <c r="OHH121" s="225"/>
      <c r="OHI121" s="225"/>
      <c r="OHJ121" s="225"/>
      <c r="OHK121" s="225"/>
      <c r="OHL121" s="225"/>
      <c r="OHM121" s="225"/>
      <c r="OHN121" s="225"/>
      <c r="OHO121" s="225"/>
      <c r="OHP121" s="225"/>
      <c r="OHQ121" s="225"/>
      <c r="OHR121" s="225"/>
      <c r="OHS121" s="225"/>
      <c r="OHT121" s="225"/>
      <c r="OHU121" s="225"/>
      <c r="OHV121" s="225"/>
      <c r="OHW121" s="225"/>
      <c r="OHX121" s="225"/>
      <c r="OHY121" s="225"/>
      <c r="OHZ121" s="225"/>
      <c r="OIA121" s="225"/>
      <c r="OIB121" s="225"/>
      <c r="OIC121" s="225"/>
      <c r="OID121" s="225"/>
      <c r="OIE121" s="225"/>
      <c r="OIF121" s="225"/>
      <c r="OIG121" s="225"/>
      <c r="OIH121" s="225"/>
      <c r="OII121" s="225"/>
      <c r="OIJ121" s="225"/>
      <c r="OIK121" s="225"/>
      <c r="OIL121" s="225"/>
      <c r="OIM121" s="225"/>
      <c r="OIN121" s="225"/>
      <c r="OIO121" s="225"/>
      <c r="OIP121" s="225"/>
      <c r="OIQ121" s="225"/>
      <c r="OIR121" s="225"/>
      <c r="OIS121" s="225"/>
      <c r="OIT121" s="225"/>
      <c r="OIU121" s="225"/>
      <c r="OIV121" s="225"/>
      <c r="OIW121" s="225"/>
      <c r="OIX121" s="225"/>
      <c r="OIY121" s="225"/>
      <c r="OIZ121" s="225"/>
      <c r="OJA121" s="225"/>
      <c r="OJB121" s="225"/>
      <c r="OJC121" s="225"/>
      <c r="OJD121" s="225"/>
      <c r="OJE121" s="225"/>
      <c r="OJF121" s="225"/>
      <c r="OJG121" s="225"/>
      <c r="OJH121" s="225"/>
      <c r="OJI121" s="225"/>
      <c r="OJJ121" s="225"/>
      <c r="OJK121" s="225"/>
      <c r="OJL121" s="225"/>
      <c r="OJM121" s="225"/>
      <c r="OJN121" s="225"/>
      <c r="OJO121" s="225"/>
      <c r="OJP121" s="225"/>
      <c r="OJQ121" s="225"/>
      <c r="OJR121" s="225"/>
      <c r="OJS121" s="225"/>
      <c r="OJT121" s="225"/>
      <c r="OJU121" s="225"/>
      <c r="OJV121" s="225"/>
      <c r="OJW121" s="225"/>
      <c r="OJX121" s="225"/>
      <c r="OJY121" s="225"/>
      <c r="OJZ121" s="225"/>
      <c r="OKA121" s="225"/>
      <c r="OKB121" s="225"/>
      <c r="OKC121" s="225"/>
      <c r="OKD121" s="225"/>
      <c r="OKE121" s="225"/>
      <c r="OKF121" s="225"/>
      <c r="OKG121" s="225"/>
      <c r="OKH121" s="225"/>
      <c r="OKI121" s="225"/>
      <c r="OKJ121" s="225"/>
      <c r="OKK121" s="225"/>
      <c r="OKL121" s="225"/>
      <c r="OKM121" s="225"/>
      <c r="OKN121" s="225"/>
      <c r="OKO121" s="225"/>
      <c r="OKP121" s="225"/>
      <c r="OKQ121" s="225"/>
      <c r="OKR121" s="225"/>
      <c r="OKS121" s="225"/>
      <c r="OKT121" s="225"/>
      <c r="OKU121" s="225"/>
      <c r="OKV121" s="225"/>
      <c r="OKW121" s="225"/>
      <c r="OKX121" s="225"/>
      <c r="OKY121" s="225"/>
      <c r="OKZ121" s="225"/>
      <c r="OLA121" s="225"/>
      <c r="OLB121" s="225"/>
      <c r="OLC121" s="225"/>
      <c r="OLD121" s="225"/>
      <c r="OLE121" s="225"/>
      <c r="OLF121" s="225"/>
      <c r="OLG121" s="225"/>
      <c r="OLH121" s="225"/>
      <c r="OLI121" s="225"/>
      <c r="OLJ121" s="225"/>
      <c r="OLK121" s="225"/>
      <c r="OLL121" s="225"/>
      <c r="OLM121" s="225"/>
      <c r="OLN121" s="225"/>
      <c r="OLO121" s="225"/>
      <c r="OLP121" s="225"/>
      <c r="OLQ121" s="225"/>
      <c r="OLR121" s="225"/>
      <c r="OLS121" s="225"/>
      <c r="OLT121" s="225"/>
      <c r="OLU121" s="225"/>
      <c r="OLV121" s="225"/>
      <c r="OLW121" s="225"/>
      <c r="OLX121" s="225"/>
      <c r="OLY121" s="225"/>
      <c r="OLZ121" s="225"/>
      <c r="OMA121" s="225"/>
      <c r="OMB121" s="225"/>
      <c r="OMC121" s="225"/>
      <c r="OMD121" s="225"/>
      <c r="OME121" s="225"/>
      <c r="OMF121" s="225"/>
      <c r="OMG121" s="225"/>
      <c r="OMH121" s="225"/>
      <c r="OMI121" s="225"/>
      <c r="OMJ121" s="225"/>
      <c r="OMK121" s="225"/>
      <c r="OML121" s="225"/>
      <c r="OMM121" s="225"/>
      <c r="OMN121" s="225"/>
      <c r="OMO121" s="225"/>
      <c r="OMP121" s="225"/>
      <c r="OMQ121" s="225"/>
      <c r="OMR121" s="225"/>
      <c r="OMS121" s="225"/>
      <c r="OMT121" s="225"/>
      <c r="OMU121" s="225"/>
      <c r="OMV121" s="225"/>
      <c r="OMW121" s="225"/>
      <c r="OMX121" s="225"/>
      <c r="OMY121" s="225"/>
      <c r="OMZ121" s="225"/>
      <c r="ONA121" s="225"/>
      <c r="ONB121" s="225"/>
      <c r="ONC121" s="225"/>
      <c r="OND121" s="225"/>
      <c r="ONE121" s="225"/>
      <c r="ONF121" s="225"/>
      <c r="ONG121" s="225"/>
      <c r="ONH121" s="225"/>
      <c r="ONI121" s="225"/>
      <c r="ONJ121" s="225"/>
      <c r="ONK121" s="225"/>
      <c r="ONL121" s="225"/>
      <c r="ONM121" s="225"/>
      <c r="ONN121" s="225"/>
      <c r="ONO121" s="225"/>
      <c r="ONP121" s="225"/>
      <c r="ONQ121" s="225"/>
      <c r="ONR121" s="225"/>
      <c r="ONS121" s="225"/>
      <c r="ONT121" s="225"/>
      <c r="ONU121" s="225"/>
      <c r="ONV121" s="225"/>
      <c r="ONW121" s="225"/>
      <c r="ONX121" s="225"/>
      <c r="ONY121" s="225"/>
      <c r="ONZ121" s="225"/>
      <c r="OOA121" s="225"/>
      <c r="OOB121" s="225"/>
      <c r="OOC121" s="225"/>
      <c r="OOD121" s="225"/>
      <c r="OOE121" s="225"/>
      <c r="OOF121" s="225"/>
      <c r="OOG121" s="225"/>
      <c r="OOH121" s="225"/>
      <c r="OOI121" s="225"/>
      <c r="OOJ121" s="225"/>
      <c r="OOK121" s="225"/>
      <c r="OOL121" s="225"/>
      <c r="OOM121" s="225"/>
      <c r="OON121" s="225"/>
      <c r="OOO121" s="225"/>
      <c r="OOP121" s="225"/>
      <c r="OOQ121" s="225"/>
      <c r="OOR121" s="225"/>
      <c r="OOS121" s="225"/>
      <c r="OOT121" s="225"/>
      <c r="OOU121" s="225"/>
      <c r="OOV121" s="225"/>
      <c r="OOW121" s="225"/>
      <c r="OOX121" s="225"/>
      <c r="OOY121" s="225"/>
      <c r="OOZ121" s="225"/>
      <c r="OPA121" s="225"/>
      <c r="OPB121" s="225"/>
      <c r="OPC121" s="225"/>
      <c r="OPD121" s="225"/>
      <c r="OPE121" s="225"/>
      <c r="OPF121" s="225"/>
      <c r="OPG121" s="225"/>
      <c r="OPH121" s="225"/>
      <c r="OPI121" s="225"/>
      <c r="OPJ121" s="225"/>
      <c r="OPK121" s="225"/>
      <c r="OPL121" s="225"/>
      <c r="OPM121" s="225"/>
      <c r="OPN121" s="225"/>
      <c r="OPO121" s="225"/>
      <c r="OPP121" s="225"/>
      <c r="OPQ121" s="225"/>
      <c r="OPR121" s="225"/>
      <c r="OPS121" s="225"/>
      <c r="OPT121" s="225"/>
      <c r="OPU121" s="225"/>
      <c r="OPV121" s="225"/>
      <c r="OPW121" s="225"/>
      <c r="OPX121" s="225"/>
      <c r="OPY121" s="225"/>
      <c r="OPZ121" s="225"/>
      <c r="OQA121" s="225"/>
      <c r="OQB121" s="225"/>
      <c r="OQC121" s="225"/>
      <c r="OQD121" s="225"/>
      <c r="OQE121" s="225"/>
      <c r="OQF121" s="225"/>
      <c r="OQG121" s="225"/>
      <c r="OQH121" s="225"/>
      <c r="OQI121" s="225"/>
      <c r="OQJ121" s="225"/>
      <c r="OQK121" s="225"/>
      <c r="OQL121" s="225"/>
      <c r="OQM121" s="225"/>
      <c r="OQN121" s="225"/>
      <c r="OQO121" s="225"/>
      <c r="OQP121" s="225"/>
      <c r="OQQ121" s="225"/>
      <c r="OQR121" s="225"/>
      <c r="OQS121" s="225"/>
      <c r="OQT121" s="225"/>
      <c r="OQU121" s="225"/>
      <c r="OQV121" s="225"/>
      <c r="OQW121" s="225"/>
      <c r="OQX121" s="225"/>
      <c r="OQY121" s="225"/>
      <c r="OQZ121" s="225"/>
      <c r="ORA121" s="225"/>
      <c r="ORB121" s="225"/>
      <c r="ORC121" s="225"/>
      <c r="ORD121" s="225"/>
      <c r="ORE121" s="225"/>
      <c r="ORF121" s="225"/>
      <c r="ORG121" s="225"/>
      <c r="ORH121" s="225"/>
      <c r="ORI121" s="225"/>
      <c r="ORJ121" s="225"/>
      <c r="ORK121" s="225"/>
      <c r="ORL121" s="225"/>
      <c r="ORM121" s="225"/>
      <c r="ORN121" s="225"/>
      <c r="ORO121" s="225"/>
      <c r="ORP121" s="225"/>
      <c r="ORQ121" s="225"/>
      <c r="ORR121" s="225"/>
      <c r="ORS121" s="225"/>
      <c r="ORT121" s="225"/>
      <c r="ORU121" s="225"/>
      <c r="ORV121" s="225"/>
      <c r="ORW121" s="225"/>
      <c r="ORX121" s="225"/>
      <c r="ORY121" s="225"/>
      <c r="ORZ121" s="225"/>
      <c r="OSA121" s="225"/>
      <c r="OSB121" s="225"/>
      <c r="OSC121" s="225"/>
      <c r="OSD121" s="225"/>
      <c r="OSE121" s="225"/>
      <c r="OSF121" s="225"/>
      <c r="OSG121" s="225"/>
      <c r="OSH121" s="225"/>
      <c r="OSI121" s="225"/>
      <c r="OSJ121" s="225"/>
      <c r="OSK121" s="225"/>
      <c r="OSL121" s="225"/>
      <c r="OSM121" s="225"/>
      <c r="OSN121" s="225"/>
      <c r="OSO121" s="225"/>
      <c r="OSP121" s="225"/>
      <c r="OSQ121" s="225"/>
      <c r="OSR121" s="225"/>
      <c r="OSS121" s="225"/>
      <c r="OST121" s="225"/>
      <c r="OSU121" s="225"/>
      <c r="OSV121" s="225"/>
      <c r="OSW121" s="225"/>
      <c r="OSX121" s="225"/>
      <c r="OSY121" s="225"/>
      <c r="OSZ121" s="225"/>
      <c r="OTA121" s="225"/>
      <c r="OTB121" s="225"/>
      <c r="OTC121" s="225"/>
      <c r="OTD121" s="225"/>
      <c r="OTE121" s="225"/>
      <c r="OTF121" s="225"/>
      <c r="OTG121" s="225"/>
      <c r="OTH121" s="225"/>
      <c r="OTI121" s="225"/>
      <c r="OTJ121" s="225"/>
      <c r="OTK121" s="225"/>
      <c r="OTL121" s="225"/>
      <c r="OTM121" s="225"/>
      <c r="OTN121" s="225"/>
      <c r="OTO121" s="225"/>
      <c r="OTP121" s="225"/>
      <c r="OTQ121" s="225"/>
      <c r="OTR121" s="225"/>
      <c r="OTS121" s="225"/>
      <c r="OTT121" s="225"/>
      <c r="OTU121" s="225"/>
      <c r="OTV121" s="225"/>
      <c r="OTW121" s="225"/>
      <c r="OTX121" s="225"/>
      <c r="OTY121" s="225"/>
      <c r="OTZ121" s="225"/>
      <c r="OUA121" s="225"/>
      <c r="OUB121" s="225"/>
      <c r="OUC121" s="225"/>
      <c r="OUD121" s="225"/>
      <c r="OUE121" s="225"/>
      <c r="OUF121" s="225"/>
      <c r="OUG121" s="225"/>
      <c r="OUH121" s="225"/>
      <c r="OUI121" s="225"/>
      <c r="OUJ121" s="225"/>
      <c r="OUK121" s="225"/>
      <c r="OUL121" s="225"/>
      <c r="OUM121" s="225"/>
      <c r="OUN121" s="225"/>
      <c r="OUO121" s="225"/>
      <c r="OUP121" s="225"/>
      <c r="OUQ121" s="225"/>
      <c r="OUR121" s="225"/>
      <c r="OUS121" s="225"/>
      <c r="OUT121" s="225"/>
      <c r="OUU121" s="225"/>
      <c r="OUV121" s="225"/>
      <c r="OUW121" s="225"/>
      <c r="OUX121" s="225"/>
      <c r="OUY121" s="225"/>
      <c r="OUZ121" s="225"/>
      <c r="OVA121" s="225"/>
      <c r="OVB121" s="225"/>
      <c r="OVC121" s="225"/>
      <c r="OVD121" s="225"/>
      <c r="OVE121" s="225"/>
      <c r="OVF121" s="225"/>
      <c r="OVG121" s="225"/>
      <c r="OVH121" s="225"/>
      <c r="OVI121" s="225"/>
      <c r="OVJ121" s="225"/>
      <c r="OVK121" s="225"/>
      <c r="OVL121" s="225"/>
      <c r="OVM121" s="225"/>
      <c r="OVN121" s="225"/>
      <c r="OVO121" s="225"/>
      <c r="OVP121" s="225"/>
      <c r="OVQ121" s="225"/>
      <c r="OVR121" s="225"/>
      <c r="OVS121" s="225"/>
      <c r="OVT121" s="225"/>
      <c r="OVU121" s="225"/>
      <c r="OVV121" s="225"/>
      <c r="OVW121" s="225"/>
      <c r="OVX121" s="225"/>
      <c r="OVY121" s="225"/>
      <c r="OVZ121" s="225"/>
      <c r="OWA121" s="225"/>
      <c r="OWB121" s="225"/>
      <c r="OWC121" s="225"/>
      <c r="OWD121" s="225"/>
      <c r="OWE121" s="225"/>
      <c r="OWF121" s="225"/>
      <c r="OWG121" s="225"/>
      <c r="OWH121" s="225"/>
      <c r="OWI121" s="225"/>
      <c r="OWJ121" s="225"/>
      <c r="OWK121" s="225"/>
      <c r="OWL121" s="225"/>
      <c r="OWM121" s="225"/>
      <c r="OWN121" s="225"/>
      <c r="OWO121" s="225"/>
      <c r="OWP121" s="225"/>
      <c r="OWQ121" s="225"/>
      <c r="OWR121" s="225"/>
      <c r="OWS121" s="225"/>
      <c r="OWT121" s="225"/>
      <c r="OWU121" s="225"/>
      <c r="OWV121" s="225"/>
      <c r="OWW121" s="225"/>
      <c r="OWX121" s="225"/>
      <c r="OWY121" s="225"/>
      <c r="OWZ121" s="225"/>
      <c r="OXA121" s="225"/>
      <c r="OXB121" s="225"/>
      <c r="OXC121" s="225"/>
      <c r="OXD121" s="225"/>
      <c r="OXE121" s="225"/>
      <c r="OXF121" s="225"/>
      <c r="OXG121" s="225"/>
      <c r="OXH121" s="225"/>
      <c r="OXI121" s="225"/>
      <c r="OXJ121" s="225"/>
      <c r="OXK121" s="225"/>
      <c r="OXL121" s="225"/>
      <c r="OXM121" s="225"/>
      <c r="OXN121" s="225"/>
      <c r="OXO121" s="225"/>
      <c r="OXP121" s="225"/>
      <c r="OXQ121" s="225"/>
      <c r="OXR121" s="225"/>
      <c r="OXS121" s="225"/>
      <c r="OXT121" s="225"/>
      <c r="OXU121" s="225"/>
      <c r="OXV121" s="225"/>
      <c r="OXW121" s="225"/>
      <c r="OXX121" s="225"/>
      <c r="OXY121" s="225"/>
      <c r="OXZ121" s="225"/>
      <c r="OYA121" s="225"/>
      <c r="OYB121" s="225"/>
      <c r="OYC121" s="225"/>
      <c r="OYD121" s="225"/>
      <c r="OYE121" s="225"/>
      <c r="OYF121" s="225"/>
      <c r="OYG121" s="225"/>
      <c r="OYH121" s="225"/>
      <c r="OYI121" s="225"/>
      <c r="OYJ121" s="225"/>
      <c r="OYK121" s="225"/>
      <c r="OYL121" s="225"/>
      <c r="OYM121" s="225"/>
      <c r="OYN121" s="225"/>
      <c r="OYO121" s="225"/>
      <c r="OYP121" s="225"/>
      <c r="OYQ121" s="225"/>
      <c r="OYR121" s="225"/>
      <c r="OYS121" s="225"/>
      <c r="OYT121" s="225"/>
      <c r="OYU121" s="225"/>
      <c r="OYV121" s="225"/>
      <c r="OYW121" s="225"/>
      <c r="OYX121" s="225"/>
      <c r="OYY121" s="225"/>
      <c r="OYZ121" s="225"/>
      <c r="OZA121" s="225"/>
      <c r="OZB121" s="225"/>
      <c r="OZC121" s="225"/>
      <c r="OZD121" s="225"/>
      <c r="OZE121" s="225"/>
      <c r="OZF121" s="225"/>
      <c r="OZG121" s="225"/>
      <c r="OZH121" s="225"/>
      <c r="OZI121" s="225"/>
      <c r="OZJ121" s="225"/>
      <c r="OZK121" s="225"/>
      <c r="OZL121" s="225"/>
      <c r="OZM121" s="225"/>
      <c r="OZN121" s="225"/>
      <c r="OZO121" s="225"/>
      <c r="OZP121" s="225"/>
      <c r="OZQ121" s="225"/>
      <c r="OZR121" s="225"/>
      <c r="OZS121" s="225"/>
      <c r="OZT121" s="225"/>
      <c r="OZU121" s="225"/>
      <c r="OZV121" s="225"/>
      <c r="OZW121" s="225"/>
      <c r="OZX121" s="225"/>
      <c r="OZY121" s="225"/>
      <c r="OZZ121" s="225"/>
      <c r="PAA121" s="225"/>
      <c r="PAB121" s="225"/>
      <c r="PAC121" s="225"/>
      <c r="PAD121" s="225"/>
      <c r="PAE121" s="225"/>
      <c r="PAF121" s="225"/>
      <c r="PAG121" s="225"/>
      <c r="PAH121" s="225"/>
      <c r="PAI121" s="225"/>
      <c r="PAJ121" s="225"/>
      <c r="PAK121" s="225"/>
      <c r="PAL121" s="225"/>
      <c r="PAM121" s="225"/>
      <c r="PAN121" s="225"/>
      <c r="PAO121" s="225"/>
      <c r="PAP121" s="225"/>
      <c r="PAQ121" s="225"/>
      <c r="PAR121" s="225"/>
      <c r="PAS121" s="225"/>
      <c r="PAT121" s="225"/>
      <c r="PAU121" s="225"/>
      <c r="PAV121" s="225"/>
      <c r="PAW121" s="225"/>
      <c r="PAX121" s="225"/>
      <c r="PAY121" s="225"/>
      <c r="PAZ121" s="225"/>
      <c r="PBA121" s="225"/>
      <c r="PBB121" s="225"/>
      <c r="PBC121" s="225"/>
      <c r="PBD121" s="225"/>
      <c r="PBE121" s="225"/>
      <c r="PBF121" s="225"/>
      <c r="PBG121" s="225"/>
      <c r="PBH121" s="225"/>
      <c r="PBI121" s="225"/>
      <c r="PBJ121" s="225"/>
      <c r="PBK121" s="225"/>
      <c r="PBL121" s="225"/>
      <c r="PBM121" s="225"/>
      <c r="PBN121" s="225"/>
      <c r="PBO121" s="225"/>
      <c r="PBP121" s="225"/>
      <c r="PBQ121" s="225"/>
      <c r="PBR121" s="225"/>
      <c r="PBS121" s="225"/>
      <c r="PBT121" s="225"/>
      <c r="PBU121" s="225"/>
      <c r="PBV121" s="225"/>
      <c r="PBW121" s="225"/>
      <c r="PBX121" s="225"/>
      <c r="PBY121" s="225"/>
      <c r="PBZ121" s="225"/>
      <c r="PCA121" s="225"/>
      <c r="PCB121" s="225"/>
      <c r="PCC121" s="225"/>
      <c r="PCD121" s="225"/>
      <c r="PCE121" s="225"/>
      <c r="PCF121" s="225"/>
      <c r="PCG121" s="225"/>
      <c r="PCH121" s="225"/>
      <c r="PCI121" s="225"/>
      <c r="PCJ121" s="225"/>
      <c r="PCK121" s="225"/>
      <c r="PCL121" s="225"/>
      <c r="PCM121" s="225"/>
      <c r="PCN121" s="225"/>
      <c r="PCO121" s="225"/>
      <c r="PCP121" s="225"/>
      <c r="PCQ121" s="225"/>
      <c r="PCR121" s="225"/>
      <c r="PCS121" s="225"/>
      <c r="PCT121" s="225"/>
      <c r="PCU121" s="225"/>
      <c r="PCV121" s="225"/>
      <c r="PCW121" s="225"/>
      <c r="PCX121" s="225"/>
      <c r="PCY121" s="225"/>
      <c r="PCZ121" s="225"/>
      <c r="PDA121" s="225"/>
      <c r="PDB121" s="225"/>
      <c r="PDC121" s="225"/>
      <c r="PDD121" s="225"/>
      <c r="PDE121" s="225"/>
      <c r="PDF121" s="225"/>
      <c r="PDG121" s="225"/>
      <c r="PDH121" s="225"/>
      <c r="PDI121" s="225"/>
      <c r="PDJ121" s="225"/>
      <c r="PDK121" s="225"/>
      <c r="PDL121" s="225"/>
      <c r="PDM121" s="225"/>
      <c r="PDN121" s="225"/>
      <c r="PDO121" s="225"/>
      <c r="PDP121" s="225"/>
      <c r="PDQ121" s="225"/>
      <c r="PDR121" s="225"/>
      <c r="PDS121" s="225"/>
      <c r="PDT121" s="225"/>
      <c r="PDU121" s="225"/>
      <c r="PDV121" s="225"/>
      <c r="PDW121" s="225"/>
      <c r="PDX121" s="225"/>
      <c r="PDY121" s="225"/>
      <c r="PDZ121" s="225"/>
      <c r="PEA121" s="225"/>
      <c r="PEB121" s="225"/>
      <c r="PEC121" s="225"/>
      <c r="PED121" s="225"/>
      <c r="PEE121" s="225"/>
      <c r="PEF121" s="225"/>
      <c r="PEG121" s="225"/>
      <c r="PEH121" s="225"/>
      <c r="PEI121" s="225"/>
      <c r="PEJ121" s="225"/>
      <c r="PEK121" s="225"/>
      <c r="PEL121" s="225"/>
      <c r="PEM121" s="225"/>
      <c r="PEN121" s="225"/>
      <c r="PEO121" s="225"/>
      <c r="PEP121" s="225"/>
      <c r="PEQ121" s="225"/>
      <c r="PER121" s="225"/>
      <c r="PES121" s="225"/>
      <c r="PET121" s="225"/>
      <c r="PEU121" s="225"/>
      <c r="PEV121" s="225"/>
      <c r="PEW121" s="225"/>
      <c r="PEX121" s="225"/>
      <c r="PEY121" s="225"/>
      <c r="PEZ121" s="225"/>
      <c r="PFA121" s="225"/>
      <c r="PFB121" s="225"/>
      <c r="PFC121" s="225"/>
      <c r="PFD121" s="225"/>
      <c r="PFE121" s="225"/>
      <c r="PFF121" s="225"/>
      <c r="PFG121" s="225"/>
      <c r="PFH121" s="225"/>
      <c r="PFI121" s="225"/>
      <c r="PFJ121" s="225"/>
      <c r="PFK121" s="225"/>
      <c r="PFL121" s="225"/>
      <c r="PFM121" s="225"/>
      <c r="PFN121" s="225"/>
      <c r="PFO121" s="225"/>
      <c r="PFP121" s="225"/>
      <c r="PFQ121" s="225"/>
      <c r="PFR121" s="225"/>
      <c r="PFS121" s="225"/>
      <c r="PFT121" s="225"/>
      <c r="PFU121" s="225"/>
      <c r="PFV121" s="225"/>
      <c r="PFW121" s="225"/>
      <c r="PFX121" s="225"/>
      <c r="PFY121" s="225"/>
      <c r="PFZ121" s="225"/>
      <c r="PGA121" s="225"/>
      <c r="PGB121" s="225"/>
      <c r="PGC121" s="225"/>
      <c r="PGD121" s="225"/>
      <c r="PGE121" s="225"/>
      <c r="PGF121" s="225"/>
      <c r="PGG121" s="225"/>
      <c r="PGH121" s="225"/>
      <c r="PGI121" s="225"/>
      <c r="PGJ121" s="225"/>
      <c r="PGK121" s="225"/>
      <c r="PGL121" s="225"/>
      <c r="PGM121" s="225"/>
      <c r="PGN121" s="225"/>
      <c r="PGO121" s="225"/>
      <c r="PGP121" s="225"/>
      <c r="PGQ121" s="225"/>
      <c r="PGR121" s="225"/>
      <c r="PGS121" s="225"/>
      <c r="PGT121" s="225"/>
      <c r="PGU121" s="225"/>
      <c r="PGV121" s="225"/>
      <c r="PGW121" s="225"/>
      <c r="PGX121" s="225"/>
      <c r="PGY121" s="225"/>
      <c r="PGZ121" s="225"/>
      <c r="PHA121" s="225"/>
      <c r="PHB121" s="225"/>
      <c r="PHC121" s="225"/>
      <c r="PHD121" s="225"/>
      <c r="PHE121" s="225"/>
      <c r="PHF121" s="225"/>
      <c r="PHG121" s="225"/>
      <c r="PHH121" s="225"/>
      <c r="PHI121" s="225"/>
      <c r="PHJ121" s="225"/>
      <c r="PHK121" s="225"/>
      <c r="PHL121" s="225"/>
      <c r="PHM121" s="225"/>
      <c r="PHN121" s="225"/>
      <c r="PHO121" s="225"/>
      <c r="PHP121" s="225"/>
      <c r="PHQ121" s="225"/>
      <c r="PHR121" s="225"/>
      <c r="PHS121" s="225"/>
      <c r="PHT121" s="225"/>
      <c r="PHU121" s="225"/>
      <c r="PHV121" s="225"/>
      <c r="PHW121" s="225"/>
      <c r="PHX121" s="225"/>
      <c r="PHY121" s="225"/>
      <c r="PHZ121" s="225"/>
      <c r="PIA121" s="225"/>
      <c r="PIB121" s="225"/>
      <c r="PIC121" s="225"/>
      <c r="PID121" s="225"/>
      <c r="PIE121" s="225"/>
      <c r="PIF121" s="225"/>
      <c r="PIG121" s="225"/>
      <c r="PIH121" s="225"/>
      <c r="PII121" s="225"/>
      <c r="PIJ121" s="225"/>
      <c r="PIK121" s="225"/>
      <c r="PIL121" s="225"/>
      <c r="PIM121" s="225"/>
      <c r="PIN121" s="225"/>
      <c r="PIO121" s="225"/>
      <c r="PIP121" s="225"/>
      <c r="PIQ121" s="225"/>
      <c r="PIR121" s="225"/>
      <c r="PIS121" s="225"/>
      <c r="PIT121" s="225"/>
      <c r="PIU121" s="225"/>
      <c r="PIV121" s="225"/>
      <c r="PIW121" s="225"/>
      <c r="PIX121" s="225"/>
      <c r="PIY121" s="225"/>
      <c r="PIZ121" s="225"/>
      <c r="PJA121" s="225"/>
      <c r="PJB121" s="225"/>
      <c r="PJC121" s="225"/>
      <c r="PJD121" s="225"/>
      <c r="PJE121" s="225"/>
      <c r="PJF121" s="225"/>
      <c r="PJG121" s="225"/>
      <c r="PJH121" s="225"/>
      <c r="PJI121" s="225"/>
      <c r="PJJ121" s="225"/>
      <c r="PJK121" s="225"/>
      <c r="PJL121" s="225"/>
      <c r="PJM121" s="225"/>
      <c r="PJN121" s="225"/>
      <c r="PJO121" s="225"/>
      <c r="PJP121" s="225"/>
      <c r="PJQ121" s="225"/>
      <c r="PJR121" s="225"/>
      <c r="PJS121" s="225"/>
      <c r="PJT121" s="225"/>
      <c r="PJU121" s="225"/>
      <c r="PJV121" s="225"/>
      <c r="PJW121" s="225"/>
      <c r="PJX121" s="225"/>
      <c r="PJY121" s="225"/>
      <c r="PJZ121" s="225"/>
      <c r="PKA121" s="225"/>
      <c r="PKB121" s="225"/>
      <c r="PKC121" s="225"/>
      <c r="PKD121" s="225"/>
      <c r="PKE121" s="225"/>
      <c r="PKF121" s="225"/>
      <c r="PKG121" s="225"/>
      <c r="PKH121" s="225"/>
      <c r="PKI121" s="225"/>
      <c r="PKJ121" s="225"/>
      <c r="PKK121" s="225"/>
      <c r="PKL121" s="225"/>
      <c r="PKM121" s="225"/>
      <c r="PKN121" s="225"/>
      <c r="PKO121" s="225"/>
      <c r="PKP121" s="225"/>
      <c r="PKQ121" s="225"/>
      <c r="PKR121" s="225"/>
      <c r="PKS121" s="225"/>
      <c r="PKT121" s="225"/>
      <c r="PKU121" s="225"/>
      <c r="PKV121" s="225"/>
      <c r="PKW121" s="225"/>
      <c r="PKX121" s="225"/>
      <c r="PKY121" s="225"/>
      <c r="PKZ121" s="225"/>
      <c r="PLA121" s="225"/>
      <c r="PLB121" s="225"/>
      <c r="PLC121" s="225"/>
      <c r="PLD121" s="225"/>
      <c r="PLE121" s="225"/>
      <c r="PLF121" s="225"/>
      <c r="PLG121" s="225"/>
      <c r="PLH121" s="225"/>
      <c r="PLI121" s="225"/>
      <c r="PLJ121" s="225"/>
      <c r="PLK121" s="225"/>
      <c r="PLL121" s="225"/>
      <c r="PLM121" s="225"/>
      <c r="PLN121" s="225"/>
      <c r="PLO121" s="225"/>
      <c r="PLP121" s="225"/>
      <c r="PLQ121" s="225"/>
      <c r="PLR121" s="225"/>
      <c r="PLS121" s="225"/>
      <c r="PLT121" s="225"/>
      <c r="PLU121" s="225"/>
      <c r="PLV121" s="225"/>
      <c r="PLW121" s="225"/>
      <c r="PLX121" s="225"/>
      <c r="PLY121" s="225"/>
      <c r="PLZ121" s="225"/>
      <c r="PMA121" s="225"/>
      <c r="PMB121" s="225"/>
      <c r="PMC121" s="225"/>
      <c r="PMD121" s="225"/>
      <c r="PME121" s="225"/>
      <c r="PMF121" s="225"/>
      <c r="PMG121" s="225"/>
      <c r="PMH121" s="225"/>
      <c r="PMI121" s="225"/>
      <c r="PMJ121" s="225"/>
      <c r="PMK121" s="225"/>
      <c r="PML121" s="225"/>
      <c r="PMM121" s="225"/>
      <c r="PMN121" s="225"/>
      <c r="PMO121" s="225"/>
      <c r="PMP121" s="225"/>
      <c r="PMQ121" s="225"/>
      <c r="PMR121" s="225"/>
      <c r="PMS121" s="225"/>
      <c r="PMT121" s="225"/>
      <c r="PMU121" s="225"/>
      <c r="PMV121" s="225"/>
      <c r="PMW121" s="225"/>
      <c r="PMX121" s="225"/>
      <c r="PMY121" s="225"/>
      <c r="PMZ121" s="225"/>
      <c r="PNA121" s="225"/>
      <c r="PNB121" s="225"/>
      <c r="PNC121" s="225"/>
      <c r="PND121" s="225"/>
      <c r="PNE121" s="225"/>
      <c r="PNF121" s="225"/>
      <c r="PNG121" s="225"/>
      <c r="PNH121" s="225"/>
      <c r="PNI121" s="225"/>
      <c r="PNJ121" s="225"/>
      <c r="PNK121" s="225"/>
      <c r="PNL121" s="225"/>
      <c r="PNM121" s="225"/>
      <c r="PNN121" s="225"/>
      <c r="PNO121" s="225"/>
      <c r="PNP121" s="225"/>
      <c r="PNQ121" s="225"/>
      <c r="PNR121" s="225"/>
      <c r="PNS121" s="225"/>
      <c r="PNT121" s="225"/>
      <c r="PNU121" s="225"/>
      <c r="PNV121" s="225"/>
      <c r="PNW121" s="225"/>
      <c r="PNX121" s="225"/>
      <c r="PNY121" s="225"/>
      <c r="PNZ121" s="225"/>
      <c r="POA121" s="225"/>
      <c r="POB121" s="225"/>
      <c r="POC121" s="225"/>
      <c r="POD121" s="225"/>
      <c r="POE121" s="225"/>
      <c r="POF121" s="225"/>
      <c r="POG121" s="225"/>
      <c r="POH121" s="225"/>
      <c r="POI121" s="225"/>
      <c r="POJ121" s="225"/>
      <c r="POK121" s="225"/>
      <c r="POL121" s="225"/>
      <c r="POM121" s="225"/>
      <c r="PON121" s="225"/>
      <c r="POO121" s="225"/>
      <c r="POP121" s="225"/>
      <c r="POQ121" s="225"/>
      <c r="POR121" s="225"/>
      <c r="POS121" s="225"/>
      <c r="POT121" s="225"/>
      <c r="POU121" s="225"/>
      <c r="POV121" s="225"/>
      <c r="POW121" s="225"/>
      <c r="POX121" s="225"/>
      <c r="POY121" s="225"/>
      <c r="POZ121" s="225"/>
      <c r="PPA121" s="225"/>
      <c r="PPB121" s="225"/>
      <c r="PPC121" s="225"/>
      <c r="PPD121" s="225"/>
      <c r="PPE121" s="225"/>
      <c r="PPF121" s="225"/>
      <c r="PPG121" s="225"/>
      <c r="PPH121" s="225"/>
      <c r="PPI121" s="225"/>
      <c r="PPJ121" s="225"/>
      <c r="PPK121" s="225"/>
      <c r="PPL121" s="225"/>
      <c r="PPM121" s="225"/>
      <c r="PPN121" s="225"/>
      <c r="PPO121" s="225"/>
      <c r="PPP121" s="225"/>
      <c r="PPQ121" s="225"/>
      <c r="PPR121" s="225"/>
      <c r="PPS121" s="225"/>
      <c r="PPT121" s="225"/>
      <c r="PPU121" s="225"/>
      <c r="PPV121" s="225"/>
      <c r="PPW121" s="225"/>
      <c r="PPX121" s="225"/>
      <c r="PPY121" s="225"/>
      <c r="PPZ121" s="225"/>
      <c r="PQA121" s="225"/>
      <c r="PQB121" s="225"/>
      <c r="PQC121" s="225"/>
      <c r="PQD121" s="225"/>
      <c r="PQE121" s="225"/>
      <c r="PQF121" s="225"/>
      <c r="PQG121" s="225"/>
      <c r="PQH121" s="225"/>
      <c r="PQI121" s="225"/>
      <c r="PQJ121" s="225"/>
      <c r="PQK121" s="225"/>
      <c r="PQL121" s="225"/>
      <c r="PQM121" s="225"/>
      <c r="PQN121" s="225"/>
      <c r="PQO121" s="225"/>
      <c r="PQP121" s="225"/>
      <c r="PQQ121" s="225"/>
      <c r="PQR121" s="225"/>
      <c r="PQS121" s="225"/>
      <c r="PQT121" s="225"/>
      <c r="PQU121" s="225"/>
      <c r="PQV121" s="225"/>
      <c r="PQW121" s="225"/>
      <c r="PQX121" s="225"/>
      <c r="PQY121" s="225"/>
      <c r="PQZ121" s="225"/>
      <c r="PRA121" s="225"/>
      <c r="PRB121" s="225"/>
      <c r="PRC121" s="225"/>
      <c r="PRD121" s="225"/>
      <c r="PRE121" s="225"/>
      <c r="PRF121" s="225"/>
      <c r="PRG121" s="225"/>
      <c r="PRH121" s="225"/>
      <c r="PRI121" s="225"/>
      <c r="PRJ121" s="225"/>
      <c r="PRK121" s="225"/>
      <c r="PRL121" s="225"/>
      <c r="PRM121" s="225"/>
      <c r="PRN121" s="225"/>
      <c r="PRO121" s="225"/>
      <c r="PRP121" s="225"/>
      <c r="PRQ121" s="225"/>
      <c r="PRR121" s="225"/>
      <c r="PRS121" s="225"/>
      <c r="PRT121" s="225"/>
      <c r="PRU121" s="225"/>
      <c r="PRV121" s="225"/>
      <c r="PRW121" s="225"/>
      <c r="PRX121" s="225"/>
      <c r="PRY121" s="225"/>
      <c r="PRZ121" s="225"/>
      <c r="PSA121" s="225"/>
      <c r="PSB121" s="225"/>
      <c r="PSC121" s="225"/>
      <c r="PSD121" s="225"/>
      <c r="PSE121" s="225"/>
      <c r="PSF121" s="225"/>
      <c r="PSG121" s="225"/>
      <c r="PSH121" s="225"/>
      <c r="PSI121" s="225"/>
      <c r="PSJ121" s="225"/>
      <c r="PSK121" s="225"/>
      <c r="PSL121" s="225"/>
      <c r="PSM121" s="225"/>
      <c r="PSN121" s="225"/>
      <c r="PSO121" s="225"/>
      <c r="PSP121" s="225"/>
      <c r="PSQ121" s="225"/>
      <c r="PSR121" s="225"/>
      <c r="PSS121" s="225"/>
      <c r="PST121" s="225"/>
      <c r="PSU121" s="225"/>
      <c r="PSV121" s="225"/>
      <c r="PSW121" s="225"/>
      <c r="PSX121" s="225"/>
      <c r="PSY121" s="225"/>
      <c r="PSZ121" s="225"/>
      <c r="PTA121" s="225"/>
      <c r="PTB121" s="225"/>
      <c r="PTC121" s="225"/>
      <c r="PTD121" s="225"/>
      <c r="PTE121" s="225"/>
      <c r="PTF121" s="225"/>
      <c r="PTG121" s="225"/>
      <c r="PTH121" s="225"/>
      <c r="PTI121" s="225"/>
      <c r="PTJ121" s="225"/>
      <c r="PTK121" s="225"/>
      <c r="PTL121" s="225"/>
      <c r="PTM121" s="225"/>
      <c r="PTN121" s="225"/>
      <c r="PTO121" s="225"/>
      <c r="PTP121" s="225"/>
      <c r="PTQ121" s="225"/>
      <c r="PTR121" s="225"/>
      <c r="PTS121" s="225"/>
      <c r="PTT121" s="225"/>
      <c r="PTU121" s="225"/>
      <c r="PTV121" s="225"/>
      <c r="PTW121" s="225"/>
      <c r="PTX121" s="225"/>
      <c r="PTY121" s="225"/>
      <c r="PTZ121" s="225"/>
      <c r="PUA121" s="225"/>
      <c r="PUB121" s="225"/>
      <c r="PUC121" s="225"/>
      <c r="PUD121" s="225"/>
      <c r="PUE121" s="225"/>
      <c r="PUF121" s="225"/>
      <c r="PUG121" s="225"/>
      <c r="PUH121" s="225"/>
      <c r="PUI121" s="225"/>
      <c r="PUJ121" s="225"/>
      <c r="PUK121" s="225"/>
      <c r="PUL121" s="225"/>
      <c r="PUM121" s="225"/>
      <c r="PUN121" s="225"/>
      <c r="PUO121" s="225"/>
      <c r="PUP121" s="225"/>
      <c r="PUQ121" s="225"/>
      <c r="PUR121" s="225"/>
      <c r="PUS121" s="225"/>
      <c r="PUT121" s="225"/>
      <c r="PUU121" s="225"/>
      <c r="PUV121" s="225"/>
      <c r="PUW121" s="225"/>
      <c r="PUX121" s="225"/>
      <c r="PUY121" s="225"/>
      <c r="PUZ121" s="225"/>
      <c r="PVA121" s="225"/>
      <c r="PVB121" s="225"/>
      <c r="PVC121" s="225"/>
      <c r="PVD121" s="225"/>
      <c r="PVE121" s="225"/>
      <c r="PVF121" s="225"/>
      <c r="PVG121" s="225"/>
      <c r="PVH121" s="225"/>
      <c r="PVI121" s="225"/>
      <c r="PVJ121" s="225"/>
      <c r="PVK121" s="225"/>
      <c r="PVL121" s="225"/>
      <c r="PVM121" s="225"/>
      <c r="PVN121" s="225"/>
      <c r="PVO121" s="225"/>
      <c r="PVP121" s="225"/>
      <c r="PVQ121" s="225"/>
      <c r="PVR121" s="225"/>
      <c r="PVS121" s="225"/>
      <c r="PVT121" s="225"/>
      <c r="PVU121" s="225"/>
      <c r="PVV121" s="225"/>
      <c r="PVW121" s="225"/>
      <c r="PVX121" s="225"/>
      <c r="PVY121" s="225"/>
      <c r="PVZ121" s="225"/>
      <c r="PWA121" s="225"/>
      <c r="PWB121" s="225"/>
      <c r="PWC121" s="225"/>
      <c r="PWD121" s="225"/>
      <c r="PWE121" s="225"/>
      <c r="PWF121" s="225"/>
      <c r="PWG121" s="225"/>
      <c r="PWH121" s="225"/>
      <c r="PWI121" s="225"/>
      <c r="PWJ121" s="225"/>
      <c r="PWK121" s="225"/>
      <c r="PWL121" s="225"/>
      <c r="PWM121" s="225"/>
      <c r="PWN121" s="225"/>
      <c r="PWO121" s="225"/>
      <c r="PWP121" s="225"/>
      <c r="PWQ121" s="225"/>
      <c r="PWR121" s="225"/>
      <c r="PWS121" s="225"/>
      <c r="PWT121" s="225"/>
      <c r="PWU121" s="225"/>
      <c r="PWV121" s="225"/>
      <c r="PWW121" s="225"/>
      <c r="PWX121" s="225"/>
      <c r="PWY121" s="225"/>
      <c r="PWZ121" s="225"/>
      <c r="PXA121" s="225"/>
      <c r="PXB121" s="225"/>
      <c r="PXC121" s="225"/>
      <c r="PXD121" s="225"/>
      <c r="PXE121" s="225"/>
      <c r="PXF121" s="225"/>
      <c r="PXG121" s="225"/>
      <c r="PXH121" s="225"/>
      <c r="PXI121" s="225"/>
      <c r="PXJ121" s="225"/>
      <c r="PXK121" s="225"/>
      <c r="PXL121" s="225"/>
      <c r="PXM121" s="225"/>
      <c r="PXN121" s="225"/>
      <c r="PXO121" s="225"/>
      <c r="PXP121" s="225"/>
      <c r="PXQ121" s="225"/>
      <c r="PXR121" s="225"/>
      <c r="PXS121" s="225"/>
      <c r="PXT121" s="225"/>
      <c r="PXU121" s="225"/>
      <c r="PXV121" s="225"/>
      <c r="PXW121" s="225"/>
      <c r="PXX121" s="225"/>
      <c r="PXY121" s="225"/>
      <c r="PXZ121" s="225"/>
      <c r="PYA121" s="225"/>
      <c r="PYB121" s="225"/>
      <c r="PYC121" s="225"/>
      <c r="PYD121" s="225"/>
      <c r="PYE121" s="225"/>
      <c r="PYF121" s="225"/>
      <c r="PYG121" s="225"/>
      <c r="PYH121" s="225"/>
      <c r="PYI121" s="225"/>
      <c r="PYJ121" s="225"/>
      <c r="PYK121" s="225"/>
      <c r="PYL121" s="225"/>
      <c r="PYM121" s="225"/>
      <c r="PYN121" s="225"/>
      <c r="PYO121" s="225"/>
      <c r="PYP121" s="225"/>
      <c r="PYQ121" s="225"/>
      <c r="PYR121" s="225"/>
      <c r="PYS121" s="225"/>
      <c r="PYT121" s="225"/>
      <c r="PYU121" s="225"/>
      <c r="PYV121" s="225"/>
      <c r="PYW121" s="225"/>
      <c r="PYX121" s="225"/>
      <c r="PYY121" s="225"/>
      <c r="PYZ121" s="225"/>
      <c r="PZA121" s="225"/>
      <c r="PZB121" s="225"/>
      <c r="PZC121" s="225"/>
      <c r="PZD121" s="225"/>
      <c r="PZE121" s="225"/>
      <c r="PZF121" s="225"/>
      <c r="PZG121" s="225"/>
      <c r="PZH121" s="225"/>
      <c r="PZI121" s="225"/>
      <c r="PZJ121" s="225"/>
      <c r="PZK121" s="225"/>
      <c r="PZL121" s="225"/>
      <c r="PZM121" s="225"/>
      <c r="PZN121" s="225"/>
      <c r="PZO121" s="225"/>
      <c r="PZP121" s="225"/>
      <c r="PZQ121" s="225"/>
      <c r="PZR121" s="225"/>
      <c r="PZS121" s="225"/>
      <c r="PZT121" s="225"/>
      <c r="PZU121" s="225"/>
      <c r="PZV121" s="225"/>
      <c r="PZW121" s="225"/>
      <c r="PZX121" s="225"/>
      <c r="PZY121" s="225"/>
      <c r="PZZ121" s="225"/>
      <c r="QAA121" s="225"/>
      <c r="QAB121" s="225"/>
      <c r="QAC121" s="225"/>
      <c r="QAD121" s="225"/>
      <c r="QAE121" s="225"/>
      <c r="QAF121" s="225"/>
      <c r="QAG121" s="225"/>
      <c r="QAH121" s="225"/>
      <c r="QAI121" s="225"/>
      <c r="QAJ121" s="225"/>
      <c r="QAK121" s="225"/>
      <c r="QAL121" s="225"/>
      <c r="QAM121" s="225"/>
      <c r="QAN121" s="225"/>
      <c r="QAO121" s="225"/>
      <c r="QAP121" s="225"/>
      <c r="QAQ121" s="225"/>
      <c r="QAR121" s="225"/>
      <c r="QAS121" s="225"/>
      <c r="QAT121" s="225"/>
      <c r="QAU121" s="225"/>
      <c r="QAV121" s="225"/>
      <c r="QAW121" s="225"/>
      <c r="QAX121" s="225"/>
      <c r="QAY121" s="225"/>
      <c r="QAZ121" s="225"/>
      <c r="QBA121" s="225"/>
      <c r="QBB121" s="225"/>
      <c r="QBC121" s="225"/>
      <c r="QBD121" s="225"/>
      <c r="QBE121" s="225"/>
      <c r="QBF121" s="225"/>
      <c r="QBG121" s="225"/>
      <c r="QBH121" s="225"/>
      <c r="QBI121" s="225"/>
      <c r="QBJ121" s="225"/>
      <c r="QBK121" s="225"/>
      <c r="QBL121" s="225"/>
      <c r="QBM121" s="225"/>
      <c r="QBN121" s="225"/>
      <c r="QBO121" s="225"/>
      <c r="QBP121" s="225"/>
      <c r="QBQ121" s="225"/>
      <c r="QBR121" s="225"/>
      <c r="QBS121" s="225"/>
      <c r="QBT121" s="225"/>
      <c r="QBU121" s="225"/>
      <c r="QBV121" s="225"/>
      <c r="QBW121" s="225"/>
      <c r="QBX121" s="225"/>
      <c r="QBY121" s="225"/>
      <c r="QBZ121" s="225"/>
      <c r="QCA121" s="225"/>
      <c r="QCB121" s="225"/>
      <c r="QCC121" s="225"/>
      <c r="QCD121" s="225"/>
      <c r="QCE121" s="225"/>
      <c r="QCF121" s="225"/>
      <c r="QCG121" s="225"/>
      <c r="QCH121" s="225"/>
      <c r="QCI121" s="225"/>
      <c r="QCJ121" s="225"/>
      <c r="QCK121" s="225"/>
      <c r="QCL121" s="225"/>
      <c r="QCM121" s="225"/>
      <c r="QCN121" s="225"/>
      <c r="QCO121" s="225"/>
      <c r="QCP121" s="225"/>
      <c r="QCQ121" s="225"/>
      <c r="QCR121" s="225"/>
      <c r="QCS121" s="225"/>
      <c r="QCT121" s="225"/>
      <c r="QCU121" s="225"/>
      <c r="QCV121" s="225"/>
      <c r="QCW121" s="225"/>
      <c r="QCX121" s="225"/>
      <c r="QCY121" s="225"/>
      <c r="QCZ121" s="225"/>
      <c r="QDA121" s="225"/>
      <c r="QDB121" s="225"/>
      <c r="QDC121" s="225"/>
      <c r="QDD121" s="225"/>
      <c r="QDE121" s="225"/>
      <c r="QDF121" s="225"/>
      <c r="QDG121" s="225"/>
      <c r="QDH121" s="225"/>
      <c r="QDI121" s="225"/>
      <c r="QDJ121" s="225"/>
      <c r="QDK121" s="225"/>
      <c r="QDL121" s="225"/>
      <c r="QDM121" s="225"/>
      <c r="QDN121" s="225"/>
      <c r="QDO121" s="225"/>
      <c r="QDP121" s="225"/>
      <c r="QDQ121" s="225"/>
      <c r="QDR121" s="225"/>
      <c r="QDS121" s="225"/>
      <c r="QDT121" s="225"/>
      <c r="QDU121" s="225"/>
      <c r="QDV121" s="225"/>
      <c r="QDW121" s="225"/>
      <c r="QDX121" s="225"/>
      <c r="QDY121" s="225"/>
      <c r="QDZ121" s="225"/>
      <c r="QEA121" s="225"/>
      <c r="QEB121" s="225"/>
      <c r="QEC121" s="225"/>
      <c r="QED121" s="225"/>
      <c r="QEE121" s="225"/>
      <c r="QEF121" s="225"/>
      <c r="QEG121" s="225"/>
      <c r="QEH121" s="225"/>
      <c r="QEI121" s="225"/>
      <c r="QEJ121" s="225"/>
      <c r="QEK121" s="225"/>
      <c r="QEL121" s="225"/>
      <c r="QEM121" s="225"/>
      <c r="QEN121" s="225"/>
      <c r="QEO121" s="225"/>
      <c r="QEP121" s="225"/>
      <c r="QEQ121" s="225"/>
      <c r="QER121" s="225"/>
      <c r="QES121" s="225"/>
      <c r="QET121" s="225"/>
      <c r="QEU121" s="225"/>
      <c r="QEV121" s="225"/>
      <c r="QEW121" s="225"/>
      <c r="QEX121" s="225"/>
      <c r="QEY121" s="225"/>
      <c r="QEZ121" s="225"/>
      <c r="QFA121" s="225"/>
      <c r="QFB121" s="225"/>
      <c r="QFC121" s="225"/>
      <c r="QFD121" s="225"/>
      <c r="QFE121" s="225"/>
      <c r="QFF121" s="225"/>
      <c r="QFG121" s="225"/>
      <c r="QFH121" s="225"/>
      <c r="QFI121" s="225"/>
      <c r="QFJ121" s="225"/>
      <c r="QFK121" s="225"/>
      <c r="QFL121" s="225"/>
      <c r="QFM121" s="225"/>
      <c r="QFN121" s="225"/>
      <c r="QFO121" s="225"/>
      <c r="QFP121" s="225"/>
      <c r="QFQ121" s="225"/>
      <c r="QFR121" s="225"/>
      <c r="QFS121" s="225"/>
      <c r="QFT121" s="225"/>
      <c r="QFU121" s="225"/>
      <c r="QFV121" s="225"/>
      <c r="QFW121" s="225"/>
      <c r="QFX121" s="225"/>
      <c r="QFY121" s="225"/>
      <c r="QFZ121" s="225"/>
      <c r="QGA121" s="225"/>
      <c r="QGB121" s="225"/>
      <c r="QGC121" s="225"/>
      <c r="QGD121" s="225"/>
      <c r="QGE121" s="225"/>
      <c r="QGF121" s="225"/>
      <c r="QGG121" s="225"/>
      <c r="QGH121" s="225"/>
      <c r="QGI121" s="225"/>
      <c r="QGJ121" s="225"/>
      <c r="QGK121" s="225"/>
      <c r="QGL121" s="225"/>
      <c r="QGM121" s="225"/>
      <c r="QGN121" s="225"/>
      <c r="QGO121" s="225"/>
      <c r="QGP121" s="225"/>
      <c r="QGQ121" s="225"/>
      <c r="QGR121" s="225"/>
      <c r="QGS121" s="225"/>
      <c r="QGT121" s="225"/>
      <c r="QGU121" s="225"/>
      <c r="QGV121" s="225"/>
      <c r="QGW121" s="225"/>
      <c r="QGX121" s="225"/>
      <c r="QGY121" s="225"/>
      <c r="QGZ121" s="225"/>
      <c r="QHA121" s="225"/>
      <c r="QHB121" s="225"/>
      <c r="QHC121" s="225"/>
      <c r="QHD121" s="225"/>
      <c r="QHE121" s="225"/>
      <c r="QHF121" s="225"/>
      <c r="QHG121" s="225"/>
      <c r="QHH121" s="225"/>
      <c r="QHI121" s="225"/>
      <c r="QHJ121" s="225"/>
      <c r="QHK121" s="225"/>
      <c r="QHL121" s="225"/>
      <c r="QHM121" s="225"/>
      <c r="QHN121" s="225"/>
      <c r="QHO121" s="225"/>
      <c r="QHP121" s="225"/>
      <c r="QHQ121" s="225"/>
      <c r="QHR121" s="225"/>
      <c r="QHS121" s="225"/>
      <c r="QHT121" s="225"/>
      <c r="QHU121" s="225"/>
      <c r="QHV121" s="225"/>
      <c r="QHW121" s="225"/>
      <c r="QHX121" s="225"/>
      <c r="QHY121" s="225"/>
      <c r="QHZ121" s="225"/>
      <c r="QIA121" s="225"/>
      <c r="QIB121" s="225"/>
      <c r="QIC121" s="225"/>
      <c r="QID121" s="225"/>
      <c r="QIE121" s="225"/>
      <c r="QIF121" s="225"/>
      <c r="QIG121" s="225"/>
      <c r="QIH121" s="225"/>
      <c r="QII121" s="225"/>
      <c r="QIJ121" s="225"/>
      <c r="QIK121" s="225"/>
      <c r="QIL121" s="225"/>
      <c r="QIM121" s="225"/>
      <c r="QIN121" s="225"/>
      <c r="QIO121" s="225"/>
      <c r="QIP121" s="225"/>
      <c r="QIQ121" s="225"/>
      <c r="QIR121" s="225"/>
      <c r="QIS121" s="225"/>
      <c r="QIT121" s="225"/>
      <c r="QIU121" s="225"/>
      <c r="QIV121" s="225"/>
      <c r="QIW121" s="225"/>
      <c r="QIX121" s="225"/>
      <c r="QIY121" s="225"/>
      <c r="QIZ121" s="225"/>
      <c r="QJA121" s="225"/>
      <c r="QJB121" s="225"/>
      <c r="QJC121" s="225"/>
      <c r="QJD121" s="225"/>
      <c r="QJE121" s="225"/>
      <c r="QJF121" s="225"/>
      <c r="QJG121" s="225"/>
      <c r="QJH121" s="225"/>
      <c r="QJI121" s="225"/>
      <c r="QJJ121" s="225"/>
      <c r="QJK121" s="225"/>
      <c r="QJL121" s="225"/>
      <c r="QJM121" s="225"/>
      <c r="QJN121" s="225"/>
      <c r="QJO121" s="225"/>
      <c r="QJP121" s="225"/>
      <c r="QJQ121" s="225"/>
      <c r="QJR121" s="225"/>
      <c r="QJS121" s="225"/>
      <c r="QJT121" s="225"/>
      <c r="QJU121" s="225"/>
      <c r="QJV121" s="225"/>
      <c r="QJW121" s="225"/>
      <c r="QJX121" s="225"/>
      <c r="QJY121" s="225"/>
      <c r="QJZ121" s="225"/>
      <c r="QKA121" s="225"/>
      <c r="QKB121" s="225"/>
      <c r="QKC121" s="225"/>
      <c r="QKD121" s="225"/>
      <c r="QKE121" s="225"/>
      <c r="QKF121" s="225"/>
      <c r="QKG121" s="225"/>
      <c r="QKH121" s="225"/>
      <c r="QKI121" s="225"/>
      <c r="QKJ121" s="225"/>
      <c r="QKK121" s="225"/>
      <c r="QKL121" s="225"/>
      <c r="QKM121" s="225"/>
      <c r="QKN121" s="225"/>
      <c r="QKO121" s="225"/>
      <c r="QKP121" s="225"/>
      <c r="QKQ121" s="225"/>
      <c r="QKR121" s="225"/>
      <c r="QKS121" s="225"/>
      <c r="QKT121" s="225"/>
      <c r="QKU121" s="225"/>
      <c r="QKV121" s="225"/>
      <c r="QKW121" s="225"/>
      <c r="QKX121" s="225"/>
      <c r="QKY121" s="225"/>
      <c r="QKZ121" s="225"/>
      <c r="QLA121" s="225"/>
      <c r="QLB121" s="225"/>
      <c r="QLC121" s="225"/>
      <c r="QLD121" s="225"/>
      <c r="QLE121" s="225"/>
      <c r="QLF121" s="225"/>
      <c r="QLG121" s="225"/>
      <c r="QLH121" s="225"/>
      <c r="QLI121" s="225"/>
      <c r="QLJ121" s="225"/>
      <c r="QLK121" s="225"/>
      <c r="QLL121" s="225"/>
      <c r="QLM121" s="225"/>
      <c r="QLN121" s="225"/>
      <c r="QLO121" s="225"/>
      <c r="QLP121" s="225"/>
      <c r="QLQ121" s="225"/>
      <c r="QLR121" s="225"/>
      <c r="QLS121" s="225"/>
      <c r="QLT121" s="225"/>
      <c r="QLU121" s="225"/>
      <c r="QLV121" s="225"/>
      <c r="QLW121" s="225"/>
      <c r="QLX121" s="225"/>
      <c r="QLY121" s="225"/>
      <c r="QLZ121" s="225"/>
      <c r="QMA121" s="225"/>
      <c r="QMB121" s="225"/>
      <c r="QMC121" s="225"/>
      <c r="QMD121" s="225"/>
      <c r="QME121" s="225"/>
      <c r="QMF121" s="225"/>
      <c r="QMG121" s="225"/>
      <c r="QMH121" s="225"/>
      <c r="QMI121" s="225"/>
      <c r="QMJ121" s="225"/>
      <c r="QMK121" s="225"/>
      <c r="QML121" s="225"/>
      <c r="QMM121" s="225"/>
      <c r="QMN121" s="225"/>
      <c r="QMO121" s="225"/>
      <c r="QMP121" s="225"/>
      <c r="QMQ121" s="225"/>
      <c r="QMR121" s="225"/>
      <c r="QMS121" s="225"/>
      <c r="QMT121" s="225"/>
      <c r="QMU121" s="225"/>
      <c r="QMV121" s="225"/>
      <c r="QMW121" s="225"/>
      <c r="QMX121" s="225"/>
      <c r="QMY121" s="225"/>
      <c r="QMZ121" s="225"/>
      <c r="QNA121" s="225"/>
      <c r="QNB121" s="225"/>
      <c r="QNC121" s="225"/>
      <c r="QND121" s="225"/>
      <c r="QNE121" s="225"/>
      <c r="QNF121" s="225"/>
      <c r="QNG121" s="225"/>
      <c r="QNH121" s="225"/>
      <c r="QNI121" s="225"/>
      <c r="QNJ121" s="225"/>
      <c r="QNK121" s="225"/>
      <c r="QNL121" s="225"/>
      <c r="QNM121" s="225"/>
      <c r="QNN121" s="225"/>
      <c r="QNO121" s="225"/>
      <c r="QNP121" s="225"/>
      <c r="QNQ121" s="225"/>
      <c r="QNR121" s="225"/>
      <c r="QNS121" s="225"/>
      <c r="QNT121" s="225"/>
      <c r="QNU121" s="225"/>
      <c r="QNV121" s="225"/>
      <c r="QNW121" s="225"/>
      <c r="QNX121" s="225"/>
      <c r="QNY121" s="225"/>
      <c r="QNZ121" s="225"/>
      <c r="QOA121" s="225"/>
      <c r="QOB121" s="225"/>
      <c r="QOC121" s="225"/>
      <c r="QOD121" s="225"/>
      <c r="QOE121" s="225"/>
      <c r="QOF121" s="225"/>
      <c r="QOG121" s="225"/>
      <c r="QOH121" s="225"/>
      <c r="QOI121" s="225"/>
      <c r="QOJ121" s="225"/>
      <c r="QOK121" s="225"/>
      <c r="QOL121" s="225"/>
      <c r="QOM121" s="225"/>
      <c r="QON121" s="225"/>
      <c r="QOO121" s="225"/>
      <c r="QOP121" s="225"/>
      <c r="QOQ121" s="225"/>
      <c r="QOR121" s="225"/>
      <c r="QOS121" s="225"/>
      <c r="QOT121" s="225"/>
      <c r="QOU121" s="225"/>
      <c r="QOV121" s="225"/>
      <c r="QOW121" s="225"/>
      <c r="QOX121" s="225"/>
      <c r="QOY121" s="225"/>
      <c r="QOZ121" s="225"/>
      <c r="QPA121" s="225"/>
      <c r="QPB121" s="225"/>
      <c r="QPC121" s="225"/>
      <c r="QPD121" s="225"/>
      <c r="QPE121" s="225"/>
      <c r="QPF121" s="225"/>
      <c r="QPG121" s="225"/>
      <c r="QPH121" s="225"/>
      <c r="QPI121" s="225"/>
      <c r="QPJ121" s="225"/>
      <c r="QPK121" s="225"/>
      <c r="QPL121" s="225"/>
      <c r="QPM121" s="225"/>
      <c r="QPN121" s="225"/>
      <c r="QPO121" s="225"/>
      <c r="QPP121" s="225"/>
      <c r="QPQ121" s="225"/>
      <c r="QPR121" s="225"/>
      <c r="QPS121" s="225"/>
      <c r="QPT121" s="225"/>
      <c r="QPU121" s="225"/>
      <c r="QPV121" s="225"/>
      <c r="QPW121" s="225"/>
      <c r="QPX121" s="225"/>
      <c r="QPY121" s="225"/>
      <c r="QPZ121" s="225"/>
      <c r="QQA121" s="225"/>
      <c r="QQB121" s="225"/>
      <c r="QQC121" s="225"/>
      <c r="QQD121" s="225"/>
      <c r="QQE121" s="225"/>
      <c r="QQF121" s="225"/>
      <c r="QQG121" s="225"/>
      <c r="QQH121" s="225"/>
      <c r="QQI121" s="225"/>
      <c r="QQJ121" s="225"/>
      <c r="QQK121" s="225"/>
      <c r="QQL121" s="225"/>
      <c r="QQM121" s="225"/>
      <c r="QQN121" s="225"/>
      <c r="QQO121" s="225"/>
      <c r="QQP121" s="225"/>
      <c r="QQQ121" s="225"/>
      <c r="QQR121" s="225"/>
      <c r="QQS121" s="225"/>
      <c r="QQT121" s="225"/>
      <c r="QQU121" s="225"/>
      <c r="QQV121" s="225"/>
      <c r="QQW121" s="225"/>
      <c r="QQX121" s="225"/>
      <c r="QQY121" s="225"/>
      <c r="QQZ121" s="225"/>
      <c r="QRA121" s="225"/>
      <c r="QRB121" s="225"/>
      <c r="QRC121" s="225"/>
      <c r="QRD121" s="225"/>
      <c r="QRE121" s="225"/>
      <c r="QRF121" s="225"/>
      <c r="QRG121" s="225"/>
      <c r="QRH121" s="225"/>
      <c r="QRI121" s="225"/>
      <c r="QRJ121" s="225"/>
      <c r="QRK121" s="225"/>
      <c r="QRL121" s="225"/>
      <c r="QRM121" s="225"/>
      <c r="QRN121" s="225"/>
      <c r="QRO121" s="225"/>
      <c r="QRP121" s="225"/>
      <c r="QRQ121" s="225"/>
      <c r="QRR121" s="225"/>
      <c r="QRS121" s="225"/>
      <c r="QRT121" s="225"/>
      <c r="QRU121" s="225"/>
      <c r="QRV121" s="225"/>
      <c r="QRW121" s="225"/>
      <c r="QRX121" s="225"/>
      <c r="QRY121" s="225"/>
      <c r="QRZ121" s="225"/>
      <c r="QSA121" s="225"/>
      <c r="QSB121" s="225"/>
      <c r="QSC121" s="225"/>
      <c r="QSD121" s="225"/>
      <c r="QSE121" s="225"/>
      <c r="QSF121" s="225"/>
      <c r="QSG121" s="225"/>
      <c r="QSH121" s="225"/>
      <c r="QSI121" s="225"/>
      <c r="QSJ121" s="225"/>
      <c r="QSK121" s="225"/>
      <c r="QSL121" s="225"/>
      <c r="QSM121" s="225"/>
      <c r="QSN121" s="225"/>
      <c r="QSO121" s="225"/>
      <c r="QSP121" s="225"/>
      <c r="QSQ121" s="225"/>
      <c r="QSR121" s="225"/>
      <c r="QSS121" s="225"/>
      <c r="QST121" s="225"/>
      <c r="QSU121" s="225"/>
      <c r="QSV121" s="225"/>
      <c r="QSW121" s="225"/>
      <c r="QSX121" s="225"/>
      <c r="QSY121" s="225"/>
      <c r="QSZ121" s="225"/>
      <c r="QTA121" s="225"/>
      <c r="QTB121" s="225"/>
      <c r="QTC121" s="225"/>
      <c r="QTD121" s="225"/>
      <c r="QTE121" s="225"/>
      <c r="QTF121" s="225"/>
      <c r="QTG121" s="225"/>
      <c r="QTH121" s="225"/>
      <c r="QTI121" s="225"/>
      <c r="QTJ121" s="225"/>
      <c r="QTK121" s="225"/>
      <c r="QTL121" s="225"/>
      <c r="QTM121" s="225"/>
      <c r="QTN121" s="225"/>
      <c r="QTO121" s="225"/>
      <c r="QTP121" s="225"/>
      <c r="QTQ121" s="225"/>
      <c r="QTR121" s="225"/>
      <c r="QTS121" s="225"/>
      <c r="QTT121" s="225"/>
      <c r="QTU121" s="225"/>
      <c r="QTV121" s="225"/>
      <c r="QTW121" s="225"/>
      <c r="QTX121" s="225"/>
      <c r="QTY121" s="225"/>
      <c r="QTZ121" s="225"/>
      <c r="QUA121" s="225"/>
      <c r="QUB121" s="225"/>
      <c r="QUC121" s="225"/>
      <c r="QUD121" s="225"/>
      <c r="QUE121" s="225"/>
      <c r="QUF121" s="225"/>
      <c r="QUG121" s="225"/>
      <c r="QUH121" s="225"/>
      <c r="QUI121" s="225"/>
      <c r="QUJ121" s="225"/>
      <c r="QUK121" s="225"/>
      <c r="QUL121" s="225"/>
      <c r="QUM121" s="225"/>
      <c r="QUN121" s="225"/>
      <c r="QUO121" s="225"/>
      <c r="QUP121" s="225"/>
      <c r="QUQ121" s="225"/>
      <c r="QUR121" s="225"/>
      <c r="QUS121" s="225"/>
      <c r="QUT121" s="225"/>
      <c r="QUU121" s="225"/>
      <c r="QUV121" s="225"/>
      <c r="QUW121" s="225"/>
      <c r="QUX121" s="225"/>
      <c r="QUY121" s="225"/>
      <c r="QUZ121" s="225"/>
      <c r="QVA121" s="225"/>
      <c r="QVB121" s="225"/>
      <c r="QVC121" s="225"/>
      <c r="QVD121" s="225"/>
      <c r="QVE121" s="225"/>
      <c r="QVF121" s="225"/>
      <c r="QVG121" s="225"/>
      <c r="QVH121" s="225"/>
      <c r="QVI121" s="225"/>
      <c r="QVJ121" s="225"/>
      <c r="QVK121" s="225"/>
      <c r="QVL121" s="225"/>
      <c r="QVM121" s="225"/>
      <c r="QVN121" s="225"/>
      <c r="QVO121" s="225"/>
      <c r="QVP121" s="225"/>
      <c r="QVQ121" s="225"/>
      <c r="QVR121" s="225"/>
      <c r="QVS121" s="225"/>
      <c r="QVT121" s="225"/>
      <c r="QVU121" s="225"/>
      <c r="QVV121" s="225"/>
      <c r="QVW121" s="225"/>
      <c r="QVX121" s="225"/>
      <c r="QVY121" s="225"/>
      <c r="QVZ121" s="225"/>
      <c r="QWA121" s="225"/>
      <c r="QWB121" s="225"/>
      <c r="QWC121" s="225"/>
      <c r="QWD121" s="225"/>
      <c r="QWE121" s="225"/>
      <c r="QWF121" s="225"/>
      <c r="QWG121" s="225"/>
      <c r="QWH121" s="225"/>
      <c r="QWI121" s="225"/>
      <c r="QWJ121" s="225"/>
      <c r="QWK121" s="225"/>
      <c r="QWL121" s="225"/>
      <c r="QWM121" s="225"/>
      <c r="QWN121" s="225"/>
      <c r="QWO121" s="225"/>
      <c r="QWP121" s="225"/>
      <c r="QWQ121" s="225"/>
      <c r="QWR121" s="225"/>
      <c r="QWS121" s="225"/>
      <c r="QWT121" s="225"/>
      <c r="QWU121" s="225"/>
      <c r="QWV121" s="225"/>
      <c r="QWW121" s="225"/>
      <c r="QWX121" s="225"/>
      <c r="QWY121" s="225"/>
      <c r="QWZ121" s="225"/>
      <c r="QXA121" s="225"/>
      <c r="QXB121" s="225"/>
      <c r="QXC121" s="225"/>
      <c r="QXD121" s="225"/>
      <c r="QXE121" s="225"/>
      <c r="QXF121" s="225"/>
      <c r="QXG121" s="225"/>
      <c r="QXH121" s="225"/>
      <c r="QXI121" s="225"/>
      <c r="QXJ121" s="225"/>
      <c r="QXK121" s="225"/>
      <c r="QXL121" s="225"/>
      <c r="QXM121" s="225"/>
      <c r="QXN121" s="225"/>
      <c r="QXO121" s="225"/>
      <c r="QXP121" s="225"/>
      <c r="QXQ121" s="225"/>
      <c r="QXR121" s="225"/>
      <c r="QXS121" s="225"/>
      <c r="QXT121" s="225"/>
      <c r="QXU121" s="225"/>
      <c r="QXV121" s="225"/>
      <c r="QXW121" s="225"/>
      <c r="QXX121" s="225"/>
      <c r="QXY121" s="225"/>
      <c r="QXZ121" s="225"/>
      <c r="QYA121" s="225"/>
      <c r="QYB121" s="225"/>
      <c r="QYC121" s="225"/>
      <c r="QYD121" s="225"/>
      <c r="QYE121" s="225"/>
      <c r="QYF121" s="225"/>
      <c r="QYG121" s="225"/>
      <c r="QYH121" s="225"/>
      <c r="QYI121" s="225"/>
      <c r="QYJ121" s="225"/>
      <c r="QYK121" s="225"/>
      <c r="QYL121" s="225"/>
      <c r="QYM121" s="225"/>
      <c r="QYN121" s="225"/>
      <c r="QYO121" s="225"/>
      <c r="QYP121" s="225"/>
      <c r="QYQ121" s="225"/>
      <c r="QYR121" s="225"/>
      <c r="QYS121" s="225"/>
      <c r="QYT121" s="225"/>
      <c r="QYU121" s="225"/>
      <c r="QYV121" s="225"/>
      <c r="QYW121" s="225"/>
      <c r="QYX121" s="225"/>
      <c r="QYY121" s="225"/>
      <c r="QYZ121" s="225"/>
      <c r="QZA121" s="225"/>
      <c r="QZB121" s="225"/>
      <c r="QZC121" s="225"/>
      <c r="QZD121" s="225"/>
      <c r="QZE121" s="225"/>
      <c r="QZF121" s="225"/>
      <c r="QZG121" s="225"/>
      <c r="QZH121" s="225"/>
      <c r="QZI121" s="225"/>
      <c r="QZJ121" s="225"/>
      <c r="QZK121" s="225"/>
      <c r="QZL121" s="225"/>
      <c r="QZM121" s="225"/>
      <c r="QZN121" s="225"/>
      <c r="QZO121" s="225"/>
      <c r="QZP121" s="225"/>
      <c r="QZQ121" s="225"/>
      <c r="QZR121" s="225"/>
      <c r="QZS121" s="225"/>
      <c r="QZT121" s="225"/>
      <c r="QZU121" s="225"/>
      <c r="QZV121" s="225"/>
      <c r="QZW121" s="225"/>
      <c r="QZX121" s="225"/>
      <c r="QZY121" s="225"/>
      <c r="QZZ121" s="225"/>
      <c r="RAA121" s="225"/>
      <c r="RAB121" s="225"/>
      <c r="RAC121" s="225"/>
      <c r="RAD121" s="225"/>
      <c r="RAE121" s="225"/>
      <c r="RAF121" s="225"/>
      <c r="RAG121" s="225"/>
      <c r="RAH121" s="225"/>
      <c r="RAI121" s="225"/>
      <c r="RAJ121" s="225"/>
      <c r="RAK121" s="225"/>
      <c r="RAL121" s="225"/>
      <c r="RAM121" s="225"/>
      <c r="RAN121" s="225"/>
      <c r="RAO121" s="225"/>
      <c r="RAP121" s="225"/>
      <c r="RAQ121" s="225"/>
      <c r="RAR121" s="225"/>
      <c r="RAS121" s="225"/>
      <c r="RAT121" s="225"/>
      <c r="RAU121" s="225"/>
      <c r="RAV121" s="225"/>
      <c r="RAW121" s="225"/>
      <c r="RAX121" s="225"/>
      <c r="RAY121" s="225"/>
      <c r="RAZ121" s="225"/>
      <c r="RBA121" s="225"/>
      <c r="RBB121" s="225"/>
      <c r="RBC121" s="225"/>
      <c r="RBD121" s="225"/>
      <c r="RBE121" s="225"/>
      <c r="RBF121" s="225"/>
      <c r="RBG121" s="225"/>
      <c r="RBH121" s="225"/>
      <c r="RBI121" s="225"/>
      <c r="RBJ121" s="225"/>
      <c r="RBK121" s="225"/>
      <c r="RBL121" s="225"/>
      <c r="RBM121" s="225"/>
      <c r="RBN121" s="225"/>
      <c r="RBO121" s="225"/>
      <c r="RBP121" s="225"/>
      <c r="RBQ121" s="225"/>
      <c r="RBR121" s="225"/>
      <c r="RBS121" s="225"/>
      <c r="RBT121" s="225"/>
      <c r="RBU121" s="225"/>
      <c r="RBV121" s="225"/>
      <c r="RBW121" s="225"/>
      <c r="RBX121" s="225"/>
      <c r="RBY121" s="225"/>
      <c r="RBZ121" s="225"/>
      <c r="RCA121" s="225"/>
      <c r="RCB121" s="225"/>
      <c r="RCC121" s="225"/>
      <c r="RCD121" s="225"/>
      <c r="RCE121" s="225"/>
      <c r="RCF121" s="225"/>
      <c r="RCG121" s="225"/>
      <c r="RCH121" s="225"/>
      <c r="RCI121" s="225"/>
      <c r="RCJ121" s="225"/>
      <c r="RCK121" s="225"/>
      <c r="RCL121" s="225"/>
      <c r="RCM121" s="225"/>
      <c r="RCN121" s="225"/>
      <c r="RCO121" s="225"/>
      <c r="RCP121" s="225"/>
      <c r="RCQ121" s="225"/>
      <c r="RCR121" s="225"/>
      <c r="RCS121" s="225"/>
      <c r="RCT121" s="225"/>
      <c r="RCU121" s="225"/>
      <c r="RCV121" s="225"/>
      <c r="RCW121" s="225"/>
      <c r="RCX121" s="225"/>
      <c r="RCY121" s="225"/>
      <c r="RCZ121" s="225"/>
      <c r="RDA121" s="225"/>
      <c r="RDB121" s="225"/>
      <c r="RDC121" s="225"/>
      <c r="RDD121" s="225"/>
      <c r="RDE121" s="225"/>
      <c r="RDF121" s="225"/>
      <c r="RDG121" s="225"/>
      <c r="RDH121" s="225"/>
      <c r="RDI121" s="225"/>
      <c r="RDJ121" s="225"/>
      <c r="RDK121" s="225"/>
      <c r="RDL121" s="225"/>
      <c r="RDM121" s="225"/>
      <c r="RDN121" s="225"/>
      <c r="RDO121" s="225"/>
      <c r="RDP121" s="225"/>
      <c r="RDQ121" s="225"/>
      <c r="RDR121" s="225"/>
      <c r="RDS121" s="225"/>
      <c r="RDT121" s="225"/>
      <c r="RDU121" s="225"/>
      <c r="RDV121" s="225"/>
      <c r="RDW121" s="225"/>
      <c r="RDX121" s="225"/>
      <c r="RDY121" s="225"/>
      <c r="RDZ121" s="225"/>
      <c r="REA121" s="225"/>
      <c r="REB121" s="225"/>
      <c r="REC121" s="225"/>
      <c r="RED121" s="225"/>
      <c r="REE121" s="225"/>
      <c r="REF121" s="225"/>
      <c r="REG121" s="225"/>
      <c r="REH121" s="225"/>
      <c r="REI121" s="225"/>
      <c r="REJ121" s="225"/>
      <c r="REK121" s="225"/>
      <c r="REL121" s="225"/>
      <c r="REM121" s="225"/>
      <c r="REN121" s="225"/>
      <c r="REO121" s="225"/>
      <c r="REP121" s="225"/>
      <c r="REQ121" s="225"/>
      <c r="RER121" s="225"/>
      <c r="RES121" s="225"/>
      <c r="RET121" s="225"/>
      <c r="REU121" s="225"/>
      <c r="REV121" s="225"/>
      <c r="REW121" s="225"/>
      <c r="REX121" s="225"/>
      <c r="REY121" s="225"/>
      <c r="REZ121" s="225"/>
      <c r="RFA121" s="225"/>
      <c r="RFB121" s="225"/>
      <c r="RFC121" s="225"/>
      <c r="RFD121" s="225"/>
      <c r="RFE121" s="225"/>
      <c r="RFF121" s="225"/>
      <c r="RFG121" s="225"/>
      <c r="RFH121" s="225"/>
      <c r="RFI121" s="225"/>
      <c r="RFJ121" s="225"/>
      <c r="RFK121" s="225"/>
      <c r="RFL121" s="225"/>
      <c r="RFM121" s="225"/>
      <c r="RFN121" s="225"/>
      <c r="RFO121" s="225"/>
      <c r="RFP121" s="225"/>
      <c r="RFQ121" s="225"/>
      <c r="RFR121" s="225"/>
      <c r="RFS121" s="225"/>
      <c r="RFT121" s="225"/>
      <c r="RFU121" s="225"/>
      <c r="RFV121" s="225"/>
      <c r="RFW121" s="225"/>
      <c r="RFX121" s="225"/>
      <c r="RFY121" s="225"/>
      <c r="RFZ121" s="225"/>
      <c r="RGA121" s="225"/>
      <c r="RGB121" s="225"/>
      <c r="RGC121" s="225"/>
      <c r="RGD121" s="225"/>
      <c r="RGE121" s="225"/>
      <c r="RGF121" s="225"/>
      <c r="RGG121" s="225"/>
      <c r="RGH121" s="225"/>
      <c r="RGI121" s="225"/>
      <c r="RGJ121" s="225"/>
      <c r="RGK121" s="225"/>
      <c r="RGL121" s="225"/>
      <c r="RGM121" s="225"/>
      <c r="RGN121" s="225"/>
      <c r="RGO121" s="225"/>
      <c r="RGP121" s="225"/>
      <c r="RGQ121" s="225"/>
      <c r="RGR121" s="225"/>
      <c r="RGS121" s="225"/>
      <c r="RGT121" s="225"/>
      <c r="RGU121" s="225"/>
      <c r="RGV121" s="225"/>
      <c r="RGW121" s="225"/>
      <c r="RGX121" s="225"/>
      <c r="RGY121" s="225"/>
      <c r="RGZ121" s="225"/>
      <c r="RHA121" s="225"/>
      <c r="RHB121" s="225"/>
      <c r="RHC121" s="225"/>
      <c r="RHD121" s="225"/>
      <c r="RHE121" s="225"/>
      <c r="RHF121" s="225"/>
      <c r="RHG121" s="225"/>
      <c r="RHH121" s="225"/>
      <c r="RHI121" s="225"/>
      <c r="RHJ121" s="225"/>
      <c r="RHK121" s="225"/>
      <c r="RHL121" s="225"/>
      <c r="RHM121" s="225"/>
      <c r="RHN121" s="225"/>
      <c r="RHO121" s="225"/>
      <c r="RHP121" s="225"/>
      <c r="RHQ121" s="225"/>
      <c r="RHR121" s="225"/>
      <c r="RHS121" s="225"/>
      <c r="RHT121" s="225"/>
      <c r="RHU121" s="225"/>
      <c r="RHV121" s="225"/>
      <c r="RHW121" s="225"/>
      <c r="RHX121" s="225"/>
      <c r="RHY121" s="225"/>
      <c r="RHZ121" s="225"/>
      <c r="RIA121" s="225"/>
      <c r="RIB121" s="225"/>
      <c r="RIC121" s="225"/>
      <c r="RID121" s="225"/>
      <c r="RIE121" s="225"/>
      <c r="RIF121" s="225"/>
      <c r="RIG121" s="225"/>
      <c r="RIH121" s="225"/>
      <c r="RII121" s="225"/>
      <c r="RIJ121" s="225"/>
      <c r="RIK121" s="225"/>
      <c r="RIL121" s="225"/>
      <c r="RIM121" s="225"/>
      <c r="RIN121" s="225"/>
      <c r="RIO121" s="225"/>
      <c r="RIP121" s="225"/>
      <c r="RIQ121" s="225"/>
      <c r="RIR121" s="225"/>
      <c r="RIS121" s="225"/>
      <c r="RIT121" s="225"/>
      <c r="RIU121" s="225"/>
      <c r="RIV121" s="225"/>
      <c r="RIW121" s="225"/>
      <c r="RIX121" s="225"/>
      <c r="RIY121" s="225"/>
      <c r="RIZ121" s="225"/>
      <c r="RJA121" s="225"/>
      <c r="RJB121" s="225"/>
      <c r="RJC121" s="225"/>
      <c r="RJD121" s="225"/>
      <c r="RJE121" s="225"/>
      <c r="RJF121" s="225"/>
      <c r="RJG121" s="225"/>
      <c r="RJH121" s="225"/>
      <c r="RJI121" s="225"/>
      <c r="RJJ121" s="225"/>
      <c r="RJK121" s="225"/>
      <c r="RJL121" s="225"/>
      <c r="RJM121" s="225"/>
      <c r="RJN121" s="225"/>
      <c r="RJO121" s="225"/>
      <c r="RJP121" s="225"/>
      <c r="RJQ121" s="225"/>
      <c r="RJR121" s="225"/>
      <c r="RJS121" s="225"/>
      <c r="RJT121" s="225"/>
      <c r="RJU121" s="225"/>
      <c r="RJV121" s="225"/>
      <c r="RJW121" s="225"/>
      <c r="RJX121" s="225"/>
      <c r="RJY121" s="225"/>
      <c r="RJZ121" s="225"/>
      <c r="RKA121" s="225"/>
      <c r="RKB121" s="225"/>
      <c r="RKC121" s="225"/>
      <c r="RKD121" s="225"/>
      <c r="RKE121" s="225"/>
      <c r="RKF121" s="225"/>
      <c r="RKG121" s="225"/>
      <c r="RKH121" s="225"/>
      <c r="RKI121" s="225"/>
      <c r="RKJ121" s="225"/>
      <c r="RKK121" s="225"/>
      <c r="RKL121" s="225"/>
      <c r="RKM121" s="225"/>
      <c r="RKN121" s="225"/>
      <c r="RKO121" s="225"/>
      <c r="RKP121" s="225"/>
      <c r="RKQ121" s="225"/>
      <c r="RKR121" s="225"/>
      <c r="RKS121" s="225"/>
      <c r="RKT121" s="225"/>
      <c r="RKU121" s="225"/>
      <c r="RKV121" s="225"/>
      <c r="RKW121" s="225"/>
      <c r="RKX121" s="225"/>
      <c r="RKY121" s="225"/>
      <c r="RKZ121" s="225"/>
      <c r="RLA121" s="225"/>
      <c r="RLB121" s="225"/>
      <c r="RLC121" s="225"/>
      <c r="RLD121" s="225"/>
      <c r="RLE121" s="225"/>
      <c r="RLF121" s="225"/>
      <c r="RLG121" s="225"/>
      <c r="RLH121" s="225"/>
      <c r="RLI121" s="225"/>
      <c r="RLJ121" s="225"/>
      <c r="RLK121" s="225"/>
      <c r="RLL121" s="225"/>
      <c r="RLM121" s="225"/>
      <c r="RLN121" s="225"/>
      <c r="RLO121" s="225"/>
      <c r="RLP121" s="225"/>
      <c r="RLQ121" s="225"/>
      <c r="RLR121" s="225"/>
      <c r="RLS121" s="225"/>
      <c r="RLT121" s="225"/>
      <c r="RLU121" s="225"/>
      <c r="RLV121" s="225"/>
      <c r="RLW121" s="225"/>
      <c r="RLX121" s="225"/>
      <c r="RLY121" s="225"/>
      <c r="RLZ121" s="225"/>
      <c r="RMA121" s="225"/>
      <c r="RMB121" s="225"/>
      <c r="RMC121" s="225"/>
      <c r="RMD121" s="225"/>
      <c r="RME121" s="225"/>
      <c r="RMF121" s="225"/>
      <c r="RMG121" s="225"/>
      <c r="RMH121" s="225"/>
      <c r="RMI121" s="225"/>
      <c r="RMJ121" s="225"/>
      <c r="RMK121" s="225"/>
      <c r="RML121" s="225"/>
      <c r="RMM121" s="225"/>
      <c r="RMN121" s="225"/>
      <c r="RMO121" s="225"/>
      <c r="RMP121" s="225"/>
      <c r="RMQ121" s="225"/>
      <c r="RMR121" s="225"/>
      <c r="RMS121" s="225"/>
      <c r="RMT121" s="225"/>
      <c r="RMU121" s="225"/>
      <c r="RMV121" s="225"/>
      <c r="RMW121" s="225"/>
      <c r="RMX121" s="225"/>
      <c r="RMY121" s="225"/>
      <c r="RMZ121" s="225"/>
      <c r="RNA121" s="225"/>
      <c r="RNB121" s="225"/>
      <c r="RNC121" s="225"/>
      <c r="RND121" s="225"/>
      <c r="RNE121" s="225"/>
      <c r="RNF121" s="225"/>
      <c r="RNG121" s="225"/>
      <c r="RNH121" s="225"/>
      <c r="RNI121" s="225"/>
      <c r="RNJ121" s="225"/>
      <c r="RNK121" s="225"/>
      <c r="RNL121" s="225"/>
      <c r="RNM121" s="225"/>
      <c r="RNN121" s="225"/>
      <c r="RNO121" s="225"/>
      <c r="RNP121" s="225"/>
      <c r="RNQ121" s="225"/>
      <c r="RNR121" s="225"/>
      <c r="RNS121" s="225"/>
      <c r="RNT121" s="225"/>
      <c r="RNU121" s="225"/>
      <c r="RNV121" s="225"/>
      <c r="RNW121" s="225"/>
      <c r="RNX121" s="225"/>
      <c r="RNY121" s="225"/>
      <c r="RNZ121" s="225"/>
      <c r="ROA121" s="225"/>
      <c r="ROB121" s="225"/>
      <c r="ROC121" s="225"/>
      <c r="ROD121" s="225"/>
      <c r="ROE121" s="225"/>
      <c r="ROF121" s="225"/>
      <c r="ROG121" s="225"/>
      <c r="ROH121" s="225"/>
      <c r="ROI121" s="225"/>
      <c r="ROJ121" s="225"/>
      <c r="ROK121" s="225"/>
      <c r="ROL121" s="225"/>
      <c r="ROM121" s="225"/>
      <c r="RON121" s="225"/>
      <c r="ROO121" s="225"/>
      <c r="ROP121" s="225"/>
      <c r="ROQ121" s="225"/>
      <c r="ROR121" s="225"/>
      <c r="ROS121" s="225"/>
      <c r="ROT121" s="225"/>
      <c r="ROU121" s="225"/>
      <c r="ROV121" s="225"/>
      <c r="ROW121" s="225"/>
      <c r="ROX121" s="225"/>
      <c r="ROY121" s="225"/>
      <c r="ROZ121" s="225"/>
      <c r="RPA121" s="225"/>
      <c r="RPB121" s="225"/>
      <c r="RPC121" s="225"/>
      <c r="RPD121" s="225"/>
      <c r="RPE121" s="225"/>
      <c r="RPF121" s="225"/>
      <c r="RPG121" s="225"/>
      <c r="RPH121" s="225"/>
      <c r="RPI121" s="225"/>
      <c r="RPJ121" s="225"/>
      <c r="RPK121" s="225"/>
      <c r="RPL121" s="225"/>
      <c r="RPM121" s="225"/>
      <c r="RPN121" s="225"/>
      <c r="RPO121" s="225"/>
      <c r="RPP121" s="225"/>
      <c r="RPQ121" s="225"/>
      <c r="RPR121" s="225"/>
      <c r="RPS121" s="225"/>
      <c r="RPT121" s="225"/>
      <c r="RPU121" s="225"/>
      <c r="RPV121" s="225"/>
      <c r="RPW121" s="225"/>
      <c r="RPX121" s="225"/>
      <c r="RPY121" s="225"/>
      <c r="RPZ121" s="225"/>
      <c r="RQA121" s="225"/>
      <c r="RQB121" s="225"/>
      <c r="RQC121" s="225"/>
      <c r="RQD121" s="225"/>
      <c r="RQE121" s="225"/>
      <c r="RQF121" s="225"/>
      <c r="RQG121" s="225"/>
      <c r="RQH121" s="225"/>
      <c r="RQI121" s="225"/>
      <c r="RQJ121" s="225"/>
      <c r="RQK121" s="225"/>
      <c r="RQL121" s="225"/>
      <c r="RQM121" s="225"/>
      <c r="RQN121" s="225"/>
      <c r="RQO121" s="225"/>
      <c r="RQP121" s="225"/>
      <c r="RQQ121" s="225"/>
      <c r="RQR121" s="225"/>
      <c r="RQS121" s="225"/>
      <c r="RQT121" s="225"/>
      <c r="RQU121" s="225"/>
      <c r="RQV121" s="225"/>
      <c r="RQW121" s="225"/>
      <c r="RQX121" s="225"/>
      <c r="RQY121" s="225"/>
      <c r="RQZ121" s="225"/>
      <c r="RRA121" s="225"/>
      <c r="RRB121" s="225"/>
      <c r="RRC121" s="225"/>
      <c r="RRD121" s="225"/>
      <c r="RRE121" s="225"/>
      <c r="RRF121" s="225"/>
      <c r="RRG121" s="225"/>
      <c r="RRH121" s="225"/>
      <c r="RRI121" s="225"/>
      <c r="RRJ121" s="225"/>
      <c r="RRK121" s="225"/>
      <c r="RRL121" s="225"/>
      <c r="RRM121" s="225"/>
      <c r="RRN121" s="225"/>
      <c r="RRO121" s="225"/>
      <c r="RRP121" s="225"/>
      <c r="RRQ121" s="225"/>
      <c r="RRR121" s="225"/>
      <c r="RRS121" s="225"/>
      <c r="RRT121" s="225"/>
      <c r="RRU121" s="225"/>
      <c r="RRV121" s="225"/>
      <c r="RRW121" s="225"/>
      <c r="RRX121" s="225"/>
      <c r="RRY121" s="225"/>
      <c r="RRZ121" s="225"/>
      <c r="RSA121" s="225"/>
      <c r="RSB121" s="225"/>
      <c r="RSC121" s="225"/>
      <c r="RSD121" s="225"/>
      <c r="RSE121" s="225"/>
      <c r="RSF121" s="225"/>
      <c r="RSG121" s="225"/>
      <c r="RSH121" s="225"/>
      <c r="RSI121" s="225"/>
      <c r="RSJ121" s="225"/>
      <c r="RSK121" s="225"/>
      <c r="RSL121" s="225"/>
      <c r="RSM121" s="225"/>
      <c r="RSN121" s="225"/>
      <c r="RSO121" s="225"/>
      <c r="RSP121" s="225"/>
      <c r="RSQ121" s="225"/>
      <c r="RSR121" s="225"/>
      <c r="RSS121" s="225"/>
      <c r="RST121" s="225"/>
      <c r="RSU121" s="225"/>
      <c r="RSV121" s="225"/>
      <c r="RSW121" s="225"/>
      <c r="RSX121" s="225"/>
      <c r="RSY121" s="225"/>
      <c r="RSZ121" s="225"/>
      <c r="RTA121" s="225"/>
      <c r="RTB121" s="225"/>
      <c r="RTC121" s="225"/>
      <c r="RTD121" s="225"/>
      <c r="RTE121" s="225"/>
      <c r="RTF121" s="225"/>
      <c r="RTG121" s="225"/>
      <c r="RTH121" s="225"/>
      <c r="RTI121" s="225"/>
      <c r="RTJ121" s="225"/>
      <c r="RTK121" s="225"/>
      <c r="RTL121" s="225"/>
      <c r="RTM121" s="225"/>
      <c r="RTN121" s="225"/>
      <c r="RTO121" s="225"/>
      <c r="RTP121" s="225"/>
      <c r="RTQ121" s="225"/>
      <c r="RTR121" s="225"/>
      <c r="RTS121" s="225"/>
      <c r="RTT121" s="225"/>
      <c r="RTU121" s="225"/>
      <c r="RTV121" s="225"/>
      <c r="RTW121" s="225"/>
      <c r="RTX121" s="225"/>
      <c r="RTY121" s="225"/>
      <c r="RTZ121" s="225"/>
      <c r="RUA121" s="225"/>
      <c r="RUB121" s="225"/>
      <c r="RUC121" s="225"/>
      <c r="RUD121" s="225"/>
      <c r="RUE121" s="225"/>
      <c r="RUF121" s="225"/>
      <c r="RUG121" s="225"/>
      <c r="RUH121" s="225"/>
      <c r="RUI121" s="225"/>
      <c r="RUJ121" s="225"/>
      <c r="RUK121" s="225"/>
      <c r="RUL121" s="225"/>
      <c r="RUM121" s="225"/>
      <c r="RUN121" s="225"/>
      <c r="RUO121" s="225"/>
      <c r="RUP121" s="225"/>
      <c r="RUQ121" s="225"/>
      <c r="RUR121" s="225"/>
      <c r="RUS121" s="225"/>
      <c r="RUT121" s="225"/>
      <c r="RUU121" s="225"/>
      <c r="RUV121" s="225"/>
      <c r="RUW121" s="225"/>
      <c r="RUX121" s="225"/>
      <c r="RUY121" s="225"/>
      <c r="RUZ121" s="225"/>
      <c r="RVA121" s="225"/>
      <c r="RVB121" s="225"/>
      <c r="RVC121" s="225"/>
      <c r="RVD121" s="225"/>
      <c r="RVE121" s="225"/>
      <c r="RVF121" s="225"/>
      <c r="RVG121" s="225"/>
      <c r="RVH121" s="225"/>
      <c r="RVI121" s="225"/>
      <c r="RVJ121" s="225"/>
      <c r="RVK121" s="225"/>
      <c r="RVL121" s="225"/>
      <c r="RVM121" s="225"/>
      <c r="RVN121" s="225"/>
      <c r="RVO121" s="225"/>
      <c r="RVP121" s="225"/>
      <c r="RVQ121" s="225"/>
      <c r="RVR121" s="225"/>
      <c r="RVS121" s="225"/>
      <c r="RVT121" s="225"/>
      <c r="RVU121" s="225"/>
      <c r="RVV121" s="225"/>
      <c r="RVW121" s="225"/>
      <c r="RVX121" s="225"/>
      <c r="RVY121" s="225"/>
      <c r="RVZ121" s="225"/>
      <c r="RWA121" s="225"/>
      <c r="RWB121" s="225"/>
      <c r="RWC121" s="225"/>
      <c r="RWD121" s="225"/>
      <c r="RWE121" s="225"/>
      <c r="RWF121" s="225"/>
      <c r="RWG121" s="225"/>
      <c r="RWH121" s="225"/>
      <c r="RWI121" s="225"/>
      <c r="RWJ121" s="225"/>
      <c r="RWK121" s="225"/>
      <c r="RWL121" s="225"/>
      <c r="RWM121" s="225"/>
      <c r="RWN121" s="225"/>
      <c r="RWO121" s="225"/>
      <c r="RWP121" s="225"/>
      <c r="RWQ121" s="225"/>
      <c r="RWR121" s="225"/>
      <c r="RWS121" s="225"/>
      <c r="RWT121" s="225"/>
      <c r="RWU121" s="225"/>
      <c r="RWV121" s="225"/>
      <c r="RWW121" s="225"/>
      <c r="RWX121" s="225"/>
      <c r="RWY121" s="225"/>
      <c r="RWZ121" s="225"/>
      <c r="RXA121" s="225"/>
      <c r="RXB121" s="225"/>
      <c r="RXC121" s="225"/>
      <c r="RXD121" s="225"/>
      <c r="RXE121" s="225"/>
      <c r="RXF121" s="225"/>
      <c r="RXG121" s="225"/>
      <c r="RXH121" s="225"/>
      <c r="RXI121" s="225"/>
      <c r="RXJ121" s="225"/>
      <c r="RXK121" s="225"/>
      <c r="RXL121" s="225"/>
      <c r="RXM121" s="225"/>
      <c r="RXN121" s="225"/>
      <c r="RXO121" s="225"/>
      <c r="RXP121" s="225"/>
      <c r="RXQ121" s="225"/>
      <c r="RXR121" s="225"/>
      <c r="RXS121" s="225"/>
      <c r="RXT121" s="225"/>
      <c r="RXU121" s="225"/>
      <c r="RXV121" s="225"/>
      <c r="RXW121" s="225"/>
      <c r="RXX121" s="225"/>
      <c r="RXY121" s="225"/>
      <c r="RXZ121" s="225"/>
      <c r="RYA121" s="225"/>
      <c r="RYB121" s="225"/>
      <c r="RYC121" s="225"/>
      <c r="RYD121" s="225"/>
      <c r="RYE121" s="225"/>
      <c r="RYF121" s="225"/>
      <c r="RYG121" s="225"/>
      <c r="RYH121" s="225"/>
      <c r="RYI121" s="225"/>
      <c r="RYJ121" s="225"/>
      <c r="RYK121" s="225"/>
      <c r="RYL121" s="225"/>
      <c r="RYM121" s="225"/>
      <c r="RYN121" s="225"/>
      <c r="RYO121" s="225"/>
      <c r="RYP121" s="225"/>
      <c r="RYQ121" s="225"/>
      <c r="RYR121" s="225"/>
      <c r="RYS121" s="225"/>
      <c r="RYT121" s="225"/>
      <c r="RYU121" s="225"/>
      <c r="RYV121" s="225"/>
      <c r="RYW121" s="225"/>
      <c r="RYX121" s="225"/>
      <c r="RYY121" s="225"/>
      <c r="RYZ121" s="225"/>
      <c r="RZA121" s="225"/>
      <c r="RZB121" s="225"/>
      <c r="RZC121" s="225"/>
      <c r="RZD121" s="225"/>
      <c r="RZE121" s="225"/>
      <c r="RZF121" s="225"/>
      <c r="RZG121" s="225"/>
      <c r="RZH121" s="225"/>
      <c r="RZI121" s="225"/>
      <c r="RZJ121" s="225"/>
      <c r="RZK121" s="225"/>
      <c r="RZL121" s="225"/>
      <c r="RZM121" s="225"/>
      <c r="RZN121" s="225"/>
      <c r="RZO121" s="225"/>
      <c r="RZP121" s="225"/>
      <c r="RZQ121" s="225"/>
      <c r="RZR121" s="225"/>
      <c r="RZS121" s="225"/>
      <c r="RZT121" s="225"/>
      <c r="RZU121" s="225"/>
      <c r="RZV121" s="225"/>
      <c r="RZW121" s="225"/>
      <c r="RZX121" s="225"/>
      <c r="RZY121" s="225"/>
      <c r="RZZ121" s="225"/>
      <c r="SAA121" s="225"/>
      <c r="SAB121" s="225"/>
      <c r="SAC121" s="225"/>
      <c r="SAD121" s="225"/>
      <c r="SAE121" s="225"/>
      <c r="SAF121" s="225"/>
      <c r="SAG121" s="225"/>
      <c r="SAH121" s="225"/>
      <c r="SAI121" s="225"/>
      <c r="SAJ121" s="225"/>
      <c r="SAK121" s="225"/>
      <c r="SAL121" s="225"/>
      <c r="SAM121" s="225"/>
      <c r="SAN121" s="225"/>
      <c r="SAO121" s="225"/>
      <c r="SAP121" s="225"/>
      <c r="SAQ121" s="225"/>
      <c r="SAR121" s="225"/>
      <c r="SAS121" s="225"/>
      <c r="SAT121" s="225"/>
      <c r="SAU121" s="225"/>
      <c r="SAV121" s="225"/>
      <c r="SAW121" s="225"/>
      <c r="SAX121" s="225"/>
      <c r="SAY121" s="225"/>
      <c r="SAZ121" s="225"/>
      <c r="SBA121" s="225"/>
      <c r="SBB121" s="225"/>
      <c r="SBC121" s="225"/>
      <c r="SBD121" s="225"/>
      <c r="SBE121" s="225"/>
      <c r="SBF121" s="225"/>
      <c r="SBG121" s="225"/>
      <c r="SBH121" s="225"/>
      <c r="SBI121" s="225"/>
      <c r="SBJ121" s="225"/>
      <c r="SBK121" s="225"/>
      <c r="SBL121" s="225"/>
      <c r="SBM121" s="225"/>
      <c r="SBN121" s="225"/>
      <c r="SBO121" s="225"/>
      <c r="SBP121" s="225"/>
      <c r="SBQ121" s="225"/>
      <c r="SBR121" s="225"/>
      <c r="SBS121" s="225"/>
      <c r="SBT121" s="225"/>
      <c r="SBU121" s="225"/>
      <c r="SBV121" s="225"/>
      <c r="SBW121" s="225"/>
      <c r="SBX121" s="225"/>
      <c r="SBY121" s="225"/>
      <c r="SBZ121" s="225"/>
      <c r="SCA121" s="225"/>
      <c r="SCB121" s="225"/>
      <c r="SCC121" s="225"/>
      <c r="SCD121" s="225"/>
      <c r="SCE121" s="225"/>
      <c r="SCF121" s="225"/>
      <c r="SCG121" s="225"/>
      <c r="SCH121" s="225"/>
      <c r="SCI121" s="225"/>
      <c r="SCJ121" s="225"/>
      <c r="SCK121" s="225"/>
      <c r="SCL121" s="225"/>
      <c r="SCM121" s="225"/>
      <c r="SCN121" s="225"/>
      <c r="SCO121" s="225"/>
      <c r="SCP121" s="225"/>
      <c r="SCQ121" s="225"/>
      <c r="SCR121" s="225"/>
      <c r="SCS121" s="225"/>
      <c r="SCT121" s="225"/>
      <c r="SCU121" s="225"/>
      <c r="SCV121" s="225"/>
      <c r="SCW121" s="225"/>
      <c r="SCX121" s="225"/>
      <c r="SCY121" s="225"/>
      <c r="SCZ121" s="225"/>
      <c r="SDA121" s="225"/>
      <c r="SDB121" s="225"/>
      <c r="SDC121" s="225"/>
      <c r="SDD121" s="225"/>
      <c r="SDE121" s="225"/>
      <c r="SDF121" s="225"/>
      <c r="SDG121" s="225"/>
      <c r="SDH121" s="225"/>
      <c r="SDI121" s="225"/>
      <c r="SDJ121" s="225"/>
      <c r="SDK121" s="225"/>
      <c r="SDL121" s="225"/>
      <c r="SDM121" s="225"/>
      <c r="SDN121" s="225"/>
      <c r="SDO121" s="225"/>
      <c r="SDP121" s="225"/>
      <c r="SDQ121" s="225"/>
      <c r="SDR121" s="225"/>
      <c r="SDS121" s="225"/>
      <c r="SDT121" s="225"/>
      <c r="SDU121" s="225"/>
      <c r="SDV121" s="225"/>
      <c r="SDW121" s="225"/>
      <c r="SDX121" s="225"/>
      <c r="SDY121" s="225"/>
      <c r="SDZ121" s="225"/>
      <c r="SEA121" s="225"/>
      <c r="SEB121" s="225"/>
      <c r="SEC121" s="225"/>
      <c r="SED121" s="225"/>
      <c r="SEE121" s="225"/>
      <c r="SEF121" s="225"/>
      <c r="SEG121" s="225"/>
      <c r="SEH121" s="225"/>
      <c r="SEI121" s="225"/>
      <c r="SEJ121" s="225"/>
      <c r="SEK121" s="225"/>
      <c r="SEL121" s="225"/>
      <c r="SEM121" s="225"/>
      <c r="SEN121" s="225"/>
      <c r="SEO121" s="225"/>
      <c r="SEP121" s="225"/>
      <c r="SEQ121" s="225"/>
      <c r="SER121" s="225"/>
      <c r="SES121" s="225"/>
      <c r="SET121" s="225"/>
      <c r="SEU121" s="225"/>
      <c r="SEV121" s="225"/>
      <c r="SEW121" s="225"/>
      <c r="SEX121" s="225"/>
      <c r="SEY121" s="225"/>
      <c r="SEZ121" s="225"/>
      <c r="SFA121" s="225"/>
      <c r="SFB121" s="225"/>
      <c r="SFC121" s="225"/>
      <c r="SFD121" s="225"/>
      <c r="SFE121" s="225"/>
      <c r="SFF121" s="225"/>
      <c r="SFG121" s="225"/>
      <c r="SFH121" s="225"/>
      <c r="SFI121" s="225"/>
      <c r="SFJ121" s="225"/>
      <c r="SFK121" s="225"/>
      <c r="SFL121" s="225"/>
      <c r="SFM121" s="225"/>
      <c r="SFN121" s="225"/>
      <c r="SFO121" s="225"/>
      <c r="SFP121" s="225"/>
      <c r="SFQ121" s="225"/>
      <c r="SFR121" s="225"/>
      <c r="SFS121" s="225"/>
      <c r="SFT121" s="225"/>
      <c r="SFU121" s="225"/>
      <c r="SFV121" s="225"/>
      <c r="SFW121" s="225"/>
      <c r="SFX121" s="225"/>
      <c r="SFY121" s="225"/>
      <c r="SFZ121" s="225"/>
      <c r="SGA121" s="225"/>
      <c r="SGB121" s="225"/>
      <c r="SGC121" s="225"/>
      <c r="SGD121" s="225"/>
      <c r="SGE121" s="225"/>
      <c r="SGF121" s="225"/>
      <c r="SGG121" s="225"/>
      <c r="SGH121" s="225"/>
      <c r="SGI121" s="225"/>
      <c r="SGJ121" s="225"/>
      <c r="SGK121" s="225"/>
      <c r="SGL121" s="225"/>
      <c r="SGM121" s="225"/>
      <c r="SGN121" s="225"/>
      <c r="SGO121" s="225"/>
      <c r="SGP121" s="225"/>
      <c r="SGQ121" s="225"/>
      <c r="SGR121" s="225"/>
      <c r="SGS121" s="225"/>
      <c r="SGT121" s="225"/>
      <c r="SGU121" s="225"/>
      <c r="SGV121" s="225"/>
      <c r="SGW121" s="225"/>
      <c r="SGX121" s="225"/>
      <c r="SGY121" s="225"/>
      <c r="SGZ121" s="225"/>
      <c r="SHA121" s="225"/>
      <c r="SHB121" s="225"/>
      <c r="SHC121" s="225"/>
      <c r="SHD121" s="225"/>
      <c r="SHE121" s="225"/>
      <c r="SHF121" s="225"/>
      <c r="SHG121" s="225"/>
      <c r="SHH121" s="225"/>
      <c r="SHI121" s="225"/>
      <c r="SHJ121" s="225"/>
      <c r="SHK121" s="225"/>
      <c r="SHL121" s="225"/>
      <c r="SHM121" s="225"/>
      <c r="SHN121" s="225"/>
      <c r="SHO121" s="225"/>
      <c r="SHP121" s="225"/>
      <c r="SHQ121" s="225"/>
      <c r="SHR121" s="225"/>
      <c r="SHS121" s="225"/>
      <c r="SHT121" s="225"/>
      <c r="SHU121" s="225"/>
      <c r="SHV121" s="225"/>
      <c r="SHW121" s="225"/>
      <c r="SHX121" s="225"/>
      <c r="SHY121" s="225"/>
      <c r="SHZ121" s="225"/>
      <c r="SIA121" s="225"/>
      <c r="SIB121" s="225"/>
      <c r="SIC121" s="225"/>
      <c r="SID121" s="225"/>
      <c r="SIE121" s="225"/>
      <c r="SIF121" s="225"/>
      <c r="SIG121" s="225"/>
      <c r="SIH121" s="225"/>
      <c r="SII121" s="225"/>
      <c r="SIJ121" s="225"/>
      <c r="SIK121" s="225"/>
      <c r="SIL121" s="225"/>
      <c r="SIM121" s="225"/>
      <c r="SIN121" s="225"/>
      <c r="SIO121" s="225"/>
      <c r="SIP121" s="225"/>
      <c r="SIQ121" s="225"/>
      <c r="SIR121" s="225"/>
      <c r="SIS121" s="225"/>
      <c r="SIT121" s="225"/>
      <c r="SIU121" s="225"/>
      <c r="SIV121" s="225"/>
      <c r="SIW121" s="225"/>
      <c r="SIX121" s="225"/>
      <c r="SIY121" s="225"/>
      <c r="SIZ121" s="225"/>
      <c r="SJA121" s="225"/>
      <c r="SJB121" s="225"/>
      <c r="SJC121" s="225"/>
      <c r="SJD121" s="225"/>
      <c r="SJE121" s="225"/>
      <c r="SJF121" s="225"/>
      <c r="SJG121" s="225"/>
      <c r="SJH121" s="225"/>
      <c r="SJI121" s="225"/>
      <c r="SJJ121" s="225"/>
      <c r="SJK121" s="225"/>
      <c r="SJL121" s="225"/>
      <c r="SJM121" s="225"/>
      <c r="SJN121" s="225"/>
      <c r="SJO121" s="225"/>
      <c r="SJP121" s="225"/>
      <c r="SJQ121" s="225"/>
      <c r="SJR121" s="225"/>
      <c r="SJS121" s="225"/>
      <c r="SJT121" s="225"/>
      <c r="SJU121" s="225"/>
      <c r="SJV121" s="225"/>
      <c r="SJW121" s="225"/>
      <c r="SJX121" s="225"/>
      <c r="SJY121" s="225"/>
      <c r="SJZ121" s="225"/>
      <c r="SKA121" s="225"/>
      <c r="SKB121" s="225"/>
      <c r="SKC121" s="225"/>
      <c r="SKD121" s="225"/>
      <c r="SKE121" s="225"/>
      <c r="SKF121" s="225"/>
      <c r="SKG121" s="225"/>
      <c r="SKH121" s="225"/>
      <c r="SKI121" s="225"/>
      <c r="SKJ121" s="225"/>
      <c r="SKK121" s="225"/>
      <c r="SKL121" s="225"/>
      <c r="SKM121" s="225"/>
      <c r="SKN121" s="225"/>
      <c r="SKO121" s="225"/>
      <c r="SKP121" s="225"/>
      <c r="SKQ121" s="225"/>
      <c r="SKR121" s="225"/>
      <c r="SKS121" s="225"/>
      <c r="SKT121" s="225"/>
      <c r="SKU121" s="225"/>
      <c r="SKV121" s="225"/>
      <c r="SKW121" s="225"/>
      <c r="SKX121" s="225"/>
      <c r="SKY121" s="225"/>
      <c r="SKZ121" s="225"/>
      <c r="SLA121" s="225"/>
      <c r="SLB121" s="225"/>
      <c r="SLC121" s="225"/>
      <c r="SLD121" s="225"/>
      <c r="SLE121" s="225"/>
      <c r="SLF121" s="225"/>
      <c r="SLG121" s="225"/>
      <c r="SLH121" s="225"/>
      <c r="SLI121" s="225"/>
      <c r="SLJ121" s="225"/>
      <c r="SLK121" s="225"/>
      <c r="SLL121" s="225"/>
      <c r="SLM121" s="225"/>
      <c r="SLN121" s="225"/>
      <c r="SLO121" s="225"/>
      <c r="SLP121" s="225"/>
      <c r="SLQ121" s="225"/>
      <c r="SLR121" s="225"/>
      <c r="SLS121" s="225"/>
      <c r="SLT121" s="225"/>
      <c r="SLU121" s="225"/>
      <c r="SLV121" s="225"/>
      <c r="SLW121" s="225"/>
      <c r="SLX121" s="225"/>
      <c r="SLY121" s="225"/>
      <c r="SLZ121" s="225"/>
      <c r="SMA121" s="225"/>
      <c r="SMB121" s="225"/>
      <c r="SMC121" s="225"/>
      <c r="SMD121" s="225"/>
      <c r="SME121" s="225"/>
      <c r="SMF121" s="225"/>
      <c r="SMG121" s="225"/>
      <c r="SMH121" s="225"/>
      <c r="SMI121" s="225"/>
      <c r="SMJ121" s="225"/>
      <c r="SMK121" s="225"/>
      <c r="SML121" s="225"/>
      <c r="SMM121" s="225"/>
      <c r="SMN121" s="225"/>
      <c r="SMO121" s="225"/>
      <c r="SMP121" s="225"/>
      <c r="SMQ121" s="225"/>
      <c r="SMR121" s="225"/>
      <c r="SMS121" s="225"/>
      <c r="SMT121" s="225"/>
      <c r="SMU121" s="225"/>
      <c r="SMV121" s="225"/>
      <c r="SMW121" s="225"/>
      <c r="SMX121" s="225"/>
      <c r="SMY121" s="225"/>
      <c r="SMZ121" s="225"/>
      <c r="SNA121" s="225"/>
      <c r="SNB121" s="225"/>
      <c r="SNC121" s="225"/>
      <c r="SND121" s="225"/>
      <c r="SNE121" s="225"/>
      <c r="SNF121" s="225"/>
      <c r="SNG121" s="225"/>
      <c r="SNH121" s="225"/>
      <c r="SNI121" s="225"/>
      <c r="SNJ121" s="225"/>
      <c r="SNK121" s="225"/>
      <c r="SNL121" s="225"/>
      <c r="SNM121" s="225"/>
      <c r="SNN121" s="225"/>
      <c r="SNO121" s="225"/>
      <c r="SNP121" s="225"/>
      <c r="SNQ121" s="225"/>
      <c r="SNR121" s="225"/>
      <c r="SNS121" s="225"/>
      <c r="SNT121" s="225"/>
      <c r="SNU121" s="225"/>
      <c r="SNV121" s="225"/>
      <c r="SNW121" s="225"/>
      <c r="SNX121" s="225"/>
      <c r="SNY121" s="225"/>
      <c r="SNZ121" s="225"/>
      <c r="SOA121" s="225"/>
      <c r="SOB121" s="225"/>
      <c r="SOC121" s="225"/>
      <c r="SOD121" s="225"/>
      <c r="SOE121" s="225"/>
      <c r="SOF121" s="225"/>
      <c r="SOG121" s="225"/>
      <c r="SOH121" s="225"/>
      <c r="SOI121" s="225"/>
      <c r="SOJ121" s="225"/>
      <c r="SOK121" s="225"/>
      <c r="SOL121" s="225"/>
      <c r="SOM121" s="225"/>
      <c r="SON121" s="225"/>
      <c r="SOO121" s="225"/>
      <c r="SOP121" s="225"/>
      <c r="SOQ121" s="225"/>
      <c r="SOR121" s="225"/>
      <c r="SOS121" s="225"/>
      <c r="SOT121" s="225"/>
      <c r="SOU121" s="225"/>
      <c r="SOV121" s="225"/>
      <c r="SOW121" s="225"/>
      <c r="SOX121" s="225"/>
      <c r="SOY121" s="225"/>
      <c r="SOZ121" s="225"/>
      <c r="SPA121" s="225"/>
      <c r="SPB121" s="225"/>
      <c r="SPC121" s="225"/>
      <c r="SPD121" s="225"/>
      <c r="SPE121" s="225"/>
      <c r="SPF121" s="225"/>
      <c r="SPG121" s="225"/>
      <c r="SPH121" s="225"/>
      <c r="SPI121" s="225"/>
      <c r="SPJ121" s="225"/>
      <c r="SPK121" s="225"/>
      <c r="SPL121" s="225"/>
      <c r="SPM121" s="225"/>
      <c r="SPN121" s="225"/>
      <c r="SPO121" s="225"/>
      <c r="SPP121" s="225"/>
      <c r="SPQ121" s="225"/>
      <c r="SPR121" s="225"/>
      <c r="SPS121" s="225"/>
      <c r="SPT121" s="225"/>
      <c r="SPU121" s="225"/>
      <c r="SPV121" s="225"/>
      <c r="SPW121" s="225"/>
      <c r="SPX121" s="225"/>
      <c r="SPY121" s="225"/>
      <c r="SPZ121" s="225"/>
      <c r="SQA121" s="225"/>
      <c r="SQB121" s="225"/>
      <c r="SQC121" s="225"/>
      <c r="SQD121" s="225"/>
      <c r="SQE121" s="225"/>
      <c r="SQF121" s="225"/>
      <c r="SQG121" s="225"/>
      <c r="SQH121" s="225"/>
      <c r="SQI121" s="225"/>
      <c r="SQJ121" s="225"/>
      <c r="SQK121" s="225"/>
      <c r="SQL121" s="225"/>
      <c r="SQM121" s="225"/>
      <c r="SQN121" s="225"/>
      <c r="SQO121" s="225"/>
      <c r="SQP121" s="225"/>
      <c r="SQQ121" s="225"/>
      <c r="SQR121" s="225"/>
      <c r="SQS121" s="225"/>
      <c r="SQT121" s="225"/>
      <c r="SQU121" s="225"/>
      <c r="SQV121" s="225"/>
      <c r="SQW121" s="225"/>
      <c r="SQX121" s="225"/>
      <c r="SQY121" s="225"/>
      <c r="SQZ121" s="225"/>
      <c r="SRA121" s="225"/>
      <c r="SRB121" s="225"/>
      <c r="SRC121" s="225"/>
      <c r="SRD121" s="225"/>
      <c r="SRE121" s="225"/>
      <c r="SRF121" s="225"/>
      <c r="SRG121" s="225"/>
      <c r="SRH121" s="225"/>
      <c r="SRI121" s="225"/>
      <c r="SRJ121" s="225"/>
      <c r="SRK121" s="225"/>
      <c r="SRL121" s="225"/>
      <c r="SRM121" s="225"/>
      <c r="SRN121" s="225"/>
      <c r="SRO121" s="225"/>
      <c r="SRP121" s="225"/>
      <c r="SRQ121" s="225"/>
      <c r="SRR121" s="225"/>
      <c r="SRS121" s="225"/>
      <c r="SRT121" s="225"/>
      <c r="SRU121" s="225"/>
      <c r="SRV121" s="225"/>
      <c r="SRW121" s="225"/>
      <c r="SRX121" s="225"/>
      <c r="SRY121" s="225"/>
      <c r="SRZ121" s="225"/>
      <c r="SSA121" s="225"/>
      <c r="SSB121" s="225"/>
      <c r="SSC121" s="225"/>
      <c r="SSD121" s="225"/>
      <c r="SSE121" s="225"/>
      <c r="SSF121" s="225"/>
      <c r="SSG121" s="225"/>
      <c r="SSH121" s="225"/>
      <c r="SSI121" s="225"/>
      <c r="SSJ121" s="225"/>
      <c r="SSK121" s="225"/>
      <c r="SSL121" s="225"/>
      <c r="SSM121" s="225"/>
      <c r="SSN121" s="225"/>
      <c r="SSO121" s="225"/>
      <c r="SSP121" s="225"/>
      <c r="SSQ121" s="225"/>
      <c r="SSR121" s="225"/>
      <c r="SSS121" s="225"/>
      <c r="SST121" s="225"/>
      <c r="SSU121" s="225"/>
      <c r="SSV121" s="225"/>
      <c r="SSW121" s="225"/>
      <c r="SSX121" s="225"/>
      <c r="SSY121" s="225"/>
      <c r="SSZ121" s="225"/>
      <c r="STA121" s="225"/>
      <c r="STB121" s="225"/>
      <c r="STC121" s="225"/>
      <c r="STD121" s="225"/>
      <c r="STE121" s="225"/>
      <c r="STF121" s="225"/>
      <c r="STG121" s="225"/>
      <c r="STH121" s="225"/>
      <c r="STI121" s="225"/>
      <c r="STJ121" s="225"/>
      <c r="STK121" s="225"/>
      <c r="STL121" s="225"/>
      <c r="STM121" s="225"/>
      <c r="STN121" s="225"/>
      <c r="STO121" s="225"/>
      <c r="STP121" s="225"/>
      <c r="STQ121" s="225"/>
      <c r="STR121" s="225"/>
      <c r="STS121" s="225"/>
      <c r="STT121" s="225"/>
      <c r="STU121" s="225"/>
      <c r="STV121" s="225"/>
      <c r="STW121" s="225"/>
      <c r="STX121" s="225"/>
      <c r="STY121" s="225"/>
      <c r="STZ121" s="225"/>
      <c r="SUA121" s="225"/>
      <c r="SUB121" s="225"/>
      <c r="SUC121" s="225"/>
      <c r="SUD121" s="225"/>
      <c r="SUE121" s="225"/>
      <c r="SUF121" s="225"/>
      <c r="SUG121" s="225"/>
      <c r="SUH121" s="225"/>
      <c r="SUI121" s="225"/>
      <c r="SUJ121" s="225"/>
      <c r="SUK121" s="225"/>
      <c r="SUL121" s="225"/>
      <c r="SUM121" s="225"/>
      <c r="SUN121" s="225"/>
      <c r="SUO121" s="225"/>
      <c r="SUP121" s="225"/>
      <c r="SUQ121" s="225"/>
      <c r="SUR121" s="225"/>
      <c r="SUS121" s="225"/>
      <c r="SUT121" s="225"/>
      <c r="SUU121" s="225"/>
      <c r="SUV121" s="225"/>
      <c r="SUW121" s="225"/>
      <c r="SUX121" s="225"/>
      <c r="SUY121" s="225"/>
      <c r="SUZ121" s="225"/>
      <c r="SVA121" s="225"/>
      <c r="SVB121" s="225"/>
      <c r="SVC121" s="225"/>
      <c r="SVD121" s="225"/>
      <c r="SVE121" s="225"/>
      <c r="SVF121" s="225"/>
      <c r="SVG121" s="225"/>
      <c r="SVH121" s="225"/>
      <c r="SVI121" s="225"/>
      <c r="SVJ121" s="225"/>
      <c r="SVK121" s="225"/>
      <c r="SVL121" s="225"/>
      <c r="SVM121" s="225"/>
      <c r="SVN121" s="225"/>
      <c r="SVO121" s="225"/>
      <c r="SVP121" s="225"/>
      <c r="SVQ121" s="225"/>
      <c r="SVR121" s="225"/>
      <c r="SVS121" s="225"/>
      <c r="SVT121" s="225"/>
      <c r="SVU121" s="225"/>
      <c r="SVV121" s="225"/>
      <c r="SVW121" s="225"/>
      <c r="SVX121" s="225"/>
      <c r="SVY121" s="225"/>
      <c r="SVZ121" s="225"/>
      <c r="SWA121" s="225"/>
      <c r="SWB121" s="225"/>
      <c r="SWC121" s="225"/>
      <c r="SWD121" s="225"/>
      <c r="SWE121" s="225"/>
      <c r="SWF121" s="225"/>
      <c r="SWG121" s="225"/>
      <c r="SWH121" s="225"/>
      <c r="SWI121" s="225"/>
      <c r="SWJ121" s="225"/>
      <c r="SWK121" s="225"/>
      <c r="SWL121" s="225"/>
      <c r="SWM121" s="225"/>
      <c r="SWN121" s="225"/>
      <c r="SWO121" s="225"/>
      <c r="SWP121" s="225"/>
      <c r="SWQ121" s="225"/>
      <c r="SWR121" s="225"/>
      <c r="SWS121" s="225"/>
      <c r="SWT121" s="225"/>
      <c r="SWU121" s="225"/>
      <c r="SWV121" s="225"/>
      <c r="SWW121" s="225"/>
      <c r="SWX121" s="225"/>
      <c r="SWY121" s="225"/>
      <c r="SWZ121" s="225"/>
      <c r="SXA121" s="225"/>
      <c r="SXB121" s="225"/>
      <c r="SXC121" s="225"/>
      <c r="SXD121" s="225"/>
      <c r="SXE121" s="225"/>
      <c r="SXF121" s="225"/>
      <c r="SXG121" s="225"/>
      <c r="SXH121" s="225"/>
      <c r="SXI121" s="225"/>
      <c r="SXJ121" s="225"/>
      <c r="SXK121" s="225"/>
      <c r="SXL121" s="225"/>
      <c r="SXM121" s="225"/>
      <c r="SXN121" s="225"/>
      <c r="SXO121" s="225"/>
      <c r="SXP121" s="225"/>
      <c r="SXQ121" s="225"/>
      <c r="SXR121" s="225"/>
      <c r="SXS121" s="225"/>
      <c r="SXT121" s="225"/>
      <c r="SXU121" s="225"/>
      <c r="SXV121" s="225"/>
      <c r="SXW121" s="225"/>
      <c r="SXX121" s="225"/>
      <c r="SXY121" s="225"/>
      <c r="SXZ121" s="225"/>
      <c r="SYA121" s="225"/>
      <c r="SYB121" s="225"/>
      <c r="SYC121" s="225"/>
      <c r="SYD121" s="225"/>
      <c r="SYE121" s="225"/>
      <c r="SYF121" s="225"/>
      <c r="SYG121" s="225"/>
      <c r="SYH121" s="225"/>
      <c r="SYI121" s="225"/>
      <c r="SYJ121" s="225"/>
      <c r="SYK121" s="225"/>
      <c r="SYL121" s="225"/>
      <c r="SYM121" s="225"/>
      <c r="SYN121" s="225"/>
      <c r="SYO121" s="225"/>
      <c r="SYP121" s="225"/>
      <c r="SYQ121" s="225"/>
      <c r="SYR121" s="225"/>
      <c r="SYS121" s="225"/>
      <c r="SYT121" s="225"/>
      <c r="SYU121" s="225"/>
      <c r="SYV121" s="225"/>
      <c r="SYW121" s="225"/>
      <c r="SYX121" s="225"/>
      <c r="SYY121" s="225"/>
      <c r="SYZ121" s="225"/>
      <c r="SZA121" s="225"/>
      <c r="SZB121" s="225"/>
      <c r="SZC121" s="225"/>
      <c r="SZD121" s="225"/>
      <c r="SZE121" s="225"/>
      <c r="SZF121" s="225"/>
      <c r="SZG121" s="225"/>
      <c r="SZH121" s="225"/>
      <c r="SZI121" s="225"/>
      <c r="SZJ121" s="225"/>
      <c r="SZK121" s="225"/>
      <c r="SZL121" s="225"/>
      <c r="SZM121" s="225"/>
      <c r="SZN121" s="225"/>
      <c r="SZO121" s="225"/>
      <c r="SZP121" s="225"/>
      <c r="SZQ121" s="225"/>
      <c r="SZR121" s="225"/>
      <c r="SZS121" s="225"/>
      <c r="SZT121" s="225"/>
      <c r="SZU121" s="225"/>
      <c r="SZV121" s="225"/>
      <c r="SZW121" s="225"/>
      <c r="SZX121" s="225"/>
      <c r="SZY121" s="225"/>
      <c r="SZZ121" s="225"/>
      <c r="TAA121" s="225"/>
      <c r="TAB121" s="225"/>
      <c r="TAC121" s="225"/>
      <c r="TAD121" s="225"/>
      <c r="TAE121" s="225"/>
      <c r="TAF121" s="225"/>
      <c r="TAG121" s="225"/>
      <c r="TAH121" s="225"/>
      <c r="TAI121" s="225"/>
      <c r="TAJ121" s="225"/>
      <c r="TAK121" s="225"/>
      <c r="TAL121" s="225"/>
      <c r="TAM121" s="225"/>
      <c r="TAN121" s="225"/>
      <c r="TAO121" s="225"/>
      <c r="TAP121" s="225"/>
      <c r="TAQ121" s="225"/>
      <c r="TAR121" s="225"/>
      <c r="TAS121" s="225"/>
      <c r="TAT121" s="225"/>
      <c r="TAU121" s="225"/>
      <c r="TAV121" s="225"/>
      <c r="TAW121" s="225"/>
      <c r="TAX121" s="225"/>
      <c r="TAY121" s="225"/>
      <c r="TAZ121" s="225"/>
      <c r="TBA121" s="225"/>
      <c r="TBB121" s="225"/>
      <c r="TBC121" s="225"/>
      <c r="TBD121" s="225"/>
      <c r="TBE121" s="225"/>
      <c r="TBF121" s="225"/>
      <c r="TBG121" s="225"/>
      <c r="TBH121" s="225"/>
      <c r="TBI121" s="225"/>
      <c r="TBJ121" s="225"/>
      <c r="TBK121" s="225"/>
      <c r="TBL121" s="225"/>
      <c r="TBM121" s="225"/>
      <c r="TBN121" s="225"/>
      <c r="TBO121" s="225"/>
      <c r="TBP121" s="225"/>
      <c r="TBQ121" s="225"/>
      <c r="TBR121" s="225"/>
      <c r="TBS121" s="225"/>
      <c r="TBT121" s="225"/>
      <c r="TBU121" s="225"/>
      <c r="TBV121" s="225"/>
      <c r="TBW121" s="225"/>
      <c r="TBX121" s="225"/>
      <c r="TBY121" s="225"/>
      <c r="TBZ121" s="225"/>
      <c r="TCA121" s="225"/>
      <c r="TCB121" s="225"/>
      <c r="TCC121" s="225"/>
      <c r="TCD121" s="225"/>
      <c r="TCE121" s="225"/>
      <c r="TCF121" s="225"/>
      <c r="TCG121" s="225"/>
      <c r="TCH121" s="225"/>
      <c r="TCI121" s="225"/>
      <c r="TCJ121" s="225"/>
      <c r="TCK121" s="225"/>
      <c r="TCL121" s="225"/>
      <c r="TCM121" s="225"/>
      <c r="TCN121" s="225"/>
      <c r="TCO121" s="225"/>
      <c r="TCP121" s="225"/>
      <c r="TCQ121" s="225"/>
      <c r="TCR121" s="225"/>
      <c r="TCS121" s="225"/>
      <c r="TCT121" s="225"/>
      <c r="TCU121" s="225"/>
      <c r="TCV121" s="225"/>
      <c r="TCW121" s="225"/>
      <c r="TCX121" s="225"/>
      <c r="TCY121" s="225"/>
      <c r="TCZ121" s="225"/>
      <c r="TDA121" s="225"/>
      <c r="TDB121" s="225"/>
      <c r="TDC121" s="225"/>
      <c r="TDD121" s="225"/>
      <c r="TDE121" s="225"/>
      <c r="TDF121" s="225"/>
      <c r="TDG121" s="225"/>
      <c r="TDH121" s="225"/>
      <c r="TDI121" s="225"/>
      <c r="TDJ121" s="225"/>
      <c r="TDK121" s="225"/>
      <c r="TDL121" s="225"/>
      <c r="TDM121" s="225"/>
      <c r="TDN121" s="225"/>
      <c r="TDO121" s="225"/>
      <c r="TDP121" s="225"/>
      <c r="TDQ121" s="225"/>
      <c r="TDR121" s="225"/>
      <c r="TDS121" s="225"/>
      <c r="TDT121" s="225"/>
      <c r="TDU121" s="225"/>
      <c r="TDV121" s="225"/>
      <c r="TDW121" s="225"/>
      <c r="TDX121" s="225"/>
      <c r="TDY121" s="225"/>
      <c r="TDZ121" s="225"/>
      <c r="TEA121" s="225"/>
      <c r="TEB121" s="225"/>
      <c r="TEC121" s="225"/>
      <c r="TED121" s="225"/>
      <c r="TEE121" s="225"/>
      <c r="TEF121" s="225"/>
      <c r="TEG121" s="225"/>
      <c r="TEH121" s="225"/>
      <c r="TEI121" s="225"/>
      <c r="TEJ121" s="225"/>
      <c r="TEK121" s="225"/>
      <c r="TEL121" s="225"/>
      <c r="TEM121" s="225"/>
      <c r="TEN121" s="225"/>
      <c r="TEO121" s="225"/>
      <c r="TEP121" s="225"/>
      <c r="TEQ121" s="225"/>
      <c r="TER121" s="225"/>
      <c r="TES121" s="225"/>
      <c r="TET121" s="225"/>
      <c r="TEU121" s="225"/>
      <c r="TEV121" s="225"/>
      <c r="TEW121" s="225"/>
      <c r="TEX121" s="225"/>
      <c r="TEY121" s="225"/>
      <c r="TEZ121" s="225"/>
      <c r="TFA121" s="225"/>
      <c r="TFB121" s="225"/>
      <c r="TFC121" s="225"/>
      <c r="TFD121" s="225"/>
      <c r="TFE121" s="225"/>
      <c r="TFF121" s="225"/>
      <c r="TFG121" s="225"/>
      <c r="TFH121" s="225"/>
      <c r="TFI121" s="225"/>
      <c r="TFJ121" s="225"/>
      <c r="TFK121" s="225"/>
      <c r="TFL121" s="225"/>
      <c r="TFM121" s="225"/>
      <c r="TFN121" s="225"/>
      <c r="TFO121" s="225"/>
      <c r="TFP121" s="225"/>
      <c r="TFQ121" s="225"/>
      <c r="TFR121" s="225"/>
      <c r="TFS121" s="225"/>
      <c r="TFT121" s="225"/>
      <c r="TFU121" s="225"/>
      <c r="TFV121" s="225"/>
      <c r="TFW121" s="225"/>
      <c r="TFX121" s="225"/>
      <c r="TFY121" s="225"/>
      <c r="TFZ121" s="225"/>
      <c r="TGA121" s="225"/>
      <c r="TGB121" s="225"/>
      <c r="TGC121" s="225"/>
      <c r="TGD121" s="225"/>
      <c r="TGE121" s="225"/>
      <c r="TGF121" s="225"/>
      <c r="TGG121" s="225"/>
      <c r="TGH121" s="225"/>
      <c r="TGI121" s="225"/>
      <c r="TGJ121" s="225"/>
      <c r="TGK121" s="225"/>
      <c r="TGL121" s="225"/>
      <c r="TGM121" s="225"/>
      <c r="TGN121" s="225"/>
      <c r="TGO121" s="225"/>
      <c r="TGP121" s="225"/>
      <c r="TGQ121" s="225"/>
      <c r="TGR121" s="225"/>
      <c r="TGS121" s="225"/>
      <c r="TGT121" s="225"/>
      <c r="TGU121" s="225"/>
      <c r="TGV121" s="225"/>
      <c r="TGW121" s="225"/>
      <c r="TGX121" s="225"/>
      <c r="TGY121" s="225"/>
      <c r="TGZ121" s="225"/>
      <c r="THA121" s="225"/>
      <c r="THB121" s="225"/>
      <c r="THC121" s="225"/>
      <c r="THD121" s="225"/>
      <c r="THE121" s="225"/>
      <c r="THF121" s="225"/>
      <c r="THG121" s="225"/>
      <c r="THH121" s="225"/>
      <c r="THI121" s="225"/>
      <c r="THJ121" s="225"/>
      <c r="THK121" s="225"/>
      <c r="THL121" s="225"/>
      <c r="THM121" s="225"/>
      <c r="THN121" s="225"/>
      <c r="THO121" s="225"/>
      <c r="THP121" s="225"/>
      <c r="THQ121" s="225"/>
      <c r="THR121" s="225"/>
      <c r="THS121" s="225"/>
      <c r="THT121" s="225"/>
      <c r="THU121" s="225"/>
      <c r="THV121" s="225"/>
      <c r="THW121" s="225"/>
      <c r="THX121" s="225"/>
      <c r="THY121" s="225"/>
      <c r="THZ121" s="225"/>
      <c r="TIA121" s="225"/>
      <c r="TIB121" s="225"/>
      <c r="TIC121" s="225"/>
      <c r="TID121" s="225"/>
      <c r="TIE121" s="225"/>
      <c r="TIF121" s="225"/>
      <c r="TIG121" s="225"/>
      <c r="TIH121" s="225"/>
      <c r="TII121" s="225"/>
      <c r="TIJ121" s="225"/>
      <c r="TIK121" s="225"/>
      <c r="TIL121" s="225"/>
      <c r="TIM121" s="225"/>
      <c r="TIN121" s="225"/>
      <c r="TIO121" s="225"/>
      <c r="TIP121" s="225"/>
      <c r="TIQ121" s="225"/>
      <c r="TIR121" s="225"/>
      <c r="TIS121" s="225"/>
      <c r="TIT121" s="225"/>
      <c r="TIU121" s="225"/>
      <c r="TIV121" s="225"/>
      <c r="TIW121" s="225"/>
      <c r="TIX121" s="225"/>
      <c r="TIY121" s="225"/>
      <c r="TIZ121" s="225"/>
      <c r="TJA121" s="225"/>
      <c r="TJB121" s="225"/>
      <c r="TJC121" s="225"/>
      <c r="TJD121" s="225"/>
      <c r="TJE121" s="225"/>
      <c r="TJF121" s="225"/>
      <c r="TJG121" s="225"/>
      <c r="TJH121" s="225"/>
      <c r="TJI121" s="225"/>
      <c r="TJJ121" s="225"/>
      <c r="TJK121" s="225"/>
      <c r="TJL121" s="225"/>
      <c r="TJM121" s="225"/>
      <c r="TJN121" s="225"/>
      <c r="TJO121" s="225"/>
      <c r="TJP121" s="225"/>
      <c r="TJQ121" s="225"/>
      <c r="TJR121" s="225"/>
      <c r="TJS121" s="225"/>
      <c r="TJT121" s="225"/>
      <c r="TJU121" s="225"/>
      <c r="TJV121" s="225"/>
      <c r="TJW121" s="225"/>
      <c r="TJX121" s="225"/>
      <c r="TJY121" s="225"/>
      <c r="TJZ121" s="225"/>
      <c r="TKA121" s="225"/>
      <c r="TKB121" s="225"/>
      <c r="TKC121" s="225"/>
      <c r="TKD121" s="225"/>
      <c r="TKE121" s="225"/>
      <c r="TKF121" s="225"/>
      <c r="TKG121" s="225"/>
      <c r="TKH121" s="225"/>
      <c r="TKI121" s="225"/>
      <c r="TKJ121" s="225"/>
      <c r="TKK121" s="225"/>
      <c r="TKL121" s="225"/>
      <c r="TKM121" s="225"/>
      <c r="TKN121" s="225"/>
      <c r="TKO121" s="225"/>
      <c r="TKP121" s="225"/>
      <c r="TKQ121" s="225"/>
      <c r="TKR121" s="225"/>
      <c r="TKS121" s="225"/>
      <c r="TKT121" s="225"/>
      <c r="TKU121" s="225"/>
      <c r="TKV121" s="225"/>
      <c r="TKW121" s="225"/>
      <c r="TKX121" s="225"/>
      <c r="TKY121" s="225"/>
      <c r="TKZ121" s="225"/>
      <c r="TLA121" s="225"/>
      <c r="TLB121" s="225"/>
      <c r="TLC121" s="225"/>
      <c r="TLD121" s="225"/>
      <c r="TLE121" s="225"/>
      <c r="TLF121" s="225"/>
      <c r="TLG121" s="225"/>
      <c r="TLH121" s="225"/>
      <c r="TLI121" s="225"/>
      <c r="TLJ121" s="225"/>
      <c r="TLK121" s="225"/>
      <c r="TLL121" s="225"/>
      <c r="TLM121" s="225"/>
      <c r="TLN121" s="225"/>
      <c r="TLO121" s="225"/>
      <c r="TLP121" s="225"/>
      <c r="TLQ121" s="225"/>
      <c r="TLR121" s="225"/>
      <c r="TLS121" s="225"/>
      <c r="TLT121" s="225"/>
      <c r="TLU121" s="225"/>
      <c r="TLV121" s="225"/>
      <c r="TLW121" s="225"/>
      <c r="TLX121" s="225"/>
      <c r="TLY121" s="225"/>
      <c r="TLZ121" s="225"/>
      <c r="TMA121" s="225"/>
      <c r="TMB121" s="225"/>
      <c r="TMC121" s="225"/>
      <c r="TMD121" s="225"/>
      <c r="TME121" s="225"/>
      <c r="TMF121" s="225"/>
      <c r="TMG121" s="225"/>
      <c r="TMH121" s="225"/>
      <c r="TMI121" s="225"/>
      <c r="TMJ121" s="225"/>
      <c r="TMK121" s="225"/>
      <c r="TML121" s="225"/>
      <c r="TMM121" s="225"/>
      <c r="TMN121" s="225"/>
      <c r="TMO121" s="225"/>
      <c r="TMP121" s="225"/>
      <c r="TMQ121" s="225"/>
      <c r="TMR121" s="225"/>
      <c r="TMS121" s="225"/>
      <c r="TMT121" s="225"/>
      <c r="TMU121" s="225"/>
      <c r="TMV121" s="225"/>
      <c r="TMW121" s="225"/>
      <c r="TMX121" s="225"/>
      <c r="TMY121" s="225"/>
      <c r="TMZ121" s="225"/>
      <c r="TNA121" s="225"/>
      <c r="TNB121" s="225"/>
      <c r="TNC121" s="225"/>
      <c r="TND121" s="225"/>
      <c r="TNE121" s="225"/>
      <c r="TNF121" s="225"/>
      <c r="TNG121" s="225"/>
      <c r="TNH121" s="225"/>
      <c r="TNI121" s="225"/>
      <c r="TNJ121" s="225"/>
      <c r="TNK121" s="225"/>
      <c r="TNL121" s="225"/>
      <c r="TNM121" s="225"/>
      <c r="TNN121" s="225"/>
      <c r="TNO121" s="225"/>
      <c r="TNP121" s="225"/>
      <c r="TNQ121" s="225"/>
      <c r="TNR121" s="225"/>
      <c r="TNS121" s="225"/>
      <c r="TNT121" s="225"/>
      <c r="TNU121" s="225"/>
      <c r="TNV121" s="225"/>
      <c r="TNW121" s="225"/>
      <c r="TNX121" s="225"/>
      <c r="TNY121" s="225"/>
      <c r="TNZ121" s="225"/>
      <c r="TOA121" s="225"/>
      <c r="TOB121" s="225"/>
      <c r="TOC121" s="225"/>
      <c r="TOD121" s="225"/>
      <c r="TOE121" s="225"/>
      <c r="TOF121" s="225"/>
      <c r="TOG121" s="225"/>
      <c r="TOH121" s="225"/>
      <c r="TOI121" s="225"/>
      <c r="TOJ121" s="225"/>
      <c r="TOK121" s="225"/>
      <c r="TOL121" s="225"/>
      <c r="TOM121" s="225"/>
      <c r="TON121" s="225"/>
      <c r="TOO121" s="225"/>
      <c r="TOP121" s="225"/>
      <c r="TOQ121" s="225"/>
      <c r="TOR121" s="225"/>
      <c r="TOS121" s="225"/>
      <c r="TOT121" s="225"/>
      <c r="TOU121" s="225"/>
      <c r="TOV121" s="225"/>
      <c r="TOW121" s="225"/>
      <c r="TOX121" s="225"/>
      <c r="TOY121" s="225"/>
      <c r="TOZ121" s="225"/>
      <c r="TPA121" s="225"/>
      <c r="TPB121" s="225"/>
      <c r="TPC121" s="225"/>
      <c r="TPD121" s="225"/>
      <c r="TPE121" s="225"/>
      <c r="TPF121" s="225"/>
      <c r="TPG121" s="225"/>
      <c r="TPH121" s="225"/>
      <c r="TPI121" s="225"/>
      <c r="TPJ121" s="225"/>
      <c r="TPK121" s="225"/>
      <c r="TPL121" s="225"/>
      <c r="TPM121" s="225"/>
      <c r="TPN121" s="225"/>
      <c r="TPO121" s="225"/>
      <c r="TPP121" s="225"/>
      <c r="TPQ121" s="225"/>
      <c r="TPR121" s="225"/>
      <c r="TPS121" s="225"/>
      <c r="TPT121" s="225"/>
      <c r="TPU121" s="225"/>
      <c r="TPV121" s="225"/>
      <c r="TPW121" s="225"/>
      <c r="TPX121" s="225"/>
      <c r="TPY121" s="225"/>
      <c r="TPZ121" s="225"/>
      <c r="TQA121" s="225"/>
      <c r="TQB121" s="225"/>
      <c r="TQC121" s="225"/>
      <c r="TQD121" s="225"/>
      <c r="TQE121" s="225"/>
      <c r="TQF121" s="225"/>
      <c r="TQG121" s="225"/>
      <c r="TQH121" s="225"/>
      <c r="TQI121" s="225"/>
      <c r="TQJ121" s="225"/>
      <c r="TQK121" s="225"/>
      <c r="TQL121" s="225"/>
      <c r="TQM121" s="225"/>
      <c r="TQN121" s="225"/>
      <c r="TQO121" s="225"/>
      <c r="TQP121" s="225"/>
      <c r="TQQ121" s="225"/>
      <c r="TQR121" s="225"/>
      <c r="TQS121" s="225"/>
      <c r="TQT121" s="225"/>
      <c r="TQU121" s="225"/>
      <c r="TQV121" s="225"/>
      <c r="TQW121" s="225"/>
      <c r="TQX121" s="225"/>
      <c r="TQY121" s="225"/>
      <c r="TQZ121" s="225"/>
      <c r="TRA121" s="225"/>
      <c r="TRB121" s="225"/>
      <c r="TRC121" s="225"/>
      <c r="TRD121" s="225"/>
      <c r="TRE121" s="225"/>
      <c r="TRF121" s="225"/>
      <c r="TRG121" s="225"/>
      <c r="TRH121" s="225"/>
      <c r="TRI121" s="225"/>
      <c r="TRJ121" s="225"/>
      <c r="TRK121" s="225"/>
      <c r="TRL121" s="225"/>
      <c r="TRM121" s="225"/>
      <c r="TRN121" s="225"/>
      <c r="TRO121" s="225"/>
      <c r="TRP121" s="225"/>
      <c r="TRQ121" s="225"/>
      <c r="TRR121" s="225"/>
      <c r="TRS121" s="225"/>
      <c r="TRT121" s="225"/>
      <c r="TRU121" s="225"/>
      <c r="TRV121" s="225"/>
      <c r="TRW121" s="225"/>
      <c r="TRX121" s="225"/>
      <c r="TRY121" s="225"/>
      <c r="TRZ121" s="225"/>
      <c r="TSA121" s="225"/>
      <c r="TSB121" s="225"/>
      <c r="TSC121" s="225"/>
      <c r="TSD121" s="225"/>
      <c r="TSE121" s="225"/>
      <c r="TSF121" s="225"/>
      <c r="TSG121" s="225"/>
      <c r="TSH121" s="225"/>
      <c r="TSI121" s="225"/>
      <c r="TSJ121" s="225"/>
      <c r="TSK121" s="225"/>
      <c r="TSL121" s="225"/>
      <c r="TSM121" s="225"/>
      <c r="TSN121" s="225"/>
      <c r="TSO121" s="225"/>
      <c r="TSP121" s="225"/>
      <c r="TSQ121" s="225"/>
      <c r="TSR121" s="225"/>
      <c r="TSS121" s="225"/>
      <c r="TST121" s="225"/>
      <c r="TSU121" s="225"/>
      <c r="TSV121" s="225"/>
      <c r="TSW121" s="225"/>
      <c r="TSX121" s="225"/>
      <c r="TSY121" s="225"/>
      <c r="TSZ121" s="225"/>
      <c r="TTA121" s="225"/>
      <c r="TTB121" s="225"/>
      <c r="TTC121" s="225"/>
      <c r="TTD121" s="225"/>
      <c r="TTE121" s="225"/>
      <c r="TTF121" s="225"/>
      <c r="TTG121" s="225"/>
      <c r="TTH121" s="225"/>
      <c r="TTI121" s="225"/>
      <c r="TTJ121" s="225"/>
      <c r="TTK121" s="225"/>
      <c r="TTL121" s="225"/>
      <c r="TTM121" s="225"/>
      <c r="TTN121" s="225"/>
      <c r="TTO121" s="225"/>
      <c r="TTP121" s="225"/>
      <c r="TTQ121" s="225"/>
      <c r="TTR121" s="225"/>
      <c r="TTS121" s="225"/>
      <c r="TTT121" s="225"/>
      <c r="TTU121" s="225"/>
      <c r="TTV121" s="225"/>
      <c r="TTW121" s="225"/>
      <c r="TTX121" s="225"/>
      <c r="TTY121" s="225"/>
      <c r="TTZ121" s="225"/>
      <c r="TUA121" s="225"/>
      <c r="TUB121" s="225"/>
      <c r="TUC121" s="225"/>
      <c r="TUD121" s="225"/>
      <c r="TUE121" s="225"/>
      <c r="TUF121" s="225"/>
      <c r="TUG121" s="225"/>
      <c r="TUH121" s="225"/>
      <c r="TUI121" s="225"/>
      <c r="TUJ121" s="225"/>
      <c r="TUK121" s="225"/>
      <c r="TUL121" s="225"/>
      <c r="TUM121" s="225"/>
      <c r="TUN121" s="225"/>
      <c r="TUO121" s="225"/>
      <c r="TUP121" s="225"/>
      <c r="TUQ121" s="225"/>
      <c r="TUR121" s="225"/>
      <c r="TUS121" s="225"/>
      <c r="TUT121" s="225"/>
      <c r="TUU121" s="225"/>
      <c r="TUV121" s="225"/>
      <c r="TUW121" s="225"/>
      <c r="TUX121" s="225"/>
      <c r="TUY121" s="225"/>
      <c r="TUZ121" s="225"/>
      <c r="TVA121" s="225"/>
      <c r="TVB121" s="225"/>
      <c r="TVC121" s="225"/>
      <c r="TVD121" s="225"/>
      <c r="TVE121" s="225"/>
      <c r="TVF121" s="225"/>
      <c r="TVG121" s="225"/>
      <c r="TVH121" s="225"/>
      <c r="TVI121" s="225"/>
      <c r="TVJ121" s="225"/>
      <c r="TVK121" s="225"/>
      <c r="TVL121" s="225"/>
      <c r="TVM121" s="225"/>
      <c r="TVN121" s="225"/>
      <c r="TVO121" s="225"/>
      <c r="TVP121" s="225"/>
      <c r="TVQ121" s="225"/>
      <c r="TVR121" s="225"/>
      <c r="TVS121" s="225"/>
      <c r="TVT121" s="225"/>
      <c r="TVU121" s="225"/>
      <c r="TVV121" s="225"/>
      <c r="TVW121" s="225"/>
      <c r="TVX121" s="225"/>
      <c r="TVY121" s="225"/>
      <c r="TVZ121" s="225"/>
      <c r="TWA121" s="225"/>
      <c r="TWB121" s="225"/>
      <c r="TWC121" s="225"/>
      <c r="TWD121" s="225"/>
      <c r="TWE121" s="225"/>
      <c r="TWF121" s="225"/>
      <c r="TWG121" s="225"/>
      <c r="TWH121" s="225"/>
      <c r="TWI121" s="225"/>
      <c r="TWJ121" s="225"/>
      <c r="TWK121" s="225"/>
      <c r="TWL121" s="225"/>
      <c r="TWM121" s="225"/>
      <c r="TWN121" s="225"/>
      <c r="TWO121" s="225"/>
      <c r="TWP121" s="225"/>
      <c r="TWQ121" s="225"/>
      <c r="TWR121" s="225"/>
      <c r="TWS121" s="225"/>
      <c r="TWT121" s="225"/>
      <c r="TWU121" s="225"/>
      <c r="TWV121" s="225"/>
      <c r="TWW121" s="225"/>
      <c r="TWX121" s="225"/>
      <c r="TWY121" s="225"/>
      <c r="TWZ121" s="225"/>
      <c r="TXA121" s="225"/>
      <c r="TXB121" s="225"/>
      <c r="TXC121" s="225"/>
      <c r="TXD121" s="225"/>
      <c r="TXE121" s="225"/>
      <c r="TXF121" s="225"/>
      <c r="TXG121" s="225"/>
      <c r="TXH121" s="225"/>
      <c r="TXI121" s="225"/>
      <c r="TXJ121" s="225"/>
      <c r="TXK121" s="225"/>
      <c r="TXL121" s="225"/>
      <c r="TXM121" s="225"/>
      <c r="TXN121" s="225"/>
      <c r="TXO121" s="225"/>
      <c r="TXP121" s="225"/>
      <c r="TXQ121" s="225"/>
      <c r="TXR121" s="225"/>
      <c r="TXS121" s="225"/>
      <c r="TXT121" s="225"/>
      <c r="TXU121" s="225"/>
      <c r="TXV121" s="225"/>
      <c r="TXW121" s="225"/>
      <c r="TXX121" s="225"/>
      <c r="TXY121" s="225"/>
      <c r="TXZ121" s="225"/>
      <c r="TYA121" s="225"/>
      <c r="TYB121" s="225"/>
      <c r="TYC121" s="225"/>
      <c r="TYD121" s="225"/>
      <c r="TYE121" s="225"/>
      <c r="TYF121" s="225"/>
      <c r="TYG121" s="225"/>
      <c r="TYH121" s="225"/>
      <c r="TYI121" s="225"/>
      <c r="TYJ121" s="225"/>
      <c r="TYK121" s="225"/>
      <c r="TYL121" s="225"/>
      <c r="TYM121" s="225"/>
      <c r="TYN121" s="225"/>
      <c r="TYO121" s="225"/>
      <c r="TYP121" s="225"/>
      <c r="TYQ121" s="225"/>
      <c r="TYR121" s="225"/>
      <c r="TYS121" s="225"/>
      <c r="TYT121" s="225"/>
      <c r="TYU121" s="225"/>
      <c r="TYV121" s="225"/>
      <c r="TYW121" s="225"/>
      <c r="TYX121" s="225"/>
      <c r="TYY121" s="225"/>
      <c r="TYZ121" s="225"/>
      <c r="TZA121" s="225"/>
      <c r="TZB121" s="225"/>
      <c r="TZC121" s="225"/>
      <c r="TZD121" s="225"/>
      <c r="TZE121" s="225"/>
      <c r="TZF121" s="225"/>
      <c r="TZG121" s="225"/>
      <c r="TZH121" s="225"/>
      <c r="TZI121" s="225"/>
      <c r="TZJ121" s="225"/>
      <c r="TZK121" s="225"/>
      <c r="TZL121" s="225"/>
      <c r="TZM121" s="225"/>
      <c r="TZN121" s="225"/>
      <c r="TZO121" s="225"/>
      <c r="TZP121" s="225"/>
      <c r="TZQ121" s="225"/>
      <c r="TZR121" s="225"/>
      <c r="TZS121" s="225"/>
      <c r="TZT121" s="225"/>
      <c r="TZU121" s="225"/>
      <c r="TZV121" s="225"/>
      <c r="TZW121" s="225"/>
      <c r="TZX121" s="225"/>
      <c r="TZY121" s="225"/>
      <c r="TZZ121" s="225"/>
      <c r="UAA121" s="225"/>
      <c r="UAB121" s="225"/>
      <c r="UAC121" s="225"/>
      <c r="UAD121" s="225"/>
      <c r="UAE121" s="225"/>
      <c r="UAF121" s="225"/>
      <c r="UAG121" s="225"/>
      <c r="UAH121" s="225"/>
      <c r="UAI121" s="225"/>
      <c r="UAJ121" s="225"/>
      <c r="UAK121" s="225"/>
      <c r="UAL121" s="225"/>
      <c r="UAM121" s="225"/>
      <c r="UAN121" s="225"/>
      <c r="UAO121" s="225"/>
      <c r="UAP121" s="225"/>
      <c r="UAQ121" s="225"/>
      <c r="UAR121" s="225"/>
      <c r="UAS121" s="225"/>
      <c r="UAT121" s="225"/>
      <c r="UAU121" s="225"/>
      <c r="UAV121" s="225"/>
      <c r="UAW121" s="225"/>
      <c r="UAX121" s="225"/>
      <c r="UAY121" s="225"/>
      <c r="UAZ121" s="225"/>
      <c r="UBA121" s="225"/>
      <c r="UBB121" s="225"/>
      <c r="UBC121" s="225"/>
      <c r="UBD121" s="225"/>
      <c r="UBE121" s="225"/>
      <c r="UBF121" s="225"/>
      <c r="UBG121" s="225"/>
      <c r="UBH121" s="225"/>
      <c r="UBI121" s="225"/>
      <c r="UBJ121" s="225"/>
      <c r="UBK121" s="225"/>
      <c r="UBL121" s="225"/>
      <c r="UBM121" s="225"/>
      <c r="UBN121" s="225"/>
      <c r="UBO121" s="225"/>
      <c r="UBP121" s="225"/>
      <c r="UBQ121" s="225"/>
      <c r="UBR121" s="225"/>
      <c r="UBS121" s="225"/>
      <c r="UBT121" s="225"/>
      <c r="UBU121" s="225"/>
      <c r="UBV121" s="225"/>
      <c r="UBW121" s="225"/>
      <c r="UBX121" s="225"/>
      <c r="UBY121" s="225"/>
      <c r="UBZ121" s="225"/>
      <c r="UCA121" s="225"/>
      <c r="UCB121" s="225"/>
      <c r="UCC121" s="225"/>
      <c r="UCD121" s="225"/>
      <c r="UCE121" s="225"/>
      <c r="UCF121" s="225"/>
      <c r="UCG121" s="225"/>
      <c r="UCH121" s="225"/>
      <c r="UCI121" s="225"/>
      <c r="UCJ121" s="225"/>
      <c r="UCK121" s="225"/>
      <c r="UCL121" s="225"/>
      <c r="UCM121" s="225"/>
      <c r="UCN121" s="225"/>
      <c r="UCO121" s="225"/>
      <c r="UCP121" s="225"/>
      <c r="UCQ121" s="225"/>
      <c r="UCR121" s="225"/>
      <c r="UCS121" s="225"/>
      <c r="UCT121" s="225"/>
      <c r="UCU121" s="225"/>
      <c r="UCV121" s="225"/>
      <c r="UCW121" s="225"/>
      <c r="UCX121" s="225"/>
      <c r="UCY121" s="225"/>
      <c r="UCZ121" s="225"/>
      <c r="UDA121" s="225"/>
      <c r="UDB121" s="225"/>
      <c r="UDC121" s="225"/>
      <c r="UDD121" s="225"/>
      <c r="UDE121" s="225"/>
      <c r="UDF121" s="225"/>
      <c r="UDG121" s="225"/>
      <c r="UDH121" s="225"/>
      <c r="UDI121" s="225"/>
      <c r="UDJ121" s="225"/>
      <c r="UDK121" s="225"/>
      <c r="UDL121" s="225"/>
      <c r="UDM121" s="225"/>
      <c r="UDN121" s="225"/>
      <c r="UDO121" s="225"/>
      <c r="UDP121" s="225"/>
      <c r="UDQ121" s="225"/>
      <c r="UDR121" s="225"/>
      <c r="UDS121" s="225"/>
      <c r="UDT121" s="225"/>
      <c r="UDU121" s="225"/>
      <c r="UDV121" s="225"/>
      <c r="UDW121" s="225"/>
      <c r="UDX121" s="225"/>
      <c r="UDY121" s="225"/>
      <c r="UDZ121" s="225"/>
      <c r="UEA121" s="225"/>
      <c r="UEB121" s="225"/>
      <c r="UEC121" s="225"/>
      <c r="UED121" s="225"/>
      <c r="UEE121" s="225"/>
      <c r="UEF121" s="225"/>
      <c r="UEG121" s="225"/>
      <c r="UEH121" s="225"/>
      <c r="UEI121" s="225"/>
      <c r="UEJ121" s="225"/>
      <c r="UEK121" s="225"/>
      <c r="UEL121" s="225"/>
      <c r="UEM121" s="225"/>
      <c r="UEN121" s="225"/>
      <c r="UEO121" s="225"/>
      <c r="UEP121" s="225"/>
      <c r="UEQ121" s="225"/>
      <c r="UER121" s="225"/>
      <c r="UES121" s="225"/>
      <c r="UET121" s="225"/>
      <c r="UEU121" s="225"/>
      <c r="UEV121" s="225"/>
      <c r="UEW121" s="225"/>
      <c r="UEX121" s="225"/>
      <c r="UEY121" s="225"/>
      <c r="UEZ121" s="225"/>
      <c r="UFA121" s="225"/>
      <c r="UFB121" s="225"/>
      <c r="UFC121" s="225"/>
      <c r="UFD121" s="225"/>
      <c r="UFE121" s="225"/>
      <c r="UFF121" s="225"/>
      <c r="UFG121" s="225"/>
      <c r="UFH121" s="225"/>
      <c r="UFI121" s="225"/>
      <c r="UFJ121" s="225"/>
      <c r="UFK121" s="225"/>
      <c r="UFL121" s="225"/>
      <c r="UFM121" s="225"/>
      <c r="UFN121" s="225"/>
      <c r="UFO121" s="225"/>
      <c r="UFP121" s="225"/>
      <c r="UFQ121" s="225"/>
      <c r="UFR121" s="225"/>
      <c r="UFS121" s="225"/>
      <c r="UFT121" s="225"/>
      <c r="UFU121" s="225"/>
      <c r="UFV121" s="225"/>
      <c r="UFW121" s="225"/>
      <c r="UFX121" s="225"/>
      <c r="UFY121" s="225"/>
      <c r="UFZ121" s="225"/>
      <c r="UGA121" s="225"/>
      <c r="UGB121" s="225"/>
      <c r="UGC121" s="225"/>
      <c r="UGD121" s="225"/>
      <c r="UGE121" s="225"/>
      <c r="UGF121" s="225"/>
      <c r="UGG121" s="225"/>
      <c r="UGH121" s="225"/>
      <c r="UGI121" s="225"/>
      <c r="UGJ121" s="225"/>
      <c r="UGK121" s="225"/>
      <c r="UGL121" s="225"/>
      <c r="UGM121" s="225"/>
      <c r="UGN121" s="225"/>
      <c r="UGO121" s="225"/>
      <c r="UGP121" s="225"/>
      <c r="UGQ121" s="225"/>
      <c r="UGR121" s="225"/>
      <c r="UGS121" s="225"/>
      <c r="UGT121" s="225"/>
      <c r="UGU121" s="225"/>
      <c r="UGV121" s="225"/>
      <c r="UGW121" s="225"/>
      <c r="UGX121" s="225"/>
      <c r="UGY121" s="225"/>
      <c r="UGZ121" s="225"/>
      <c r="UHA121" s="225"/>
      <c r="UHB121" s="225"/>
      <c r="UHC121" s="225"/>
      <c r="UHD121" s="225"/>
      <c r="UHE121" s="225"/>
      <c r="UHF121" s="225"/>
      <c r="UHG121" s="225"/>
      <c r="UHH121" s="225"/>
      <c r="UHI121" s="225"/>
      <c r="UHJ121" s="225"/>
      <c r="UHK121" s="225"/>
      <c r="UHL121" s="225"/>
      <c r="UHM121" s="225"/>
      <c r="UHN121" s="225"/>
      <c r="UHO121" s="225"/>
      <c r="UHP121" s="225"/>
      <c r="UHQ121" s="225"/>
      <c r="UHR121" s="225"/>
      <c r="UHS121" s="225"/>
      <c r="UHT121" s="225"/>
      <c r="UHU121" s="225"/>
      <c r="UHV121" s="225"/>
      <c r="UHW121" s="225"/>
      <c r="UHX121" s="225"/>
      <c r="UHY121" s="225"/>
      <c r="UHZ121" s="225"/>
      <c r="UIA121" s="225"/>
      <c r="UIB121" s="225"/>
      <c r="UIC121" s="225"/>
      <c r="UID121" s="225"/>
      <c r="UIE121" s="225"/>
      <c r="UIF121" s="225"/>
      <c r="UIG121" s="225"/>
      <c r="UIH121" s="225"/>
      <c r="UII121" s="225"/>
      <c r="UIJ121" s="225"/>
      <c r="UIK121" s="225"/>
      <c r="UIL121" s="225"/>
      <c r="UIM121" s="225"/>
      <c r="UIN121" s="225"/>
      <c r="UIO121" s="225"/>
      <c r="UIP121" s="225"/>
      <c r="UIQ121" s="225"/>
      <c r="UIR121" s="225"/>
      <c r="UIS121" s="225"/>
      <c r="UIT121" s="225"/>
      <c r="UIU121" s="225"/>
      <c r="UIV121" s="225"/>
      <c r="UIW121" s="225"/>
      <c r="UIX121" s="225"/>
      <c r="UIY121" s="225"/>
      <c r="UIZ121" s="225"/>
      <c r="UJA121" s="225"/>
      <c r="UJB121" s="225"/>
      <c r="UJC121" s="225"/>
      <c r="UJD121" s="225"/>
      <c r="UJE121" s="225"/>
      <c r="UJF121" s="225"/>
      <c r="UJG121" s="225"/>
      <c r="UJH121" s="225"/>
      <c r="UJI121" s="225"/>
      <c r="UJJ121" s="225"/>
      <c r="UJK121" s="225"/>
      <c r="UJL121" s="225"/>
      <c r="UJM121" s="225"/>
      <c r="UJN121" s="225"/>
      <c r="UJO121" s="225"/>
      <c r="UJP121" s="225"/>
      <c r="UJQ121" s="225"/>
      <c r="UJR121" s="225"/>
      <c r="UJS121" s="225"/>
      <c r="UJT121" s="225"/>
      <c r="UJU121" s="225"/>
      <c r="UJV121" s="225"/>
      <c r="UJW121" s="225"/>
      <c r="UJX121" s="225"/>
      <c r="UJY121" s="225"/>
      <c r="UJZ121" s="225"/>
      <c r="UKA121" s="225"/>
      <c r="UKB121" s="225"/>
      <c r="UKC121" s="225"/>
      <c r="UKD121" s="225"/>
      <c r="UKE121" s="225"/>
      <c r="UKF121" s="225"/>
      <c r="UKG121" s="225"/>
      <c r="UKH121" s="225"/>
      <c r="UKI121" s="225"/>
      <c r="UKJ121" s="225"/>
      <c r="UKK121" s="225"/>
      <c r="UKL121" s="225"/>
      <c r="UKM121" s="225"/>
      <c r="UKN121" s="225"/>
      <c r="UKO121" s="225"/>
      <c r="UKP121" s="225"/>
      <c r="UKQ121" s="225"/>
      <c r="UKR121" s="225"/>
      <c r="UKS121" s="225"/>
      <c r="UKT121" s="225"/>
      <c r="UKU121" s="225"/>
      <c r="UKV121" s="225"/>
      <c r="UKW121" s="225"/>
      <c r="UKX121" s="225"/>
      <c r="UKY121" s="225"/>
      <c r="UKZ121" s="225"/>
      <c r="ULA121" s="225"/>
      <c r="ULB121" s="225"/>
      <c r="ULC121" s="225"/>
      <c r="ULD121" s="225"/>
      <c r="ULE121" s="225"/>
      <c r="ULF121" s="225"/>
      <c r="ULG121" s="225"/>
      <c r="ULH121" s="225"/>
      <c r="ULI121" s="225"/>
      <c r="ULJ121" s="225"/>
      <c r="ULK121" s="225"/>
      <c r="ULL121" s="225"/>
      <c r="ULM121" s="225"/>
      <c r="ULN121" s="225"/>
      <c r="ULO121" s="225"/>
      <c r="ULP121" s="225"/>
      <c r="ULQ121" s="225"/>
      <c r="ULR121" s="225"/>
      <c r="ULS121" s="225"/>
      <c r="ULT121" s="225"/>
      <c r="ULU121" s="225"/>
      <c r="ULV121" s="225"/>
      <c r="ULW121" s="225"/>
      <c r="ULX121" s="225"/>
      <c r="ULY121" s="225"/>
      <c r="ULZ121" s="225"/>
      <c r="UMA121" s="225"/>
      <c r="UMB121" s="225"/>
      <c r="UMC121" s="225"/>
      <c r="UMD121" s="225"/>
      <c r="UME121" s="225"/>
      <c r="UMF121" s="225"/>
      <c r="UMG121" s="225"/>
      <c r="UMH121" s="225"/>
      <c r="UMI121" s="225"/>
      <c r="UMJ121" s="225"/>
      <c r="UMK121" s="225"/>
      <c r="UML121" s="225"/>
      <c r="UMM121" s="225"/>
      <c r="UMN121" s="225"/>
      <c r="UMO121" s="225"/>
      <c r="UMP121" s="225"/>
      <c r="UMQ121" s="225"/>
      <c r="UMR121" s="225"/>
      <c r="UMS121" s="225"/>
      <c r="UMT121" s="225"/>
      <c r="UMU121" s="225"/>
      <c r="UMV121" s="225"/>
      <c r="UMW121" s="225"/>
      <c r="UMX121" s="225"/>
      <c r="UMY121" s="225"/>
      <c r="UMZ121" s="225"/>
      <c r="UNA121" s="225"/>
      <c r="UNB121" s="225"/>
      <c r="UNC121" s="225"/>
      <c r="UND121" s="225"/>
      <c r="UNE121" s="225"/>
      <c r="UNF121" s="225"/>
      <c r="UNG121" s="225"/>
      <c r="UNH121" s="225"/>
      <c r="UNI121" s="225"/>
      <c r="UNJ121" s="225"/>
      <c r="UNK121" s="225"/>
      <c r="UNL121" s="225"/>
      <c r="UNM121" s="225"/>
      <c r="UNN121" s="225"/>
      <c r="UNO121" s="225"/>
      <c r="UNP121" s="225"/>
      <c r="UNQ121" s="225"/>
      <c r="UNR121" s="225"/>
      <c r="UNS121" s="225"/>
      <c r="UNT121" s="225"/>
      <c r="UNU121" s="225"/>
      <c r="UNV121" s="225"/>
      <c r="UNW121" s="225"/>
      <c r="UNX121" s="225"/>
      <c r="UNY121" s="225"/>
      <c r="UNZ121" s="225"/>
      <c r="UOA121" s="225"/>
      <c r="UOB121" s="225"/>
      <c r="UOC121" s="225"/>
      <c r="UOD121" s="225"/>
      <c r="UOE121" s="225"/>
      <c r="UOF121" s="225"/>
      <c r="UOG121" s="225"/>
      <c r="UOH121" s="225"/>
      <c r="UOI121" s="225"/>
      <c r="UOJ121" s="225"/>
      <c r="UOK121" s="225"/>
      <c r="UOL121" s="225"/>
      <c r="UOM121" s="225"/>
      <c r="UON121" s="225"/>
      <c r="UOO121" s="225"/>
      <c r="UOP121" s="225"/>
      <c r="UOQ121" s="225"/>
      <c r="UOR121" s="225"/>
      <c r="UOS121" s="225"/>
      <c r="UOT121" s="225"/>
      <c r="UOU121" s="225"/>
      <c r="UOV121" s="225"/>
      <c r="UOW121" s="225"/>
      <c r="UOX121" s="225"/>
      <c r="UOY121" s="225"/>
      <c r="UOZ121" s="225"/>
      <c r="UPA121" s="225"/>
      <c r="UPB121" s="225"/>
      <c r="UPC121" s="225"/>
      <c r="UPD121" s="225"/>
      <c r="UPE121" s="225"/>
      <c r="UPF121" s="225"/>
      <c r="UPG121" s="225"/>
      <c r="UPH121" s="225"/>
      <c r="UPI121" s="225"/>
      <c r="UPJ121" s="225"/>
      <c r="UPK121" s="225"/>
      <c r="UPL121" s="225"/>
      <c r="UPM121" s="225"/>
      <c r="UPN121" s="225"/>
      <c r="UPO121" s="225"/>
      <c r="UPP121" s="225"/>
      <c r="UPQ121" s="225"/>
      <c r="UPR121" s="225"/>
      <c r="UPS121" s="225"/>
      <c r="UPT121" s="225"/>
      <c r="UPU121" s="225"/>
      <c r="UPV121" s="225"/>
      <c r="UPW121" s="225"/>
      <c r="UPX121" s="225"/>
      <c r="UPY121" s="225"/>
      <c r="UPZ121" s="225"/>
      <c r="UQA121" s="225"/>
      <c r="UQB121" s="225"/>
      <c r="UQC121" s="225"/>
      <c r="UQD121" s="225"/>
      <c r="UQE121" s="225"/>
      <c r="UQF121" s="225"/>
      <c r="UQG121" s="225"/>
      <c r="UQH121" s="225"/>
      <c r="UQI121" s="225"/>
      <c r="UQJ121" s="225"/>
      <c r="UQK121" s="225"/>
      <c r="UQL121" s="225"/>
      <c r="UQM121" s="225"/>
      <c r="UQN121" s="225"/>
      <c r="UQO121" s="225"/>
      <c r="UQP121" s="225"/>
      <c r="UQQ121" s="225"/>
      <c r="UQR121" s="225"/>
      <c r="UQS121" s="225"/>
      <c r="UQT121" s="225"/>
      <c r="UQU121" s="225"/>
      <c r="UQV121" s="225"/>
      <c r="UQW121" s="225"/>
      <c r="UQX121" s="225"/>
      <c r="UQY121" s="225"/>
      <c r="UQZ121" s="225"/>
      <c r="URA121" s="225"/>
      <c r="URB121" s="225"/>
      <c r="URC121" s="225"/>
      <c r="URD121" s="225"/>
      <c r="URE121" s="225"/>
      <c r="URF121" s="225"/>
      <c r="URG121" s="225"/>
      <c r="URH121" s="225"/>
      <c r="URI121" s="225"/>
      <c r="URJ121" s="225"/>
      <c r="URK121" s="225"/>
      <c r="URL121" s="225"/>
      <c r="URM121" s="225"/>
      <c r="URN121" s="225"/>
      <c r="URO121" s="225"/>
      <c r="URP121" s="225"/>
      <c r="URQ121" s="225"/>
      <c r="URR121" s="225"/>
      <c r="URS121" s="225"/>
      <c r="URT121" s="225"/>
      <c r="URU121" s="225"/>
      <c r="URV121" s="225"/>
      <c r="URW121" s="225"/>
      <c r="URX121" s="225"/>
      <c r="URY121" s="225"/>
      <c r="URZ121" s="225"/>
      <c r="USA121" s="225"/>
      <c r="USB121" s="225"/>
      <c r="USC121" s="225"/>
      <c r="USD121" s="225"/>
      <c r="USE121" s="225"/>
      <c r="USF121" s="225"/>
      <c r="USG121" s="225"/>
      <c r="USH121" s="225"/>
      <c r="USI121" s="225"/>
      <c r="USJ121" s="225"/>
      <c r="USK121" s="225"/>
      <c r="USL121" s="225"/>
      <c r="USM121" s="225"/>
      <c r="USN121" s="225"/>
      <c r="USO121" s="225"/>
      <c r="USP121" s="225"/>
      <c r="USQ121" s="225"/>
      <c r="USR121" s="225"/>
      <c r="USS121" s="225"/>
      <c r="UST121" s="225"/>
      <c r="USU121" s="225"/>
      <c r="USV121" s="225"/>
      <c r="USW121" s="225"/>
      <c r="USX121" s="225"/>
      <c r="USY121" s="225"/>
      <c r="USZ121" s="225"/>
      <c r="UTA121" s="225"/>
      <c r="UTB121" s="225"/>
      <c r="UTC121" s="225"/>
      <c r="UTD121" s="225"/>
      <c r="UTE121" s="225"/>
      <c r="UTF121" s="225"/>
      <c r="UTG121" s="225"/>
      <c r="UTH121" s="225"/>
      <c r="UTI121" s="225"/>
      <c r="UTJ121" s="225"/>
      <c r="UTK121" s="225"/>
      <c r="UTL121" s="225"/>
      <c r="UTM121" s="225"/>
      <c r="UTN121" s="225"/>
      <c r="UTO121" s="225"/>
      <c r="UTP121" s="225"/>
      <c r="UTQ121" s="225"/>
      <c r="UTR121" s="225"/>
      <c r="UTS121" s="225"/>
      <c r="UTT121" s="225"/>
      <c r="UTU121" s="225"/>
      <c r="UTV121" s="225"/>
      <c r="UTW121" s="225"/>
      <c r="UTX121" s="225"/>
      <c r="UTY121" s="225"/>
      <c r="UTZ121" s="225"/>
      <c r="UUA121" s="225"/>
      <c r="UUB121" s="225"/>
      <c r="UUC121" s="225"/>
      <c r="UUD121" s="225"/>
      <c r="UUE121" s="225"/>
      <c r="UUF121" s="225"/>
      <c r="UUG121" s="225"/>
      <c r="UUH121" s="225"/>
      <c r="UUI121" s="225"/>
      <c r="UUJ121" s="225"/>
      <c r="UUK121" s="225"/>
      <c r="UUL121" s="225"/>
      <c r="UUM121" s="225"/>
      <c r="UUN121" s="225"/>
      <c r="UUO121" s="225"/>
      <c r="UUP121" s="225"/>
      <c r="UUQ121" s="225"/>
      <c r="UUR121" s="225"/>
      <c r="UUS121" s="225"/>
      <c r="UUT121" s="225"/>
      <c r="UUU121" s="225"/>
      <c r="UUV121" s="225"/>
      <c r="UUW121" s="225"/>
      <c r="UUX121" s="225"/>
      <c r="UUY121" s="225"/>
      <c r="UUZ121" s="225"/>
      <c r="UVA121" s="225"/>
      <c r="UVB121" s="225"/>
      <c r="UVC121" s="225"/>
      <c r="UVD121" s="225"/>
      <c r="UVE121" s="225"/>
      <c r="UVF121" s="225"/>
      <c r="UVG121" s="225"/>
      <c r="UVH121" s="225"/>
      <c r="UVI121" s="225"/>
      <c r="UVJ121" s="225"/>
      <c r="UVK121" s="225"/>
      <c r="UVL121" s="225"/>
      <c r="UVM121" s="225"/>
      <c r="UVN121" s="225"/>
      <c r="UVO121" s="225"/>
      <c r="UVP121" s="225"/>
      <c r="UVQ121" s="225"/>
      <c r="UVR121" s="225"/>
      <c r="UVS121" s="225"/>
      <c r="UVT121" s="225"/>
      <c r="UVU121" s="225"/>
      <c r="UVV121" s="225"/>
      <c r="UVW121" s="225"/>
      <c r="UVX121" s="225"/>
      <c r="UVY121" s="225"/>
      <c r="UVZ121" s="225"/>
      <c r="UWA121" s="225"/>
      <c r="UWB121" s="225"/>
      <c r="UWC121" s="225"/>
      <c r="UWD121" s="225"/>
      <c r="UWE121" s="225"/>
      <c r="UWF121" s="225"/>
      <c r="UWG121" s="225"/>
      <c r="UWH121" s="225"/>
      <c r="UWI121" s="225"/>
      <c r="UWJ121" s="225"/>
      <c r="UWK121" s="225"/>
      <c r="UWL121" s="225"/>
      <c r="UWM121" s="225"/>
      <c r="UWN121" s="225"/>
      <c r="UWO121" s="225"/>
      <c r="UWP121" s="225"/>
      <c r="UWQ121" s="225"/>
      <c r="UWR121" s="225"/>
      <c r="UWS121" s="225"/>
      <c r="UWT121" s="225"/>
      <c r="UWU121" s="225"/>
      <c r="UWV121" s="225"/>
      <c r="UWW121" s="225"/>
      <c r="UWX121" s="225"/>
      <c r="UWY121" s="225"/>
      <c r="UWZ121" s="225"/>
      <c r="UXA121" s="225"/>
      <c r="UXB121" s="225"/>
      <c r="UXC121" s="225"/>
      <c r="UXD121" s="225"/>
      <c r="UXE121" s="225"/>
      <c r="UXF121" s="225"/>
      <c r="UXG121" s="225"/>
      <c r="UXH121" s="225"/>
      <c r="UXI121" s="225"/>
      <c r="UXJ121" s="225"/>
      <c r="UXK121" s="225"/>
      <c r="UXL121" s="225"/>
      <c r="UXM121" s="225"/>
      <c r="UXN121" s="225"/>
      <c r="UXO121" s="225"/>
      <c r="UXP121" s="225"/>
      <c r="UXQ121" s="225"/>
      <c r="UXR121" s="225"/>
      <c r="UXS121" s="225"/>
      <c r="UXT121" s="225"/>
      <c r="UXU121" s="225"/>
      <c r="UXV121" s="225"/>
      <c r="UXW121" s="225"/>
      <c r="UXX121" s="225"/>
      <c r="UXY121" s="225"/>
      <c r="UXZ121" s="225"/>
      <c r="UYA121" s="225"/>
      <c r="UYB121" s="225"/>
      <c r="UYC121" s="225"/>
      <c r="UYD121" s="225"/>
      <c r="UYE121" s="225"/>
      <c r="UYF121" s="225"/>
      <c r="UYG121" s="225"/>
      <c r="UYH121" s="225"/>
      <c r="UYI121" s="225"/>
      <c r="UYJ121" s="225"/>
      <c r="UYK121" s="225"/>
      <c r="UYL121" s="225"/>
      <c r="UYM121" s="225"/>
      <c r="UYN121" s="225"/>
      <c r="UYO121" s="225"/>
      <c r="UYP121" s="225"/>
      <c r="UYQ121" s="225"/>
      <c r="UYR121" s="225"/>
      <c r="UYS121" s="225"/>
      <c r="UYT121" s="225"/>
      <c r="UYU121" s="225"/>
      <c r="UYV121" s="225"/>
      <c r="UYW121" s="225"/>
      <c r="UYX121" s="225"/>
      <c r="UYY121" s="225"/>
      <c r="UYZ121" s="225"/>
      <c r="UZA121" s="225"/>
      <c r="UZB121" s="225"/>
      <c r="UZC121" s="225"/>
      <c r="UZD121" s="225"/>
      <c r="UZE121" s="225"/>
      <c r="UZF121" s="225"/>
      <c r="UZG121" s="225"/>
      <c r="UZH121" s="225"/>
      <c r="UZI121" s="225"/>
      <c r="UZJ121" s="225"/>
      <c r="UZK121" s="225"/>
      <c r="UZL121" s="225"/>
      <c r="UZM121" s="225"/>
      <c r="UZN121" s="225"/>
      <c r="UZO121" s="225"/>
      <c r="UZP121" s="225"/>
      <c r="UZQ121" s="225"/>
      <c r="UZR121" s="225"/>
      <c r="UZS121" s="225"/>
      <c r="UZT121" s="225"/>
      <c r="UZU121" s="225"/>
      <c r="UZV121" s="225"/>
      <c r="UZW121" s="225"/>
      <c r="UZX121" s="225"/>
      <c r="UZY121" s="225"/>
      <c r="UZZ121" s="225"/>
      <c r="VAA121" s="225"/>
      <c r="VAB121" s="225"/>
      <c r="VAC121" s="225"/>
      <c r="VAD121" s="225"/>
      <c r="VAE121" s="225"/>
      <c r="VAF121" s="225"/>
      <c r="VAG121" s="225"/>
      <c r="VAH121" s="225"/>
      <c r="VAI121" s="225"/>
      <c r="VAJ121" s="225"/>
      <c r="VAK121" s="225"/>
      <c r="VAL121" s="225"/>
      <c r="VAM121" s="225"/>
      <c r="VAN121" s="225"/>
      <c r="VAO121" s="225"/>
      <c r="VAP121" s="225"/>
      <c r="VAQ121" s="225"/>
      <c r="VAR121" s="225"/>
      <c r="VAS121" s="225"/>
      <c r="VAT121" s="225"/>
      <c r="VAU121" s="225"/>
      <c r="VAV121" s="225"/>
      <c r="VAW121" s="225"/>
      <c r="VAX121" s="225"/>
      <c r="VAY121" s="225"/>
      <c r="VAZ121" s="225"/>
      <c r="VBA121" s="225"/>
      <c r="VBB121" s="225"/>
      <c r="VBC121" s="225"/>
      <c r="VBD121" s="225"/>
      <c r="VBE121" s="225"/>
      <c r="VBF121" s="225"/>
      <c r="VBG121" s="225"/>
      <c r="VBH121" s="225"/>
      <c r="VBI121" s="225"/>
      <c r="VBJ121" s="225"/>
      <c r="VBK121" s="225"/>
      <c r="VBL121" s="225"/>
      <c r="VBM121" s="225"/>
      <c r="VBN121" s="225"/>
      <c r="VBO121" s="225"/>
      <c r="VBP121" s="225"/>
      <c r="VBQ121" s="225"/>
      <c r="VBR121" s="225"/>
      <c r="VBS121" s="225"/>
      <c r="VBT121" s="225"/>
      <c r="VBU121" s="225"/>
      <c r="VBV121" s="225"/>
      <c r="VBW121" s="225"/>
      <c r="VBX121" s="225"/>
      <c r="VBY121" s="225"/>
      <c r="VBZ121" s="225"/>
      <c r="VCA121" s="225"/>
      <c r="VCB121" s="225"/>
      <c r="VCC121" s="225"/>
      <c r="VCD121" s="225"/>
      <c r="VCE121" s="225"/>
      <c r="VCF121" s="225"/>
      <c r="VCG121" s="225"/>
      <c r="VCH121" s="225"/>
      <c r="VCI121" s="225"/>
      <c r="VCJ121" s="225"/>
      <c r="VCK121" s="225"/>
      <c r="VCL121" s="225"/>
      <c r="VCM121" s="225"/>
      <c r="VCN121" s="225"/>
      <c r="VCO121" s="225"/>
      <c r="VCP121" s="225"/>
      <c r="VCQ121" s="225"/>
      <c r="VCR121" s="225"/>
      <c r="VCS121" s="225"/>
      <c r="VCT121" s="225"/>
      <c r="VCU121" s="225"/>
      <c r="VCV121" s="225"/>
      <c r="VCW121" s="225"/>
      <c r="VCX121" s="225"/>
      <c r="VCY121" s="225"/>
      <c r="VCZ121" s="225"/>
      <c r="VDA121" s="225"/>
      <c r="VDB121" s="225"/>
      <c r="VDC121" s="225"/>
      <c r="VDD121" s="225"/>
      <c r="VDE121" s="225"/>
      <c r="VDF121" s="225"/>
      <c r="VDG121" s="225"/>
      <c r="VDH121" s="225"/>
      <c r="VDI121" s="225"/>
      <c r="VDJ121" s="225"/>
      <c r="VDK121" s="225"/>
      <c r="VDL121" s="225"/>
      <c r="VDM121" s="225"/>
      <c r="VDN121" s="225"/>
      <c r="VDO121" s="225"/>
      <c r="VDP121" s="225"/>
      <c r="VDQ121" s="225"/>
      <c r="VDR121" s="225"/>
      <c r="VDS121" s="225"/>
      <c r="VDT121" s="225"/>
      <c r="VDU121" s="225"/>
      <c r="VDV121" s="225"/>
      <c r="VDW121" s="225"/>
      <c r="VDX121" s="225"/>
      <c r="VDY121" s="225"/>
      <c r="VDZ121" s="225"/>
      <c r="VEA121" s="225"/>
      <c r="VEB121" s="225"/>
      <c r="VEC121" s="225"/>
      <c r="VED121" s="225"/>
      <c r="VEE121" s="225"/>
      <c r="VEF121" s="225"/>
      <c r="VEG121" s="225"/>
      <c r="VEH121" s="225"/>
      <c r="VEI121" s="225"/>
      <c r="VEJ121" s="225"/>
      <c r="VEK121" s="225"/>
      <c r="VEL121" s="225"/>
      <c r="VEM121" s="225"/>
      <c r="VEN121" s="225"/>
      <c r="VEO121" s="225"/>
      <c r="VEP121" s="225"/>
      <c r="VEQ121" s="225"/>
      <c r="VER121" s="225"/>
      <c r="VES121" s="225"/>
      <c r="VET121" s="225"/>
      <c r="VEU121" s="225"/>
      <c r="VEV121" s="225"/>
      <c r="VEW121" s="225"/>
      <c r="VEX121" s="225"/>
      <c r="VEY121" s="225"/>
      <c r="VEZ121" s="225"/>
      <c r="VFA121" s="225"/>
      <c r="VFB121" s="225"/>
      <c r="VFC121" s="225"/>
      <c r="VFD121" s="225"/>
      <c r="VFE121" s="225"/>
      <c r="VFF121" s="225"/>
      <c r="VFG121" s="225"/>
      <c r="VFH121" s="225"/>
      <c r="VFI121" s="225"/>
      <c r="VFJ121" s="225"/>
      <c r="VFK121" s="225"/>
      <c r="VFL121" s="225"/>
      <c r="VFM121" s="225"/>
      <c r="VFN121" s="225"/>
      <c r="VFO121" s="225"/>
      <c r="VFP121" s="225"/>
      <c r="VFQ121" s="225"/>
      <c r="VFR121" s="225"/>
      <c r="VFS121" s="225"/>
      <c r="VFT121" s="225"/>
      <c r="VFU121" s="225"/>
      <c r="VFV121" s="225"/>
      <c r="VFW121" s="225"/>
      <c r="VFX121" s="225"/>
      <c r="VFY121" s="225"/>
      <c r="VFZ121" s="225"/>
      <c r="VGA121" s="225"/>
      <c r="VGB121" s="225"/>
      <c r="VGC121" s="225"/>
      <c r="VGD121" s="225"/>
      <c r="VGE121" s="225"/>
      <c r="VGF121" s="225"/>
      <c r="VGG121" s="225"/>
      <c r="VGH121" s="225"/>
      <c r="VGI121" s="225"/>
      <c r="VGJ121" s="225"/>
      <c r="VGK121" s="225"/>
      <c r="VGL121" s="225"/>
      <c r="VGM121" s="225"/>
      <c r="VGN121" s="225"/>
      <c r="VGO121" s="225"/>
      <c r="VGP121" s="225"/>
      <c r="VGQ121" s="225"/>
      <c r="VGR121" s="225"/>
      <c r="VGS121" s="225"/>
      <c r="VGT121" s="225"/>
      <c r="VGU121" s="225"/>
      <c r="VGV121" s="225"/>
      <c r="VGW121" s="225"/>
      <c r="VGX121" s="225"/>
      <c r="VGY121" s="225"/>
      <c r="VGZ121" s="225"/>
      <c r="VHA121" s="225"/>
      <c r="VHB121" s="225"/>
      <c r="VHC121" s="225"/>
      <c r="VHD121" s="225"/>
      <c r="VHE121" s="225"/>
      <c r="VHF121" s="225"/>
      <c r="VHG121" s="225"/>
      <c r="VHH121" s="225"/>
      <c r="VHI121" s="225"/>
      <c r="VHJ121" s="225"/>
      <c r="VHK121" s="225"/>
      <c r="VHL121" s="225"/>
      <c r="VHM121" s="225"/>
      <c r="VHN121" s="225"/>
      <c r="VHO121" s="225"/>
      <c r="VHP121" s="225"/>
      <c r="VHQ121" s="225"/>
      <c r="VHR121" s="225"/>
      <c r="VHS121" s="225"/>
      <c r="VHT121" s="225"/>
      <c r="VHU121" s="225"/>
      <c r="VHV121" s="225"/>
      <c r="VHW121" s="225"/>
      <c r="VHX121" s="225"/>
      <c r="VHY121" s="225"/>
      <c r="VHZ121" s="225"/>
      <c r="VIA121" s="225"/>
      <c r="VIB121" s="225"/>
      <c r="VIC121" s="225"/>
      <c r="VID121" s="225"/>
      <c r="VIE121" s="225"/>
      <c r="VIF121" s="225"/>
      <c r="VIG121" s="225"/>
      <c r="VIH121" s="225"/>
      <c r="VII121" s="225"/>
      <c r="VIJ121" s="225"/>
      <c r="VIK121" s="225"/>
      <c r="VIL121" s="225"/>
      <c r="VIM121" s="225"/>
      <c r="VIN121" s="225"/>
      <c r="VIO121" s="225"/>
      <c r="VIP121" s="225"/>
      <c r="VIQ121" s="225"/>
      <c r="VIR121" s="225"/>
      <c r="VIS121" s="225"/>
      <c r="VIT121" s="225"/>
      <c r="VIU121" s="225"/>
      <c r="VIV121" s="225"/>
      <c r="VIW121" s="225"/>
      <c r="VIX121" s="225"/>
      <c r="VIY121" s="225"/>
      <c r="VIZ121" s="225"/>
      <c r="VJA121" s="225"/>
      <c r="VJB121" s="225"/>
      <c r="VJC121" s="225"/>
      <c r="VJD121" s="225"/>
      <c r="VJE121" s="225"/>
      <c r="VJF121" s="225"/>
      <c r="VJG121" s="225"/>
      <c r="VJH121" s="225"/>
      <c r="VJI121" s="225"/>
      <c r="VJJ121" s="225"/>
      <c r="VJK121" s="225"/>
      <c r="VJL121" s="225"/>
      <c r="VJM121" s="225"/>
      <c r="VJN121" s="225"/>
      <c r="VJO121" s="225"/>
      <c r="VJP121" s="225"/>
      <c r="VJQ121" s="225"/>
      <c r="VJR121" s="225"/>
      <c r="VJS121" s="225"/>
      <c r="VJT121" s="225"/>
      <c r="VJU121" s="225"/>
      <c r="VJV121" s="225"/>
      <c r="VJW121" s="225"/>
      <c r="VJX121" s="225"/>
      <c r="VJY121" s="225"/>
      <c r="VJZ121" s="225"/>
      <c r="VKA121" s="225"/>
      <c r="VKB121" s="225"/>
      <c r="VKC121" s="225"/>
      <c r="VKD121" s="225"/>
      <c r="VKE121" s="225"/>
      <c r="VKF121" s="225"/>
      <c r="VKG121" s="225"/>
      <c r="VKH121" s="225"/>
      <c r="VKI121" s="225"/>
      <c r="VKJ121" s="225"/>
      <c r="VKK121" s="225"/>
      <c r="VKL121" s="225"/>
      <c r="VKM121" s="225"/>
      <c r="VKN121" s="225"/>
      <c r="VKO121" s="225"/>
      <c r="VKP121" s="225"/>
      <c r="VKQ121" s="225"/>
      <c r="VKR121" s="225"/>
      <c r="VKS121" s="225"/>
      <c r="VKT121" s="225"/>
      <c r="VKU121" s="225"/>
      <c r="VKV121" s="225"/>
      <c r="VKW121" s="225"/>
      <c r="VKX121" s="225"/>
      <c r="VKY121" s="225"/>
      <c r="VKZ121" s="225"/>
      <c r="VLA121" s="225"/>
      <c r="VLB121" s="225"/>
      <c r="VLC121" s="225"/>
      <c r="VLD121" s="225"/>
      <c r="VLE121" s="225"/>
      <c r="VLF121" s="225"/>
      <c r="VLG121" s="225"/>
      <c r="VLH121" s="225"/>
      <c r="VLI121" s="225"/>
      <c r="VLJ121" s="225"/>
      <c r="VLK121" s="225"/>
      <c r="VLL121" s="225"/>
      <c r="VLM121" s="225"/>
      <c r="VLN121" s="225"/>
      <c r="VLO121" s="225"/>
      <c r="VLP121" s="225"/>
      <c r="VLQ121" s="225"/>
      <c r="VLR121" s="225"/>
      <c r="VLS121" s="225"/>
      <c r="VLT121" s="225"/>
      <c r="VLU121" s="225"/>
      <c r="VLV121" s="225"/>
      <c r="VLW121" s="225"/>
      <c r="VLX121" s="225"/>
      <c r="VLY121" s="225"/>
      <c r="VLZ121" s="225"/>
      <c r="VMA121" s="225"/>
      <c r="VMB121" s="225"/>
      <c r="VMC121" s="225"/>
      <c r="VMD121" s="225"/>
      <c r="VME121" s="225"/>
      <c r="VMF121" s="225"/>
      <c r="VMG121" s="225"/>
      <c r="VMH121" s="225"/>
      <c r="VMI121" s="225"/>
      <c r="VMJ121" s="225"/>
      <c r="VMK121" s="225"/>
      <c r="VML121" s="225"/>
      <c r="VMM121" s="225"/>
      <c r="VMN121" s="225"/>
      <c r="VMO121" s="225"/>
      <c r="VMP121" s="225"/>
      <c r="VMQ121" s="225"/>
      <c r="VMR121" s="225"/>
      <c r="VMS121" s="225"/>
      <c r="VMT121" s="225"/>
      <c r="VMU121" s="225"/>
      <c r="VMV121" s="225"/>
      <c r="VMW121" s="225"/>
      <c r="VMX121" s="225"/>
      <c r="VMY121" s="225"/>
      <c r="VMZ121" s="225"/>
      <c r="VNA121" s="225"/>
      <c r="VNB121" s="225"/>
      <c r="VNC121" s="225"/>
      <c r="VND121" s="225"/>
      <c r="VNE121" s="225"/>
      <c r="VNF121" s="225"/>
      <c r="VNG121" s="225"/>
      <c r="VNH121" s="225"/>
      <c r="VNI121" s="225"/>
      <c r="VNJ121" s="225"/>
      <c r="VNK121" s="225"/>
      <c r="VNL121" s="225"/>
      <c r="VNM121" s="225"/>
      <c r="VNN121" s="225"/>
      <c r="VNO121" s="225"/>
      <c r="VNP121" s="225"/>
      <c r="VNQ121" s="225"/>
      <c r="VNR121" s="225"/>
      <c r="VNS121" s="225"/>
      <c r="VNT121" s="225"/>
      <c r="VNU121" s="225"/>
      <c r="VNV121" s="225"/>
      <c r="VNW121" s="225"/>
      <c r="VNX121" s="225"/>
      <c r="VNY121" s="225"/>
      <c r="VNZ121" s="225"/>
      <c r="VOA121" s="225"/>
      <c r="VOB121" s="225"/>
      <c r="VOC121" s="225"/>
      <c r="VOD121" s="225"/>
      <c r="VOE121" s="225"/>
      <c r="VOF121" s="225"/>
      <c r="VOG121" s="225"/>
      <c r="VOH121" s="225"/>
      <c r="VOI121" s="225"/>
      <c r="VOJ121" s="225"/>
      <c r="VOK121" s="225"/>
      <c r="VOL121" s="225"/>
      <c r="VOM121" s="225"/>
      <c r="VON121" s="225"/>
      <c r="VOO121" s="225"/>
      <c r="VOP121" s="225"/>
      <c r="VOQ121" s="225"/>
      <c r="VOR121" s="225"/>
      <c r="VOS121" s="225"/>
      <c r="VOT121" s="225"/>
      <c r="VOU121" s="225"/>
      <c r="VOV121" s="225"/>
      <c r="VOW121" s="225"/>
      <c r="VOX121" s="225"/>
      <c r="VOY121" s="225"/>
      <c r="VOZ121" s="225"/>
      <c r="VPA121" s="225"/>
      <c r="VPB121" s="225"/>
      <c r="VPC121" s="225"/>
      <c r="VPD121" s="225"/>
      <c r="VPE121" s="225"/>
      <c r="VPF121" s="225"/>
      <c r="VPG121" s="225"/>
      <c r="VPH121" s="225"/>
      <c r="VPI121" s="225"/>
      <c r="VPJ121" s="225"/>
      <c r="VPK121" s="225"/>
      <c r="VPL121" s="225"/>
      <c r="VPM121" s="225"/>
      <c r="VPN121" s="225"/>
      <c r="VPO121" s="225"/>
      <c r="VPP121" s="225"/>
      <c r="VPQ121" s="225"/>
      <c r="VPR121" s="225"/>
      <c r="VPS121" s="225"/>
      <c r="VPT121" s="225"/>
      <c r="VPU121" s="225"/>
      <c r="VPV121" s="225"/>
      <c r="VPW121" s="225"/>
      <c r="VPX121" s="225"/>
      <c r="VPY121" s="225"/>
      <c r="VPZ121" s="225"/>
      <c r="VQA121" s="225"/>
      <c r="VQB121" s="225"/>
      <c r="VQC121" s="225"/>
      <c r="VQD121" s="225"/>
      <c r="VQE121" s="225"/>
      <c r="VQF121" s="225"/>
      <c r="VQG121" s="225"/>
      <c r="VQH121" s="225"/>
      <c r="VQI121" s="225"/>
      <c r="VQJ121" s="225"/>
      <c r="VQK121" s="225"/>
      <c r="VQL121" s="225"/>
      <c r="VQM121" s="225"/>
      <c r="VQN121" s="225"/>
      <c r="VQO121" s="225"/>
      <c r="VQP121" s="225"/>
      <c r="VQQ121" s="225"/>
      <c r="VQR121" s="225"/>
      <c r="VQS121" s="225"/>
      <c r="VQT121" s="225"/>
      <c r="VQU121" s="225"/>
      <c r="VQV121" s="225"/>
      <c r="VQW121" s="225"/>
      <c r="VQX121" s="225"/>
      <c r="VQY121" s="225"/>
      <c r="VQZ121" s="225"/>
      <c r="VRA121" s="225"/>
      <c r="VRB121" s="225"/>
      <c r="VRC121" s="225"/>
      <c r="VRD121" s="225"/>
      <c r="VRE121" s="225"/>
      <c r="VRF121" s="225"/>
      <c r="VRG121" s="225"/>
      <c r="VRH121" s="225"/>
      <c r="VRI121" s="225"/>
      <c r="VRJ121" s="225"/>
      <c r="VRK121" s="225"/>
      <c r="VRL121" s="225"/>
      <c r="VRM121" s="225"/>
      <c r="VRN121" s="225"/>
      <c r="VRO121" s="225"/>
      <c r="VRP121" s="225"/>
      <c r="VRQ121" s="225"/>
      <c r="VRR121" s="225"/>
      <c r="VRS121" s="225"/>
      <c r="VRT121" s="225"/>
      <c r="VRU121" s="225"/>
      <c r="VRV121" s="225"/>
      <c r="VRW121" s="225"/>
      <c r="VRX121" s="225"/>
      <c r="VRY121" s="225"/>
      <c r="VRZ121" s="225"/>
      <c r="VSA121" s="225"/>
      <c r="VSB121" s="225"/>
      <c r="VSC121" s="225"/>
      <c r="VSD121" s="225"/>
      <c r="VSE121" s="225"/>
      <c r="VSF121" s="225"/>
      <c r="VSG121" s="225"/>
      <c r="VSH121" s="225"/>
      <c r="VSI121" s="225"/>
      <c r="VSJ121" s="225"/>
      <c r="VSK121" s="225"/>
      <c r="VSL121" s="225"/>
      <c r="VSM121" s="225"/>
      <c r="VSN121" s="225"/>
      <c r="VSO121" s="225"/>
      <c r="VSP121" s="225"/>
      <c r="VSQ121" s="225"/>
      <c r="VSR121" s="225"/>
      <c r="VSS121" s="225"/>
      <c r="VST121" s="225"/>
      <c r="VSU121" s="225"/>
      <c r="VSV121" s="225"/>
      <c r="VSW121" s="225"/>
      <c r="VSX121" s="225"/>
      <c r="VSY121" s="225"/>
      <c r="VSZ121" s="225"/>
      <c r="VTA121" s="225"/>
      <c r="VTB121" s="225"/>
      <c r="VTC121" s="225"/>
      <c r="VTD121" s="225"/>
      <c r="VTE121" s="225"/>
      <c r="VTF121" s="225"/>
      <c r="VTG121" s="225"/>
      <c r="VTH121" s="225"/>
      <c r="VTI121" s="225"/>
      <c r="VTJ121" s="225"/>
      <c r="VTK121" s="225"/>
      <c r="VTL121" s="225"/>
      <c r="VTM121" s="225"/>
      <c r="VTN121" s="225"/>
      <c r="VTO121" s="225"/>
      <c r="VTP121" s="225"/>
      <c r="VTQ121" s="225"/>
      <c r="VTR121" s="225"/>
      <c r="VTS121" s="225"/>
      <c r="VTT121" s="225"/>
      <c r="VTU121" s="225"/>
      <c r="VTV121" s="225"/>
      <c r="VTW121" s="225"/>
      <c r="VTX121" s="225"/>
      <c r="VTY121" s="225"/>
      <c r="VTZ121" s="225"/>
      <c r="VUA121" s="225"/>
      <c r="VUB121" s="225"/>
      <c r="VUC121" s="225"/>
      <c r="VUD121" s="225"/>
      <c r="VUE121" s="225"/>
      <c r="VUF121" s="225"/>
      <c r="VUG121" s="225"/>
      <c r="VUH121" s="225"/>
      <c r="VUI121" s="225"/>
      <c r="VUJ121" s="225"/>
      <c r="VUK121" s="225"/>
      <c r="VUL121" s="225"/>
      <c r="VUM121" s="225"/>
      <c r="VUN121" s="225"/>
      <c r="VUO121" s="225"/>
      <c r="VUP121" s="225"/>
      <c r="VUQ121" s="225"/>
      <c r="VUR121" s="225"/>
      <c r="VUS121" s="225"/>
      <c r="VUT121" s="225"/>
      <c r="VUU121" s="225"/>
      <c r="VUV121" s="225"/>
      <c r="VUW121" s="225"/>
      <c r="VUX121" s="225"/>
      <c r="VUY121" s="225"/>
      <c r="VUZ121" s="225"/>
      <c r="VVA121" s="225"/>
      <c r="VVB121" s="225"/>
      <c r="VVC121" s="225"/>
      <c r="VVD121" s="225"/>
      <c r="VVE121" s="225"/>
      <c r="VVF121" s="225"/>
      <c r="VVG121" s="225"/>
      <c r="VVH121" s="225"/>
      <c r="VVI121" s="225"/>
      <c r="VVJ121" s="225"/>
      <c r="VVK121" s="225"/>
      <c r="VVL121" s="225"/>
      <c r="VVM121" s="225"/>
      <c r="VVN121" s="225"/>
      <c r="VVO121" s="225"/>
      <c r="VVP121" s="225"/>
      <c r="VVQ121" s="225"/>
      <c r="VVR121" s="225"/>
      <c r="VVS121" s="225"/>
      <c r="VVT121" s="225"/>
      <c r="VVU121" s="225"/>
      <c r="VVV121" s="225"/>
      <c r="VVW121" s="225"/>
      <c r="VVX121" s="225"/>
      <c r="VVY121" s="225"/>
      <c r="VVZ121" s="225"/>
      <c r="VWA121" s="225"/>
      <c r="VWB121" s="225"/>
      <c r="VWC121" s="225"/>
      <c r="VWD121" s="225"/>
      <c r="VWE121" s="225"/>
      <c r="VWF121" s="225"/>
      <c r="VWG121" s="225"/>
      <c r="VWH121" s="225"/>
      <c r="VWI121" s="225"/>
      <c r="VWJ121" s="225"/>
      <c r="VWK121" s="225"/>
      <c r="VWL121" s="225"/>
      <c r="VWM121" s="225"/>
      <c r="VWN121" s="225"/>
      <c r="VWO121" s="225"/>
      <c r="VWP121" s="225"/>
      <c r="VWQ121" s="225"/>
      <c r="VWR121" s="225"/>
      <c r="VWS121" s="225"/>
      <c r="VWT121" s="225"/>
      <c r="VWU121" s="225"/>
      <c r="VWV121" s="225"/>
      <c r="VWW121" s="225"/>
      <c r="VWX121" s="225"/>
      <c r="VWY121" s="225"/>
      <c r="VWZ121" s="225"/>
      <c r="VXA121" s="225"/>
      <c r="VXB121" s="225"/>
      <c r="VXC121" s="225"/>
      <c r="VXD121" s="225"/>
      <c r="VXE121" s="225"/>
      <c r="VXF121" s="225"/>
      <c r="VXG121" s="225"/>
      <c r="VXH121" s="225"/>
      <c r="VXI121" s="225"/>
      <c r="VXJ121" s="225"/>
      <c r="VXK121" s="225"/>
      <c r="VXL121" s="225"/>
      <c r="VXM121" s="225"/>
      <c r="VXN121" s="225"/>
      <c r="VXO121" s="225"/>
      <c r="VXP121" s="225"/>
      <c r="VXQ121" s="225"/>
      <c r="VXR121" s="225"/>
      <c r="VXS121" s="225"/>
      <c r="VXT121" s="225"/>
      <c r="VXU121" s="225"/>
      <c r="VXV121" s="225"/>
      <c r="VXW121" s="225"/>
      <c r="VXX121" s="225"/>
      <c r="VXY121" s="225"/>
      <c r="VXZ121" s="225"/>
      <c r="VYA121" s="225"/>
      <c r="VYB121" s="225"/>
      <c r="VYC121" s="225"/>
      <c r="VYD121" s="225"/>
      <c r="VYE121" s="225"/>
      <c r="VYF121" s="225"/>
      <c r="VYG121" s="225"/>
      <c r="VYH121" s="225"/>
      <c r="VYI121" s="225"/>
      <c r="VYJ121" s="225"/>
      <c r="VYK121" s="225"/>
      <c r="VYL121" s="225"/>
      <c r="VYM121" s="225"/>
      <c r="VYN121" s="225"/>
      <c r="VYO121" s="225"/>
      <c r="VYP121" s="225"/>
      <c r="VYQ121" s="225"/>
      <c r="VYR121" s="225"/>
      <c r="VYS121" s="225"/>
      <c r="VYT121" s="225"/>
      <c r="VYU121" s="225"/>
      <c r="VYV121" s="225"/>
      <c r="VYW121" s="225"/>
      <c r="VYX121" s="225"/>
      <c r="VYY121" s="225"/>
      <c r="VYZ121" s="225"/>
      <c r="VZA121" s="225"/>
      <c r="VZB121" s="225"/>
      <c r="VZC121" s="225"/>
      <c r="VZD121" s="225"/>
      <c r="VZE121" s="225"/>
      <c r="VZF121" s="225"/>
      <c r="VZG121" s="225"/>
      <c r="VZH121" s="225"/>
      <c r="VZI121" s="225"/>
      <c r="VZJ121" s="225"/>
      <c r="VZK121" s="225"/>
      <c r="VZL121" s="225"/>
      <c r="VZM121" s="225"/>
      <c r="VZN121" s="225"/>
      <c r="VZO121" s="225"/>
      <c r="VZP121" s="225"/>
      <c r="VZQ121" s="225"/>
      <c r="VZR121" s="225"/>
      <c r="VZS121" s="225"/>
      <c r="VZT121" s="225"/>
      <c r="VZU121" s="225"/>
      <c r="VZV121" s="225"/>
      <c r="VZW121" s="225"/>
      <c r="VZX121" s="225"/>
      <c r="VZY121" s="225"/>
      <c r="VZZ121" s="225"/>
      <c r="WAA121" s="225"/>
      <c r="WAB121" s="225"/>
      <c r="WAC121" s="225"/>
      <c r="WAD121" s="225"/>
      <c r="WAE121" s="225"/>
      <c r="WAF121" s="225"/>
      <c r="WAG121" s="225"/>
      <c r="WAH121" s="225"/>
      <c r="WAI121" s="225"/>
      <c r="WAJ121" s="225"/>
      <c r="WAK121" s="225"/>
      <c r="WAL121" s="225"/>
      <c r="WAM121" s="225"/>
      <c r="WAN121" s="225"/>
      <c r="WAO121" s="225"/>
      <c r="WAP121" s="225"/>
      <c r="WAQ121" s="225"/>
      <c r="WAR121" s="225"/>
      <c r="WAS121" s="225"/>
      <c r="WAT121" s="225"/>
      <c r="WAU121" s="225"/>
      <c r="WAV121" s="225"/>
      <c r="WAW121" s="225"/>
      <c r="WAX121" s="225"/>
      <c r="WAY121" s="225"/>
      <c r="WAZ121" s="225"/>
      <c r="WBA121" s="225"/>
      <c r="WBB121" s="225"/>
      <c r="WBC121" s="225"/>
      <c r="WBD121" s="225"/>
      <c r="WBE121" s="225"/>
      <c r="WBF121" s="225"/>
      <c r="WBG121" s="225"/>
      <c r="WBH121" s="225"/>
      <c r="WBI121" s="225"/>
      <c r="WBJ121" s="225"/>
      <c r="WBK121" s="225"/>
      <c r="WBL121" s="225"/>
      <c r="WBM121" s="225"/>
      <c r="WBN121" s="225"/>
      <c r="WBO121" s="225"/>
      <c r="WBP121" s="225"/>
      <c r="WBQ121" s="225"/>
      <c r="WBR121" s="225"/>
      <c r="WBS121" s="225"/>
      <c r="WBT121" s="225"/>
      <c r="WBU121" s="225"/>
      <c r="WBV121" s="225"/>
      <c r="WBW121" s="225"/>
      <c r="WBX121" s="225"/>
      <c r="WBY121" s="225"/>
      <c r="WBZ121" s="225"/>
      <c r="WCA121" s="225"/>
      <c r="WCB121" s="225"/>
      <c r="WCC121" s="225"/>
      <c r="WCD121" s="225"/>
      <c r="WCE121" s="225"/>
      <c r="WCF121" s="225"/>
      <c r="WCG121" s="225"/>
      <c r="WCH121" s="225"/>
      <c r="WCI121" s="225"/>
      <c r="WCJ121" s="225"/>
      <c r="WCK121" s="225"/>
      <c r="WCL121" s="225"/>
      <c r="WCM121" s="225"/>
      <c r="WCN121" s="225"/>
      <c r="WCO121" s="225"/>
      <c r="WCP121" s="225"/>
      <c r="WCQ121" s="225"/>
      <c r="WCR121" s="225"/>
      <c r="WCS121" s="225"/>
      <c r="WCT121" s="225"/>
      <c r="WCU121" s="225"/>
      <c r="WCV121" s="225"/>
      <c r="WCW121" s="225"/>
      <c r="WCX121" s="225"/>
      <c r="WCY121" s="225"/>
      <c r="WCZ121" s="225"/>
      <c r="WDA121" s="225"/>
      <c r="WDB121" s="225"/>
      <c r="WDC121" s="225"/>
      <c r="WDD121" s="225"/>
      <c r="WDE121" s="225"/>
      <c r="WDF121" s="225"/>
      <c r="WDG121" s="225"/>
      <c r="WDH121" s="225"/>
      <c r="WDI121" s="225"/>
      <c r="WDJ121" s="225"/>
      <c r="WDK121" s="225"/>
      <c r="WDL121" s="225"/>
      <c r="WDM121" s="225"/>
      <c r="WDN121" s="225"/>
      <c r="WDO121" s="225"/>
      <c r="WDP121" s="225"/>
      <c r="WDQ121" s="225"/>
      <c r="WDR121" s="225"/>
      <c r="WDS121" s="225"/>
      <c r="WDT121" s="225"/>
      <c r="WDU121" s="225"/>
      <c r="WDV121" s="225"/>
      <c r="WDW121" s="225"/>
      <c r="WDX121" s="225"/>
      <c r="WDY121" s="225"/>
      <c r="WDZ121" s="225"/>
      <c r="WEA121" s="225"/>
      <c r="WEB121" s="225"/>
      <c r="WEC121" s="225"/>
      <c r="WED121" s="225"/>
      <c r="WEE121" s="225"/>
      <c r="WEF121" s="225"/>
      <c r="WEG121" s="225"/>
      <c r="WEH121" s="225"/>
      <c r="WEI121" s="225"/>
      <c r="WEJ121" s="225"/>
      <c r="WEK121" s="225"/>
      <c r="WEL121" s="225"/>
      <c r="WEM121" s="225"/>
      <c r="WEN121" s="225"/>
      <c r="WEO121" s="225"/>
      <c r="WEP121" s="225"/>
      <c r="WEQ121" s="225"/>
      <c r="WER121" s="225"/>
      <c r="WES121" s="225"/>
      <c r="WET121" s="225"/>
      <c r="WEU121" s="225"/>
      <c r="WEV121" s="225"/>
      <c r="WEW121" s="225"/>
      <c r="WEX121" s="225"/>
      <c r="WEY121" s="225"/>
      <c r="WEZ121" s="225"/>
      <c r="WFA121" s="225"/>
      <c r="WFB121" s="225"/>
      <c r="WFC121" s="225"/>
      <c r="WFD121" s="225"/>
      <c r="WFE121" s="225"/>
      <c r="WFF121" s="225"/>
      <c r="WFG121" s="225"/>
      <c r="WFH121" s="225"/>
      <c r="WFI121" s="225"/>
      <c r="WFJ121" s="225"/>
      <c r="WFK121" s="225"/>
      <c r="WFL121" s="225"/>
      <c r="WFM121" s="225"/>
      <c r="WFN121" s="225"/>
      <c r="WFO121" s="225"/>
      <c r="WFP121" s="225"/>
      <c r="WFQ121" s="225"/>
      <c r="WFR121" s="225"/>
      <c r="WFS121" s="225"/>
      <c r="WFT121" s="225"/>
      <c r="WFU121" s="225"/>
      <c r="WFV121" s="225"/>
      <c r="WFW121" s="225"/>
      <c r="WFX121" s="225"/>
      <c r="WFY121" s="225"/>
      <c r="WFZ121" s="225"/>
      <c r="WGA121" s="225"/>
      <c r="WGB121" s="225"/>
      <c r="WGC121" s="225"/>
      <c r="WGD121" s="225"/>
      <c r="WGE121" s="225"/>
      <c r="WGF121" s="225"/>
      <c r="WGG121" s="225"/>
      <c r="WGH121" s="225"/>
      <c r="WGI121" s="225"/>
      <c r="WGJ121" s="225"/>
      <c r="WGK121" s="225"/>
      <c r="WGL121" s="225"/>
      <c r="WGM121" s="225"/>
      <c r="WGN121" s="225"/>
      <c r="WGO121" s="225"/>
      <c r="WGP121" s="225"/>
      <c r="WGQ121" s="225"/>
      <c r="WGR121" s="225"/>
      <c r="WGS121" s="225"/>
      <c r="WGT121" s="225"/>
      <c r="WGU121" s="225"/>
      <c r="WGV121" s="225"/>
      <c r="WGW121" s="225"/>
      <c r="WGX121" s="225"/>
      <c r="WGY121" s="225"/>
      <c r="WGZ121" s="225"/>
      <c r="WHA121" s="225"/>
      <c r="WHB121" s="225"/>
      <c r="WHC121" s="225"/>
      <c r="WHD121" s="225"/>
      <c r="WHE121" s="225"/>
      <c r="WHF121" s="225"/>
      <c r="WHG121" s="225"/>
      <c r="WHH121" s="225"/>
      <c r="WHI121" s="225"/>
      <c r="WHJ121" s="225"/>
      <c r="WHK121" s="225"/>
      <c r="WHL121" s="225"/>
      <c r="WHM121" s="225"/>
      <c r="WHN121" s="225"/>
      <c r="WHO121" s="225"/>
      <c r="WHP121" s="225"/>
      <c r="WHQ121" s="225"/>
      <c r="WHR121" s="225"/>
      <c r="WHS121" s="225"/>
      <c r="WHT121" s="225"/>
      <c r="WHU121" s="225"/>
      <c r="WHV121" s="225"/>
      <c r="WHW121" s="225"/>
      <c r="WHX121" s="225"/>
      <c r="WHY121" s="225"/>
      <c r="WHZ121" s="225"/>
      <c r="WIA121" s="225"/>
      <c r="WIB121" s="225"/>
      <c r="WIC121" s="225"/>
      <c r="WID121" s="225"/>
      <c r="WIE121" s="225"/>
      <c r="WIF121" s="225"/>
      <c r="WIG121" s="225"/>
      <c r="WIH121" s="225"/>
      <c r="WII121" s="225"/>
      <c r="WIJ121" s="225"/>
      <c r="WIK121" s="225"/>
      <c r="WIL121" s="225"/>
      <c r="WIM121" s="225"/>
      <c r="WIN121" s="225"/>
      <c r="WIO121" s="225"/>
      <c r="WIP121" s="225"/>
      <c r="WIQ121" s="225"/>
      <c r="WIR121" s="225"/>
      <c r="WIS121" s="225"/>
      <c r="WIT121" s="225"/>
      <c r="WIU121" s="225"/>
      <c r="WIV121" s="225"/>
      <c r="WIW121" s="225"/>
      <c r="WIX121" s="225"/>
      <c r="WIY121" s="225"/>
      <c r="WIZ121" s="225"/>
      <c r="WJA121" s="225"/>
      <c r="WJB121" s="225"/>
      <c r="WJC121" s="225"/>
      <c r="WJD121" s="225"/>
      <c r="WJE121" s="225"/>
      <c r="WJF121" s="225"/>
      <c r="WJG121" s="225"/>
      <c r="WJH121" s="225"/>
      <c r="WJI121" s="225"/>
      <c r="WJJ121" s="225"/>
      <c r="WJK121" s="225"/>
      <c r="WJL121" s="225"/>
      <c r="WJM121" s="225"/>
      <c r="WJN121" s="225"/>
      <c r="WJO121" s="225"/>
      <c r="WJP121" s="225"/>
      <c r="WJQ121" s="225"/>
      <c r="WJR121" s="225"/>
      <c r="WJS121" s="225"/>
      <c r="WJT121" s="225"/>
      <c r="WJU121" s="225"/>
      <c r="WJV121" s="225"/>
      <c r="WJW121" s="225"/>
      <c r="WJX121" s="225"/>
      <c r="WJY121" s="225"/>
      <c r="WJZ121" s="225"/>
      <c r="WKA121" s="225"/>
      <c r="WKB121" s="225"/>
      <c r="WKC121" s="225"/>
      <c r="WKD121" s="225"/>
      <c r="WKE121" s="225"/>
      <c r="WKF121" s="225"/>
      <c r="WKG121" s="225"/>
      <c r="WKH121" s="225"/>
      <c r="WKI121" s="225"/>
      <c r="WKJ121" s="225"/>
      <c r="WKK121" s="225"/>
      <c r="WKL121" s="225"/>
      <c r="WKM121" s="225"/>
      <c r="WKN121" s="225"/>
      <c r="WKO121" s="225"/>
      <c r="WKP121" s="225"/>
      <c r="WKQ121" s="225"/>
      <c r="WKR121" s="225"/>
      <c r="WKS121" s="225"/>
      <c r="WKT121" s="225"/>
      <c r="WKU121" s="225"/>
      <c r="WKV121" s="225"/>
      <c r="WKW121" s="225"/>
      <c r="WKX121" s="225"/>
      <c r="WKY121" s="225"/>
      <c r="WKZ121" s="225"/>
      <c r="WLA121" s="225"/>
      <c r="WLB121" s="225"/>
      <c r="WLC121" s="225"/>
      <c r="WLD121" s="225"/>
      <c r="WLE121" s="225"/>
      <c r="WLF121" s="225"/>
      <c r="WLG121" s="225"/>
      <c r="WLH121" s="225"/>
      <c r="WLI121" s="225"/>
      <c r="WLJ121" s="225"/>
      <c r="WLK121" s="225"/>
      <c r="WLL121" s="225"/>
      <c r="WLM121" s="225"/>
      <c r="WLN121" s="225"/>
      <c r="WLO121" s="225"/>
      <c r="WLP121" s="225"/>
      <c r="WLQ121" s="225"/>
      <c r="WLR121" s="225"/>
      <c r="WLS121" s="225"/>
      <c r="WLT121" s="225"/>
      <c r="WLU121" s="225"/>
      <c r="WLV121" s="225"/>
      <c r="WLW121" s="225"/>
      <c r="WLX121" s="225"/>
      <c r="WLY121" s="225"/>
      <c r="WLZ121" s="225"/>
      <c r="WMA121" s="225"/>
      <c r="WMB121" s="225"/>
      <c r="WMC121" s="225"/>
      <c r="WMD121" s="225"/>
      <c r="WME121" s="225"/>
      <c r="WMF121" s="225"/>
      <c r="WMG121" s="225"/>
      <c r="WMH121" s="225"/>
      <c r="WMI121" s="225"/>
      <c r="WMJ121" s="225"/>
      <c r="WMK121" s="225"/>
      <c r="WML121" s="225"/>
      <c r="WMM121" s="225"/>
      <c r="WMN121" s="225"/>
      <c r="WMO121" s="225"/>
      <c r="WMP121" s="225"/>
      <c r="WMQ121" s="225"/>
      <c r="WMR121" s="225"/>
      <c r="WMS121" s="225"/>
      <c r="WMT121" s="225"/>
      <c r="WMU121" s="225"/>
      <c r="WMV121" s="225"/>
      <c r="WMW121" s="225"/>
      <c r="WMX121" s="225"/>
      <c r="WMY121" s="225"/>
      <c r="WMZ121" s="225"/>
      <c r="WNA121" s="225"/>
      <c r="WNB121" s="225"/>
      <c r="WNC121" s="225"/>
      <c r="WND121" s="225"/>
      <c r="WNE121" s="225"/>
      <c r="WNF121" s="225"/>
      <c r="WNG121" s="225"/>
      <c r="WNH121" s="225"/>
      <c r="WNI121" s="225"/>
      <c r="WNJ121" s="225"/>
      <c r="WNK121" s="225"/>
      <c r="WNL121" s="225"/>
      <c r="WNM121" s="225"/>
      <c r="WNN121" s="225"/>
      <c r="WNO121" s="225"/>
      <c r="WNP121" s="225"/>
      <c r="WNQ121" s="225"/>
      <c r="WNR121" s="225"/>
      <c r="WNS121" s="225"/>
      <c r="WNT121" s="225"/>
      <c r="WNU121" s="225"/>
      <c r="WNV121" s="225"/>
      <c r="WNW121" s="225"/>
      <c r="WNX121" s="225"/>
      <c r="WNY121" s="225"/>
      <c r="WNZ121" s="225"/>
      <c r="WOA121" s="225"/>
      <c r="WOB121" s="225"/>
      <c r="WOC121" s="225"/>
      <c r="WOD121" s="225"/>
      <c r="WOE121" s="225"/>
      <c r="WOF121" s="225"/>
      <c r="WOG121" s="225"/>
      <c r="WOH121" s="225"/>
      <c r="WOI121" s="225"/>
      <c r="WOJ121" s="225"/>
      <c r="WOK121" s="225"/>
      <c r="WOL121" s="225"/>
      <c r="WOM121" s="225"/>
      <c r="WON121" s="225"/>
      <c r="WOO121" s="225"/>
      <c r="WOP121" s="225"/>
      <c r="WOQ121" s="225"/>
      <c r="WOR121" s="225"/>
      <c r="WOS121" s="225"/>
      <c r="WOT121" s="225"/>
      <c r="WOU121" s="225"/>
      <c r="WOV121" s="225"/>
      <c r="WOW121" s="225"/>
      <c r="WOX121" s="225"/>
      <c r="WOY121" s="225"/>
      <c r="WOZ121" s="225"/>
      <c r="WPA121" s="225"/>
      <c r="WPB121" s="225"/>
      <c r="WPC121" s="225"/>
      <c r="WPD121" s="225"/>
      <c r="WPE121" s="225"/>
      <c r="WPF121" s="225"/>
      <c r="WPG121" s="225"/>
      <c r="WPH121" s="225"/>
      <c r="WPI121" s="225"/>
      <c r="WPJ121" s="225"/>
      <c r="WPK121" s="225"/>
      <c r="WPL121" s="225"/>
      <c r="WPM121" s="225"/>
      <c r="WPN121" s="225"/>
      <c r="WPO121" s="225"/>
      <c r="WPP121" s="225"/>
      <c r="WPQ121" s="225"/>
      <c r="WPR121" s="225"/>
      <c r="WPS121" s="225"/>
      <c r="WPT121" s="225"/>
      <c r="WPU121" s="225"/>
      <c r="WPV121" s="225"/>
      <c r="WPW121" s="225"/>
      <c r="WPX121" s="225"/>
      <c r="WPY121" s="225"/>
      <c r="WPZ121" s="225"/>
      <c r="WQA121" s="225"/>
      <c r="WQB121" s="225"/>
      <c r="WQC121" s="225"/>
      <c r="WQD121" s="225"/>
      <c r="WQE121" s="225"/>
      <c r="WQF121" s="225"/>
      <c r="WQG121" s="225"/>
      <c r="WQH121" s="225"/>
      <c r="WQI121" s="225"/>
      <c r="WQJ121" s="225"/>
      <c r="WQK121" s="225"/>
      <c r="WQL121" s="225"/>
      <c r="WQM121" s="225"/>
      <c r="WQN121" s="225"/>
      <c r="WQO121" s="225"/>
      <c r="WQP121" s="225"/>
      <c r="WQQ121" s="225"/>
      <c r="WQR121" s="225"/>
      <c r="WQS121" s="225"/>
      <c r="WQT121" s="225"/>
      <c r="WQU121" s="225"/>
      <c r="WQV121" s="225"/>
      <c r="WQW121" s="225"/>
      <c r="WQX121" s="225"/>
      <c r="WQY121" s="225"/>
      <c r="WQZ121" s="225"/>
      <c r="WRA121" s="225"/>
      <c r="WRB121" s="225"/>
      <c r="WRC121" s="225"/>
      <c r="WRD121" s="225"/>
      <c r="WRE121" s="225"/>
      <c r="WRF121" s="225"/>
      <c r="WRG121" s="225"/>
      <c r="WRH121" s="225"/>
      <c r="WRI121" s="225"/>
      <c r="WRJ121" s="225"/>
      <c r="WRK121" s="225"/>
      <c r="WRL121" s="225"/>
      <c r="WRM121" s="225"/>
      <c r="WRN121" s="225"/>
      <c r="WRO121" s="225"/>
      <c r="WRP121" s="225"/>
      <c r="WRQ121" s="225"/>
      <c r="WRR121" s="225"/>
      <c r="WRS121" s="225"/>
      <c r="WRT121" s="225"/>
      <c r="WRU121" s="225"/>
      <c r="WRV121" s="225"/>
      <c r="WRW121" s="225"/>
      <c r="WRX121" s="225"/>
      <c r="WRY121" s="225"/>
      <c r="WRZ121" s="225"/>
      <c r="WSA121" s="225"/>
      <c r="WSB121" s="225"/>
      <c r="WSC121" s="225"/>
      <c r="WSD121" s="225"/>
      <c r="WSE121" s="225"/>
      <c r="WSF121" s="225"/>
      <c r="WSG121" s="225"/>
      <c r="WSH121" s="225"/>
      <c r="WSI121" s="225"/>
      <c r="WSJ121" s="225"/>
      <c r="WSK121" s="225"/>
      <c r="WSL121" s="225"/>
      <c r="WSM121" s="225"/>
      <c r="WSN121" s="225"/>
      <c r="WSO121" s="225"/>
      <c r="WSP121" s="225"/>
      <c r="WSQ121" s="225"/>
      <c r="WSR121" s="225"/>
      <c r="WSS121" s="225"/>
      <c r="WST121" s="225"/>
      <c r="WSU121" s="225"/>
      <c r="WSV121" s="225"/>
      <c r="WSW121" s="225"/>
      <c r="WSX121" s="225"/>
      <c r="WSY121" s="225"/>
      <c r="WSZ121" s="225"/>
      <c r="WTA121" s="225"/>
      <c r="WTB121" s="225"/>
      <c r="WTC121" s="225"/>
      <c r="WTD121" s="225"/>
      <c r="WTE121" s="225"/>
      <c r="WTF121" s="225"/>
      <c r="WTG121" s="225"/>
      <c r="WTH121" s="225"/>
      <c r="WTI121" s="225"/>
      <c r="WTJ121" s="225"/>
      <c r="WTK121" s="225"/>
      <c r="WTL121" s="225"/>
      <c r="WTM121" s="225"/>
      <c r="WTN121" s="225"/>
      <c r="WTO121" s="225"/>
      <c r="WTP121" s="225"/>
      <c r="WTQ121" s="225"/>
      <c r="WTR121" s="225"/>
      <c r="WTS121" s="225"/>
      <c r="WTT121" s="225"/>
      <c r="WTU121" s="225"/>
      <c r="WTV121" s="225"/>
      <c r="WTW121" s="225"/>
      <c r="WTX121" s="225"/>
      <c r="WTY121" s="225"/>
      <c r="WTZ121" s="225"/>
      <c r="WUA121" s="225"/>
      <c r="WUB121" s="225"/>
      <c r="WUC121" s="225"/>
      <c r="WUD121" s="225"/>
      <c r="WUE121" s="225"/>
      <c r="WUF121" s="225"/>
      <c r="WUG121" s="225"/>
      <c r="WUH121" s="225"/>
      <c r="WUI121" s="225"/>
      <c r="WUJ121" s="225"/>
      <c r="WUK121" s="225"/>
      <c r="WUL121" s="225"/>
      <c r="WUM121" s="225"/>
      <c r="WUN121" s="225"/>
      <c r="WUO121" s="225"/>
      <c r="WUP121" s="225"/>
      <c r="WUQ121" s="225"/>
      <c r="WUR121" s="225"/>
      <c r="WUS121" s="225"/>
      <c r="WUT121" s="225"/>
      <c r="WUU121" s="225"/>
      <c r="WUV121" s="225"/>
      <c r="WUW121" s="225"/>
      <c r="WUX121" s="225"/>
      <c r="WUY121" s="225"/>
      <c r="WUZ121" s="225"/>
      <c r="WVA121" s="225"/>
      <c r="WVB121" s="225"/>
      <c r="WVC121" s="225"/>
      <c r="WVD121" s="225"/>
      <c r="WVE121" s="225"/>
      <c r="WVF121" s="225"/>
      <c r="WVG121" s="225"/>
      <c r="WVH121" s="225"/>
      <c r="WVI121" s="225"/>
      <c r="WVJ121" s="225"/>
      <c r="WVK121" s="225"/>
      <c r="WVL121" s="225"/>
      <c r="WVM121" s="225"/>
      <c r="WVN121" s="225"/>
      <c r="WVO121" s="225"/>
      <c r="WVP121" s="225"/>
      <c r="WVQ121" s="225"/>
      <c r="WVR121" s="225"/>
      <c r="WVS121" s="225"/>
      <c r="WVT121" s="225"/>
      <c r="WVU121" s="225"/>
      <c r="WVV121" s="225"/>
      <c r="WVW121" s="225"/>
    </row>
    <row r="122" spans="1:16143" s="230" customFormat="1" x14ac:dyDescent="0.2">
      <c r="A122" s="225"/>
      <c r="B122" s="574" t="s">
        <v>480</v>
      </c>
      <c r="C122" s="576" t="s">
        <v>567</v>
      </c>
      <c r="D122" s="576" t="str">
        <f t="shared" ref="D122:N122" si="32">+IF(D10&lt;&gt;0,"Ok","")</f>
        <v>Ok</v>
      </c>
      <c r="E122" s="576" t="s">
        <v>613</v>
      </c>
      <c r="F122" s="576" t="str">
        <f t="shared" si="32"/>
        <v>Ok</v>
      </c>
      <c r="G122" s="576" t="str">
        <f t="shared" si="32"/>
        <v>Ok</v>
      </c>
      <c r="H122" s="576" t="str">
        <f t="shared" si="32"/>
        <v>Ok</v>
      </c>
      <c r="I122" s="576" t="str">
        <f t="shared" si="32"/>
        <v>Ok</v>
      </c>
      <c r="J122" s="576" t="str">
        <f t="shared" si="32"/>
        <v>Ok</v>
      </c>
      <c r="K122" s="576" t="str">
        <f t="shared" si="32"/>
        <v>Ok</v>
      </c>
      <c r="L122" s="576" t="str">
        <f t="shared" si="32"/>
        <v>Ok</v>
      </c>
      <c r="M122" s="576" t="str">
        <f t="shared" si="31"/>
        <v/>
      </c>
      <c r="N122" s="576" t="str">
        <f t="shared" si="32"/>
        <v>Ok</v>
      </c>
      <c r="Q122" s="284"/>
      <c r="R122" s="284"/>
      <c r="S122" s="225"/>
      <c r="T122" s="225"/>
      <c r="U122" s="225"/>
      <c r="V122" s="225"/>
      <c r="W122" s="225"/>
      <c r="X122" s="225"/>
      <c r="Y122" s="225"/>
      <c r="Z122" s="225"/>
      <c r="AA122" s="225"/>
      <c r="AB122" s="225"/>
      <c r="AC122" s="225"/>
      <c r="AD122" s="225"/>
      <c r="AE122" s="225"/>
      <c r="AF122" s="225"/>
      <c r="AG122" s="225"/>
      <c r="AH122" s="225"/>
      <c r="AI122" s="225"/>
      <c r="AJ122" s="225"/>
      <c r="AK122" s="225"/>
      <c r="AL122" s="225"/>
      <c r="AM122" s="225"/>
      <c r="AN122" s="225"/>
      <c r="AO122" s="225"/>
      <c r="AP122" s="225"/>
      <c r="AQ122" s="225"/>
      <c r="AR122" s="225"/>
      <c r="AS122" s="225"/>
      <c r="AT122" s="225"/>
      <c r="AU122" s="225"/>
      <c r="AV122" s="225"/>
      <c r="AW122" s="225"/>
      <c r="AX122" s="225"/>
      <c r="AY122" s="225"/>
      <c r="AZ122" s="225"/>
      <c r="BA122" s="225"/>
      <c r="BB122" s="225"/>
      <c r="BC122" s="225"/>
      <c r="BD122" s="225"/>
      <c r="BE122" s="225"/>
      <c r="BF122" s="225"/>
      <c r="BG122" s="225"/>
      <c r="BH122" s="225"/>
      <c r="BI122" s="225"/>
      <c r="BJ122" s="225"/>
      <c r="BK122" s="225"/>
      <c r="BL122" s="225"/>
      <c r="BM122" s="225"/>
      <c r="BN122" s="225"/>
      <c r="BO122" s="225"/>
      <c r="BP122" s="225"/>
      <c r="BQ122" s="225"/>
      <c r="BR122" s="225"/>
      <c r="BS122" s="225"/>
      <c r="BT122" s="225"/>
      <c r="BU122" s="225"/>
      <c r="BV122" s="225"/>
      <c r="BW122" s="225"/>
      <c r="BX122" s="225"/>
      <c r="BY122" s="225"/>
      <c r="BZ122" s="225"/>
      <c r="CA122" s="225"/>
      <c r="CB122" s="225"/>
      <c r="CC122" s="225"/>
      <c r="CD122" s="225"/>
      <c r="CE122" s="225"/>
      <c r="CF122" s="225"/>
      <c r="CG122" s="225"/>
      <c r="CH122" s="225"/>
      <c r="CI122" s="225"/>
      <c r="CJ122" s="225"/>
      <c r="CK122" s="225"/>
      <c r="CL122" s="225"/>
      <c r="CM122" s="225"/>
      <c r="CN122" s="225"/>
      <c r="CO122" s="225"/>
      <c r="CP122" s="225"/>
      <c r="CQ122" s="225"/>
      <c r="CR122" s="225"/>
      <c r="CS122" s="225"/>
      <c r="CT122" s="225"/>
      <c r="CU122" s="225"/>
      <c r="CV122" s="225"/>
      <c r="CW122" s="225"/>
      <c r="CX122" s="225"/>
      <c r="CY122" s="225"/>
      <c r="CZ122" s="225"/>
      <c r="DA122" s="225"/>
      <c r="DB122" s="225"/>
      <c r="DC122" s="225"/>
      <c r="DD122" s="225"/>
      <c r="DE122" s="225"/>
      <c r="DF122" s="225"/>
      <c r="DG122" s="225"/>
      <c r="DH122" s="225"/>
      <c r="DI122" s="225"/>
      <c r="DJ122" s="225"/>
      <c r="DK122" s="225"/>
      <c r="DL122" s="225"/>
      <c r="DM122" s="225"/>
      <c r="DN122" s="225"/>
      <c r="DO122" s="225"/>
      <c r="DP122" s="225"/>
      <c r="DQ122" s="225"/>
      <c r="DR122" s="225"/>
      <c r="DS122" s="225"/>
      <c r="DT122" s="225"/>
      <c r="DU122" s="225"/>
      <c r="DV122" s="225"/>
      <c r="DW122" s="225"/>
      <c r="DX122" s="225"/>
      <c r="DY122" s="225"/>
      <c r="DZ122" s="225"/>
      <c r="EA122" s="225"/>
      <c r="EB122" s="225"/>
      <c r="EC122" s="225"/>
      <c r="ED122" s="225"/>
      <c r="EE122" s="225"/>
      <c r="EF122" s="225"/>
      <c r="EG122" s="225"/>
      <c r="EH122" s="225"/>
      <c r="EI122" s="225"/>
      <c r="EJ122" s="225"/>
      <c r="EK122" s="225"/>
      <c r="EL122" s="225"/>
      <c r="EM122" s="225"/>
      <c r="EN122" s="225"/>
      <c r="EO122" s="225"/>
      <c r="EP122" s="225"/>
      <c r="EQ122" s="225"/>
      <c r="ER122" s="225"/>
      <c r="ES122" s="225"/>
      <c r="ET122" s="225"/>
      <c r="EU122" s="225"/>
      <c r="EV122" s="225"/>
      <c r="EW122" s="225"/>
      <c r="EX122" s="225"/>
      <c r="EY122" s="225"/>
      <c r="EZ122" s="225"/>
      <c r="FA122" s="225"/>
      <c r="FB122" s="225"/>
      <c r="FC122" s="225"/>
      <c r="FD122" s="225"/>
      <c r="FE122" s="225"/>
      <c r="FF122" s="225"/>
      <c r="FG122" s="225"/>
      <c r="FH122" s="225"/>
      <c r="FI122" s="225"/>
      <c r="FJ122" s="225"/>
      <c r="FK122" s="225"/>
      <c r="FL122" s="225"/>
      <c r="FM122" s="225"/>
      <c r="FN122" s="225"/>
      <c r="FO122" s="225"/>
      <c r="FP122" s="225"/>
      <c r="FQ122" s="225"/>
      <c r="FR122" s="225"/>
      <c r="FS122" s="225"/>
      <c r="FT122" s="225"/>
      <c r="FU122" s="225"/>
      <c r="FV122" s="225"/>
      <c r="FW122" s="225"/>
      <c r="FX122" s="225"/>
      <c r="FY122" s="225"/>
      <c r="FZ122" s="225"/>
      <c r="GA122" s="225"/>
      <c r="GB122" s="225"/>
      <c r="GC122" s="225"/>
      <c r="GD122" s="225"/>
      <c r="GE122" s="225"/>
      <c r="GF122" s="225"/>
      <c r="GG122" s="225"/>
      <c r="GH122" s="225"/>
      <c r="GI122" s="225"/>
      <c r="GJ122" s="225"/>
      <c r="GK122" s="225"/>
      <c r="GL122" s="225"/>
      <c r="GM122" s="225"/>
      <c r="GN122" s="225"/>
      <c r="GO122" s="225"/>
      <c r="GP122" s="225"/>
      <c r="GQ122" s="225"/>
      <c r="GR122" s="225"/>
      <c r="GS122" s="225"/>
      <c r="GT122" s="225"/>
      <c r="GU122" s="225"/>
      <c r="GV122" s="225"/>
      <c r="GW122" s="225"/>
      <c r="GX122" s="225"/>
      <c r="GY122" s="225"/>
      <c r="GZ122" s="225"/>
      <c r="HA122" s="225"/>
      <c r="HB122" s="225"/>
      <c r="HC122" s="225"/>
      <c r="HD122" s="225"/>
      <c r="HE122" s="225"/>
      <c r="HF122" s="225"/>
      <c r="HG122" s="225"/>
      <c r="HH122" s="225"/>
      <c r="HI122" s="225"/>
      <c r="HJ122" s="225"/>
      <c r="HK122" s="225"/>
      <c r="HL122" s="225"/>
      <c r="HM122" s="225"/>
      <c r="HN122" s="225"/>
      <c r="HO122" s="225"/>
      <c r="HP122" s="225"/>
      <c r="HQ122" s="225"/>
      <c r="HR122" s="225"/>
      <c r="HS122" s="225"/>
      <c r="HT122" s="225"/>
      <c r="HU122" s="225"/>
      <c r="HV122" s="225"/>
      <c r="HW122" s="225"/>
      <c r="HX122" s="225"/>
      <c r="HY122" s="225"/>
      <c r="HZ122" s="225"/>
      <c r="IA122" s="225"/>
      <c r="IB122" s="225"/>
      <c r="IC122" s="225"/>
      <c r="ID122" s="225"/>
      <c r="IE122" s="225"/>
      <c r="IF122" s="225"/>
      <c r="IG122" s="225"/>
      <c r="IH122" s="225"/>
      <c r="II122" s="225"/>
      <c r="IJ122" s="225"/>
      <c r="IK122" s="225"/>
      <c r="IL122" s="225"/>
      <c r="IM122" s="225"/>
      <c r="IN122" s="225"/>
      <c r="IO122" s="225"/>
      <c r="IP122" s="225"/>
      <c r="IQ122" s="225"/>
      <c r="IR122" s="225"/>
      <c r="IS122" s="225"/>
      <c r="IT122" s="225"/>
      <c r="IU122" s="225"/>
      <c r="IV122" s="225"/>
      <c r="IW122" s="225"/>
      <c r="IX122" s="225"/>
      <c r="IY122" s="225"/>
      <c r="IZ122" s="225"/>
      <c r="JA122" s="225"/>
      <c r="JB122" s="225"/>
      <c r="JC122" s="225"/>
      <c r="JD122" s="225"/>
      <c r="JE122" s="225"/>
      <c r="JF122" s="225"/>
      <c r="JG122" s="225"/>
      <c r="JH122" s="225"/>
      <c r="JI122" s="225"/>
      <c r="JJ122" s="225"/>
      <c r="JK122" s="225"/>
      <c r="JL122" s="225"/>
      <c r="JM122" s="225"/>
      <c r="JN122" s="225"/>
      <c r="JO122" s="225"/>
      <c r="JP122" s="225"/>
      <c r="JQ122" s="225"/>
      <c r="JR122" s="225"/>
      <c r="JS122" s="225"/>
      <c r="JT122" s="225"/>
      <c r="JU122" s="225"/>
      <c r="JV122" s="225"/>
      <c r="JW122" s="225"/>
      <c r="JX122" s="225"/>
      <c r="JY122" s="225"/>
      <c r="JZ122" s="225"/>
      <c r="KA122" s="225"/>
      <c r="KB122" s="225"/>
      <c r="KC122" s="225"/>
      <c r="KD122" s="225"/>
      <c r="KE122" s="225"/>
      <c r="KF122" s="225"/>
      <c r="KG122" s="225"/>
      <c r="KH122" s="225"/>
      <c r="KI122" s="225"/>
      <c r="KJ122" s="225"/>
      <c r="KK122" s="225"/>
      <c r="KL122" s="225"/>
      <c r="KM122" s="225"/>
      <c r="KN122" s="225"/>
      <c r="KO122" s="225"/>
      <c r="KP122" s="225"/>
      <c r="KQ122" s="225"/>
      <c r="KR122" s="225"/>
      <c r="KS122" s="225"/>
      <c r="KT122" s="225"/>
      <c r="KU122" s="225"/>
      <c r="KV122" s="225"/>
      <c r="KW122" s="225"/>
      <c r="KX122" s="225"/>
      <c r="KY122" s="225"/>
      <c r="KZ122" s="225"/>
      <c r="LA122" s="225"/>
      <c r="LB122" s="225"/>
      <c r="LC122" s="225"/>
      <c r="LD122" s="225"/>
      <c r="LE122" s="225"/>
      <c r="LF122" s="225"/>
      <c r="LG122" s="225"/>
      <c r="LH122" s="225"/>
      <c r="LI122" s="225"/>
      <c r="LJ122" s="225"/>
      <c r="LK122" s="225"/>
      <c r="LL122" s="225"/>
      <c r="LM122" s="225"/>
      <c r="LN122" s="225"/>
      <c r="LO122" s="225"/>
      <c r="LP122" s="225"/>
      <c r="LQ122" s="225"/>
      <c r="LR122" s="225"/>
      <c r="LS122" s="225"/>
      <c r="LT122" s="225"/>
      <c r="LU122" s="225"/>
      <c r="LV122" s="225"/>
      <c r="LW122" s="225"/>
      <c r="LX122" s="225"/>
      <c r="LY122" s="225"/>
      <c r="LZ122" s="225"/>
      <c r="MA122" s="225"/>
      <c r="MB122" s="225"/>
      <c r="MC122" s="225"/>
      <c r="MD122" s="225"/>
      <c r="ME122" s="225"/>
      <c r="MF122" s="225"/>
      <c r="MG122" s="225"/>
      <c r="MH122" s="225"/>
      <c r="MI122" s="225"/>
      <c r="MJ122" s="225"/>
      <c r="MK122" s="225"/>
      <c r="ML122" s="225"/>
      <c r="MM122" s="225"/>
      <c r="MN122" s="225"/>
      <c r="MO122" s="225"/>
      <c r="MP122" s="225"/>
      <c r="MQ122" s="225"/>
      <c r="MR122" s="225"/>
      <c r="MS122" s="225"/>
      <c r="MT122" s="225"/>
      <c r="MU122" s="225"/>
      <c r="MV122" s="225"/>
      <c r="MW122" s="225"/>
      <c r="MX122" s="225"/>
      <c r="MY122" s="225"/>
      <c r="MZ122" s="225"/>
      <c r="NA122" s="225"/>
      <c r="NB122" s="225"/>
      <c r="NC122" s="225"/>
      <c r="ND122" s="225"/>
      <c r="NE122" s="225"/>
      <c r="NF122" s="225"/>
      <c r="NG122" s="225"/>
      <c r="NH122" s="225"/>
      <c r="NI122" s="225"/>
      <c r="NJ122" s="225"/>
      <c r="NK122" s="225"/>
      <c r="NL122" s="225"/>
      <c r="NM122" s="225"/>
      <c r="NN122" s="225"/>
      <c r="NO122" s="225"/>
      <c r="NP122" s="225"/>
      <c r="NQ122" s="225"/>
      <c r="NR122" s="225"/>
      <c r="NS122" s="225"/>
      <c r="NT122" s="225"/>
      <c r="NU122" s="225"/>
      <c r="NV122" s="225"/>
      <c r="NW122" s="225"/>
      <c r="NX122" s="225"/>
      <c r="NY122" s="225"/>
      <c r="NZ122" s="225"/>
      <c r="OA122" s="225"/>
      <c r="OB122" s="225"/>
      <c r="OC122" s="225"/>
      <c r="OD122" s="225"/>
      <c r="OE122" s="225"/>
      <c r="OF122" s="225"/>
      <c r="OG122" s="225"/>
      <c r="OH122" s="225"/>
      <c r="OI122" s="225"/>
      <c r="OJ122" s="225"/>
      <c r="OK122" s="225"/>
      <c r="OL122" s="225"/>
      <c r="OM122" s="225"/>
      <c r="ON122" s="225"/>
      <c r="OO122" s="225"/>
      <c r="OP122" s="225"/>
      <c r="OQ122" s="225"/>
      <c r="OR122" s="225"/>
      <c r="OS122" s="225"/>
      <c r="OT122" s="225"/>
      <c r="OU122" s="225"/>
      <c r="OV122" s="225"/>
      <c r="OW122" s="225"/>
      <c r="OX122" s="225"/>
      <c r="OY122" s="225"/>
      <c r="OZ122" s="225"/>
      <c r="PA122" s="225"/>
      <c r="PB122" s="225"/>
      <c r="PC122" s="225"/>
      <c r="PD122" s="225"/>
      <c r="PE122" s="225"/>
      <c r="PF122" s="225"/>
      <c r="PG122" s="225"/>
      <c r="PH122" s="225"/>
      <c r="PI122" s="225"/>
      <c r="PJ122" s="225"/>
      <c r="PK122" s="225"/>
      <c r="PL122" s="225"/>
      <c r="PM122" s="225"/>
      <c r="PN122" s="225"/>
      <c r="PO122" s="225"/>
      <c r="PP122" s="225"/>
      <c r="PQ122" s="225"/>
      <c r="PR122" s="225"/>
      <c r="PS122" s="225"/>
      <c r="PT122" s="225"/>
      <c r="PU122" s="225"/>
      <c r="PV122" s="225"/>
      <c r="PW122" s="225"/>
      <c r="PX122" s="225"/>
      <c r="PY122" s="225"/>
      <c r="PZ122" s="225"/>
      <c r="QA122" s="225"/>
      <c r="QB122" s="225"/>
      <c r="QC122" s="225"/>
      <c r="QD122" s="225"/>
      <c r="QE122" s="225"/>
      <c r="QF122" s="225"/>
      <c r="QG122" s="225"/>
      <c r="QH122" s="225"/>
      <c r="QI122" s="225"/>
      <c r="QJ122" s="225"/>
      <c r="QK122" s="225"/>
      <c r="QL122" s="225"/>
      <c r="QM122" s="225"/>
      <c r="QN122" s="225"/>
      <c r="QO122" s="225"/>
      <c r="QP122" s="225"/>
      <c r="QQ122" s="225"/>
      <c r="QR122" s="225"/>
      <c r="QS122" s="225"/>
      <c r="QT122" s="225"/>
      <c r="QU122" s="225"/>
      <c r="QV122" s="225"/>
      <c r="QW122" s="225"/>
      <c r="QX122" s="225"/>
      <c r="QY122" s="225"/>
      <c r="QZ122" s="225"/>
      <c r="RA122" s="225"/>
      <c r="RB122" s="225"/>
      <c r="RC122" s="225"/>
      <c r="RD122" s="225"/>
      <c r="RE122" s="225"/>
      <c r="RF122" s="225"/>
      <c r="RG122" s="225"/>
      <c r="RH122" s="225"/>
      <c r="RI122" s="225"/>
      <c r="RJ122" s="225"/>
      <c r="RK122" s="225"/>
      <c r="RL122" s="225"/>
      <c r="RM122" s="225"/>
      <c r="RN122" s="225"/>
      <c r="RO122" s="225"/>
      <c r="RP122" s="225"/>
      <c r="RQ122" s="225"/>
      <c r="RR122" s="225"/>
      <c r="RS122" s="225"/>
      <c r="RT122" s="225"/>
      <c r="RU122" s="225"/>
      <c r="RV122" s="225"/>
      <c r="RW122" s="225"/>
      <c r="RX122" s="225"/>
      <c r="RY122" s="225"/>
      <c r="RZ122" s="225"/>
      <c r="SA122" s="225"/>
      <c r="SB122" s="225"/>
      <c r="SC122" s="225"/>
      <c r="SD122" s="225"/>
      <c r="SE122" s="225"/>
      <c r="SF122" s="225"/>
      <c r="SG122" s="225"/>
      <c r="SH122" s="225"/>
      <c r="SI122" s="225"/>
      <c r="SJ122" s="225"/>
      <c r="SK122" s="225"/>
      <c r="SL122" s="225"/>
      <c r="SM122" s="225"/>
      <c r="SN122" s="225"/>
      <c r="SO122" s="225"/>
      <c r="SP122" s="225"/>
      <c r="SQ122" s="225"/>
      <c r="SR122" s="225"/>
      <c r="SS122" s="225"/>
      <c r="ST122" s="225"/>
      <c r="SU122" s="225"/>
      <c r="SV122" s="225"/>
      <c r="SW122" s="225"/>
      <c r="SX122" s="225"/>
      <c r="SY122" s="225"/>
      <c r="SZ122" s="225"/>
      <c r="TA122" s="225"/>
      <c r="TB122" s="225"/>
      <c r="TC122" s="225"/>
      <c r="TD122" s="225"/>
      <c r="TE122" s="225"/>
      <c r="TF122" s="225"/>
      <c r="TG122" s="225"/>
      <c r="TH122" s="225"/>
      <c r="TI122" s="225"/>
      <c r="TJ122" s="225"/>
      <c r="TK122" s="225"/>
      <c r="TL122" s="225"/>
      <c r="TM122" s="225"/>
      <c r="TN122" s="225"/>
      <c r="TO122" s="225"/>
      <c r="TP122" s="225"/>
      <c r="TQ122" s="225"/>
      <c r="TR122" s="225"/>
      <c r="TS122" s="225"/>
      <c r="TT122" s="225"/>
      <c r="TU122" s="225"/>
      <c r="TV122" s="225"/>
      <c r="TW122" s="225"/>
      <c r="TX122" s="225"/>
      <c r="TY122" s="225"/>
      <c r="TZ122" s="225"/>
      <c r="UA122" s="225"/>
      <c r="UB122" s="225"/>
      <c r="UC122" s="225"/>
      <c r="UD122" s="225"/>
      <c r="UE122" s="225"/>
      <c r="UF122" s="225"/>
      <c r="UG122" s="225"/>
      <c r="UH122" s="225"/>
      <c r="UI122" s="225"/>
      <c r="UJ122" s="225"/>
      <c r="UK122" s="225"/>
      <c r="UL122" s="225"/>
      <c r="UM122" s="225"/>
      <c r="UN122" s="225"/>
      <c r="UO122" s="225"/>
      <c r="UP122" s="225"/>
      <c r="UQ122" s="225"/>
      <c r="UR122" s="225"/>
      <c r="US122" s="225"/>
      <c r="UT122" s="225"/>
      <c r="UU122" s="225"/>
      <c r="UV122" s="225"/>
      <c r="UW122" s="225"/>
      <c r="UX122" s="225"/>
      <c r="UY122" s="225"/>
      <c r="UZ122" s="225"/>
      <c r="VA122" s="225"/>
      <c r="VB122" s="225"/>
      <c r="VC122" s="225"/>
      <c r="VD122" s="225"/>
      <c r="VE122" s="225"/>
      <c r="VF122" s="225"/>
      <c r="VG122" s="225"/>
      <c r="VH122" s="225"/>
      <c r="VI122" s="225"/>
      <c r="VJ122" s="225"/>
      <c r="VK122" s="225"/>
      <c r="VL122" s="225"/>
      <c r="VM122" s="225"/>
      <c r="VN122" s="225"/>
      <c r="VO122" s="225"/>
      <c r="VP122" s="225"/>
      <c r="VQ122" s="225"/>
      <c r="VR122" s="225"/>
      <c r="VS122" s="225"/>
      <c r="VT122" s="225"/>
      <c r="VU122" s="225"/>
      <c r="VV122" s="225"/>
      <c r="VW122" s="225"/>
      <c r="VX122" s="225"/>
      <c r="VY122" s="225"/>
      <c r="VZ122" s="225"/>
      <c r="WA122" s="225"/>
      <c r="WB122" s="225"/>
      <c r="WC122" s="225"/>
      <c r="WD122" s="225"/>
      <c r="WE122" s="225"/>
      <c r="WF122" s="225"/>
      <c r="WG122" s="225"/>
      <c r="WH122" s="225"/>
      <c r="WI122" s="225"/>
      <c r="WJ122" s="225"/>
      <c r="WK122" s="225"/>
      <c r="WL122" s="225"/>
      <c r="WM122" s="225"/>
      <c r="WN122" s="225"/>
      <c r="WO122" s="225"/>
      <c r="WP122" s="225"/>
      <c r="WQ122" s="225"/>
      <c r="WR122" s="225"/>
      <c r="WS122" s="225"/>
      <c r="WT122" s="225"/>
      <c r="WU122" s="225"/>
      <c r="WV122" s="225"/>
      <c r="WW122" s="225"/>
      <c r="WX122" s="225"/>
      <c r="WY122" s="225"/>
      <c r="WZ122" s="225"/>
      <c r="XA122" s="225"/>
      <c r="XB122" s="225"/>
      <c r="XC122" s="225"/>
      <c r="XD122" s="225"/>
      <c r="XE122" s="225"/>
      <c r="XF122" s="225"/>
      <c r="XG122" s="225"/>
      <c r="XH122" s="225"/>
      <c r="XI122" s="225"/>
      <c r="XJ122" s="225"/>
      <c r="XK122" s="225"/>
      <c r="XL122" s="225"/>
      <c r="XM122" s="225"/>
      <c r="XN122" s="225"/>
      <c r="XO122" s="225"/>
      <c r="XP122" s="225"/>
      <c r="XQ122" s="225"/>
      <c r="XR122" s="225"/>
      <c r="XS122" s="225"/>
      <c r="XT122" s="225"/>
      <c r="XU122" s="225"/>
      <c r="XV122" s="225"/>
      <c r="XW122" s="225"/>
      <c r="XX122" s="225"/>
      <c r="XY122" s="225"/>
      <c r="XZ122" s="225"/>
      <c r="YA122" s="225"/>
      <c r="YB122" s="225"/>
      <c r="YC122" s="225"/>
      <c r="YD122" s="225"/>
      <c r="YE122" s="225"/>
      <c r="YF122" s="225"/>
      <c r="YG122" s="225"/>
      <c r="YH122" s="225"/>
      <c r="YI122" s="225"/>
      <c r="YJ122" s="225"/>
      <c r="YK122" s="225"/>
      <c r="YL122" s="225"/>
      <c r="YM122" s="225"/>
      <c r="YN122" s="225"/>
      <c r="YO122" s="225"/>
      <c r="YP122" s="225"/>
      <c r="YQ122" s="225"/>
      <c r="YR122" s="225"/>
      <c r="YS122" s="225"/>
      <c r="YT122" s="225"/>
      <c r="YU122" s="225"/>
      <c r="YV122" s="225"/>
      <c r="YW122" s="225"/>
      <c r="YX122" s="225"/>
      <c r="YY122" s="225"/>
      <c r="YZ122" s="225"/>
      <c r="ZA122" s="225"/>
      <c r="ZB122" s="225"/>
      <c r="ZC122" s="225"/>
      <c r="ZD122" s="225"/>
      <c r="ZE122" s="225"/>
      <c r="ZF122" s="225"/>
      <c r="ZG122" s="225"/>
      <c r="ZH122" s="225"/>
      <c r="ZI122" s="225"/>
      <c r="ZJ122" s="225"/>
      <c r="ZK122" s="225"/>
      <c r="ZL122" s="225"/>
      <c r="ZM122" s="225"/>
      <c r="ZN122" s="225"/>
      <c r="ZO122" s="225"/>
      <c r="ZP122" s="225"/>
      <c r="ZQ122" s="225"/>
      <c r="ZR122" s="225"/>
      <c r="ZS122" s="225"/>
      <c r="ZT122" s="225"/>
      <c r="ZU122" s="225"/>
      <c r="ZV122" s="225"/>
      <c r="ZW122" s="225"/>
      <c r="ZX122" s="225"/>
      <c r="ZY122" s="225"/>
      <c r="ZZ122" s="225"/>
      <c r="AAA122" s="225"/>
      <c r="AAB122" s="225"/>
      <c r="AAC122" s="225"/>
      <c r="AAD122" s="225"/>
      <c r="AAE122" s="225"/>
      <c r="AAF122" s="225"/>
      <c r="AAG122" s="225"/>
      <c r="AAH122" s="225"/>
      <c r="AAI122" s="225"/>
      <c r="AAJ122" s="225"/>
      <c r="AAK122" s="225"/>
      <c r="AAL122" s="225"/>
      <c r="AAM122" s="225"/>
      <c r="AAN122" s="225"/>
      <c r="AAO122" s="225"/>
      <c r="AAP122" s="225"/>
      <c r="AAQ122" s="225"/>
      <c r="AAR122" s="225"/>
      <c r="AAS122" s="225"/>
      <c r="AAT122" s="225"/>
      <c r="AAU122" s="225"/>
      <c r="AAV122" s="225"/>
      <c r="AAW122" s="225"/>
      <c r="AAX122" s="225"/>
      <c r="AAY122" s="225"/>
      <c r="AAZ122" s="225"/>
      <c r="ABA122" s="225"/>
      <c r="ABB122" s="225"/>
      <c r="ABC122" s="225"/>
      <c r="ABD122" s="225"/>
      <c r="ABE122" s="225"/>
      <c r="ABF122" s="225"/>
      <c r="ABG122" s="225"/>
      <c r="ABH122" s="225"/>
      <c r="ABI122" s="225"/>
      <c r="ABJ122" s="225"/>
      <c r="ABK122" s="225"/>
      <c r="ABL122" s="225"/>
      <c r="ABM122" s="225"/>
      <c r="ABN122" s="225"/>
      <c r="ABO122" s="225"/>
      <c r="ABP122" s="225"/>
      <c r="ABQ122" s="225"/>
      <c r="ABR122" s="225"/>
      <c r="ABS122" s="225"/>
      <c r="ABT122" s="225"/>
      <c r="ABU122" s="225"/>
      <c r="ABV122" s="225"/>
      <c r="ABW122" s="225"/>
      <c r="ABX122" s="225"/>
      <c r="ABY122" s="225"/>
      <c r="ABZ122" s="225"/>
      <c r="ACA122" s="225"/>
      <c r="ACB122" s="225"/>
      <c r="ACC122" s="225"/>
      <c r="ACD122" s="225"/>
      <c r="ACE122" s="225"/>
      <c r="ACF122" s="225"/>
      <c r="ACG122" s="225"/>
      <c r="ACH122" s="225"/>
      <c r="ACI122" s="225"/>
      <c r="ACJ122" s="225"/>
      <c r="ACK122" s="225"/>
      <c r="ACL122" s="225"/>
      <c r="ACM122" s="225"/>
      <c r="ACN122" s="225"/>
      <c r="ACO122" s="225"/>
      <c r="ACP122" s="225"/>
      <c r="ACQ122" s="225"/>
      <c r="ACR122" s="225"/>
      <c r="ACS122" s="225"/>
      <c r="ACT122" s="225"/>
      <c r="ACU122" s="225"/>
      <c r="ACV122" s="225"/>
      <c r="ACW122" s="225"/>
      <c r="ACX122" s="225"/>
      <c r="ACY122" s="225"/>
      <c r="ACZ122" s="225"/>
      <c r="ADA122" s="225"/>
      <c r="ADB122" s="225"/>
      <c r="ADC122" s="225"/>
      <c r="ADD122" s="225"/>
      <c r="ADE122" s="225"/>
      <c r="ADF122" s="225"/>
      <c r="ADG122" s="225"/>
      <c r="ADH122" s="225"/>
      <c r="ADI122" s="225"/>
      <c r="ADJ122" s="225"/>
      <c r="ADK122" s="225"/>
      <c r="ADL122" s="225"/>
      <c r="ADM122" s="225"/>
      <c r="ADN122" s="225"/>
      <c r="ADO122" s="225"/>
      <c r="ADP122" s="225"/>
      <c r="ADQ122" s="225"/>
      <c r="ADR122" s="225"/>
      <c r="ADS122" s="225"/>
      <c r="ADT122" s="225"/>
      <c r="ADU122" s="225"/>
      <c r="ADV122" s="225"/>
      <c r="ADW122" s="225"/>
      <c r="ADX122" s="225"/>
      <c r="ADY122" s="225"/>
      <c r="ADZ122" s="225"/>
      <c r="AEA122" s="225"/>
      <c r="AEB122" s="225"/>
      <c r="AEC122" s="225"/>
      <c r="AED122" s="225"/>
      <c r="AEE122" s="225"/>
      <c r="AEF122" s="225"/>
      <c r="AEG122" s="225"/>
      <c r="AEH122" s="225"/>
      <c r="AEI122" s="225"/>
      <c r="AEJ122" s="225"/>
      <c r="AEK122" s="225"/>
      <c r="AEL122" s="225"/>
      <c r="AEM122" s="225"/>
      <c r="AEN122" s="225"/>
      <c r="AEO122" s="225"/>
      <c r="AEP122" s="225"/>
      <c r="AEQ122" s="225"/>
      <c r="AER122" s="225"/>
      <c r="AES122" s="225"/>
      <c r="AET122" s="225"/>
      <c r="AEU122" s="225"/>
      <c r="AEV122" s="225"/>
      <c r="AEW122" s="225"/>
      <c r="AEX122" s="225"/>
      <c r="AEY122" s="225"/>
      <c r="AEZ122" s="225"/>
      <c r="AFA122" s="225"/>
      <c r="AFB122" s="225"/>
      <c r="AFC122" s="225"/>
      <c r="AFD122" s="225"/>
      <c r="AFE122" s="225"/>
      <c r="AFF122" s="225"/>
      <c r="AFG122" s="225"/>
      <c r="AFH122" s="225"/>
      <c r="AFI122" s="225"/>
      <c r="AFJ122" s="225"/>
      <c r="AFK122" s="225"/>
      <c r="AFL122" s="225"/>
      <c r="AFM122" s="225"/>
      <c r="AFN122" s="225"/>
      <c r="AFO122" s="225"/>
      <c r="AFP122" s="225"/>
      <c r="AFQ122" s="225"/>
      <c r="AFR122" s="225"/>
      <c r="AFS122" s="225"/>
      <c r="AFT122" s="225"/>
      <c r="AFU122" s="225"/>
      <c r="AFV122" s="225"/>
      <c r="AFW122" s="225"/>
      <c r="AFX122" s="225"/>
      <c r="AFY122" s="225"/>
      <c r="AFZ122" s="225"/>
      <c r="AGA122" s="225"/>
      <c r="AGB122" s="225"/>
      <c r="AGC122" s="225"/>
      <c r="AGD122" s="225"/>
      <c r="AGE122" s="225"/>
      <c r="AGF122" s="225"/>
      <c r="AGG122" s="225"/>
      <c r="AGH122" s="225"/>
      <c r="AGI122" s="225"/>
      <c r="AGJ122" s="225"/>
      <c r="AGK122" s="225"/>
      <c r="AGL122" s="225"/>
      <c r="AGM122" s="225"/>
      <c r="AGN122" s="225"/>
      <c r="AGO122" s="225"/>
      <c r="AGP122" s="225"/>
      <c r="AGQ122" s="225"/>
      <c r="AGR122" s="225"/>
      <c r="AGS122" s="225"/>
      <c r="AGT122" s="225"/>
      <c r="AGU122" s="225"/>
      <c r="AGV122" s="225"/>
      <c r="AGW122" s="225"/>
      <c r="AGX122" s="225"/>
      <c r="AGY122" s="225"/>
      <c r="AGZ122" s="225"/>
      <c r="AHA122" s="225"/>
      <c r="AHB122" s="225"/>
      <c r="AHC122" s="225"/>
      <c r="AHD122" s="225"/>
      <c r="AHE122" s="225"/>
      <c r="AHF122" s="225"/>
      <c r="AHG122" s="225"/>
      <c r="AHH122" s="225"/>
      <c r="AHI122" s="225"/>
      <c r="AHJ122" s="225"/>
      <c r="AHK122" s="225"/>
      <c r="AHL122" s="225"/>
      <c r="AHM122" s="225"/>
      <c r="AHN122" s="225"/>
      <c r="AHO122" s="225"/>
      <c r="AHP122" s="225"/>
      <c r="AHQ122" s="225"/>
      <c r="AHR122" s="225"/>
      <c r="AHS122" s="225"/>
      <c r="AHT122" s="225"/>
      <c r="AHU122" s="225"/>
      <c r="AHV122" s="225"/>
      <c r="AHW122" s="225"/>
      <c r="AHX122" s="225"/>
      <c r="AHY122" s="225"/>
      <c r="AHZ122" s="225"/>
      <c r="AIA122" s="225"/>
      <c r="AIB122" s="225"/>
      <c r="AIC122" s="225"/>
      <c r="AID122" s="225"/>
      <c r="AIE122" s="225"/>
      <c r="AIF122" s="225"/>
      <c r="AIG122" s="225"/>
      <c r="AIH122" s="225"/>
      <c r="AII122" s="225"/>
      <c r="AIJ122" s="225"/>
      <c r="AIK122" s="225"/>
      <c r="AIL122" s="225"/>
      <c r="AIM122" s="225"/>
      <c r="AIN122" s="225"/>
      <c r="AIO122" s="225"/>
      <c r="AIP122" s="225"/>
      <c r="AIQ122" s="225"/>
      <c r="AIR122" s="225"/>
      <c r="AIS122" s="225"/>
      <c r="AIT122" s="225"/>
      <c r="AIU122" s="225"/>
      <c r="AIV122" s="225"/>
      <c r="AIW122" s="225"/>
      <c r="AIX122" s="225"/>
      <c r="AIY122" s="225"/>
      <c r="AIZ122" s="225"/>
      <c r="AJA122" s="225"/>
      <c r="AJB122" s="225"/>
      <c r="AJC122" s="225"/>
      <c r="AJD122" s="225"/>
      <c r="AJE122" s="225"/>
      <c r="AJF122" s="225"/>
      <c r="AJG122" s="225"/>
      <c r="AJH122" s="225"/>
      <c r="AJI122" s="225"/>
      <c r="AJJ122" s="225"/>
      <c r="AJK122" s="225"/>
      <c r="AJL122" s="225"/>
      <c r="AJM122" s="225"/>
      <c r="AJN122" s="225"/>
      <c r="AJO122" s="225"/>
      <c r="AJP122" s="225"/>
      <c r="AJQ122" s="225"/>
      <c r="AJR122" s="225"/>
      <c r="AJS122" s="225"/>
      <c r="AJT122" s="225"/>
      <c r="AJU122" s="225"/>
      <c r="AJV122" s="225"/>
      <c r="AJW122" s="225"/>
      <c r="AJX122" s="225"/>
      <c r="AJY122" s="225"/>
      <c r="AJZ122" s="225"/>
      <c r="AKA122" s="225"/>
      <c r="AKB122" s="225"/>
      <c r="AKC122" s="225"/>
      <c r="AKD122" s="225"/>
      <c r="AKE122" s="225"/>
      <c r="AKF122" s="225"/>
      <c r="AKG122" s="225"/>
      <c r="AKH122" s="225"/>
      <c r="AKI122" s="225"/>
      <c r="AKJ122" s="225"/>
      <c r="AKK122" s="225"/>
      <c r="AKL122" s="225"/>
      <c r="AKM122" s="225"/>
      <c r="AKN122" s="225"/>
      <c r="AKO122" s="225"/>
      <c r="AKP122" s="225"/>
      <c r="AKQ122" s="225"/>
      <c r="AKR122" s="225"/>
      <c r="AKS122" s="225"/>
      <c r="AKT122" s="225"/>
      <c r="AKU122" s="225"/>
      <c r="AKV122" s="225"/>
      <c r="AKW122" s="225"/>
      <c r="AKX122" s="225"/>
      <c r="AKY122" s="225"/>
      <c r="AKZ122" s="225"/>
      <c r="ALA122" s="225"/>
      <c r="ALB122" s="225"/>
      <c r="ALC122" s="225"/>
      <c r="ALD122" s="225"/>
      <c r="ALE122" s="225"/>
      <c r="ALF122" s="225"/>
      <c r="ALG122" s="225"/>
      <c r="ALH122" s="225"/>
      <c r="ALI122" s="225"/>
      <c r="ALJ122" s="225"/>
      <c r="ALK122" s="225"/>
      <c r="ALL122" s="225"/>
      <c r="ALM122" s="225"/>
      <c r="ALN122" s="225"/>
      <c r="ALO122" s="225"/>
      <c r="ALP122" s="225"/>
      <c r="ALQ122" s="225"/>
      <c r="ALR122" s="225"/>
      <c r="ALS122" s="225"/>
      <c r="ALT122" s="225"/>
      <c r="ALU122" s="225"/>
      <c r="ALV122" s="225"/>
      <c r="ALW122" s="225"/>
      <c r="ALX122" s="225"/>
      <c r="ALY122" s="225"/>
      <c r="ALZ122" s="225"/>
      <c r="AMA122" s="225"/>
      <c r="AMB122" s="225"/>
      <c r="AMC122" s="225"/>
      <c r="AMD122" s="225"/>
      <c r="AME122" s="225"/>
      <c r="AMF122" s="225"/>
      <c r="AMG122" s="225"/>
      <c r="AMH122" s="225"/>
      <c r="AMI122" s="225"/>
      <c r="AMJ122" s="225"/>
      <c r="AMK122" s="225"/>
      <c r="AML122" s="225"/>
      <c r="AMM122" s="225"/>
      <c r="AMN122" s="225"/>
      <c r="AMO122" s="225"/>
      <c r="AMP122" s="225"/>
      <c r="AMQ122" s="225"/>
      <c r="AMR122" s="225"/>
      <c r="AMS122" s="225"/>
      <c r="AMT122" s="225"/>
      <c r="AMU122" s="225"/>
      <c r="AMV122" s="225"/>
      <c r="AMW122" s="225"/>
      <c r="AMX122" s="225"/>
      <c r="AMY122" s="225"/>
      <c r="AMZ122" s="225"/>
      <c r="ANA122" s="225"/>
      <c r="ANB122" s="225"/>
      <c r="ANC122" s="225"/>
      <c r="AND122" s="225"/>
      <c r="ANE122" s="225"/>
      <c r="ANF122" s="225"/>
      <c r="ANG122" s="225"/>
      <c r="ANH122" s="225"/>
      <c r="ANI122" s="225"/>
      <c r="ANJ122" s="225"/>
      <c r="ANK122" s="225"/>
      <c r="ANL122" s="225"/>
      <c r="ANM122" s="225"/>
      <c r="ANN122" s="225"/>
      <c r="ANO122" s="225"/>
      <c r="ANP122" s="225"/>
      <c r="ANQ122" s="225"/>
      <c r="ANR122" s="225"/>
      <c r="ANS122" s="225"/>
      <c r="ANT122" s="225"/>
      <c r="ANU122" s="225"/>
      <c r="ANV122" s="225"/>
      <c r="ANW122" s="225"/>
      <c r="ANX122" s="225"/>
      <c r="ANY122" s="225"/>
      <c r="ANZ122" s="225"/>
      <c r="AOA122" s="225"/>
      <c r="AOB122" s="225"/>
      <c r="AOC122" s="225"/>
      <c r="AOD122" s="225"/>
      <c r="AOE122" s="225"/>
      <c r="AOF122" s="225"/>
      <c r="AOG122" s="225"/>
      <c r="AOH122" s="225"/>
      <c r="AOI122" s="225"/>
      <c r="AOJ122" s="225"/>
      <c r="AOK122" s="225"/>
      <c r="AOL122" s="225"/>
      <c r="AOM122" s="225"/>
      <c r="AON122" s="225"/>
      <c r="AOO122" s="225"/>
      <c r="AOP122" s="225"/>
      <c r="AOQ122" s="225"/>
      <c r="AOR122" s="225"/>
      <c r="AOS122" s="225"/>
      <c r="AOT122" s="225"/>
      <c r="AOU122" s="225"/>
      <c r="AOV122" s="225"/>
      <c r="AOW122" s="225"/>
      <c r="AOX122" s="225"/>
      <c r="AOY122" s="225"/>
      <c r="AOZ122" s="225"/>
      <c r="APA122" s="225"/>
      <c r="APB122" s="225"/>
      <c r="APC122" s="225"/>
      <c r="APD122" s="225"/>
      <c r="APE122" s="225"/>
      <c r="APF122" s="225"/>
      <c r="APG122" s="225"/>
      <c r="APH122" s="225"/>
      <c r="API122" s="225"/>
      <c r="APJ122" s="225"/>
      <c r="APK122" s="225"/>
      <c r="APL122" s="225"/>
      <c r="APM122" s="225"/>
      <c r="APN122" s="225"/>
      <c r="APO122" s="225"/>
      <c r="APP122" s="225"/>
      <c r="APQ122" s="225"/>
      <c r="APR122" s="225"/>
      <c r="APS122" s="225"/>
      <c r="APT122" s="225"/>
      <c r="APU122" s="225"/>
      <c r="APV122" s="225"/>
      <c r="APW122" s="225"/>
      <c r="APX122" s="225"/>
      <c r="APY122" s="225"/>
      <c r="APZ122" s="225"/>
      <c r="AQA122" s="225"/>
      <c r="AQB122" s="225"/>
      <c r="AQC122" s="225"/>
      <c r="AQD122" s="225"/>
      <c r="AQE122" s="225"/>
      <c r="AQF122" s="225"/>
      <c r="AQG122" s="225"/>
      <c r="AQH122" s="225"/>
      <c r="AQI122" s="225"/>
      <c r="AQJ122" s="225"/>
      <c r="AQK122" s="225"/>
      <c r="AQL122" s="225"/>
      <c r="AQM122" s="225"/>
      <c r="AQN122" s="225"/>
      <c r="AQO122" s="225"/>
      <c r="AQP122" s="225"/>
      <c r="AQQ122" s="225"/>
      <c r="AQR122" s="225"/>
      <c r="AQS122" s="225"/>
      <c r="AQT122" s="225"/>
      <c r="AQU122" s="225"/>
      <c r="AQV122" s="225"/>
      <c r="AQW122" s="225"/>
      <c r="AQX122" s="225"/>
      <c r="AQY122" s="225"/>
      <c r="AQZ122" s="225"/>
      <c r="ARA122" s="225"/>
      <c r="ARB122" s="225"/>
      <c r="ARC122" s="225"/>
      <c r="ARD122" s="225"/>
      <c r="ARE122" s="225"/>
      <c r="ARF122" s="225"/>
      <c r="ARG122" s="225"/>
      <c r="ARH122" s="225"/>
      <c r="ARI122" s="225"/>
      <c r="ARJ122" s="225"/>
      <c r="ARK122" s="225"/>
      <c r="ARL122" s="225"/>
      <c r="ARM122" s="225"/>
      <c r="ARN122" s="225"/>
      <c r="ARO122" s="225"/>
      <c r="ARP122" s="225"/>
      <c r="ARQ122" s="225"/>
      <c r="ARR122" s="225"/>
      <c r="ARS122" s="225"/>
      <c r="ART122" s="225"/>
      <c r="ARU122" s="225"/>
      <c r="ARV122" s="225"/>
      <c r="ARW122" s="225"/>
      <c r="ARX122" s="225"/>
      <c r="ARY122" s="225"/>
      <c r="ARZ122" s="225"/>
      <c r="ASA122" s="225"/>
      <c r="ASB122" s="225"/>
      <c r="ASC122" s="225"/>
      <c r="ASD122" s="225"/>
      <c r="ASE122" s="225"/>
      <c r="ASF122" s="225"/>
      <c r="ASG122" s="225"/>
      <c r="ASH122" s="225"/>
      <c r="ASI122" s="225"/>
      <c r="ASJ122" s="225"/>
      <c r="ASK122" s="225"/>
      <c r="ASL122" s="225"/>
      <c r="ASM122" s="225"/>
      <c r="ASN122" s="225"/>
      <c r="ASO122" s="225"/>
      <c r="ASP122" s="225"/>
      <c r="ASQ122" s="225"/>
      <c r="ASR122" s="225"/>
      <c r="ASS122" s="225"/>
      <c r="AST122" s="225"/>
      <c r="ASU122" s="225"/>
      <c r="ASV122" s="225"/>
      <c r="ASW122" s="225"/>
      <c r="ASX122" s="225"/>
      <c r="ASY122" s="225"/>
      <c r="ASZ122" s="225"/>
      <c r="ATA122" s="225"/>
      <c r="ATB122" s="225"/>
      <c r="ATC122" s="225"/>
      <c r="ATD122" s="225"/>
      <c r="ATE122" s="225"/>
      <c r="ATF122" s="225"/>
      <c r="ATG122" s="225"/>
      <c r="ATH122" s="225"/>
      <c r="ATI122" s="225"/>
      <c r="ATJ122" s="225"/>
      <c r="ATK122" s="225"/>
      <c r="ATL122" s="225"/>
      <c r="ATM122" s="225"/>
      <c r="ATN122" s="225"/>
      <c r="ATO122" s="225"/>
      <c r="ATP122" s="225"/>
      <c r="ATQ122" s="225"/>
      <c r="ATR122" s="225"/>
      <c r="ATS122" s="225"/>
      <c r="ATT122" s="225"/>
      <c r="ATU122" s="225"/>
      <c r="ATV122" s="225"/>
      <c r="ATW122" s="225"/>
      <c r="ATX122" s="225"/>
      <c r="ATY122" s="225"/>
      <c r="ATZ122" s="225"/>
      <c r="AUA122" s="225"/>
      <c r="AUB122" s="225"/>
      <c r="AUC122" s="225"/>
      <c r="AUD122" s="225"/>
      <c r="AUE122" s="225"/>
      <c r="AUF122" s="225"/>
      <c r="AUG122" s="225"/>
      <c r="AUH122" s="225"/>
      <c r="AUI122" s="225"/>
      <c r="AUJ122" s="225"/>
      <c r="AUK122" s="225"/>
      <c r="AUL122" s="225"/>
      <c r="AUM122" s="225"/>
      <c r="AUN122" s="225"/>
      <c r="AUO122" s="225"/>
      <c r="AUP122" s="225"/>
      <c r="AUQ122" s="225"/>
      <c r="AUR122" s="225"/>
      <c r="AUS122" s="225"/>
      <c r="AUT122" s="225"/>
      <c r="AUU122" s="225"/>
      <c r="AUV122" s="225"/>
      <c r="AUW122" s="225"/>
      <c r="AUX122" s="225"/>
      <c r="AUY122" s="225"/>
      <c r="AUZ122" s="225"/>
      <c r="AVA122" s="225"/>
      <c r="AVB122" s="225"/>
      <c r="AVC122" s="225"/>
      <c r="AVD122" s="225"/>
      <c r="AVE122" s="225"/>
      <c r="AVF122" s="225"/>
      <c r="AVG122" s="225"/>
      <c r="AVH122" s="225"/>
      <c r="AVI122" s="225"/>
      <c r="AVJ122" s="225"/>
      <c r="AVK122" s="225"/>
      <c r="AVL122" s="225"/>
      <c r="AVM122" s="225"/>
      <c r="AVN122" s="225"/>
      <c r="AVO122" s="225"/>
      <c r="AVP122" s="225"/>
      <c r="AVQ122" s="225"/>
      <c r="AVR122" s="225"/>
      <c r="AVS122" s="225"/>
      <c r="AVT122" s="225"/>
      <c r="AVU122" s="225"/>
      <c r="AVV122" s="225"/>
      <c r="AVW122" s="225"/>
      <c r="AVX122" s="225"/>
      <c r="AVY122" s="225"/>
      <c r="AVZ122" s="225"/>
      <c r="AWA122" s="225"/>
      <c r="AWB122" s="225"/>
      <c r="AWC122" s="225"/>
      <c r="AWD122" s="225"/>
      <c r="AWE122" s="225"/>
      <c r="AWF122" s="225"/>
      <c r="AWG122" s="225"/>
      <c r="AWH122" s="225"/>
      <c r="AWI122" s="225"/>
      <c r="AWJ122" s="225"/>
      <c r="AWK122" s="225"/>
      <c r="AWL122" s="225"/>
      <c r="AWM122" s="225"/>
      <c r="AWN122" s="225"/>
      <c r="AWO122" s="225"/>
      <c r="AWP122" s="225"/>
      <c r="AWQ122" s="225"/>
      <c r="AWR122" s="225"/>
      <c r="AWS122" s="225"/>
      <c r="AWT122" s="225"/>
      <c r="AWU122" s="225"/>
      <c r="AWV122" s="225"/>
      <c r="AWW122" s="225"/>
      <c r="AWX122" s="225"/>
      <c r="AWY122" s="225"/>
      <c r="AWZ122" s="225"/>
      <c r="AXA122" s="225"/>
      <c r="AXB122" s="225"/>
      <c r="AXC122" s="225"/>
      <c r="AXD122" s="225"/>
      <c r="AXE122" s="225"/>
      <c r="AXF122" s="225"/>
      <c r="AXG122" s="225"/>
      <c r="AXH122" s="225"/>
      <c r="AXI122" s="225"/>
      <c r="AXJ122" s="225"/>
      <c r="AXK122" s="225"/>
      <c r="AXL122" s="225"/>
      <c r="AXM122" s="225"/>
      <c r="AXN122" s="225"/>
      <c r="AXO122" s="225"/>
      <c r="AXP122" s="225"/>
      <c r="AXQ122" s="225"/>
      <c r="AXR122" s="225"/>
      <c r="AXS122" s="225"/>
      <c r="AXT122" s="225"/>
      <c r="AXU122" s="225"/>
      <c r="AXV122" s="225"/>
      <c r="AXW122" s="225"/>
      <c r="AXX122" s="225"/>
      <c r="AXY122" s="225"/>
      <c r="AXZ122" s="225"/>
      <c r="AYA122" s="225"/>
      <c r="AYB122" s="225"/>
      <c r="AYC122" s="225"/>
      <c r="AYD122" s="225"/>
      <c r="AYE122" s="225"/>
      <c r="AYF122" s="225"/>
      <c r="AYG122" s="225"/>
      <c r="AYH122" s="225"/>
      <c r="AYI122" s="225"/>
      <c r="AYJ122" s="225"/>
      <c r="AYK122" s="225"/>
      <c r="AYL122" s="225"/>
      <c r="AYM122" s="225"/>
      <c r="AYN122" s="225"/>
      <c r="AYO122" s="225"/>
      <c r="AYP122" s="225"/>
      <c r="AYQ122" s="225"/>
      <c r="AYR122" s="225"/>
      <c r="AYS122" s="225"/>
      <c r="AYT122" s="225"/>
      <c r="AYU122" s="225"/>
      <c r="AYV122" s="225"/>
      <c r="AYW122" s="225"/>
      <c r="AYX122" s="225"/>
      <c r="AYY122" s="225"/>
      <c r="AYZ122" s="225"/>
      <c r="AZA122" s="225"/>
      <c r="AZB122" s="225"/>
      <c r="AZC122" s="225"/>
      <c r="AZD122" s="225"/>
      <c r="AZE122" s="225"/>
      <c r="AZF122" s="225"/>
      <c r="AZG122" s="225"/>
      <c r="AZH122" s="225"/>
      <c r="AZI122" s="225"/>
      <c r="AZJ122" s="225"/>
      <c r="AZK122" s="225"/>
      <c r="AZL122" s="225"/>
      <c r="AZM122" s="225"/>
      <c r="AZN122" s="225"/>
      <c r="AZO122" s="225"/>
      <c r="AZP122" s="225"/>
      <c r="AZQ122" s="225"/>
      <c r="AZR122" s="225"/>
      <c r="AZS122" s="225"/>
      <c r="AZT122" s="225"/>
      <c r="AZU122" s="225"/>
      <c r="AZV122" s="225"/>
      <c r="AZW122" s="225"/>
      <c r="AZX122" s="225"/>
      <c r="AZY122" s="225"/>
      <c r="AZZ122" s="225"/>
      <c r="BAA122" s="225"/>
      <c r="BAB122" s="225"/>
      <c r="BAC122" s="225"/>
      <c r="BAD122" s="225"/>
      <c r="BAE122" s="225"/>
      <c r="BAF122" s="225"/>
      <c r="BAG122" s="225"/>
      <c r="BAH122" s="225"/>
      <c r="BAI122" s="225"/>
      <c r="BAJ122" s="225"/>
      <c r="BAK122" s="225"/>
      <c r="BAL122" s="225"/>
      <c r="BAM122" s="225"/>
      <c r="BAN122" s="225"/>
      <c r="BAO122" s="225"/>
      <c r="BAP122" s="225"/>
      <c r="BAQ122" s="225"/>
      <c r="BAR122" s="225"/>
      <c r="BAS122" s="225"/>
      <c r="BAT122" s="225"/>
      <c r="BAU122" s="225"/>
      <c r="BAV122" s="225"/>
      <c r="BAW122" s="225"/>
      <c r="BAX122" s="225"/>
      <c r="BAY122" s="225"/>
      <c r="BAZ122" s="225"/>
      <c r="BBA122" s="225"/>
      <c r="BBB122" s="225"/>
      <c r="BBC122" s="225"/>
      <c r="BBD122" s="225"/>
      <c r="BBE122" s="225"/>
      <c r="BBF122" s="225"/>
      <c r="BBG122" s="225"/>
      <c r="BBH122" s="225"/>
      <c r="BBI122" s="225"/>
      <c r="BBJ122" s="225"/>
      <c r="BBK122" s="225"/>
      <c r="BBL122" s="225"/>
      <c r="BBM122" s="225"/>
      <c r="BBN122" s="225"/>
      <c r="BBO122" s="225"/>
      <c r="BBP122" s="225"/>
      <c r="BBQ122" s="225"/>
      <c r="BBR122" s="225"/>
      <c r="BBS122" s="225"/>
      <c r="BBT122" s="225"/>
      <c r="BBU122" s="225"/>
      <c r="BBV122" s="225"/>
      <c r="BBW122" s="225"/>
      <c r="BBX122" s="225"/>
      <c r="BBY122" s="225"/>
      <c r="BBZ122" s="225"/>
      <c r="BCA122" s="225"/>
      <c r="BCB122" s="225"/>
      <c r="BCC122" s="225"/>
      <c r="BCD122" s="225"/>
      <c r="BCE122" s="225"/>
      <c r="BCF122" s="225"/>
      <c r="BCG122" s="225"/>
      <c r="BCH122" s="225"/>
      <c r="BCI122" s="225"/>
      <c r="BCJ122" s="225"/>
      <c r="BCK122" s="225"/>
      <c r="BCL122" s="225"/>
      <c r="BCM122" s="225"/>
      <c r="BCN122" s="225"/>
      <c r="BCO122" s="225"/>
      <c r="BCP122" s="225"/>
      <c r="BCQ122" s="225"/>
      <c r="BCR122" s="225"/>
      <c r="BCS122" s="225"/>
      <c r="BCT122" s="225"/>
      <c r="BCU122" s="225"/>
      <c r="BCV122" s="225"/>
      <c r="BCW122" s="225"/>
      <c r="BCX122" s="225"/>
      <c r="BCY122" s="225"/>
      <c r="BCZ122" s="225"/>
      <c r="BDA122" s="225"/>
      <c r="BDB122" s="225"/>
      <c r="BDC122" s="225"/>
      <c r="BDD122" s="225"/>
      <c r="BDE122" s="225"/>
      <c r="BDF122" s="225"/>
      <c r="BDG122" s="225"/>
      <c r="BDH122" s="225"/>
      <c r="BDI122" s="225"/>
      <c r="BDJ122" s="225"/>
      <c r="BDK122" s="225"/>
      <c r="BDL122" s="225"/>
      <c r="BDM122" s="225"/>
      <c r="BDN122" s="225"/>
      <c r="BDO122" s="225"/>
      <c r="BDP122" s="225"/>
      <c r="BDQ122" s="225"/>
      <c r="BDR122" s="225"/>
      <c r="BDS122" s="225"/>
      <c r="BDT122" s="225"/>
      <c r="BDU122" s="225"/>
      <c r="BDV122" s="225"/>
      <c r="BDW122" s="225"/>
      <c r="BDX122" s="225"/>
      <c r="BDY122" s="225"/>
      <c r="BDZ122" s="225"/>
      <c r="BEA122" s="225"/>
      <c r="BEB122" s="225"/>
      <c r="BEC122" s="225"/>
      <c r="BED122" s="225"/>
      <c r="BEE122" s="225"/>
      <c r="BEF122" s="225"/>
      <c r="BEG122" s="225"/>
      <c r="BEH122" s="225"/>
      <c r="BEI122" s="225"/>
      <c r="BEJ122" s="225"/>
      <c r="BEK122" s="225"/>
      <c r="BEL122" s="225"/>
      <c r="BEM122" s="225"/>
      <c r="BEN122" s="225"/>
      <c r="BEO122" s="225"/>
      <c r="BEP122" s="225"/>
      <c r="BEQ122" s="225"/>
      <c r="BER122" s="225"/>
      <c r="BES122" s="225"/>
      <c r="BET122" s="225"/>
      <c r="BEU122" s="225"/>
      <c r="BEV122" s="225"/>
      <c r="BEW122" s="225"/>
      <c r="BEX122" s="225"/>
      <c r="BEY122" s="225"/>
      <c r="BEZ122" s="225"/>
      <c r="BFA122" s="225"/>
      <c r="BFB122" s="225"/>
      <c r="BFC122" s="225"/>
      <c r="BFD122" s="225"/>
      <c r="BFE122" s="225"/>
      <c r="BFF122" s="225"/>
      <c r="BFG122" s="225"/>
      <c r="BFH122" s="225"/>
      <c r="BFI122" s="225"/>
      <c r="BFJ122" s="225"/>
      <c r="BFK122" s="225"/>
      <c r="BFL122" s="225"/>
      <c r="BFM122" s="225"/>
      <c r="BFN122" s="225"/>
      <c r="BFO122" s="225"/>
      <c r="BFP122" s="225"/>
      <c r="BFQ122" s="225"/>
      <c r="BFR122" s="225"/>
      <c r="BFS122" s="225"/>
      <c r="BFT122" s="225"/>
      <c r="BFU122" s="225"/>
      <c r="BFV122" s="225"/>
      <c r="BFW122" s="225"/>
      <c r="BFX122" s="225"/>
      <c r="BFY122" s="225"/>
      <c r="BFZ122" s="225"/>
      <c r="BGA122" s="225"/>
      <c r="BGB122" s="225"/>
      <c r="BGC122" s="225"/>
      <c r="BGD122" s="225"/>
      <c r="BGE122" s="225"/>
      <c r="BGF122" s="225"/>
      <c r="BGG122" s="225"/>
      <c r="BGH122" s="225"/>
      <c r="BGI122" s="225"/>
      <c r="BGJ122" s="225"/>
      <c r="BGK122" s="225"/>
      <c r="BGL122" s="225"/>
      <c r="BGM122" s="225"/>
      <c r="BGN122" s="225"/>
      <c r="BGO122" s="225"/>
      <c r="BGP122" s="225"/>
      <c r="BGQ122" s="225"/>
      <c r="BGR122" s="225"/>
      <c r="BGS122" s="225"/>
      <c r="BGT122" s="225"/>
      <c r="BGU122" s="225"/>
      <c r="BGV122" s="225"/>
      <c r="BGW122" s="225"/>
      <c r="BGX122" s="225"/>
      <c r="BGY122" s="225"/>
      <c r="BGZ122" s="225"/>
      <c r="BHA122" s="225"/>
      <c r="BHB122" s="225"/>
      <c r="BHC122" s="225"/>
      <c r="BHD122" s="225"/>
      <c r="BHE122" s="225"/>
      <c r="BHF122" s="225"/>
      <c r="BHG122" s="225"/>
      <c r="BHH122" s="225"/>
      <c r="BHI122" s="225"/>
      <c r="BHJ122" s="225"/>
      <c r="BHK122" s="225"/>
      <c r="BHL122" s="225"/>
      <c r="BHM122" s="225"/>
      <c r="BHN122" s="225"/>
      <c r="BHO122" s="225"/>
      <c r="BHP122" s="225"/>
      <c r="BHQ122" s="225"/>
      <c r="BHR122" s="225"/>
      <c r="BHS122" s="225"/>
      <c r="BHT122" s="225"/>
      <c r="BHU122" s="225"/>
      <c r="BHV122" s="225"/>
      <c r="BHW122" s="225"/>
      <c r="BHX122" s="225"/>
      <c r="BHY122" s="225"/>
      <c r="BHZ122" s="225"/>
      <c r="BIA122" s="225"/>
      <c r="BIB122" s="225"/>
      <c r="BIC122" s="225"/>
      <c r="BID122" s="225"/>
      <c r="BIE122" s="225"/>
      <c r="BIF122" s="225"/>
      <c r="BIG122" s="225"/>
      <c r="BIH122" s="225"/>
      <c r="BII122" s="225"/>
      <c r="BIJ122" s="225"/>
      <c r="BIK122" s="225"/>
      <c r="BIL122" s="225"/>
      <c r="BIM122" s="225"/>
      <c r="BIN122" s="225"/>
      <c r="BIO122" s="225"/>
      <c r="BIP122" s="225"/>
      <c r="BIQ122" s="225"/>
      <c r="BIR122" s="225"/>
      <c r="BIS122" s="225"/>
      <c r="BIT122" s="225"/>
      <c r="BIU122" s="225"/>
      <c r="BIV122" s="225"/>
      <c r="BIW122" s="225"/>
      <c r="BIX122" s="225"/>
      <c r="BIY122" s="225"/>
      <c r="BIZ122" s="225"/>
      <c r="BJA122" s="225"/>
      <c r="BJB122" s="225"/>
      <c r="BJC122" s="225"/>
      <c r="BJD122" s="225"/>
      <c r="BJE122" s="225"/>
      <c r="BJF122" s="225"/>
      <c r="BJG122" s="225"/>
      <c r="BJH122" s="225"/>
      <c r="BJI122" s="225"/>
      <c r="BJJ122" s="225"/>
      <c r="BJK122" s="225"/>
      <c r="BJL122" s="225"/>
      <c r="BJM122" s="225"/>
      <c r="BJN122" s="225"/>
      <c r="BJO122" s="225"/>
      <c r="BJP122" s="225"/>
      <c r="BJQ122" s="225"/>
      <c r="BJR122" s="225"/>
      <c r="BJS122" s="225"/>
      <c r="BJT122" s="225"/>
      <c r="BJU122" s="225"/>
      <c r="BJV122" s="225"/>
      <c r="BJW122" s="225"/>
      <c r="BJX122" s="225"/>
      <c r="BJY122" s="225"/>
      <c r="BJZ122" s="225"/>
      <c r="BKA122" s="225"/>
      <c r="BKB122" s="225"/>
      <c r="BKC122" s="225"/>
      <c r="BKD122" s="225"/>
      <c r="BKE122" s="225"/>
      <c r="BKF122" s="225"/>
      <c r="BKG122" s="225"/>
      <c r="BKH122" s="225"/>
      <c r="BKI122" s="225"/>
      <c r="BKJ122" s="225"/>
      <c r="BKK122" s="225"/>
      <c r="BKL122" s="225"/>
      <c r="BKM122" s="225"/>
      <c r="BKN122" s="225"/>
      <c r="BKO122" s="225"/>
      <c r="BKP122" s="225"/>
      <c r="BKQ122" s="225"/>
      <c r="BKR122" s="225"/>
      <c r="BKS122" s="225"/>
      <c r="BKT122" s="225"/>
      <c r="BKU122" s="225"/>
      <c r="BKV122" s="225"/>
      <c r="BKW122" s="225"/>
      <c r="BKX122" s="225"/>
      <c r="BKY122" s="225"/>
      <c r="BKZ122" s="225"/>
      <c r="BLA122" s="225"/>
      <c r="BLB122" s="225"/>
      <c r="BLC122" s="225"/>
      <c r="BLD122" s="225"/>
      <c r="BLE122" s="225"/>
      <c r="BLF122" s="225"/>
      <c r="BLG122" s="225"/>
      <c r="BLH122" s="225"/>
      <c r="BLI122" s="225"/>
      <c r="BLJ122" s="225"/>
      <c r="BLK122" s="225"/>
      <c r="BLL122" s="225"/>
      <c r="BLM122" s="225"/>
      <c r="BLN122" s="225"/>
      <c r="BLO122" s="225"/>
      <c r="BLP122" s="225"/>
      <c r="BLQ122" s="225"/>
      <c r="BLR122" s="225"/>
      <c r="BLS122" s="225"/>
      <c r="BLT122" s="225"/>
      <c r="BLU122" s="225"/>
      <c r="BLV122" s="225"/>
      <c r="BLW122" s="225"/>
      <c r="BLX122" s="225"/>
      <c r="BLY122" s="225"/>
      <c r="BLZ122" s="225"/>
      <c r="BMA122" s="225"/>
      <c r="BMB122" s="225"/>
      <c r="BMC122" s="225"/>
      <c r="BMD122" s="225"/>
      <c r="BME122" s="225"/>
      <c r="BMF122" s="225"/>
      <c r="BMG122" s="225"/>
      <c r="BMH122" s="225"/>
      <c r="BMI122" s="225"/>
      <c r="BMJ122" s="225"/>
      <c r="BMK122" s="225"/>
      <c r="BML122" s="225"/>
      <c r="BMM122" s="225"/>
      <c r="BMN122" s="225"/>
      <c r="BMO122" s="225"/>
      <c r="BMP122" s="225"/>
      <c r="BMQ122" s="225"/>
      <c r="BMR122" s="225"/>
      <c r="BMS122" s="225"/>
      <c r="BMT122" s="225"/>
      <c r="BMU122" s="225"/>
      <c r="BMV122" s="225"/>
      <c r="BMW122" s="225"/>
      <c r="BMX122" s="225"/>
      <c r="BMY122" s="225"/>
      <c r="BMZ122" s="225"/>
      <c r="BNA122" s="225"/>
      <c r="BNB122" s="225"/>
      <c r="BNC122" s="225"/>
      <c r="BND122" s="225"/>
      <c r="BNE122" s="225"/>
      <c r="BNF122" s="225"/>
      <c r="BNG122" s="225"/>
      <c r="BNH122" s="225"/>
      <c r="BNI122" s="225"/>
      <c r="BNJ122" s="225"/>
      <c r="BNK122" s="225"/>
      <c r="BNL122" s="225"/>
      <c r="BNM122" s="225"/>
      <c r="BNN122" s="225"/>
      <c r="BNO122" s="225"/>
      <c r="BNP122" s="225"/>
      <c r="BNQ122" s="225"/>
      <c r="BNR122" s="225"/>
      <c r="BNS122" s="225"/>
      <c r="BNT122" s="225"/>
      <c r="BNU122" s="225"/>
      <c r="BNV122" s="225"/>
      <c r="BNW122" s="225"/>
      <c r="BNX122" s="225"/>
      <c r="BNY122" s="225"/>
      <c r="BNZ122" s="225"/>
      <c r="BOA122" s="225"/>
      <c r="BOB122" s="225"/>
      <c r="BOC122" s="225"/>
      <c r="BOD122" s="225"/>
      <c r="BOE122" s="225"/>
      <c r="BOF122" s="225"/>
      <c r="BOG122" s="225"/>
      <c r="BOH122" s="225"/>
      <c r="BOI122" s="225"/>
      <c r="BOJ122" s="225"/>
      <c r="BOK122" s="225"/>
      <c r="BOL122" s="225"/>
      <c r="BOM122" s="225"/>
      <c r="BON122" s="225"/>
      <c r="BOO122" s="225"/>
      <c r="BOP122" s="225"/>
      <c r="BOQ122" s="225"/>
      <c r="BOR122" s="225"/>
      <c r="BOS122" s="225"/>
      <c r="BOT122" s="225"/>
      <c r="BOU122" s="225"/>
      <c r="BOV122" s="225"/>
      <c r="BOW122" s="225"/>
      <c r="BOX122" s="225"/>
      <c r="BOY122" s="225"/>
      <c r="BOZ122" s="225"/>
      <c r="BPA122" s="225"/>
      <c r="BPB122" s="225"/>
      <c r="BPC122" s="225"/>
      <c r="BPD122" s="225"/>
      <c r="BPE122" s="225"/>
      <c r="BPF122" s="225"/>
      <c r="BPG122" s="225"/>
      <c r="BPH122" s="225"/>
      <c r="BPI122" s="225"/>
      <c r="BPJ122" s="225"/>
      <c r="BPK122" s="225"/>
      <c r="BPL122" s="225"/>
      <c r="BPM122" s="225"/>
      <c r="BPN122" s="225"/>
      <c r="BPO122" s="225"/>
      <c r="BPP122" s="225"/>
      <c r="BPQ122" s="225"/>
      <c r="BPR122" s="225"/>
      <c r="BPS122" s="225"/>
      <c r="BPT122" s="225"/>
      <c r="BPU122" s="225"/>
      <c r="BPV122" s="225"/>
      <c r="BPW122" s="225"/>
      <c r="BPX122" s="225"/>
      <c r="BPY122" s="225"/>
      <c r="BPZ122" s="225"/>
      <c r="BQA122" s="225"/>
      <c r="BQB122" s="225"/>
      <c r="BQC122" s="225"/>
      <c r="BQD122" s="225"/>
      <c r="BQE122" s="225"/>
      <c r="BQF122" s="225"/>
      <c r="BQG122" s="225"/>
      <c r="BQH122" s="225"/>
      <c r="BQI122" s="225"/>
      <c r="BQJ122" s="225"/>
      <c r="BQK122" s="225"/>
      <c r="BQL122" s="225"/>
      <c r="BQM122" s="225"/>
      <c r="BQN122" s="225"/>
      <c r="BQO122" s="225"/>
      <c r="BQP122" s="225"/>
      <c r="BQQ122" s="225"/>
      <c r="BQR122" s="225"/>
      <c r="BQS122" s="225"/>
      <c r="BQT122" s="225"/>
      <c r="BQU122" s="225"/>
      <c r="BQV122" s="225"/>
      <c r="BQW122" s="225"/>
      <c r="BQX122" s="225"/>
      <c r="BQY122" s="225"/>
      <c r="BQZ122" s="225"/>
      <c r="BRA122" s="225"/>
      <c r="BRB122" s="225"/>
      <c r="BRC122" s="225"/>
      <c r="BRD122" s="225"/>
      <c r="BRE122" s="225"/>
      <c r="BRF122" s="225"/>
      <c r="BRG122" s="225"/>
      <c r="BRH122" s="225"/>
      <c r="BRI122" s="225"/>
      <c r="BRJ122" s="225"/>
      <c r="BRK122" s="225"/>
      <c r="BRL122" s="225"/>
      <c r="BRM122" s="225"/>
      <c r="BRN122" s="225"/>
      <c r="BRO122" s="225"/>
      <c r="BRP122" s="225"/>
      <c r="BRQ122" s="225"/>
      <c r="BRR122" s="225"/>
      <c r="BRS122" s="225"/>
      <c r="BRT122" s="225"/>
      <c r="BRU122" s="225"/>
      <c r="BRV122" s="225"/>
      <c r="BRW122" s="225"/>
      <c r="BRX122" s="225"/>
      <c r="BRY122" s="225"/>
      <c r="BRZ122" s="225"/>
      <c r="BSA122" s="225"/>
      <c r="BSB122" s="225"/>
      <c r="BSC122" s="225"/>
      <c r="BSD122" s="225"/>
      <c r="BSE122" s="225"/>
      <c r="BSF122" s="225"/>
      <c r="BSG122" s="225"/>
      <c r="BSH122" s="225"/>
      <c r="BSI122" s="225"/>
      <c r="BSJ122" s="225"/>
      <c r="BSK122" s="225"/>
      <c r="BSL122" s="225"/>
      <c r="BSM122" s="225"/>
      <c r="BSN122" s="225"/>
      <c r="BSO122" s="225"/>
      <c r="BSP122" s="225"/>
      <c r="BSQ122" s="225"/>
      <c r="BSR122" s="225"/>
      <c r="BSS122" s="225"/>
      <c r="BST122" s="225"/>
      <c r="BSU122" s="225"/>
      <c r="BSV122" s="225"/>
      <c r="BSW122" s="225"/>
      <c r="BSX122" s="225"/>
      <c r="BSY122" s="225"/>
      <c r="BSZ122" s="225"/>
      <c r="BTA122" s="225"/>
      <c r="BTB122" s="225"/>
      <c r="BTC122" s="225"/>
      <c r="BTD122" s="225"/>
      <c r="BTE122" s="225"/>
      <c r="BTF122" s="225"/>
      <c r="BTG122" s="225"/>
      <c r="BTH122" s="225"/>
      <c r="BTI122" s="225"/>
      <c r="BTJ122" s="225"/>
      <c r="BTK122" s="225"/>
      <c r="BTL122" s="225"/>
      <c r="BTM122" s="225"/>
      <c r="BTN122" s="225"/>
      <c r="BTO122" s="225"/>
      <c r="BTP122" s="225"/>
      <c r="BTQ122" s="225"/>
      <c r="BTR122" s="225"/>
      <c r="BTS122" s="225"/>
      <c r="BTT122" s="225"/>
      <c r="BTU122" s="225"/>
      <c r="BTV122" s="225"/>
      <c r="BTW122" s="225"/>
      <c r="BTX122" s="225"/>
      <c r="BTY122" s="225"/>
      <c r="BTZ122" s="225"/>
      <c r="BUA122" s="225"/>
      <c r="BUB122" s="225"/>
      <c r="BUC122" s="225"/>
      <c r="BUD122" s="225"/>
      <c r="BUE122" s="225"/>
      <c r="BUF122" s="225"/>
      <c r="BUG122" s="225"/>
      <c r="BUH122" s="225"/>
      <c r="BUI122" s="225"/>
      <c r="BUJ122" s="225"/>
      <c r="BUK122" s="225"/>
      <c r="BUL122" s="225"/>
      <c r="BUM122" s="225"/>
      <c r="BUN122" s="225"/>
      <c r="BUO122" s="225"/>
      <c r="BUP122" s="225"/>
      <c r="BUQ122" s="225"/>
      <c r="BUR122" s="225"/>
      <c r="BUS122" s="225"/>
      <c r="BUT122" s="225"/>
      <c r="BUU122" s="225"/>
      <c r="BUV122" s="225"/>
      <c r="BUW122" s="225"/>
      <c r="BUX122" s="225"/>
      <c r="BUY122" s="225"/>
      <c r="BUZ122" s="225"/>
      <c r="BVA122" s="225"/>
      <c r="BVB122" s="225"/>
      <c r="BVC122" s="225"/>
      <c r="BVD122" s="225"/>
      <c r="BVE122" s="225"/>
      <c r="BVF122" s="225"/>
      <c r="BVG122" s="225"/>
      <c r="BVH122" s="225"/>
      <c r="BVI122" s="225"/>
      <c r="BVJ122" s="225"/>
      <c r="BVK122" s="225"/>
      <c r="BVL122" s="225"/>
      <c r="BVM122" s="225"/>
      <c r="BVN122" s="225"/>
      <c r="BVO122" s="225"/>
      <c r="BVP122" s="225"/>
      <c r="BVQ122" s="225"/>
      <c r="BVR122" s="225"/>
      <c r="BVS122" s="225"/>
      <c r="BVT122" s="225"/>
      <c r="BVU122" s="225"/>
      <c r="BVV122" s="225"/>
      <c r="BVW122" s="225"/>
      <c r="BVX122" s="225"/>
      <c r="BVY122" s="225"/>
      <c r="BVZ122" s="225"/>
      <c r="BWA122" s="225"/>
      <c r="BWB122" s="225"/>
      <c r="BWC122" s="225"/>
      <c r="BWD122" s="225"/>
      <c r="BWE122" s="225"/>
      <c r="BWF122" s="225"/>
      <c r="BWG122" s="225"/>
      <c r="BWH122" s="225"/>
      <c r="BWI122" s="225"/>
      <c r="BWJ122" s="225"/>
      <c r="BWK122" s="225"/>
      <c r="BWL122" s="225"/>
      <c r="BWM122" s="225"/>
      <c r="BWN122" s="225"/>
      <c r="BWO122" s="225"/>
      <c r="BWP122" s="225"/>
      <c r="BWQ122" s="225"/>
      <c r="BWR122" s="225"/>
      <c r="BWS122" s="225"/>
      <c r="BWT122" s="225"/>
      <c r="BWU122" s="225"/>
      <c r="BWV122" s="225"/>
      <c r="BWW122" s="225"/>
      <c r="BWX122" s="225"/>
      <c r="BWY122" s="225"/>
      <c r="BWZ122" s="225"/>
      <c r="BXA122" s="225"/>
      <c r="BXB122" s="225"/>
      <c r="BXC122" s="225"/>
      <c r="BXD122" s="225"/>
      <c r="BXE122" s="225"/>
      <c r="BXF122" s="225"/>
      <c r="BXG122" s="225"/>
      <c r="BXH122" s="225"/>
      <c r="BXI122" s="225"/>
      <c r="BXJ122" s="225"/>
      <c r="BXK122" s="225"/>
      <c r="BXL122" s="225"/>
      <c r="BXM122" s="225"/>
      <c r="BXN122" s="225"/>
      <c r="BXO122" s="225"/>
      <c r="BXP122" s="225"/>
      <c r="BXQ122" s="225"/>
      <c r="BXR122" s="225"/>
      <c r="BXS122" s="225"/>
      <c r="BXT122" s="225"/>
      <c r="BXU122" s="225"/>
      <c r="BXV122" s="225"/>
      <c r="BXW122" s="225"/>
      <c r="BXX122" s="225"/>
      <c r="BXY122" s="225"/>
      <c r="BXZ122" s="225"/>
      <c r="BYA122" s="225"/>
      <c r="BYB122" s="225"/>
      <c r="BYC122" s="225"/>
      <c r="BYD122" s="225"/>
      <c r="BYE122" s="225"/>
      <c r="BYF122" s="225"/>
      <c r="BYG122" s="225"/>
      <c r="BYH122" s="225"/>
      <c r="BYI122" s="225"/>
      <c r="BYJ122" s="225"/>
      <c r="BYK122" s="225"/>
      <c r="BYL122" s="225"/>
      <c r="BYM122" s="225"/>
      <c r="BYN122" s="225"/>
      <c r="BYO122" s="225"/>
      <c r="BYP122" s="225"/>
      <c r="BYQ122" s="225"/>
      <c r="BYR122" s="225"/>
      <c r="BYS122" s="225"/>
      <c r="BYT122" s="225"/>
      <c r="BYU122" s="225"/>
      <c r="BYV122" s="225"/>
      <c r="BYW122" s="225"/>
      <c r="BYX122" s="225"/>
      <c r="BYY122" s="225"/>
      <c r="BYZ122" s="225"/>
      <c r="BZA122" s="225"/>
      <c r="BZB122" s="225"/>
      <c r="BZC122" s="225"/>
      <c r="BZD122" s="225"/>
      <c r="BZE122" s="225"/>
      <c r="BZF122" s="225"/>
      <c r="BZG122" s="225"/>
      <c r="BZH122" s="225"/>
      <c r="BZI122" s="225"/>
      <c r="BZJ122" s="225"/>
      <c r="BZK122" s="225"/>
      <c r="BZL122" s="225"/>
      <c r="BZM122" s="225"/>
      <c r="BZN122" s="225"/>
      <c r="BZO122" s="225"/>
      <c r="BZP122" s="225"/>
      <c r="BZQ122" s="225"/>
      <c r="BZR122" s="225"/>
      <c r="BZS122" s="225"/>
      <c r="BZT122" s="225"/>
      <c r="BZU122" s="225"/>
      <c r="BZV122" s="225"/>
      <c r="BZW122" s="225"/>
      <c r="BZX122" s="225"/>
      <c r="BZY122" s="225"/>
      <c r="BZZ122" s="225"/>
      <c r="CAA122" s="225"/>
      <c r="CAB122" s="225"/>
      <c r="CAC122" s="225"/>
      <c r="CAD122" s="225"/>
      <c r="CAE122" s="225"/>
      <c r="CAF122" s="225"/>
      <c r="CAG122" s="225"/>
      <c r="CAH122" s="225"/>
      <c r="CAI122" s="225"/>
      <c r="CAJ122" s="225"/>
      <c r="CAK122" s="225"/>
      <c r="CAL122" s="225"/>
      <c r="CAM122" s="225"/>
      <c r="CAN122" s="225"/>
      <c r="CAO122" s="225"/>
      <c r="CAP122" s="225"/>
      <c r="CAQ122" s="225"/>
      <c r="CAR122" s="225"/>
      <c r="CAS122" s="225"/>
      <c r="CAT122" s="225"/>
      <c r="CAU122" s="225"/>
      <c r="CAV122" s="225"/>
      <c r="CAW122" s="225"/>
      <c r="CAX122" s="225"/>
      <c r="CAY122" s="225"/>
      <c r="CAZ122" s="225"/>
      <c r="CBA122" s="225"/>
      <c r="CBB122" s="225"/>
      <c r="CBC122" s="225"/>
      <c r="CBD122" s="225"/>
      <c r="CBE122" s="225"/>
      <c r="CBF122" s="225"/>
      <c r="CBG122" s="225"/>
      <c r="CBH122" s="225"/>
      <c r="CBI122" s="225"/>
      <c r="CBJ122" s="225"/>
      <c r="CBK122" s="225"/>
      <c r="CBL122" s="225"/>
      <c r="CBM122" s="225"/>
      <c r="CBN122" s="225"/>
      <c r="CBO122" s="225"/>
      <c r="CBP122" s="225"/>
      <c r="CBQ122" s="225"/>
      <c r="CBR122" s="225"/>
      <c r="CBS122" s="225"/>
      <c r="CBT122" s="225"/>
      <c r="CBU122" s="225"/>
      <c r="CBV122" s="225"/>
      <c r="CBW122" s="225"/>
      <c r="CBX122" s="225"/>
      <c r="CBY122" s="225"/>
      <c r="CBZ122" s="225"/>
      <c r="CCA122" s="225"/>
      <c r="CCB122" s="225"/>
      <c r="CCC122" s="225"/>
      <c r="CCD122" s="225"/>
      <c r="CCE122" s="225"/>
      <c r="CCF122" s="225"/>
      <c r="CCG122" s="225"/>
      <c r="CCH122" s="225"/>
      <c r="CCI122" s="225"/>
      <c r="CCJ122" s="225"/>
      <c r="CCK122" s="225"/>
      <c r="CCL122" s="225"/>
      <c r="CCM122" s="225"/>
      <c r="CCN122" s="225"/>
      <c r="CCO122" s="225"/>
      <c r="CCP122" s="225"/>
      <c r="CCQ122" s="225"/>
      <c r="CCR122" s="225"/>
      <c r="CCS122" s="225"/>
      <c r="CCT122" s="225"/>
      <c r="CCU122" s="225"/>
      <c r="CCV122" s="225"/>
      <c r="CCW122" s="225"/>
      <c r="CCX122" s="225"/>
      <c r="CCY122" s="225"/>
      <c r="CCZ122" s="225"/>
      <c r="CDA122" s="225"/>
      <c r="CDB122" s="225"/>
      <c r="CDC122" s="225"/>
      <c r="CDD122" s="225"/>
      <c r="CDE122" s="225"/>
      <c r="CDF122" s="225"/>
      <c r="CDG122" s="225"/>
      <c r="CDH122" s="225"/>
      <c r="CDI122" s="225"/>
      <c r="CDJ122" s="225"/>
      <c r="CDK122" s="225"/>
      <c r="CDL122" s="225"/>
      <c r="CDM122" s="225"/>
      <c r="CDN122" s="225"/>
      <c r="CDO122" s="225"/>
      <c r="CDP122" s="225"/>
      <c r="CDQ122" s="225"/>
      <c r="CDR122" s="225"/>
      <c r="CDS122" s="225"/>
      <c r="CDT122" s="225"/>
      <c r="CDU122" s="225"/>
      <c r="CDV122" s="225"/>
      <c r="CDW122" s="225"/>
      <c r="CDX122" s="225"/>
      <c r="CDY122" s="225"/>
      <c r="CDZ122" s="225"/>
      <c r="CEA122" s="225"/>
      <c r="CEB122" s="225"/>
      <c r="CEC122" s="225"/>
      <c r="CED122" s="225"/>
      <c r="CEE122" s="225"/>
      <c r="CEF122" s="225"/>
      <c r="CEG122" s="225"/>
      <c r="CEH122" s="225"/>
      <c r="CEI122" s="225"/>
      <c r="CEJ122" s="225"/>
      <c r="CEK122" s="225"/>
      <c r="CEL122" s="225"/>
      <c r="CEM122" s="225"/>
      <c r="CEN122" s="225"/>
      <c r="CEO122" s="225"/>
      <c r="CEP122" s="225"/>
      <c r="CEQ122" s="225"/>
      <c r="CER122" s="225"/>
      <c r="CES122" s="225"/>
      <c r="CET122" s="225"/>
      <c r="CEU122" s="225"/>
      <c r="CEV122" s="225"/>
      <c r="CEW122" s="225"/>
      <c r="CEX122" s="225"/>
      <c r="CEY122" s="225"/>
      <c r="CEZ122" s="225"/>
      <c r="CFA122" s="225"/>
      <c r="CFB122" s="225"/>
      <c r="CFC122" s="225"/>
      <c r="CFD122" s="225"/>
      <c r="CFE122" s="225"/>
      <c r="CFF122" s="225"/>
      <c r="CFG122" s="225"/>
      <c r="CFH122" s="225"/>
      <c r="CFI122" s="225"/>
      <c r="CFJ122" s="225"/>
      <c r="CFK122" s="225"/>
      <c r="CFL122" s="225"/>
      <c r="CFM122" s="225"/>
      <c r="CFN122" s="225"/>
      <c r="CFO122" s="225"/>
      <c r="CFP122" s="225"/>
      <c r="CFQ122" s="225"/>
      <c r="CFR122" s="225"/>
      <c r="CFS122" s="225"/>
      <c r="CFT122" s="225"/>
      <c r="CFU122" s="225"/>
      <c r="CFV122" s="225"/>
      <c r="CFW122" s="225"/>
      <c r="CFX122" s="225"/>
      <c r="CFY122" s="225"/>
      <c r="CFZ122" s="225"/>
      <c r="CGA122" s="225"/>
      <c r="CGB122" s="225"/>
      <c r="CGC122" s="225"/>
      <c r="CGD122" s="225"/>
      <c r="CGE122" s="225"/>
      <c r="CGF122" s="225"/>
      <c r="CGG122" s="225"/>
      <c r="CGH122" s="225"/>
      <c r="CGI122" s="225"/>
      <c r="CGJ122" s="225"/>
      <c r="CGK122" s="225"/>
      <c r="CGL122" s="225"/>
      <c r="CGM122" s="225"/>
      <c r="CGN122" s="225"/>
      <c r="CGO122" s="225"/>
      <c r="CGP122" s="225"/>
      <c r="CGQ122" s="225"/>
      <c r="CGR122" s="225"/>
      <c r="CGS122" s="225"/>
      <c r="CGT122" s="225"/>
      <c r="CGU122" s="225"/>
      <c r="CGV122" s="225"/>
      <c r="CGW122" s="225"/>
      <c r="CGX122" s="225"/>
      <c r="CGY122" s="225"/>
      <c r="CGZ122" s="225"/>
      <c r="CHA122" s="225"/>
      <c r="CHB122" s="225"/>
      <c r="CHC122" s="225"/>
      <c r="CHD122" s="225"/>
      <c r="CHE122" s="225"/>
      <c r="CHF122" s="225"/>
      <c r="CHG122" s="225"/>
      <c r="CHH122" s="225"/>
      <c r="CHI122" s="225"/>
      <c r="CHJ122" s="225"/>
      <c r="CHK122" s="225"/>
      <c r="CHL122" s="225"/>
      <c r="CHM122" s="225"/>
      <c r="CHN122" s="225"/>
      <c r="CHO122" s="225"/>
      <c r="CHP122" s="225"/>
      <c r="CHQ122" s="225"/>
      <c r="CHR122" s="225"/>
      <c r="CHS122" s="225"/>
      <c r="CHT122" s="225"/>
      <c r="CHU122" s="225"/>
      <c r="CHV122" s="225"/>
      <c r="CHW122" s="225"/>
      <c r="CHX122" s="225"/>
      <c r="CHY122" s="225"/>
      <c r="CHZ122" s="225"/>
      <c r="CIA122" s="225"/>
      <c r="CIB122" s="225"/>
      <c r="CIC122" s="225"/>
      <c r="CID122" s="225"/>
      <c r="CIE122" s="225"/>
      <c r="CIF122" s="225"/>
      <c r="CIG122" s="225"/>
      <c r="CIH122" s="225"/>
      <c r="CII122" s="225"/>
      <c r="CIJ122" s="225"/>
      <c r="CIK122" s="225"/>
      <c r="CIL122" s="225"/>
      <c r="CIM122" s="225"/>
      <c r="CIN122" s="225"/>
      <c r="CIO122" s="225"/>
      <c r="CIP122" s="225"/>
      <c r="CIQ122" s="225"/>
      <c r="CIR122" s="225"/>
      <c r="CIS122" s="225"/>
      <c r="CIT122" s="225"/>
      <c r="CIU122" s="225"/>
      <c r="CIV122" s="225"/>
      <c r="CIW122" s="225"/>
      <c r="CIX122" s="225"/>
      <c r="CIY122" s="225"/>
      <c r="CIZ122" s="225"/>
      <c r="CJA122" s="225"/>
      <c r="CJB122" s="225"/>
      <c r="CJC122" s="225"/>
      <c r="CJD122" s="225"/>
      <c r="CJE122" s="225"/>
      <c r="CJF122" s="225"/>
      <c r="CJG122" s="225"/>
      <c r="CJH122" s="225"/>
      <c r="CJI122" s="225"/>
      <c r="CJJ122" s="225"/>
      <c r="CJK122" s="225"/>
      <c r="CJL122" s="225"/>
      <c r="CJM122" s="225"/>
      <c r="CJN122" s="225"/>
      <c r="CJO122" s="225"/>
      <c r="CJP122" s="225"/>
      <c r="CJQ122" s="225"/>
      <c r="CJR122" s="225"/>
      <c r="CJS122" s="225"/>
      <c r="CJT122" s="225"/>
      <c r="CJU122" s="225"/>
      <c r="CJV122" s="225"/>
      <c r="CJW122" s="225"/>
      <c r="CJX122" s="225"/>
      <c r="CJY122" s="225"/>
      <c r="CJZ122" s="225"/>
      <c r="CKA122" s="225"/>
      <c r="CKB122" s="225"/>
      <c r="CKC122" s="225"/>
      <c r="CKD122" s="225"/>
      <c r="CKE122" s="225"/>
      <c r="CKF122" s="225"/>
      <c r="CKG122" s="225"/>
      <c r="CKH122" s="225"/>
      <c r="CKI122" s="225"/>
      <c r="CKJ122" s="225"/>
      <c r="CKK122" s="225"/>
      <c r="CKL122" s="225"/>
      <c r="CKM122" s="225"/>
      <c r="CKN122" s="225"/>
      <c r="CKO122" s="225"/>
      <c r="CKP122" s="225"/>
      <c r="CKQ122" s="225"/>
      <c r="CKR122" s="225"/>
      <c r="CKS122" s="225"/>
      <c r="CKT122" s="225"/>
      <c r="CKU122" s="225"/>
      <c r="CKV122" s="225"/>
      <c r="CKW122" s="225"/>
      <c r="CKX122" s="225"/>
      <c r="CKY122" s="225"/>
      <c r="CKZ122" s="225"/>
      <c r="CLA122" s="225"/>
      <c r="CLB122" s="225"/>
      <c r="CLC122" s="225"/>
      <c r="CLD122" s="225"/>
      <c r="CLE122" s="225"/>
      <c r="CLF122" s="225"/>
      <c r="CLG122" s="225"/>
      <c r="CLH122" s="225"/>
      <c r="CLI122" s="225"/>
      <c r="CLJ122" s="225"/>
      <c r="CLK122" s="225"/>
      <c r="CLL122" s="225"/>
      <c r="CLM122" s="225"/>
      <c r="CLN122" s="225"/>
      <c r="CLO122" s="225"/>
      <c r="CLP122" s="225"/>
      <c r="CLQ122" s="225"/>
      <c r="CLR122" s="225"/>
      <c r="CLS122" s="225"/>
      <c r="CLT122" s="225"/>
      <c r="CLU122" s="225"/>
      <c r="CLV122" s="225"/>
      <c r="CLW122" s="225"/>
      <c r="CLX122" s="225"/>
      <c r="CLY122" s="225"/>
      <c r="CLZ122" s="225"/>
      <c r="CMA122" s="225"/>
      <c r="CMB122" s="225"/>
      <c r="CMC122" s="225"/>
      <c r="CMD122" s="225"/>
      <c r="CME122" s="225"/>
      <c r="CMF122" s="225"/>
      <c r="CMG122" s="225"/>
      <c r="CMH122" s="225"/>
      <c r="CMI122" s="225"/>
      <c r="CMJ122" s="225"/>
      <c r="CMK122" s="225"/>
      <c r="CML122" s="225"/>
      <c r="CMM122" s="225"/>
      <c r="CMN122" s="225"/>
      <c r="CMO122" s="225"/>
      <c r="CMP122" s="225"/>
      <c r="CMQ122" s="225"/>
      <c r="CMR122" s="225"/>
      <c r="CMS122" s="225"/>
      <c r="CMT122" s="225"/>
      <c r="CMU122" s="225"/>
      <c r="CMV122" s="225"/>
      <c r="CMW122" s="225"/>
      <c r="CMX122" s="225"/>
      <c r="CMY122" s="225"/>
      <c r="CMZ122" s="225"/>
      <c r="CNA122" s="225"/>
      <c r="CNB122" s="225"/>
      <c r="CNC122" s="225"/>
      <c r="CND122" s="225"/>
      <c r="CNE122" s="225"/>
      <c r="CNF122" s="225"/>
      <c r="CNG122" s="225"/>
      <c r="CNH122" s="225"/>
      <c r="CNI122" s="225"/>
      <c r="CNJ122" s="225"/>
      <c r="CNK122" s="225"/>
      <c r="CNL122" s="225"/>
      <c r="CNM122" s="225"/>
      <c r="CNN122" s="225"/>
      <c r="CNO122" s="225"/>
      <c r="CNP122" s="225"/>
      <c r="CNQ122" s="225"/>
      <c r="CNR122" s="225"/>
      <c r="CNS122" s="225"/>
      <c r="CNT122" s="225"/>
      <c r="CNU122" s="225"/>
      <c r="CNV122" s="225"/>
      <c r="CNW122" s="225"/>
      <c r="CNX122" s="225"/>
      <c r="CNY122" s="225"/>
      <c r="CNZ122" s="225"/>
      <c r="COA122" s="225"/>
      <c r="COB122" s="225"/>
      <c r="COC122" s="225"/>
      <c r="COD122" s="225"/>
      <c r="COE122" s="225"/>
      <c r="COF122" s="225"/>
      <c r="COG122" s="225"/>
      <c r="COH122" s="225"/>
      <c r="COI122" s="225"/>
      <c r="COJ122" s="225"/>
      <c r="COK122" s="225"/>
      <c r="COL122" s="225"/>
      <c r="COM122" s="225"/>
      <c r="CON122" s="225"/>
      <c r="COO122" s="225"/>
      <c r="COP122" s="225"/>
      <c r="COQ122" s="225"/>
      <c r="COR122" s="225"/>
      <c r="COS122" s="225"/>
      <c r="COT122" s="225"/>
      <c r="COU122" s="225"/>
      <c r="COV122" s="225"/>
      <c r="COW122" s="225"/>
      <c r="COX122" s="225"/>
      <c r="COY122" s="225"/>
      <c r="COZ122" s="225"/>
      <c r="CPA122" s="225"/>
      <c r="CPB122" s="225"/>
      <c r="CPC122" s="225"/>
      <c r="CPD122" s="225"/>
      <c r="CPE122" s="225"/>
      <c r="CPF122" s="225"/>
      <c r="CPG122" s="225"/>
      <c r="CPH122" s="225"/>
      <c r="CPI122" s="225"/>
      <c r="CPJ122" s="225"/>
      <c r="CPK122" s="225"/>
      <c r="CPL122" s="225"/>
      <c r="CPM122" s="225"/>
      <c r="CPN122" s="225"/>
      <c r="CPO122" s="225"/>
      <c r="CPP122" s="225"/>
      <c r="CPQ122" s="225"/>
      <c r="CPR122" s="225"/>
      <c r="CPS122" s="225"/>
      <c r="CPT122" s="225"/>
      <c r="CPU122" s="225"/>
      <c r="CPV122" s="225"/>
      <c r="CPW122" s="225"/>
      <c r="CPX122" s="225"/>
      <c r="CPY122" s="225"/>
      <c r="CPZ122" s="225"/>
      <c r="CQA122" s="225"/>
      <c r="CQB122" s="225"/>
      <c r="CQC122" s="225"/>
      <c r="CQD122" s="225"/>
      <c r="CQE122" s="225"/>
      <c r="CQF122" s="225"/>
      <c r="CQG122" s="225"/>
      <c r="CQH122" s="225"/>
      <c r="CQI122" s="225"/>
      <c r="CQJ122" s="225"/>
      <c r="CQK122" s="225"/>
      <c r="CQL122" s="225"/>
      <c r="CQM122" s="225"/>
      <c r="CQN122" s="225"/>
      <c r="CQO122" s="225"/>
      <c r="CQP122" s="225"/>
      <c r="CQQ122" s="225"/>
      <c r="CQR122" s="225"/>
      <c r="CQS122" s="225"/>
      <c r="CQT122" s="225"/>
      <c r="CQU122" s="225"/>
      <c r="CQV122" s="225"/>
      <c r="CQW122" s="225"/>
      <c r="CQX122" s="225"/>
      <c r="CQY122" s="225"/>
      <c r="CQZ122" s="225"/>
      <c r="CRA122" s="225"/>
      <c r="CRB122" s="225"/>
      <c r="CRC122" s="225"/>
      <c r="CRD122" s="225"/>
      <c r="CRE122" s="225"/>
      <c r="CRF122" s="225"/>
      <c r="CRG122" s="225"/>
      <c r="CRH122" s="225"/>
      <c r="CRI122" s="225"/>
      <c r="CRJ122" s="225"/>
      <c r="CRK122" s="225"/>
      <c r="CRL122" s="225"/>
      <c r="CRM122" s="225"/>
      <c r="CRN122" s="225"/>
      <c r="CRO122" s="225"/>
      <c r="CRP122" s="225"/>
      <c r="CRQ122" s="225"/>
      <c r="CRR122" s="225"/>
      <c r="CRS122" s="225"/>
      <c r="CRT122" s="225"/>
      <c r="CRU122" s="225"/>
      <c r="CRV122" s="225"/>
      <c r="CRW122" s="225"/>
      <c r="CRX122" s="225"/>
      <c r="CRY122" s="225"/>
      <c r="CRZ122" s="225"/>
      <c r="CSA122" s="225"/>
      <c r="CSB122" s="225"/>
      <c r="CSC122" s="225"/>
      <c r="CSD122" s="225"/>
      <c r="CSE122" s="225"/>
      <c r="CSF122" s="225"/>
      <c r="CSG122" s="225"/>
      <c r="CSH122" s="225"/>
      <c r="CSI122" s="225"/>
      <c r="CSJ122" s="225"/>
      <c r="CSK122" s="225"/>
      <c r="CSL122" s="225"/>
      <c r="CSM122" s="225"/>
      <c r="CSN122" s="225"/>
      <c r="CSO122" s="225"/>
      <c r="CSP122" s="225"/>
      <c r="CSQ122" s="225"/>
      <c r="CSR122" s="225"/>
      <c r="CSS122" s="225"/>
      <c r="CST122" s="225"/>
      <c r="CSU122" s="225"/>
      <c r="CSV122" s="225"/>
      <c r="CSW122" s="225"/>
      <c r="CSX122" s="225"/>
      <c r="CSY122" s="225"/>
      <c r="CSZ122" s="225"/>
      <c r="CTA122" s="225"/>
      <c r="CTB122" s="225"/>
      <c r="CTC122" s="225"/>
      <c r="CTD122" s="225"/>
      <c r="CTE122" s="225"/>
      <c r="CTF122" s="225"/>
      <c r="CTG122" s="225"/>
      <c r="CTH122" s="225"/>
      <c r="CTI122" s="225"/>
      <c r="CTJ122" s="225"/>
      <c r="CTK122" s="225"/>
      <c r="CTL122" s="225"/>
      <c r="CTM122" s="225"/>
      <c r="CTN122" s="225"/>
      <c r="CTO122" s="225"/>
      <c r="CTP122" s="225"/>
      <c r="CTQ122" s="225"/>
      <c r="CTR122" s="225"/>
      <c r="CTS122" s="225"/>
      <c r="CTT122" s="225"/>
      <c r="CTU122" s="225"/>
      <c r="CTV122" s="225"/>
      <c r="CTW122" s="225"/>
      <c r="CTX122" s="225"/>
      <c r="CTY122" s="225"/>
      <c r="CTZ122" s="225"/>
      <c r="CUA122" s="225"/>
      <c r="CUB122" s="225"/>
      <c r="CUC122" s="225"/>
      <c r="CUD122" s="225"/>
      <c r="CUE122" s="225"/>
      <c r="CUF122" s="225"/>
      <c r="CUG122" s="225"/>
      <c r="CUH122" s="225"/>
      <c r="CUI122" s="225"/>
      <c r="CUJ122" s="225"/>
      <c r="CUK122" s="225"/>
      <c r="CUL122" s="225"/>
      <c r="CUM122" s="225"/>
      <c r="CUN122" s="225"/>
      <c r="CUO122" s="225"/>
      <c r="CUP122" s="225"/>
      <c r="CUQ122" s="225"/>
      <c r="CUR122" s="225"/>
      <c r="CUS122" s="225"/>
      <c r="CUT122" s="225"/>
      <c r="CUU122" s="225"/>
      <c r="CUV122" s="225"/>
      <c r="CUW122" s="225"/>
      <c r="CUX122" s="225"/>
      <c r="CUY122" s="225"/>
      <c r="CUZ122" s="225"/>
      <c r="CVA122" s="225"/>
      <c r="CVB122" s="225"/>
      <c r="CVC122" s="225"/>
      <c r="CVD122" s="225"/>
      <c r="CVE122" s="225"/>
      <c r="CVF122" s="225"/>
      <c r="CVG122" s="225"/>
      <c r="CVH122" s="225"/>
      <c r="CVI122" s="225"/>
      <c r="CVJ122" s="225"/>
      <c r="CVK122" s="225"/>
      <c r="CVL122" s="225"/>
      <c r="CVM122" s="225"/>
      <c r="CVN122" s="225"/>
      <c r="CVO122" s="225"/>
      <c r="CVP122" s="225"/>
      <c r="CVQ122" s="225"/>
      <c r="CVR122" s="225"/>
      <c r="CVS122" s="225"/>
      <c r="CVT122" s="225"/>
      <c r="CVU122" s="225"/>
      <c r="CVV122" s="225"/>
      <c r="CVW122" s="225"/>
      <c r="CVX122" s="225"/>
      <c r="CVY122" s="225"/>
      <c r="CVZ122" s="225"/>
      <c r="CWA122" s="225"/>
      <c r="CWB122" s="225"/>
      <c r="CWC122" s="225"/>
      <c r="CWD122" s="225"/>
      <c r="CWE122" s="225"/>
      <c r="CWF122" s="225"/>
      <c r="CWG122" s="225"/>
      <c r="CWH122" s="225"/>
      <c r="CWI122" s="225"/>
      <c r="CWJ122" s="225"/>
      <c r="CWK122" s="225"/>
      <c r="CWL122" s="225"/>
      <c r="CWM122" s="225"/>
      <c r="CWN122" s="225"/>
      <c r="CWO122" s="225"/>
      <c r="CWP122" s="225"/>
      <c r="CWQ122" s="225"/>
      <c r="CWR122" s="225"/>
      <c r="CWS122" s="225"/>
      <c r="CWT122" s="225"/>
      <c r="CWU122" s="225"/>
      <c r="CWV122" s="225"/>
      <c r="CWW122" s="225"/>
      <c r="CWX122" s="225"/>
      <c r="CWY122" s="225"/>
      <c r="CWZ122" s="225"/>
      <c r="CXA122" s="225"/>
      <c r="CXB122" s="225"/>
      <c r="CXC122" s="225"/>
      <c r="CXD122" s="225"/>
      <c r="CXE122" s="225"/>
      <c r="CXF122" s="225"/>
      <c r="CXG122" s="225"/>
      <c r="CXH122" s="225"/>
      <c r="CXI122" s="225"/>
      <c r="CXJ122" s="225"/>
      <c r="CXK122" s="225"/>
      <c r="CXL122" s="225"/>
      <c r="CXM122" s="225"/>
      <c r="CXN122" s="225"/>
      <c r="CXO122" s="225"/>
      <c r="CXP122" s="225"/>
      <c r="CXQ122" s="225"/>
      <c r="CXR122" s="225"/>
      <c r="CXS122" s="225"/>
      <c r="CXT122" s="225"/>
      <c r="CXU122" s="225"/>
      <c r="CXV122" s="225"/>
      <c r="CXW122" s="225"/>
      <c r="CXX122" s="225"/>
      <c r="CXY122" s="225"/>
      <c r="CXZ122" s="225"/>
      <c r="CYA122" s="225"/>
      <c r="CYB122" s="225"/>
      <c r="CYC122" s="225"/>
      <c r="CYD122" s="225"/>
      <c r="CYE122" s="225"/>
      <c r="CYF122" s="225"/>
      <c r="CYG122" s="225"/>
      <c r="CYH122" s="225"/>
      <c r="CYI122" s="225"/>
      <c r="CYJ122" s="225"/>
      <c r="CYK122" s="225"/>
      <c r="CYL122" s="225"/>
      <c r="CYM122" s="225"/>
      <c r="CYN122" s="225"/>
      <c r="CYO122" s="225"/>
      <c r="CYP122" s="225"/>
      <c r="CYQ122" s="225"/>
      <c r="CYR122" s="225"/>
      <c r="CYS122" s="225"/>
      <c r="CYT122" s="225"/>
      <c r="CYU122" s="225"/>
      <c r="CYV122" s="225"/>
      <c r="CYW122" s="225"/>
      <c r="CYX122" s="225"/>
      <c r="CYY122" s="225"/>
      <c r="CYZ122" s="225"/>
      <c r="CZA122" s="225"/>
      <c r="CZB122" s="225"/>
      <c r="CZC122" s="225"/>
      <c r="CZD122" s="225"/>
      <c r="CZE122" s="225"/>
      <c r="CZF122" s="225"/>
      <c r="CZG122" s="225"/>
      <c r="CZH122" s="225"/>
      <c r="CZI122" s="225"/>
      <c r="CZJ122" s="225"/>
      <c r="CZK122" s="225"/>
      <c r="CZL122" s="225"/>
      <c r="CZM122" s="225"/>
      <c r="CZN122" s="225"/>
      <c r="CZO122" s="225"/>
      <c r="CZP122" s="225"/>
      <c r="CZQ122" s="225"/>
      <c r="CZR122" s="225"/>
      <c r="CZS122" s="225"/>
      <c r="CZT122" s="225"/>
      <c r="CZU122" s="225"/>
      <c r="CZV122" s="225"/>
      <c r="CZW122" s="225"/>
      <c r="CZX122" s="225"/>
      <c r="CZY122" s="225"/>
      <c r="CZZ122" s="225"/>
      <c r="DAA122" s="225"/>
      <c r="DAB122" s="225"/>
      <c r="DAC122" s="225"/>
      <c r="DAD122" s="225"/>
      <c r="DAE122" s="225"/>
      <c r="DAF122" s="225"/>
      <c r="DAG122" s="225"/>
      <c r="DAH122" s="225"/>
      <c r="DAI122" s="225"/>
      <c r="DAJ122" s="225"/>
      <c r="DAK122" s="225"/>
      <c r="DAL122" s="225"/>
      <c r="DAM122" s="225"/>
      <c r="DAN122" s="225"/>
      <c r="DAO122" s="225"/>
      <c r="DAP122" s="225"/>
      <c r="DAQ122" s="225"/>
      <c r="DAR122" s="225"/>
      <c r="DAS122" s="225"/>
      <c r="DAT122" s="225"/>
      <c r="DAU122" s="225"/>
      <c r="DAV122" s="225"/>
      <c r="DAW122" s="225"/>
      <c r="DAX122" s="225"/>
      <c r="DAY122" s="225"/>
      <c r="DAZ122" s="225"/>
      <c r="DBA122" s="225"/>
      <c r="DBB122" s="225"/>
      <c r="DBC122" s="225"/>
      <c r="DBD122" s="225"/>
      <c r="DBE122" s="225"/>
      <c r="DBF122" s="225"/>
      <c r="DBG122" s="225"/>
      <c r="DBH122" s="225"/>
      <c r="DBI122" s="225"/>
      <c r="DBJ122" s="225"/>
      <c r="DBK122" s="225"/>
      <c r="DBL122" s="225"/>
      <c r="DBM122" s="225"/>
      <c r="DBN122" s="225"/>
      <c r="DBO122" s="225"/>
      <c r="DBP122" s="225"/>
      <c r="DBQ122" s="225"/>
      <c r="DBR122" s="225"/>
      <c r="DBS122" s="225"/>
      <c r="DBT122" s="225"/>
      <c r="DBU122" s="225"/>
      <c r="DBV122" s="225"/>
      <c r="DBW122" s="225"/>
      <c r="DBX122" s="225"/>
      <c r="DBY122" s="225"/>
      <c r="DBZ122" s="225"/>
      <c r="DCA122" s="225"/>
      <c r="DCB122" s="225"/>
      <c r="DCC122" s="225"/>
      <c r="DCD122" s="225"/>
      <c r="DCE122" s="225"/>
      <c r="DCF122" s="225"/>
      <c r="DCG122" s="225"/>
      <c r="DCH122" s="225"/>
      <c r="DCI122" s="225"/>
      <c r="DCJ122" s="225"/>
      <c r="DCK122" s="225"/>
      <c r="DCL122" s="225"/>
      <c r="DCM122" s="225"/>
      <c r="DCN122" s="225"/>
      <c r="DCO122" s="225"/>
      <c r="DCP122" s="225"/>
      <c r="DCQ122" s="225"/>
      <c r="DCR122" s="225"/>
      <c r="DCS122" s="225"/>
      <c r="DCT122" s="225"/>
      <c r="DCU122" s="225"/>
      <c r="DCV122" s="225"/>
      <c r="DCW122" s="225"/>
      <c r="DCX122" s="225"/>
      <c r="DCY122" s="225"/>
      <c r="DCZ122" s="225"/>
      <c r="DDA122" s="225"/>
      <c r="DDB122" s="225"/>
      <c r="DDC122" s="225"/>
      <c r="DDD122" s="225"/>
      <c r="DDE122" s="225"/>
      <c r="DDF122" s="225"/>
      <c r="DDG122" s="225"/>
      <c r="DDH122" s="225"/>
      <c r="DDI122" s="225"/>
      <c r="DDJ122" s="225"/>
      <c r="DDK122" s="225"/>
      <c r="DDL122" s="225"/>
      <c r="DDM122" s="225"/>
      <c r="DDN122" s="225"/>
      <c r="DDO122" s="225"/>
      <c r="DDP122" s="225"/>
      <c r="DDQ122" s="225"/>
      <c r="DDR122" s="225"/>
      <c r="DDS122" s="225"/>
      <c r="DDT122" s="225"/>
      <c r="DDU122" s="225"/>
      <c r="DDV122" s="225"/>
      <c r="DDW122" s="225"/>
      <c r="DDX122" s="225"/>
      <c r="DDY122" s="225"/>
      <c r="DDZ122" s="225"/>
      <c r="DEA122" s="225"/>
      <c r="DEB122" s="225"/>
      <c r="DEC122" s="225"/>
      <c r="DED122" s="225"/>
      <c r="DEE122" s="225"/>
      <c r="DEF122" s="225"/>
      <c r="DEG122" s="225"/>
      <c r="DEH122" s="225"/>
      <c r="DEI122" s="225"/>
      <c r="DEJ122" s="225"/>
      <c r="DEK122" s="225"/>
      <c r="DEL122" s="225"/>
      <c r="DEM122" s="225"/>
      <c r="DEN122" s="225"/>
      <c r="DEO122" s="225"/>
      <c r="DEP122" s="225"/>
      <c r="DEQ122" s="225"/>
      <c r="DER122" s="225"/>
      <c r="DES122" s="225"/>
      <c r="DET122" s="225"/>
      <c r="DEU122" s="225"/>
      <c r="DEV122" s="225"/>
      <c r="DEW122" s="225"/>
      <c r="DEX122" s="225"/>
      <c r="DEY122" s="225"/>
      <c r="DEZ122" s="225"/>
      <c r="DFA122" s="225"/>
      <c r="DFB122" s="225"/>
      <c r="DFC122" s="225"/>
      <c r="DFD122" s="225"/>
      <c r="DFE122" s="225"/>
      <c r="DFF122" s="225"/>
      <c r="DFG122" s="225"/>
      <c r="DFH122" s="225"/>
      <c r="DFI122" s="225"/>
      <c r="DFJ122" s="225"/>
      <c r="DFK122" s="225"/>
      <c r="DFL122" s="225"/>
      <c r="DFM122" s="225"/>
      <c r="DFN122" s="225"/>
      <c r="DFO122" s="225"/>
      <c r="DFP122" s="225"/>
      <c r="DFQ122" s="225"/>
      <c r="DFR122" s="225"/>
      <c r="DFS122" s="225"/>
      <c r="DFT122" s="225"/>
      <c r="DFU122" s="225"/>
      <c r="DFV122" s="225"/>
      <c r="DFW122" s="225"/>
      <c r="DFX122" s="225"/>
      <c r="DFY122" s="225"/>
      <c r="DFZ122" s="225"/>
      <c r="DGA122" s="225"/>
      <c r="DGB122" s="225"/>
      <c r="DGC122" s="225"/>
      <c r="DGD122" s="225"/>
      <c r="DGE122" s="225"/>
      <c r="DGF122" s="225"/>
      <c r="DGG122" s="225"/>
      <c r="DGH122" s="225"/>
      <c r="DGI122" s="225"/>
      <c r="DGJ122" s="225"/>
      <c r="DGK122" s="225"/>
      <c r="DGL122" s="225"/>
      <c r="DGM122" s="225"/>
      <c r="DGN122" s="225"/>
      <c r="DGO122" s="225"/>
      <c r="DGP122" s="225"/>
      <c r="DGQ122" s="225"/>
      <c r="DGR122" s="225"/>
      <c r="DGS122" s="225"/>
      <c r="DGT122" s="225"/>
      <c r="DGU122" s="225"/>
      <c r="DGV122" s="225"/>
      <c r="DGW122" s="225"/>
      <c r="DGX122" s="225"/>
      <c r="DGY122" s="225"/>
      <c r="DGZ122" s="225"/>
      <c r="DHA122" s="225"/>
      <c r="DHB122" s="225"/>
      <c r="DHC122" s="225"/>
      <c r="DHD122" s="225"/>
      <c r="DHE122" s="225"/>
      <c r="DHF122" s="225"/>
      <c r="DHG122" s="225"/>
      <c r="DHH122" s="225"/>
      <c r="DHI122" s="225"/>
      <c r="DHJ122" s="225"/>
      <c r="DHK122" s="225"/>
      <c r="DHL122" s="225"/>
      <c r="DHM122" s="225"/>
      <c r="DHN122" s="225"/>
      <c r="DHO122" s="225"/>
      <c r="DHP122" s="225"/>
      <c r="DHQ122" s="225"/>
      <c r="DHR122" s="225"/>
      <c r="DHS122" s="225"/>
      <c r="DHT122" s="225"/>
      <c r="DHU122" s="225"/>
      <c r="DHV122" s="225"/>
      <c r="DHW122" s="225"/>
      <c r="DHX122" s="225"/>
      <c r="DHY122" s="225"/>
      <c r="DHZ122" s="225"/>
      <c r="DIA122" s="225"/>
      <c r="DIB122" s="225"/>
      <c r="DIC122" s="225"/>
      <c r="DID122" s="225"/>
      <c r="DIE122" s="225"/>
      <c r="DIF122" s="225"/>
      <c r="DIG122" s="225"/>
      <c r="DIH122" s="225"/>
      <c r="DII122" s="225"/>
      <c r="DIJ122" s="225"/>
      <c r="DIK122" s="225"/>
      <c r="DIL122" s="225"/>
      <c r="DIM122" s="225"/>
      <c r="DIN122" s="225"/>
      <c r="DIO122" s="225"/>
      <c r="DIP122" s="225"/>
      <c r="DIQ122" s="225"/>
      <c r="DIR122" s="225"/>
      <c r="DIS122" s="225"/>
      <c r="DIT122" s="225"/>
      <c r="DIU122" s="225"/>
      <c r="DIV122" s="225"/>
      <c r="DIW122" s="225"/>
      <c r="DIX122" s="225"/>
      <c r="DIY122" s="225"/>
      <c r="DIZ122" s="225"/>
      <c r="DJA122" s="225"/>
      <c r="DJB122" s="225"/>
      <c r="DJC122" s="225"/>
      <c r="DJD122" s="225"/>
      <c r="DJE122" s="225"/>
      <c r="DJF122" s="225"/>
      <c r="DJG122" s="225"/>
      <c r="DJH122" s="225"/>
      <c r="DJI122" s="225"/>
      <c r="DJJ122" s="225"/>
      <c r="DJK122" s="225"/>
      <c r="DJL122" s="225"/>
      <c r="DJM122" s="225"/>
      <c r="DJN122" s="225"/>
      <c r="DJO122" s="225"/>
      <c r="DJP122" s="225"/>
      <c r="DJQ122" s="225"/>
      <c r="DJR122" s="225"/>
      <c r="DJS122" s="225"/>
      <c r="DJT122" s="225"/>
      <c r="DJU122" s="225"/>
      <c r="DJV122" s="225"/>
      <c r="DJW122" s="225"/>
      <c r="DJX122" s="225"/>
      <c r="DJY122" s="225"/>
      <c r="DJZ122" s="225"/>
      <c r="DKA122" s="225"/>
      <c r="DKB122" s="225"/>
      <c r="DKC122" s="225"/>
      <c r="DKD122" s="225"/>
      <c r="DKE122" s="225"/>
      <c r="DKF122" s="225"/>
      <c r="DKG122" s="225"/>
      <c r="DKH122" s="225"/>
      <c r="DKI122" s="225"/>
      <c r="DKJ122" s="225"/>
      <c r="DKK122" s="225"/>
      <c r="DKL122" s="225"/>
      <c r="DKM122" s="225"/>
      <c r="DKN122" s="225"/>
      <c r="DKO122" s="225"/>
      <c r="DKP122" s="225"/>
      <c r="DKQ122" s="225"/>
      <c r="DKR122" s="225"/>
      <c r="DKS122" s="225"/>
      <c r="DKT122" s="225"/>
      <c r="DKU122" s="225"/>
      <c r="DKV122" s="225"/>
      <c r="DKW122" s="225"/>
      <c r="DKX122" s="225"/>
      <c r="DKY122" s="225"/>
      <c r="DKZ122" s="225"/>
      <c r="DLA122" s="225"/>
      <c r="DLB122" s="225"/>
      <c r="DLC122" s="225"/>
      <c r="DLD122" s="225"/>
      <c r="DLE122" s="225"/>
      <c r="DLF122" s="225"/>
      <c r="DLG122" s="225"/>
      <c r="DLH122" s="225"/>
      <c r="DLI122" s="225"/>
      <c r="DLJ122" s="225"/>
      <c r="DLK122" s="225"/>
      <c r="DLL122" s="225"/>
      <c r="DLM122" s="225"/>
      <c r="DLN122" s="225"/>
      <c r="DLO122" s="225"/>
      <c r="DLP122" s="225"/>
      <c r="DLQ122" s="225"/>
      <c r="DLR122" s="225"/>
      <c r="DLS122" s="225"/>
      <c r="DLT122" s="225"/>
      <c r="DLU122" s="225"/>
      <c r="DLV122" s="225"/>
      <c r="DLW122" s="225"/>
      <c r="DLX122" s="225"/>
      <c r="DLY122" s="225"/>
      <c r="DLZ122" s="225"/>
      <c r="DMA122" s="225"/>
      <c r="DMB122" s="225"/>
      <c r="DMC122" s="225"/>
      <c r="DMD122" s="225"/>
      <c r="DME122" s="225"/>
      <c r="DMF122" s="225"/>
      <c r="DMG122" s="225"/>
      <c r="DMH122" s="225"/>
      <c r="DMI122" s="225"/>
      <c r="DMJ122" s="225"/>
      <c r="DMK122" s="225"/>
      <c r="DML122" s="225"/>
      <c r="DMM122" s="225"/>
      <c r="DMN122" s="225"/>
      <c r="DMO122" s="225"/>
      <c r="DMP122" s="225"/>
      <c r="DMQ122" s="225"/>
      <c r="DMR122" s="225"/>
      <c r="DMS122" s="225"/>
      <c r="DMT122" s="225"/>
      <c r="DMU122" s="225"/>
      <c r="DMV122" s="225"/>
      <c r="DMW122" s="225"/>
      <c r="DMX122" s="225"/>
      <c r="DMY122" s="225"/>
      <c r="DMZ122" s="225"/>
      <c r="DNA122" s="225"/>
      <c r="DNB122" s="225"/>
      <c r="DNC122" s="225"/>
      <c r="DND122" s="225"/>
      <c r="DNE122" s="225"/>
      <c r="DNF122" s="225"/>
      <c r="DNG122" s="225"/>
      <c r="DNH122" s="225"/>
      <c r="DNI122" s="225"/>
      <c r="DNJ122" s="225"/>
      <c r="DNK122" s="225"/>
      <c r="DNL122" s="225"/>
      <c r="DNM122" s="225"/>
      <c r="DNN122" s="225"/>
      <c r="DNO122" s="225"/>
      <c r="DNP122" s="225"/>
      <c r="DNQ122" s="225"/>
      <c r="DNR122" s="225"/>
      <c r="DNS122" s="225"/>
      <c r="DNT122" s="225"/>
      <c r="DNU122" s="225"/>
      <c r="DNV122" s="225"/>
      <c r="DNW122" s="225"/>
      <c r="DNX122" s="225"/>
      <c r="DNY122" s="225"/>
      <c r="DNZ122" s="225"/>
      <c r="DOA122" s="225"/>
      <c r="DOB122" s="225"/>
      <c r="DOC122" s="225"/>
      <c r="DOD122" s="225"/>
      <c r="DOE122" s="225"/>
      <c r="DOF122" s="225"/>
      <c r="DOG122" s="225"/>
      <c r="DOH122" s="225"/>
      <c r="DOI122" s="225"/>
      <c r="DOJ122" s="225"/>
      <c r="DOK122" s="225"/>
      <c r="DOL122" s="225"/>
      <c r="DOM122" s="225"/>
      <c r="DON122" s="225"/>
      <c r="DOO122" s="225"/>
      <c r="DOP122" s="225"/>
      <c r="DOQ122" s="225"/>
      <c r="DOR122" s="225"/>
      <c r="DOS122" s="225"/>
      <c r="DOT122" s="225"/>
      <c r="DOU122" s="225"/>
      <c r="DOV122" s="225"/>
      <c r="DOW122" s="225"/>
      <c r="DOX122" s="225"/>
      <c r="DOY122" s="225"/>
      <c r="DOZ122" s="225"/>
      <c r="DPA122" s="225"/>
      <c r="DPB122" s="225"/>
      <c r="DPC122" s="225"/>
      <c r="DPD122" s="225"/>
      <c r="DPE122" s="225"/>
      <c r="DPF122" s="225"/>
      <c r="DPG122" s="225"/>
      <c r="DPH122" s="225"/>
      <c r="DPI122" s="225"/>
      <c r="DPJ122" s="225"/>
      <c r="DPK122" s="225"/>
      <c r="DPL122" s="225"/>
      <c r="DPM122" s="225"/>
      <c r="DPN122" s="225"/>
      <c r="DPO122" s="225"/>
      <c r="DPP122" s="225"/>
      <c r="DPQ122" s="225"/>
      <c r="DPR122" s="225"/>
      <c r="DPS122" s="225"/>
      <c r="DPT122" s="225"/>
      <c r="DPU122" s="225"/>
      <c r="DPV122" s="225"/>
      <c r="DPW122" s="225"/>
      <c r="DPX122" s="225"/>
      <c r="DPY122" s="225"/>
      <c r="DPZ122" s="225"/>
      <c r="DQA122" s="225"/>
      <c r="DQB122" s="225"/>
      <c r="DQC122" s="225"/>
      <c r="DQD122" s="225"/>
      <c r="DQE122" s="225"/>
      <c r="DQF122" s="225"/>
      <c r="DQG122" s="225"/>
      <c r="DQH122" s="225"/>
      <c r="DQI122" s="225"/>
      <c r="DQJ122" s="225"/>
      <c r="DQK122" s="225"/>
      <c r="DQL122" s="225"/>
      <c r="DQM122" s="225"/>
      <c r="DQN122" s="225"/>
      <c r="DQO122" s="225"/>
      <c r="DQP122" s="225"/>
      <c r="DQQ122" s="225"/>
      <c r="DQR122" s="225"/>
      <c r="DQS122" s="225"/>
      <c r="DQT122" s="225"/>
      <c r="DQU122" s="225"/>
      <c r="DQV122" s="225"/>
      <c r="DQW122" s="225"/>
      <c r="DQX122" s="225"/>
      <c r="DQY122" s="225"/>
      <c r="DQZ122" s="225"/>
      <c r="DRA122" s="225"/>
      <c r="DRB122" s="225"/>
      <c r="DRC122" s="225"/>
      <c r="DRD122" s="225"/>
      <c r="DRE122" s="225"/>
      <c r="DRF122" s="225"/>
      <c r="DRG122" s="225"/>
      <c r="DRH122" s="225"/>
      <c r="DRI122" s="225"/>
      <c r="DRJ122" s="225"/>
      <c r="DRK122" s="225"/>
      <c r="DRL122" s="225"/>
      <c r="DRM122" s="225"/>
      <c r="DRN122" s="225"/>
      <c r="DRO122" s="225"/>
      <c r="DRP122" s="225"/>
      <c r="DRQ122" s="225"/>
      <c r="DRR122" s="225"/>
      <c r="DRS122" s="225"/>
      <c r="DRT122" s="225"/>
      <c r="DRU122" s="225"/>
      <c r="DRV122" s="225"/>
      <c r="DRW122" s="225"/>
      <c r="DRX122" s="225"/>
      <c r="DRY122" s="225"/>
      <c r="DRZ122" s="225"/>
      <c r="DSA122" s="225"/>
      <c r="DSB122" s="225"/>
      <c r="DSC122" s="225"/>
      <c r="DSD122" s="225"/>
      <c r="DSE122" s="225"/>
      <c r="DSF122" s="225"/>
      <c r="DSG122" s="225"/>
      <c r="DSH122" s="225"/>
      <c r="DSI122" s="225"/>
      <c r="DSJ122" s="225"/>
      <c r="DSK122" s="225"/>
      <c r="DSL122" s="225"/>
      <c r="DSM122" s="225"/>
      <c r="DSN122" s="225"/>
      <c r="DSO122" s="225"/>
      <c r="DSP122" s="225"/>
      <c r="DSQ122" s="225"/>
      <c r="DSR122" s="225"/>
      <c r="DSS122" s="225"/>
      <c r="DST122" s="225"/>
      <c r="DSU122" s="225"/>
      <c r="DSV122" s="225"/>
      <c r="DSW122" s="225"/>
      <c r="DSX122" s="225"/>
      <c r="DSY122" s="225"/>
      <c r="DSZ122" s="225"/>
      <c r="DTA122" s="225"/>
      <c r="DTB122" s="225"/>
      <c r="DTC122" s="225"/>
      <c r="DTD122" s="225"/>
      <c r="DTE122" s="225"/>
      <c r="DTF122" s="225"/>
      <c r="DTG122" s="225"/>
      <c r="DTH122" s="225"/>
      <c r="DTI122" s="225"/>
      <c r="DTJ122" s="225"/>
      <c r="DTK122" s="225"/>
      <c r="DTL122" s="225"/>
      <c r="DTM122" s="225"/>
      <c r="DTN122" s="225"/>
      <c r="DTO122" s="225"/>
      <c r="DTP122" s="225"/>
      <c r="DTQ122" s="225"/>
      <c r="DTR122" s="225"/>
      <c r="DTS122" s="225"/>
      <c r="DTT122" s="225"/>
      <c r="DTU122" s="225"/>
      <c r="DTV122" s="225"/>
      <c r="DTW122" s="225"/>
      <c r="DTX122" s="225"/>
      <c r="DTY122" s="225"/>
      <c r="DTZ122" s="225"/>
      <c r="DUA122" s="225"/>
      <c r="DUB122" s="225"/>
      <c r="DUC122" s="225"/>
      <c r="DUD122" s="225"/>
      <c r="DUE122" s="225"/>
      <c r="DUF122" s="225"/>
      <c r="DUG122" s="225"/>
      <c r="DUH122" s="225"/>
      <c r="DUI122" s="225"/>
      <c r="DUJ122" s="225"/>
      <c r="DUK122" s="225"/>
      <c r="DUL122" s="225"/>
      <c r="DUM122" s="225"/>
      <c r="DUN122" s="225"/>
      <c r="DUO122" s="225"/>
      <c r="DUP122" s="225"/>
      <c r="DUQ122" s="225"/>
      <c r="DUR122" s="225"/>
      <c r="DUS122" s="225"/>
      <c r="DUT122" s="225"/>
      <c r="DUU122" s="225"/>
      <c r="DUV122" s="225"/>
      <c r="DUW122" s="225"/>
      <c r="DUX122" s="225"/>
      <c r="DUY122" s="225"/>
      <c r="DUZ122" s="225"/>
      <c r="DVA122" s="225"/>
      <c r="DVB122" s="225"/>
      <c r="DVC122" s="225"/>
      <c r="DVD122" s="225"/>
      <c r="DVE122" s="225"/>
      <c r="DVF122" s="225"/>
      <c r="DVG122" s="225"/>
      <c r="DVH122" s="225"/>
      <c r="DVI122" s="225"/>
      <c r="DVJ122" s="225"/>
      <c r="DVK122" s="225"/>
      <c r="DVL122" s="225"/>
      <c r="DVM122" s="225"/>
      <c r="DVN122" s="225"/>
      <c r="DVO122" s="225"/>
      <c r="DVP122" s="225"/>
      <c r="DVQ122" s="225"/>
      <c r="DVR122" s="225"/>
      <c r="DVS122" s="225"/>
      <c r="DVT122" s="225"/>
      <c r="DVU122" s="225"/>
      <c r="DVV122" s="225"/>
      <c r="DVW122" s="225"/>
      <c r="DVX122" s="225"/>
      <c r="DVY122" s="225"/>
      <c r="DVZ122" s="225"/>
      <c r="DWA122" s="225"/>
      <c r="DWB122" s="225"/>
      <c r="DWC122" s="225"/>
      <c r="DWD122" s="225"/>
      <c r="DWE122" s="225"/>
      <c r="DWF122" s="225"/>
      <c r="DWG122" s="225"/>
      <c r="DWH122" s="225"/>
      <c r="DWI122" s="225"/>
      <c r="DWJ122" s="225"/>
      <c r="DWK122" s="225"/>
      <c r="DWL122" s="225"/>
      <c r="DWM122" s="225"/>
      <c r="DWN122" s="225"/>
      <c r="DWO122" s="225"/>
      <c r="DWP122" s="225"/>
      <c r="DWQ122" s="225"/>
      <c r="DWR122" s="225"/>
      <c r="DWS122" s="225"/>
      <c r="DWT122" s="225"/>
      <c r="DWU122" s="225"/>
      <c r="DWV122" s="225"/>
      <c r="DWW122" s="225"/>
      <c r="DWX122" s="225"/>
      <c r="DWY122" s="225"/>
      <c r="DWZ122" s="225"/>
      <c r="DXA122" s="225"/>
      <c r="DXB122" s="225"/>
      <c r="DXC122" s="225"/>
      <c r="DXD122" s="225"/>
      <c r="DXE122" s="225"/>
      <c r="DXF122" s="225"/>
      <c r="DXG122" s="225"/>
      <c r="DXH122" s="225"/>
      <c r="DXI122" s="225"/>
      <c r="DXJ122" s="225"/>
      <c r="DXK122" s="225"/>
      <c r="DXL122" s="225"/>
      <c r="DXM122" s="225"/>
      <c r="DXN122" s="225"/>
      <c r="DXO122" s="225"/>
      <c r="DXP122" s="225"/>
      <c r="DXQ122" s="225"/>
      <c r="DXR122" s="225"/>
      <c r="DXS122" s="225"/>
      <c r="DXT122" s="225"/>
      <c r="DXU122" s="225"/>
      <c r="DXV122" s="225"/>
      <c r="DXW122" s="225"/>
      <c r="DXX122" s="225"/>
      <c r="DXY122" s="225"/>
      <c r="DXZ122" s="225"/>
      <c r="DYA122" s="225"/>
      <c r="DYB122" s="225"/>
      <c r="DYC122" s="225"/>
      <c r="DYD122" s="225"/>
      <c r="DYE122" s="225"/>
      <c r="DYF122" s="225"/>
      <c r="DYG122" s="225"/>
      <c r="DYH122" s="225"/>
      <c r="DYI122" s="225"/>
      <c r="DYJ122" s="225"/>
      <c r="DYK122" s="225"/>
      <c r="DYL122" s="225"/>
      <c r="DYM122" s="225"/>
      <c r="DYN122" s="225"/>
      <c r="DYO122" s="225"/>
      <c r="DYP122" s="225"/>
      <c r="DYQ122" s="225"/>
      <c r="DYR122" s="225"/>
      <c r="DYS122" s="225"/>
      <c r="DYT122" s="225"/>
      <c r="DYU122" s="225"/>
      <c r="DYV122" s="225"/>
      <c r="DYW122" s="225"/>
      <c r="DYX122" s="225"/>
      <c r="DYY122" s="225"/>
      <c r="DYZ122" s="225"/>
      <c r="DZA122" s="225"/>
      <c r="DZB122" s="225"/>
      <c r="DZC122" s="225"/>
      <c r="DZD122" s="225"/>
      <c r="DZE122" s="225"/>
      <c r="DZF122" s="225"/>
      <c r="DZG122" s="225"/>
      <c r="DZH122" s="225"/>
      <c r="DZI122" s="225"/>
      <c r="DZJ122" s="225"/>
      <c r="DZK122" s="225"/>
      <c r="DZL122" s="225"/>
      <c r="DZM122" s="225"/>
      <c r="DZN122" s="225"/>
      <c r="DZO122" s="225"/>
      <c r="DZP122" s="225"/>
      <c r="DZQ122" s="225"/>
      <c r="DZR122" s="225"/>
      <c r="DZS122" s="225"/>
      <c r="DZT122" s="225"/>
      <c r="DZU122" s="225"/>
      <c r="DZV122" s="225"/>
      <c r="DZW122" s="225"/>
      <c r="DZX122" s="225"/>
      <c r="DZY122" s="225"/>
      <c r="DZZ122" s="225"/>
      <c r="EAA122" s="225"/>
      <c r="EAB122" s="225"/>
      <c r="EAC122" s="225"/>
      <c r="EAD122" s="225"/>
      <c r="EAE122" s="225"/>
      <c r="EAF122" s="225"/>
      <c r="EAG122" s="225"/>
      <c r="EAH122" s="225"/>
      <c r="EAI122" s="225"/>
      <c r="EAJ122" s="225"/>
      <c r="EAK122" s="225"/>
      <c r="EAL122" s="225"/>
      <c r="EAM122" s="225"/>
      <c r="EAN122" s="225"/>
      <c r="EAO122" s="225"/>
      <c r="EAP122" s="225"/>
      <c r="EAQ122" s="225"/>
      <c r="EAR122" s="225"/>
      <c r="EAS122" s="225"/>
      <c r="EAT122" s="225"/>
      <c r="EAU122" s="225"/>
      <c r="EAV122" s="225"/>
      <c r="EAW122" s="225"/>
      <c r="EAX122" s="225"/>
      <c r="EAY122" s="225"/>
      <c r="EAZ122" s="225"/>
      <c r="EBA122" s="225"/>
      <c r="EBB122" s="225"/>
      <c r="EBC122" s="225"/>
      <c r="EBD122" s="225"/>
      <c r="EBE122" s="225"/>
      <c r="EBF122" s="225"/>
      <c r="EBG122" s="225"/>
      <c r="EBH122" s="225"/>
      <c r="EBI122" s="225"/>
      <c r="EBJ122" s="225"/>
      <c r="EBK122" s="225"/>
      <c r="EBL122" s="225"/>
      <c r="EBM122" s="225"/>
      <c r="EBN122" s="225"/>
      <c r="EBO122" s="225"/>
      <c r="EBP122" s="225"/>
      <c r="EBQ122" s="225"/>
      <c r="EBR122" s="225"/>
      <c r="EBS122" s="225"/>
      <c r="EBT122" s="225"/>
      <c r="EBU122" s="225"/>
      <c r="EBV122" s="225"/>
      <c r="EBW122" s="225"/>
      <c r="EBX122" s="225"/>
      <c r="EBY122" s="225"/>
      <c r="EBZ122" s="225"/>
      <c r="ECA122" s="225"/>
      <c r="ECB122" s="225"/>
      <c r="ECC122" s="225"/>
      <c r="ECD122" s="225"/>
      <c r="ECE122" s="225"/>
      <c r="ECF122" s="225"/>
      <c r="ECG122" s="225"/>
      <c r="ECH122" s="225"/>
      <c r="ECI122" s="225"/>
      <c r="ECJ122" s="225"/>
      <c r="ECK122" s="225"/>
      <c r="ECL122" s="225"/>
      <c r="ECM122" s="225"/>
      <c r="ECN122" s="225"/>
      <c r="ECO122" s="225"/>
      <c r="ECP122" s="225"/>
      <c r="ECQ122" s="225"/>
      <c r="ECR122" s="225"/>
      <c r="ECS122" s="225"/>
      <c r="ECT122" s="225"/>
      <c r="ECU122" s="225"/>
      <c r="ECV122" s="225"/>
      <c r="ECW122" s="225"/>
      <c r="ECX122" s="225"/>
      <c r="ECY122" s="225"/>
      <c r="ECZ122" s="225"/>
      <c r="EDA122" s="225"/>
      <c r="EDB122" s="225"/>
      <c r="EDC122" s="225"/>
      <c r="EDD122" s="225"/>
      <c r="EDE122" s="225"/>
      <c r="EDF122" s="225"/>
      <c r="EDG122" s="225"/>
      <c r="EDH122" s="225"/>
      <c r="EDI122" s="225"/>
      <c r="EDJ122" s="225"/>
      <c r="EDK122" s="225"/>
      <c r="EDL122" s="225"/>
      <c r="EDM122" s="225"/>
      <c r="EDN122" s="225"/>
      <c r="EDO122" s="225"/>
      <c r="EDP122" s="225"/>
      <c r="EDQ122" s="225"/>
      <c r="EDR122" s="225"/>
      <c r="EDS122" s="225"/>
      <c r="EDT122" s="225"/>
      <c r="EDU122" s="225"/>
      <c r="EDV122" s="225"/>
      <c r="EDW122" s="225"/>
      <c r="EDX122" s="225"/>
      <c r="EDY122" s="225"/>
      <c r="EDZ122" s="225"/>
      <c r="EEA122" s="225"/>
      <c r="EEB122" s="225"/>
      <c r="EEC122" s="225"/>
      <c r="EED122" s="225"/>
      <c r="EEE122" s="225"/>
      <c r="EEF122" s="225"/>
      <c r="EEG122" s="225"/>
      <c r="EEH122" s="225"/>
      <c r="EEI122" s="225"/>
      <c r="EEJ122" s="225"/>
      <c r="EEK122" s="225"/>
      <c r="EEL122" s="225"/>
      <c r="EEM122" s="225"/>
      <c r="EEN122" s="225"/>
      <c r="EEO122" s="225"/>
      <c r="EEP122" s="225"/>
      <c r="EEQ122" s="225"/>
      <c r="EER122" s="225"/>
      <c r="EES122" s="225"/>
      <c r="EET122" s="225"/>
      <c r="EEU122" s="225"/>
      <c r="EEV122" s="225"/>
      <c r="EEW122" s="225"/>
      <c r="EEX122" s="225"/>
      <c r="EEY122" s="225"/>
      <c r="EEZ122" s="225"/>
      <c r="EFA122" s="225"/>
      <c r="EFB122" s="225"/>
      <c r="EFC122" s="225"/>
      <c r="EFD122" s="225"/>
      <c r="EFE122" s="225"/>
      <c r="EFF122" s="225"/>
      <c r="EFG122" s="225"/>
      <c r="EFH122" s="225"/>
      <c r="EFI122" s="225"/>
      <c r="EFJ122" s="225"/>
      <c r="EFK122" s="225"/>
      <c r="EFL122" s="225"/>
      <c r="EFM122" s="225"/>
      <c r="EFN122" s="225"/>
      <c r="EFO122" s="225"/>
      <c r="EFP122" s="225"/>
      <c r="EFQ122" s="225"/>
      <c r="EFR122" s="225"/>
      <c r="EFS122" s="225"/>
      <c r="EFT122" s="225"/>
      <c r="EFU122" s="225"/>
      <c r="EFV122" s="225"/>
      <c r="EFW122" s="225"/>
      <c r="EFX122" s="225"/>
      <c r="EFY122" s="225"/>
      <c r="EFZ122" s="225"/>
      <c r="EGA122" s="225"/>
      <c r="EGB122" s="225"/>
      <c r="EGC122" s="225"/>
      <c r="EGD122" s="225"/>
      <c r="EGE122" s="225"/>
      <c r="EGF122" s="225"/>
      <c r="EGG122" s="225"/>
      <c r="EGH122" s="225"/>
      <c r="EGI122" s="225"/>
      <c r="EGJ122" s="225"/>
      <c r="EGK122" s="225"/>
      <c r="EGL122" s="225"/>
      <c r="EGM122" s="225"/>
      <c r="EGN122" s="225"/>
      <c r="EGO122" s="225"/>
      <c r="EGP122" s="225"/>
      <c r="EGQ122" s="225"/>
      <c r="EGR122" s="225"/>
      <c r="EGS122" s="225"/>
      <c r="EGT122" s="225"/>
      <c r="EGU122" s="225"/>
      <c r="EGV122" s="225"/>
      <c r="EGW122" s="225"/>
      <c r="EGX122" s="225"/>
      <c r="EGY122" s="225"/>
      <c r="EGZ122" s="225"/>
      <c r="EHA122" s="225"/>
      <c r="EHB122" s="225"/>
      <c r="EHC122" s="225"/>
      <c r="EHD122" s="225"/>
      <c r="EHE122" s="225"/>
      <c r="EHF122" s="225"/>
      <c r="EHG122" s="225"/>
      <c r="EHH122" s="225"/>
      <c r="EHI122" s="225"/>
      <c r="EHJ122" s="225"/>
      <c r="EHK122" s="225"/>
      <c r="EHL122" s="225"/>
      <c r="EHM122" s="225"/>
      <c r="EHN122" s="225"/>
      <c r="EHO122" s="225"/>
      <c r="EHP122" s="225"/>
      <c r="EHQ122" s="225"/>
      <c r="EHR122" s="225"/>
      <c r="EHS122" s="225"/>
      <c r="EHT122" s="225"/>
      <c r="EHU122" s="225"/>
      <c r="EHV122" s="225"/>
      <c r="EHW122" s="225"/>
      <c r="EHX122" s="225"/>
      <c r="EHY122" s="225"/>
      <c r="EHZ122" s="225"/>
      <c r="EIA122" s="225"/>
      <c r="EIB122" s="225"/>
      <c r="EIC122" s="225"/>
      <c r="EID122" s="225"/>
      <c r="EIE122" s="225"/>
      <c r="EIF122" s="225"/>
      <c r="EIG122" s="225"/>
      <c r="EIH122" s="225"/>
      <c r="EII122" s="225"/>
      <c r="EIJ122" s="225"/>
      <c r="EIK122" s="225"/>
      <c r="EIL122" s="225"/>
      <c r="EIM122" s="225"/>
      <c r="EIN122" s="225"/>
      <c r="EIO122" s="225"/>
      <c r="EIP122" s="225"/>
      <c r="EIQ122" s="225"/>
      <c r="EIR122" s="225"/>
      <c r="EIS122" s="225"/>
      <c r="EIT122" s="225"/>
      <c r="EIU122" s="225"/>
      <c r="EIV122" s="225"/>
      <c r="EIW122" s="225"/>
      <c r="EIX122" s="225"/>
      <c r="EIY122" s="225"/>
      <c r="EIZ122" s="225"/>
      <c r="EJA122" s="225"/>
      <c r="EJB122" s="225"/>
      <c r="EJC122" s="225"/>
      <c r="EJD122" s="225"/>
      <c r="EJE122" s="225"/>
      <c r="EJF122" s="225"/>
      <c r="EJG122" s="225"/>
      <c r="EJH122" s="225"/>
      <c r="EJI122" s="225"/>
      <c r="EJJ122" s="225"/>
      <c r="EJK122" s="225"/>
      <c r="EJL122" s="225"/>
      <c r="EJM122" s="225"/>
      <c r="EJN122" s="225"/>
      <c r="EJO122" s="225"/>
      <c r="EJP122" s="225"/>
      <c r="EJQ122" s="225"/>
      <c r="EJR122" s="225"/>
      <c r="EJS122" s="225"/>
      <c r="EJT122" s="225"/>
      <c r="EJU122" s="225"/>
      <c r="EJV122" s="225"/>
      <c r="EJW122" s="225"/>
      <c r="EJX122" s="225"/>
      <c r="EJY122" s="225"/>
      <c r="EJZ122" s="225"/>
      <c r="EKA122" s="225"/>
      <c r="EKB122" s="225"/>
      <c r="EKC122" s="225"/>
      <c r="EKD122" s="225"/>
      <c r="EKE122" s="225"/>
      <c r="EKF122" s="225"/>
      <c r="EKG122" s="225"/>
      <c r="EKH122" s="225"/>
      <c r="EKI122" s="225"/>
      <c r="EKJ122" s="225"/>
      <c r="EKK122" s="225"/>
      <c r="EKL122" s="225"/>
      <c r="EKM122" s="225"/>
      <c r="EKN122" s="225"/>
      <c r="EKO122" s="225"/>
      <c r="EKP122" s="225"/>
      <c r="EKQ122" s="225"/>
      <c r="EKR122" s="225"/>
      <c r="EKS122" s="225"/>
      <c r="EKT122" s="225"/>
      <c r="EKU122" s="225"/>
      <c r="EKV122" s="225"/>
      <c r="EKW122" s="225"/>
      <c r="EKX122" s="225"/>
      <c r="EKY122" s="225"/>
      <c r="EKZ122" s="225"/>
      <c r="ELA122" s="225"/>
      <c r="ELB122" s="225"/>
      <c r="ELC122" s="225"/>
      <c r="ELD122" s="225"/>
      <c r="ELE122" s="225"/>
      <c r="ELF122" s="225"/>
      <c r="ELG122" s="225"/>
      <c r="ELH122" s="225"/>
      <c r="ELI122" s="225"/>
      <c r="ELJ122" s="225"/>
      <c r="ELK122" s="225"/>
      <c r="ELL122" s="225"/>
      <c r="ELM122" s="225"/>
      <c r="ELN122" s="225"/>
      <c r="ELO122" s="225"/>
      <c r="ELP122" s="225"/>
      <c r="ELQ122" s="225"/>
      <c r="ELR122" s="225"/>
      <c r="ELS122" s="225"/>
      <c r="ELT122" s="225"/>
      <c r="ELU122" s="225"/>
      <c r="ELV122" s="225"/>
      <c r="ELW122" s="225"/>
      <c r="ELX122" s="225"/>
      <c r="ELY122" s="225"/>
      <c r="ELZ122" s="225"/>
      <c r="EMA122" s="225"/>
      <c r="EMB122" s="225"/>
      <c r="EMC122" s="225"/>
      <c r="EMD122" s="225"/>
      <c r="EME122" s="225"/>
      <c r="EMF122" s="225"/>
      <c r="EMG122" s="225"/>
      <c r="EMH122" s="225"/>
      <c r="EMI122" s="225"/>
      <c r="EMJ122" s="225"/>
      <c r="EMK122" s="225"/>
      <c r="EML122" s="225"/>
      <c r="EMM122" s="225"/>
      <c r="EMN122" s="225"/>
      <c r="EMO122" s="225"/>
      <c r="EMP122" s="225"/>
      <c r="EMQ122" s="225"/>
      <c r="EMR122" s="225"/>
      <c r="EMS122" s="225"/>
      <c r="EMT122" s="225"/>
      <c r="EMU122" s="225"/>
      <c r="EMV122" s="225"/>
      <c r="EMW122" s="225"/>
      <c r="EMX122" s="225"/>
      <c r="EMY122" s="225"/>
      <c r="EMZ122" s="225"/>
      <c r="ENA122" s="225"/>
      <c r="ENB122" s="225"/>
      <c r="ENC122" s="225"/>
      <c r="END122" s="225"/>
      <c r="ENE122" s="225"/>
      <c r="ENF122" s="225"/>
      <c r="ENG122" s="225"/>
      <c r="ENH122" s="225"/>
      <c r="ENI122" s="225"/>
      <c r="ENJ122" s="225"/>
      <c r="ENK122" s="225"/>
      <c r="ENL122" s="225"/>
      <c r="ENM122" s="225"/>
      <c r="ENN122" s="225"/>
      <c r="ENO122" s="225"/>
      <c r="ENP122" s="225"/>
      <c r="ENQ122" s="225"/>
      <c r="ENR122" s="225"/>
      <c r="ENS122" s="225"/>
      <c r="ENT122" s="225"/>
      <c r="ENU122" s="225"/>
      <c r="ENV122" s="225"/>
      <c r="ENW122" s="225"/>
      <c r="ENX122" s="225"/>
      <c r="ENY122" s="225"/>
      <c r="ENZ122" s="225"/>
      <c r="EOA122" s="225"/>
      <c r="EOB122" s="225"/>
      <c r="EOC122" s="225"/>
      <c r="EOD122" s="225"/>
      <c r="EOE122" s="225"/>
      <c r="EOF122" s="225"/>
      <c r="EOG122" s="225"/>
      <c r="EOH122" s="225"/>
      <c r="EOI122" s="225"/>
      <c r="EOJ122" s="225"/>
      <c r="EOK122" s="225"/>
      <c r="EOL122" s="225"/>
      <c r="EOM122" s="225"/>
      <c r="EON122" s="225"/>
      <c r="EOO122" s="225"/>
      <c r="EOP122" s="225"/>
      <c r="EOQ122" s="225"/>
      <c r="EOR122" s="225"/>
      <c r="EOS122" s="225"/>
      <c r="EOT122" s="225"/>
      <c r="EOU122" s="225"/>
      <c r="EOV122" s="225"/>
      <c r="EOW122" s="225"/>
      <c r="EOX122" s="225"/>
      <c r="EOY122" s="225"/>
      <c r="EOZ122" s="225"/>
      <c r="EPA122" s="225"/>
      <c r="EPB122" s="225"/>
      <c r="EPC122" s="225"/>
      <c r="EPD122" s="225"/>
      <c r="EPE122" s="225"/>
      <c r="EPF122" s="225"/>
      <c r="EPG122" s="225"/>
      <c r="EPH122" s="225"/>
      <c r="EPI122" s="225"/>
      <c r="EPJ122" s="225"/>
      <c r="EPK122" s="225"/>
      <c r="EPL122" s="225"/>
      <c r="EPM122" s="225"/>
      <c r="EPN122" s="225"/>
      <c r="EPO122" s="225"/>
      <c r="EPP122" s="225"/>
      <c r="EPQ122" s="225"/>
      <c r="EPR122" s="225"/>
      <c r="EPS122" s="225"/>
      <c r="EPT122" s="225"/>
      <c r="EPU122" s="225"/>
      <c r="EPV122" s="225"/>
      <c r="EPW122" s="225"/>
      <c r="EPX122" s="225"/>
      <c r="EPY122" s="225"/>
      <c r="EPZ122" s="225"/>
      <c r="EQA122" s="225"/>
      <c r="EQB122" s="225"/>
      <c r="EQC122" s="225"/>
      <c r="EQD122" s="225"/>
      <c r="EQE122" s="225"/>
      <c r="EQF122" s="225"/>
      <c r="EQG122" s="225"/>
      <c r="EQH122" s="225"/>
      <c r="EQI122" s="225"/>
      <c r="EQJ122" s="225"/>
      <c r="EQK122" s="225"/>
      <c r="EQL122" s="225"/>
      <c r="EQM122" s="225"/>
      <c r="EQN122" s="225"/>
      <c r="EQO122" s="225"/>
      <c r="EQP122" s="225"/>
      <c r="EQQ122" s="225"/>
      <c r="EQR122" s="225"/>
      <c r="EQS122" s="225"/>
      <c r="EQT122" s="225"/>
      <c r="EQU122" s="225"/>
      <c r="EQV122" s="225"/>
      <c r="EQW122" s="225"/>
      <c r="EQX122" s="225"/>
      <c r="EQY122" s="225"/>
      <c r="EQZ122" s="225"/>
      <c r="ERA122" s="225"/>
      <c r="ERB122" s="225"/>
      <c r="ERC122" s="225"/>
      <c r="ERD122" s="225"/>
      <c r="ERE122" s="225"/>
      <c r="ERF122" s="225"/>
      <c r="ERG122" s="225"/>
      <c r="ERH122" s="225"/>
      <c r="ERI122" s="225"/>
      <c r="ERJ122" s="225"/>
      <c r="ERK122" s="225"/>
      <c r="ERL122" s="225"/>
      <c r="ERM122" s="225"/>
      <c r="ERN122" s="225"/>
      <c r="ERO122" s="225"/>
      <c r="ERP122" s="225"/>
      <c r="ERQ122" s="225"/>
      <c r="ERR122" s="225"/>
      <c r="ERS122" s="225"/>
      <c r="ERT122" s="225"/>
      <c r="ERU122" s="225"/>
      <c r="ERV122" s="225"/>
      <c r="ERW122" s="225"/>
      <c r="ERX122" s="225"/>
      <c r="ERY122" s="225"/>
      <c r="ERZ122" s="225"/>
      <c r="ESA122" s="225"/>
      <c r="ESB122" s="225"/>
      <c r="ESC122" s="225"/>
      <c r="ESD122" s="225"/>
      <c r="ESE122" s="225"/>
      <c r="ESF122" s="225"/>
      <c r="ESG122" s="225"/>
      <c r="ESH122" s="225"/>
      <c r="ESI122" s="225"/>
      <c r="ESJ122" s="225"/>
      <c r="ESK122" s="225"/>
      <c r="ESL122" s="225"/>
      <c r="ESM122" s="225"/>
      <c r="ESN122" s="225"/>
      <c r="ESO122" s="225"/>
      <c r="ESP122" s="225"/>
      <c r="ESQ122" s="225"/>
      <c r="ESR122" s="225"/>
      <c r="ESS122" s="225"/>
      <c r="EST122" s="225"/>
      <c r="ESU122" s="225"/>
      <c r="ESV122" s="225"/>
      <c r="ESW122" s="225"/>
      <c r="ESX122" s="225"/>
      <c r="ESY122" s="225"/>
      <c r="ESZ122" s="225"/>
      <c r="ETA122" s="225"/>
      <c r="ETB122" s="225"/>
      <c r="ETC122" s="225"/>
      <c r="ETD122" s="225"/>
      <c r="ETE122" s="225"/>
      <c r="ETF122" s="225"/>
      <c r="ETG122" s="225"/>
      <c r="ETH122" s="225"/>
      <c r="ETI122" s="225"/>
      <c r="ETJ122" s="225"/>
      <c r="ETK122" s="225"/>
      <c r="ETL122" s="225"/>
      <c r="ETM122" s="225"/>
      <c r="ETN122" s="225"/>
      <c r="ETO122" s="225"/>
      <c r="ETP122" s="225"/>
      <c r="ETQ122" s="225"/>
      <c r="ETR122" s="225"/>
      <c r="ETS122" s="225"/>
      <c r="ETT122" s="225"/>
      <c r="ETU122" s="225"/>
      <c r="ETV122" s="225"/>
      <c r="ETW122" s="225"/>
      <c r="ETX122" s="225"/>
      <c r="ETY122" s="225"/>
      <c r="ETZ122" s="225"/>
      <c r="EUA122" s="225"/>
      <c r="EUB122" s="225"/>
      <c r="EUC122" s="225"/>
      <c r="EUD122" s="225"/>
      <c r="EUE122" s="225"/>
      <c r="EUF122" s="225"/>
      <c r="EUG122" s="225"/>
      <c r="EUH122" s="225"/>
      <c r="EUI122" s="225"/>
      <c r="EUJ122" s="225"/>
      <c r="EUK122" s="225"/>
      <c r="EUL122" s="225"/>
      <c r="EUM122" s="225"/>
      <c r="EUN122" s="225"/>
      <c r="EUO122" s="225"/>
      <c r="EUP122" s="225"/>
      <c r="EUQ122" s="225"/>
      <c r="EUR122" s="225"/>
      <c r="EUS122" s="225"/>
      <c r="EUT122" s="225"/>
      <c r="EUU122" s="225"/>
      <c r="EUV122" s="225"/>
      <c r="EUW122" s="225"/>
      <c r="EUX122" s="225"/>
      <c r="EUY122" s="225"/>
      <c r="EUZ122" s="225"/>
      <c r="EVA122" s="225"/>
      <c r="EVB122" s="225"/>
      <c r="EVC122" s="225"/>
      <c r="EVD122" s="225"/>
      <c r="EVE122" s="225"/>
      <c r="EVF122" s="225"/>
      <c r="EVG122" s="225"/>
      <c r="EVH122" s="225"/>
      <c r="EVI122" s="225"/>
      <c r="EVJ122" s="225"/>
      <c r="EVK122" s="225"/>
      <c r="EVL122" s="225"/>
      <c r="EVM122" s="225"/>
      <c r="EVN122" s="225"/>
      <c r="EVO122" s="225"/>
      <c r="EVP122" s="225"/>
      <c r="EVQ122" s="225"/>
      <c r="EVR122" s="225"/>
      <c r="EVS122" s="225"/>
      <c r="EVT122" s="225"/>
      <c r="EVU122" s="225"/>
      <c r="EVV122" s="225"/>
      <c r="EVW122" s="225"/>
      <c r="EVX122" s="225"/>
      <c r="EVY122" s="225"/>
      <c r="EVZ122" s="225"/>
      <c r="EWA122" s="225"/>
      <c r="EWB122" s="225"/>
      <c r="EWC122" s="225"/>
      <c r="EWD122" s="225"/>
      <c r="EWE122" s="225"/>
      <c r="EWF122" s="225"/>
      <c r="EWG122" s="225"/>
      <c r="EWH122" s="225"/>
      <c r="EWI122" s="225"/>
      <c r="EWJ122" s="225"/>
      <c r="EWK122" s="225"/>
      <c r="EWL122" s="225"/>
      <c r="EWM122" s="225"/>
      <c r="EWN122" s="225"/>
      <c r="EWO122" s="225"/>
      <c r="EWP122" s="225"/>
      <c r="EWQ122" s="225"/>
      <c r="EWR122" s="225"/>
      <c r="EWS122" s="225"/>
      <c r="EWT122" s="225"/>
      <c r="EWU122" s="225"/>
      <c r="EWV122" s="225"/>
      <c r="EWW122" s="225"/>
      <c r="EWX122" s="225"/>
      <c r="EWY122" s="225"/>
      <c r="EWZ122" s="225"/>
      <c r="EXA122" s="225"/>
      <c r="EXB122" s="225"/>
      <c r="EXC122" s="225"/>
      <c r="EXD122" s="225"/>
      <c r="EXE122" s="225"/>
      <c r="EXF122" s="225"/>
      <c r="EXG122" s="225"/>
      <c r="EXH122" s="225"/>
      <c r="EXI122" s="225"/>
      <c r="EXJ122" s="225"/>
      <c r="EXK122" s="225"/>
      <c r="EXL122" s="225"/>
      <c r="EXM122" s="225"/>
      <c r="EXN122" s="225"/>
      <c r="EXO122" s="225"/>
      <c r="EXP122" s="225"/>
      <c r="EXQ122" s="225"/>
      <c r="EXR122" s="225"/>
      <c r="EXS122" s="225"/>
      <c r="EXT122" s="225"/>
      <c r="EXU122" s="225"/>
      <c r="EXV122" s="225"/>
      <c r="EXW122" s="225"/>
      <c r="EXX122" s="225"/>
      <c r="EXY122" s="225"/>
      <c r="EXZ122" s="225"/>
      <c r="EYA122" s="225"/>
      <c r="EYB122" s="225"/>
      <c r="EYC122" s="225"/>
      <c r="EYD122" s="225"/>
      <c r="EYE122" s="225"/>
      <c r="EYF122" s="225"/>
      <c r="EYG122" s="225"/>
      <c r="EYH122" s="225"/>
      <c r="EYI122" s="225"/>
      <c r="EYJ122" s="225"/>
      <c r="EYK122" s="225"/>
      <c r="EYL122" s="225"/>
      <c r="EYM122" s="225"/>
      <c r="EYN122" s="225"/>
      <c r="EYO122" s="225"/>
      <c r="EYP122" s="225"/>
      <c r="EYQ122" s="225"/>
      <c r="EYR122" s="225"/>
      <c r="EYS122" s="225"/>
      <c r="EYT122" s="225"/>
      <c r="EYU122" s="225"/>
      <c r="EYV122" s="225"/>
      <c r="EYW122" s="225"/>
      <c r="EYX122" s="225"/>
      <c r="EYY122" s="225"/>
      <c r="EYZ122" s="225"/>
      <c r="EZA122" s="225"/>
      <c r="EZB122" s="225"/>
      <c r="EZC122" s="225"/>
      <c r="EZD122" s="225"/>
      <c r="EZE122" s="225"/>
      <c r="EZF122" s="225"/>
      <c r="EZG122" s="225"/>
      <c r="EZH122" s="225"/>
      <c r="EZI122" s="225"/>
      <c r="EZJ122" s="225"/>
      <c r="EZK122" s="225"/>
      <c r="EZL122" s="225"/>
      <c r="EZM122" s="225"/>
      <c r="EZN122" s="225"/>
      <c r="EZO122" s="225"/>
      <c r="EZP122" s="225"/>
      <c r="EZQ122" s="225"/>
      <c r="EZR122" s="225"/>
      <c r="EZS122" s="225"/>
      <c r="EZT122" s="225"/>
      <c r="EZU122" s="225"/>
      <c r="EZV122" s="225"/>
      <c r="EZW122" s="225"/>
      <c r="EZX122" s="225"/>
      <c r="EZY122" s="225"/>
      <c r="EZZ122" s="225"/>
      <c r="FAA122" s="225"/>
      <c r="FAB122" s="225"/>
      <c r="FAC122" s="225"/>
      <c r="FAD122" s="225"/>
      <c r="FAE122" s="225"/>
      <c r="FAF122" s="225"/>
      <c r="FAG122" s="225"/>
      <c r="FAH122" s="225"/>
      <c r="FAI122" s="225"/>
      <c r="FAJ122" s="225"/>
      <c r="FAK122" s="225"/>
      <c r="FAL122" s="225"/>
      <c r="FAM122" s="225"/>
      <c r="FAN122" s="225"/>
      <c r="FAO122" s="225"/>
      <c r="FAP122" s="225"/>
      <c r="FAQ122" s="225"/>
      <c r="FAR122" s="225"/>
      <c r="FAS122" s="225"/>
      <c r="FAT122" s="225"/>
      <c r="FAU122" s="225"/>
      <c r="FAV122" s="225"/>
      <c r="FAW122" s="225"/>
      <c r="FAX122" s="225"/>
      <c r="FAY122" s="225"/>
      <c r="FAZ122" s="225"/>
      <c r="FBA122" s="225"/>
      <c r="FBB122" s="225"/>
      <c r="FBC122" s="225"/>
      <c r="FBD122" s="225"/>
      <c r="FBE122" s="225"/>
      <c r="FBF122" s="225"/>
      <c r="FBG122" s="225"/>
      <c r="FBH122" s="225"/>
      <c r="FBI122" s="225"/>
      <c r="FBJ122" s="225"/>
      <c r="FBK122" s="225"/>
      <c r="FBL122" s="225"/>
      <c r="FBM122" s="225"/>
      <c r="FBN122" s="225"/>
      <c r="FBO122" s="225"/>
      <c r="FBP122" s="225"/>
      <c r="FBQ122" s="225"/>
      <c r="FBR122" s="225"/>
      <c r="FBS122" s="225"/>
      <c r="FBT122" s="225"/>
      <c r="FBU122" s="225"/>
      <c r="FBV122" s="225"/>
      <c r="FBW122" s="225"/>
      <c r="FBX122" s="225"/>
      <c r="FBY122" s="225"/>
      <c r="FBZ122" s="225"/>
      <c r="FCA122" s="225"/>
      <c r="FCB122" s="225"/>
      <c r="FCC122" s="225"/>
      <c r="FCD122" s="225"/>
      <c r="FCE122" s="225"/>
      <c r="FCF122" s="225"/>
      <c r="FCG122" s="225"/>
      <c r="FCH122" s="225"/>
      <c r="FCI122" s="225"/>
      <c r="FCJ122" s="225"/>
      <c r="FCK122" s="225"/>
      <c r="FCL122" s="225"/>
      <c r="FCM122" s="225"/>
      <c r="FCN122" s="225"/>
      <c r="FCO122" s="225"/>
      <c r="FCP122" s="225"/>
      <c r="FCQ122" s="225"/>
      <c r="FCR122" s="225"/>
      <c r="FCS122" s="225"/>
      <c r="FCT122" s="225"/>
      <c r="FCU122" s="225"/>
      <c r="FCV122" s="225"/>
      <c r="FCW122" s="225"/>
      <c r="FCX122" s="225"/>
      <c r="FCY122" s="225"/>
      <c r="FCZ122" s="225"/>
      <c r="FDA122" s="225"/>
      <c r="FDB122" s="225"/>
      <c r="FDC122" s="225"/>
      <c r="FDD122" s="225"/>
      <c r="FDE122" s="225"/>
      <c r="FDF122" s="225"/>
      <c r="FDG122" s="225"/>
      <c r="FDH122" s="225"/>
      <c r="FDI122" s="225"/>
      <c r="FDJ122" s="225"/>
      <c r="FDK122" s="225"/>
      <c r="FDL122" s="225"/>
      <c r="FDM122" s="225"/>
      <c r="FDN122" s="225"/>
      <c r="FDO122" s="225"/>
      <c r="FDP122" s="225"/>
      <c r="FDQ122" s="225"/>
      <c r="FDR122" s="225"/>
      <c r="FDS122" s="225"/>
      <c r="FDT122" s="225"/>
      <c r="FDU122" s="225"/>
      <c r="FDV122" s="225"/>
      <c r="FDW122" s="225"/>
      <c r="FDX122" s="225"/>
      <c r="FDY122" s="225"/>
      <c r="FDZ122" s="225"/>
      <c r="FEA122" s="225"/>
      <c r="FEB122" s="225"/>
      <c r="FEC122" s="225"/>
      <c r="FED122" s="225"/>
      <c r="FEE122" s="225"/>
      <c r="FEF122" s="225"/>
      <c r="FEG122" s="225"/>
      <c r="FEH122" s="225"/>
      <c r="FEI122" s="225"/>
      <c r="FEJ122" s="225"/>
      <c r="FEK122" s="225"/>
      <c r="FEL122" s="225"/>
      <c r="FEM122" s="225"/>
      <c r="FEN122" s="225"/>
      <c r="FEO122" s="225"/>
      <c r="FEP122" s="225"/>
      <c r="FEQ122" s="225"/>
      <c r="FER122" s="225"/>
      <c r="FES122" s="225"/>
      <c r="FET122" s="225"/>
      <c r="FEU122" s="225"/>
      <c r="FEV122" s="225"/>
      <c r="FEW122" s="225"/>
      <c r="FEX122" s="225"/>
      <c r="FEY122" s="225"/>
      <c r="FEZ122" s="225"/>
      <c r="FFA122" s="225"/>
      <c r="FFB122" s="225"/>
      <c r="FFC122" s="225"/>
      <c r="FFD122" s="225"/>
      <c r="FFE122" s="225"/>
      <c r="FFF122" s="225"/>
      <c r="FFG122" s="225"/>
      <c r="FFH122" s="225"/>
      <c r="FFI122" s="225"/>
      <c r="FFJ122" s="225"/>
      <c r="FFK122" s="225"/>
      <c r="FFL122" s="225"/>
      <c r="FFM122" s="225"/>
      <c r="FFN122" s="225"/>
      <c r="FFO122" s="225"/>
      <c r="FFP122" s="225"/>
      <c r="FFQ122" s="225"/>
      <c r="FFR122" s="225"/>
      <c r="FFS122" s="225"/>
      <c r="FFT122" s="225"/>
      <c r="FFU122" s="225"/>
      <c r="FFV122" s="225"/>
      <c r="FFW122" s="225"/>
      <c r="FFX122" s="225"/>
      <c r="FFY122" s="225"/>
      <c r="FFZ122" s="225"/>
      <c r="FGA122" s="225"/>
      <c r="FGB122" s="225"/>
      <c r="FGC122" s="225"/>
      <c r="FGD122" s="225"/>
      <c r="FGE122" s="225"/>
      <c r="FGF122" s="225"/>
      <c r="FGG122" s="225"/>
      <c r="FGH122" s="225"/>
      <c r="FGI122" s="225"/>
      <c r="FGJ122" s="225"/>
      <c r="FGK122" s="225"/>
      <c r="FGL122" s="225"/>
      <c r="FGM122" s="225"/>
      <c r="FGN122" s="225"/>
      <c r="FGO122" s="225"/>
      <c r="FGP122" s="225"/>
      <c r="FGQ122" s="225"/>
      <c r="FGR122" s="225"/>
      <c r="FGS122" s="225"/>
      <c r="FGT122" s="225"/>
      <c r="FGU122" s="225"/>
      <c r="FGV122" s="225"/>
      <c r="FGW122" s="225"/>
      <c r="FGX122" s="225"/>
      <c r="FGY122" s="225"/>
      <c r="FGZ122" s="225"/>
      <c r="FHA122" s="225"/>
      <c r="FHB122" s="225"/>
      <c r="FHC122" s="225"/>
      <c r="FHD122" s="225"/>
      <c r="FHE122" s="225"/>
      <c r="FHF122" s="225"/>
      <c r="FHG122" s="225"/>
      <c r="FHH122" s="225"/>
      <c r="FHI122" s="225"/>
      <c r="FHJ122" s="225"/>
      <c r="FHK122" s="225"/>
      <c r="FHL122" s="225"/>
      <c r="FHM122" s="225"/>
      <c r="FHN122" s="225"/>
      <c r="FHO122" s="225"/>
      <c r="FHP122" s="225"/>
      <c r="FHQ122" s="225"/>
      <c r="FHR122" s="225"/>
      <c r="FHS122" s="225"/>
      <c r="FHT122" s="225"/>
      <c r="FHU122" s="225"/>
      <c r="FHV122" s="225"/>
      <c r="FHW122" s="225"/>
      <c r="FHX122" s="225"/>
      <c r="FHY122" s="225"/>
      <c r="FHZ122" s="225"/>
      <c r="FIA122" s="225"/>
      <c r="FIB122" s="225"/>
      <c r="FIC122" s="225"/>
      <c r="FID122" s="225"/>
      <c r="FIE122" s="225"/>
      <c r="FIF122" s="225"/>
      <c r="FIG122" s="225"/>
      <c r="FIH122" s="225"/>
      <c r="FII122" s="225"/>
      <c r="FIJ122" s="225"/>
      <c r="FIK122" s="225"/>
      <c r="FIL122" s="225"/>
      <c r="FIM122" s="225"/>
      <c r="FIN122" s="225"/>
      <c r="FIO122" s="225"/>
      <c r="FIP122" s="225"/>
      <c r="FIQ122" s="225"/>
      <c r="FIR122" s="225"/>
      <c r="FIS122" s="225"/>
      <c r="FIT122" s="225"/>
      <c r="FIU122" s="225"/>
      <c r="FIV122" s="225"/>
      <c r="FIW122" s="225"/>
      <c r="FIX122" s="225"/>
      <c r="FIY122" s="225"/>
      <c r="FIZ122" s="225"/>
      <c r="FJA122" s="225"/>
      <c r="FJB122" s="225"/>
      <c r="FJC122" s="225"/>
      <c r="FJD122" s="225"/>
      <c r="FJE122" s="225"/>
      <c r="FJF122" s="225"/>
      <c r="FJG122" s="225"/>
      <c r="FJH122" s="225"/>
      <c r="FJI122" s="225"/>
      <c r="FJJ122" s="225"/>
      <c r="FJK122" s="225"/>
      <c r="FJL122" s="225"/>
      <c r="FJM122" s="225"/>
      <c r="FJN122" s="225"/>
      <c r="FJO122" s="225"/>
      <c r="FJP122" s="225"/>
      <c r="FJQ122" s="225"/>
      <c r="FJR122" s="225"/>
      <c r="FJS122" s="225"/>
      <c r="FJT122" s="225"/>
      <c r="FJU122" s="225"/>
      <c r="FJV122" s="225"/>
      <c r="FJW122" s="225"/>
      <c r="FJX122" s="225"/>
      <c r="FJY122" s="225"/>
      <c r="FJZ122" s="225"/>
      <c r="FKA122" s="225"/>
      <c r="FKB122" s="225"/>
      <c r="FKC122" s="225"/>
      <c r="FKD122" s="225"/>
      <c r="FKE122" s="225"/>
      <c r="FKF122" s="225"/>
      <c r="FKG122" s="225"/>
      <c r="FKH122" s="225"/>
      <c r="FKI122" s="225"/>
      <c r="FKJ122" s="225"/>
      <c r="FKK122" s="225"/>
      <c r="FKL122" s="225"/>
      <c r="FKM122" s="225"/>
      <c r="FKN122" s="225"/>
      <c r="FKO122" s="225"/>
      <c r="FKP122" s="225"/>
      <c r="FKQ122" s="225"/>
      <c r="FKR122" s="225"/>
      <c r="FKS122" s="225"/>
      <c r="FKT122" s="225"/>
      <c r="FKU122" s="225"/>
      <c r="FKV122" s="225"/>
      <c r="FKW122" s="225"/>
      <c r="FKX122" s="225"/>
      <c r="FKY122" s="225"/>
      <c r="FKZ122" s="225"/>
      <c r="FLA122" s="225"/>
      <c r="FLB122" s="225"/>
      <c r="FLC122" s="225"/>
      <c r="FLD122" s="225"/>
      <c r="FLE122" s="225"/>
      <c r="FLF122" s="225"/>
      <c r="FLG122" s="225"/>
      <c r="FLH122" s="225"/>
      <c r="FLI122" s="225"/>
      <c r="FLJ122" s="225"/>
      <c r="FLK122" s="225"/>
      <c r="FLL122" s="225"/>
      <c r="FLM122" s="225"/>
      <c r="FLN122" s="225"/>
      <c r="FLO122" s="225"/>
      <c r="FLP122" s="225"/>
      <c r="FLQ122" s="225"/>
      <c r="FLR122" s="225"/>
      <c r="FLS122" s="225"/>
      <c r="FLT122" s="225"/>
      <c r="FLU122" s="225"/>
      <c r="FLV122" s="225"/>
      <c r="FLW122" s="225"/>
      <c r="FLX122" s="225"/>
      <c r="FLY122" s="225"/>
      <c r="FLZ122" s="225"/>
      <c r="FMA122" s="225"/>
      <c r="FMB122" s="225"/>
      <c r="FMC122" s="225"/>
      <c r="FMD122" s="225"/>
      <c r="FME122" s="225"/>
      <c r="FMF122" s="225"/>
      <c r="FMG122" s="225"/>
      <c r="FMH122" s="225"/>
      <c r="FMI122" s="225"/>
      <c r="FMJ122" s="225"/>
      <c r="FMK122" s="225"/>
      <c r="FML122" s="225"/>
      <c r="FMM122" s="225"/>
      <c r="FMN122" s="225"/>
      <c r="FMO122" s="225"/>
      <c r="FMP122" s="225"/>
      <c r="FMQ122" s="225"/>
      <c r="FMR122" s="225"/>
      <c r="FMS122" s="225"/>
      <c r="FMT122" s="225"/>
      <c r="FMU122" s="225"/>
      <c r="FMV122" s="225"/>
      <c r="FMW122" s="225"/>
      <c r="FMX122" s="225"/>
      <c r="FMY122" s="225"/>
      <c r="FMZ122" s="225"/>
      <c r="FNA122" s="225"/>
      <c r="FNB122" s="225"/>
      <c r="FNC122" s="225"/>
      <c r="FND122" s="225"/>
      <c r="FNE122" s="225"/>
      <c r="FNF122" s="225"/>
      <c r="FNG122" s="225"/>
      <c r="FNH122" s="225"/>
      <c r="FNI122" s="225"/>
      <c r="FNJ122" s="225"/>
      <c r="FNK122" s="225"/>
      <c r="FNL122" s="225"/>
      <c r="FNM122" s="225"/>
      <c r="FNN122" s="225"/>
      <c r="FNO122" s="225"/>
      <c r="FNP122" s="225"/>
      <c r="FNQ122" s="225"/>
      <c r="FNR122" s="225"/>
      <c r="FNS122" s="225"/>
      <c r="FNT122" s="225"/>
      <c r="FNU122" s="225"/>
      <c r="FNV122" s="225"/>
      <c r="FNW122" s="225"/>
      <c r="FNX122" s="225"/>
      <c r="FNY122" s="225"/>
      <c r="FNZ122" s="225"/>
      <c r="FOA122" s="225"/>
      <c r="FOB122" s="225"/>
      <c r="FOC122" s="225"/>
      <c r="FOD122" s="225"/>
      <c r="FOE122" s="225"/>
      <c r="FOF122" s="225"/>
      <c r="FOG122" s="225"/>
      <c r="FOH122" s="225"/>
      <c r="FOI122" s="225"/>
      <c r="FOJ122" s="225"/>
      <c r="FOK122" s="225"/>
      <c r="FOL122" s="225"/>
      <c r="FOM122" s="225"/>
      <c r="FON122" s="225"/>
      <c r="FOO122" s="225"/>
      <c r="FOP122" s="225"/>
      <c r="FOQ122" s="225"/>
      <c r="FOR122" s="225"/>
      <c r="FOS122" s="225"/>
      <c r="FOT122" s="225"/>
      <c r="FOU122" s="225"/>
      <c r="FOV122" s="225"/>
      <c r="FOW122" s="225"/>
      <c r="FOX122" s="225"/>
      <c r="FOY122" s="225"/>
      <c r="FOZ122" s="225"/>
      <c r="FPA122" s="225"/>
      <c r="FPB122" s="225"/>
      <c r="FPC122" s="225"/>
      <c r="FPD122" s="225"/>
      <c r="FPE122" s="225"/>
      <c r="FPF122" s="225"/>
      <c r="FPG122" s="225"/>
      <c r="FPH122" s="225"/>
      <c r="FPI122" s="225"/>
      <c r="FPJ122" s="225"/>
      <c r="FPK122" s="225"/>
      <c r="FPL122" s="225"/>
      <c r="FPM122" s="225"/>
      <c r="FPN122" s="225"/>
      <c r="FPO122" s="225"/>
      <c r="FPP122" s="225"/>
      <c r="FPQ122" s="225"/>
      <c r="FPR122" s="225"/>
      <c r="FPS122" s="225"/>
      <c r="FPT122" s="225"/>
      <c r="FPU122" s="225"/>
      <c r="FPV122" s="225"/>
      <c r="FPW122" s="225"/>
      <c r="FPX122" s="225"/>
      <c r="FPY122" s="225"/>
      <c r="FPZ122" s="225"/>
      <c r="FQA122" s="225"/>
      <c r="FQB122" s="225"/>
      <c r="FQC122" s="225"/>
      <c r="FQD122" s="225"/>
      <c r="FQE122" s="225"/>
      <c r="FQF122" s="225"/>
      <c r="FQG122" s="225"/>
      <c r="FQH122" s="225"/>
      <c r="FQI122" s="225"/>
      <c r="FQJ122" s="225"/>
      <c r="FQK122" s="225"/>
      <c r="FQL122" s="225"/>
      <c r="FQM122" s="225"/>
      <c r="FQN122" s="225"/>
      <c r="FQO122" s="225"/>
      <c r="FQP122" s="225"/>
      <c r="FQQ122" s="225"/>
      <c r="FQR122" s="225"/>
      <c r="FQS122" s="225"/>
      <c r="FQT122" s="225"/>
      <c r="FQU122" s="225"/>
      <c r="FQV122" s="225"/>
      <c r="FQW122" s="225"/>
      <c r="FQX122" s="225"/>
      <c r="FQY122" s="225"/>
      <c r="FQZ122" s="225"/>
      <c r="FRA122" s="225"/>
      <c r="FRB122" s="225"/>
      <c r="FRC122" s="225"/>
      <c r="FRD122" s="225"/>
      <c r="FRE122" s="225"/>
      <c r="FRF122" s="225"/>
      <c r="FRG122" s="225"/>
      <c r="FRH122" s="225"/>
      <c r="FRI122" s="225"/>
      <c r="FRJ122" s="225"/>
      <c r="FRK122" s="225"/>
      <c r="FRL122" s="225"/>
      <c r="FRM122" s="225"/>
      <c r="FRN122" s="225"/>
      <c r="FRO122" s="225"/>
      <c r="FRP122" s="225"/>
      <c r="FRQ122" s="225"/>
      <c r="FRR122" s="225"/>
      <c r="FRS122" s="225"/>
      <c r="FRT122" s="225"/>
      <c r="FRU122" s="225"/>
      <c r="FRV122" s="225"/>
      <c r="FRW122" s="225"/>
      <c r="FRX122" s="225"/>
      <c r="FRY122" s="225"/>
      <c r="FRZ122" s="225"/>
      <c r="FSA122" s="225"/>
      <c r="FSB122" s="225"/>
      <c r="FSC122" s="225"/>
      <c r="FSD122" s="225"/>
      <c r="FSE122" s="225"/>
      <c r="FSF122" s="225"/>
      <c r="FSG122" s="225"/>
      <c r="FSH122" s="225"/>
      <c r="FSI122" s="225"/>
      <c r="FSJ122" s="225"/>
      <c r="FSK122" s="225"/>
      <c r="FSL122" s="225"/>
      <c r="FSM122" s="225"/>
      <c r="FSN122" s="225"/>
      <c r="FSO122" s="225"/>
      <c r="FSP122" s="225"/>
      <c r="FSQ122" s="225"/>
      <c r="FSR122" s="225"/>
      <c r="FSS122" s="225"/>
      <c r="FST122" s="225"/>
      <c r="FSU122" s="225"/>
      <c r="FSV122" s="225"/>
      <c r="FSW122" s="225"/>
      <c r="FSX122" s="225"/>
      <c r="FSY122" s="225"/>
      <c r="FSZ122" s="225"/>
      <c r="FTA122" s="225"/>
      <c r="FTB122" s="225"/>
      <c r="FTC122" s="225"/>
      <c r="FTD122" s="225"/>
      <c r="FTE122" s="225"/>
      <c r="FTF122" s="225"/>
      <c r="FTG122" s="225"/>
      <c r="FTH122" s="225"/>
      <c r="FTI122" s="225"/>
      <c r="FTJ122" s="225"/>
      <c r="FTK122" s="225"/>
      <c r="FTL122" s="225"/>
      <c r="FTM122" s="225"/>
      <c r="FTN122" s="225"/>
      <c r="FTO122" s="225"/>
      <c r="FTP122" s="225"/>
      <c r="FTQ122" s="225"/>
      <c r="FTR122" s="225"/>
      <c r="FTS122" s="225"/>
      <c r="FTT122" s="225"/>
      <c r="FTU122" s="225"/>
      <c r="FTV122" s="225"/>
      <c r="FTW122" s="225"/>
      <c r="FTX122" s="225"/>
      <c r="FTY122" s="225"/>
      <c r="FTZ122" s="225"/>
      <c r="FUA122" s="225"/>
      <c r="FUB122" s="225"/>
      <c r="FUC122" s="225"/>
      <c r="FUD122" s="225"/>
      <c r="FUE122" s="225"/>
      <c r="FUF122" s="225"/>
      <c r="FUG122" s="225"/>
      <c r="FUH122" s="225"/>
      <c r="FUI122" s="225"/>
      <c r="FUJ122" s="225"/>
      <c r="FUK122" s="225"/>
      <c r="FUL122" s="225"/>
      <c r="FUM122" s="225"/>
      <c r="FUN122" s="225"/>
      <c r="FUO122" s="225"/>
      <c r="FUP122" s="225"/>
      <c r="FUQ122" s="225"/>
      <c r="FUR122" s="225"/>
      <c r="FUS122" s="225"/>
      <c r="FUT122" s="225"/>
      <c r="FUU122" s="225"/>
      <c r="FUV122" s="225"/>
      <c r="FUW122" s="225"/>
      <c r="FUX122" s="225"/>
      <c r="FUY122" s="225"/>
      <c r="FUZ122" s="225"/>
      <c r="FVA122" s="225"/>
      <c r="FVB122" s="225"/>
      <c r="FVC122" s="225"/>
      <c r="FVD122" s="225"/>
      <c r="FVE122" s="225"/>
      <c r="FVF122" s="225"/>
      <c r="FVG122" s="225"/>
      <c r="FVH122" s="225"/>
      <c r="FVI122" s="225"/>
      <c r="FVJ122" s="225"/>
      <c r="FVK122" s="225"/>
      <c r="FVL122" s="225"/>
      <c r="FVM122" s="225"/>
      <c r="FVN122" s="225"/>
      <c r="FVO122" s="225"/>
      <c r="FVP122" s="225"/>
      <c r="FVQ122" s="225"/>
      <c r="FVR122" s="225"/>
      <c r="FVS122" s="225"/>
      <c r="FVT122" s="225"/>
      <c r="FVU122" s="225"/>
      <c r="FVV122" s="225"/>
      <c r="FVW122" s="225"/>
      <c r="FVX122" s="225"/>
      <c r="FVY122" s="225"/>
      <c r="FVZ122" s="225"/>
      <c r="FWA122" s="225"/>
      <c r="FWB122" s="225"/>
      <c r="FWC122" s="225"/>
      <c r="FWD122" s="225"/>
      <c r="FWE122" s="225"/>
      <c r="FWF122" s="225"/>
      <c r="FWG122" s="225"/>
      <c r="FWH122" s="225"/>
      <c r="FWI122" s="225"/>
      <c r="FWJ122" s="225"/>
      <c r="FWK122" s="225"/>
      <c r="FWL122" s="225"/>
      <c r="FWM122" s="225"/>
      <c r="FWN122" s="225"/>
      <c r="FWO122" s="225"/>
      <c r="FWP122" s="225"/>
      <c r="FWQ122" s="225"/>
      <c r="FWR122" s="225"/>
      <c r="FWS122" s="225"/>
      <c r="FWT122" s="225"/>
      <c r="FWU122" s="225"/>
      <c r="FWV122" s="225"/>
      <c r="FWW122" s="225"/>
      <c r="FWX122" s="225"/>
      <c r="FWY122" s="225"/>
      <c r="FWZ122" s="225"/>
      <c r="FXA122" s="225"/>
      <c r="FXB122" s="225"/>
      <c r="FXC122" s="225"/>
      <c r="FXD122" s="225"/>
      <c r="FXE122" s="225"/>
      <c r="FXF122" s="225"/>
      <c r="FXG122" s="225"/>
      <c r="FXH122" s="225"/>
      <c r="FXI122" s="225"/>
      <c r="FXJ122" s="225"/>
      <c r="FXK122" s="225"/>
      <c r="FXL122" s="225"/>
      <c r="FXM122" s="225"/>
      <c r="FXN122" s="225"/>
      <c r="FXO122" s="225"/>
      <c r="FXP122" s="225"/>
      <c r="FXQ122" s="225"/>
      <c r="FXR122" s="225"/>
      <c r="FXS122" s="225"/>
      <c r="FXT122" s="225"/>
      <c r="FXU122" s="225"/>
      <c r="FXV122" s="225"/>
      <c r="FXW122" s="225"/>
      <c r="FXX122" s="225"/>
      <c r="FXY122" s="225"/>
      <c r="FXZ122" s="225"/>
      <c r="FYA122" s="225"/>
      <c r="FYB122" s="225"/>
      <c r="FYC122" s="225"/>
      <c r="FYD122" s="225"/>
      <c r="FYE122" s="225"/>
      <c r="FYF122" s="225"/>
      <c r="FYG122" s="225"/>
      <c r="FYH122" s="225"/>
      <c r="FYI122" s="225"/>
      <c r="FYJ122" s="225"/>
      <c r="FYK122" s="225"/>
      <c r="FYL122" s="225"/>
      <c r="FYM122" s="225"/>
      <c r="FYN122" s="225"/>
      <c r="FYO122" s="225"/>
      <c r="FYP122" s="225"/>
      <c r="FYQ122" s="225"/>
      <c r="FYR122" s="225"/>
      <c r="FYS122" s="225"/>
      <c r="FYT122" s="225"/>
      <c r="FYU122" s="225"/>
      <c r="FYV122" s="225"/>
      <c r="FYW122" s="225"/>
      <c r="FYX122" s="225"/>
      <c r="FYY122" s="225"/>
      <c r="FYZ122" s="225"/>
      <c r="FZA122" s="225"/>
      <c r="FZB122" s="225"/>
      <c r="FZC122" s="225"/>
      <c r="FZD122" s="225"/>
      <c r="FZE122" s="225"/>
      <c r="FZF122" s="225"/>
      <c r="FZG122" s="225"/>
      <c r="FZH122" s="225"/>
      <c r="FZI122" s="225"/>
      <c r="FZJ122" s="225"/>
      <c r="FZK122" s="225"/>
      <c r="FZL122" s="225"/>
      <c r="FZM122" s="225"/>
      <c r="FZN122" s="225"/>
      <c r="FZO122" s="225"/>
      <c r="FZP122" s="225"/>
      <c r="FZQ122" s="225"/>
      <c r="FZR122" s="225"/>
      <c r="FZS122" s="225"/>
      <c r="FZT122" s="225"/>
      <c r="FZU122" s="225"/>
      <c r="FZV122" s="225"/>
      <c r="FZW122" s="225"/>
      <c r="FZX122" s="225"/>
      <c r="FZY122" s="225"/>
      <c r="FZZ122" s="225"/>
      <c r="GAA122" s="225"/>
      <c r="GAB122" s="225"/>
      <c r="GAC122" s="225"/>
      <c r="GAD122" s="225"/>
      <c r="GAE122" s="225"/>
      <c r="GAF122" s="225"/>
      <c r="GAG122" s="225"/>
      <c r="GAH122" s="225"/>
      <c r="GAI122" s="225"/>
      <c r="GAJ122" s="225"/>
      <c r="GAK122" s="225"/>
      <c r="GAL122" s="225"/>
      <c r="GAM122" s="225"/>
      <c r="GAN122" s="225"/>
      <c r="GAO122" s="225"/>
      <c r="GAP122" s="225"/>
      <c r="GAQ122" s="225"/>
      <c r="GAR122" s="225"/>
      <c r="GAS122" s="225"/>
      <c r="GAT122" s="225"/>
      <c r="GAU122" s="225"/>
      <c r="GAV122" s="225"/>
      <c r="GAW122" s="225"/>
      <c r="GAX122" s="225"/>
      <c r="GAY122" s="225"/>
      <c r="GAZ122" s="225"/>
      <c r="GBA122" s="225"/>
      <c r="GBB122" s="225"/>
      <c r="GBC122" s="225"/>
      <c r="GBD122" s="225"/>
      <c r="GBE122" s="225"/>
      <c r="GBF122" s="225"/>
      <c r="GBG122" s="225"/>
      <c r="GBH122" s="225"/>
      <c r="GBI122" s="225"/>
      <c r="GBJ122" s="225"/>
      <c r="GBK122" s="225"/>
      <c r="GBL122" s="225"/>
      <c r="GBM122" s="225"/>
      <c r="GBN122" s="225"/>
      <c r="GBO122" s="225"/>
      <c r="GBP122" s="225"/>
      <c r="GBQ122" s="225"/>
      <c r="GBR122" s="225"/>
      <c r="GBS122" s="225"/>
      <c r="GBT122" s="225"/>
      <c r="GBU122" s="225"/>
      <c r="GBV122" s="225"/>
      <c r="GBW122" s="225"/>
      <c r="GBX122" s="225"/>
      <c r="GBY122" s="225"/>
      <c r="GBZ122" s="225"/>
      <c r="GCA122" s="225"/>
      <c r="GCB122" s="225"/>
      <c r="GCC122" s="225"/>
      <c r="GCD122" s="225"/>
      <c r="GCE122" s="225"/>
      <c r="GCF122" s="225"/>
      <c r="GCG122" s="225"/>
      <c r="GCH122" s="225"/>
      <c r="GCI122" s="225"/>
      <c r="GCJ122" s="225"/>
      <c r="GCK122" s="225"/>
      <c r="GCL122" s="225"/>
      <c r="GCM122" s="225"/>
      <c r="GCN122" s="225"/>
      <c r="GCO122" s="225"/>
      <c r="GCP122" s="225"/>
      <c r="GCQ122" s="225"/>
      <c r="GCR122" s="225"/>
      <c r="GCS122" s="225"/>
      <c r="GCT122" s="225"/>
      <c r="GCU122" s="225"/>
      <c r="GCV122" s="225"/>
      <c r="GCW122" s="225"/>
      <c r="GCX122" s="225"/>
      <c r="GCY122" s="225"/>
      <c r="GCZ122" s="225"/>
      <c r="GDA122" s="225"/>
      <c r="GDB122" s="225"/>
      <c r="GDC122" s="225"/>
      <c r="GDD122" s="225"/>
      <c r="GDE122" s="225"/>
      <c r="GDF122" s="225"/>
      <c r="GDG122" s="225"/>
      <c r="GDH122" s="225"/>
      <c r="GDI122" s="225"/>
      <c r="GDJ122" s="225"/>
      <c r="GDK122" s="225"/>
      <c r="GDL122" s="225"/>
      <c r="GDM122" s="225"/>
      <c r="GDN122" s="225"/>
      <c r="GDO122" s="225"/>
      <c r="GDP122" s="225"/>
      <c r="GDQ122" s="225"/>
      <c r="GDR122" s="225"/>
      <c r="GDS122" s="225"/>
      <c r="GDT122" s="225"/>
      <c r="GDU122" s="225"/>
      <c r="GDV122" s="225"/>
      <c r="GDW122" s="225"/>
      <c r="GDX122" s="225"/>
      <c r="GDY122" s="225"/>
      <c r="GDZ122" s="225"/>
      <c r="GEA122" s="225"/>
      <c r="GEB122" s="225"/>
      <c r="GEC122" s="225"/>
      <c r="GED122" s="225"/>
      <c r="GEE122" s="225"/>
      <c r="GEF122" s="225"/>
      <c r="GEG122" s="225"/>
      <c r="GEH122" s="225"/>
      <c r="GEI122" s="225"/>
      <c r="GEJ122" s="225"/>
      <c r="GEK122" s="225"/>
      <c r="GEL122" s="225"/>
      <c r="GEM122" s="225"/>
      <c r="GEN122" s="225"/>
      <c r="GEO122" s="225"/>
      <c r="GEP122" s="225"/>
      <c r="GEQ122" s="225"/>
      <c r="GER122" s="225"/>
      <c r="GES122" s="225"/>
      <c r="GET122" s="225"/>
      <c r="GEU122" s="225"/>
      <c r="GEV122" s="225"/>
      <c r="GEW122" s="225"/>
      <c r="GEX122" s="225"/>
      <c r="GEY122" s="225"/>
      <c r="GEZ122" s="225"/>
      <c r="GFA122" s="225"/>
      <c r="GFB122" s="225"/>
      <c r="GFC122" s="225"/>
      <c r="GFD122" s="225"/>
      <c r="GFE122" s="225"/>
      <c r="GFF122" s="225"/>
      <c r="GFG122" s="225"/>
      <c r="GFH122" s="225"/>
      <c r="GFI122" s="225"/>
      <c r="GFJ122" s="225"/>
      <c r="GFK122" s="225"/>
      <c r="GFL122" s="225"/>
      <c r="GFM122" s="225"/>
      <c r="GFN122" s="225"/>
      <c r="GFO122" s="225"/>
      <c r="GFP122" s="225"/>
      <c r="GFQ122" s="225"/>
      <c r="GFR122" s="225"/>
      <c r="GFS122" s="225"/>
      <c r="GFT122" s="225"/>
      <c r="GFU122" s="225"/>
      <c r="GFV122" s="225"/>
      <c r="GFW122" s="225"/>
      <c r="GFX122" s="225"/>
      <c r="GFY122" s="225"/>
      <c r="GFZ122" s="225"/>
      <c r="GGA122" s="225"/>
      <c r="GGB122" s="225"/>
      <c r="GGC122" s="225"/>
      <c r="GGD122" s="225"/>
      <c r="GGE122" s="225"/>
      <c r="GGF122" s="225"/>
      <c r="GGG122" s="225"/>
      <c r="GGH122" s="225"/>
      <c r="GGI122" s="225"/>
      <c r="GGJ122" s="225"/>
      <c r="GGK122" s="225"/>
      <c r="GGL122" s="225"/>
      <c r="GGM122" s="225"/>
      <c r="GGN122" s="225"/>
      <c r="GGO122" s="225"/>
      <c r="GGP122" s="225"/>
      <c r="GGQ122" s="225"/>
      <c r="GGR122" s="225"/>
      <c r="GGS122" s="225"/>
      <c r="GGT122" s="225"/>
      <c r="GGU122" s="225"/>
      <c r="GGV122" s="225"/>
      <c r="GGW122" s="225"/>
      <c r="GGX122" s="225"/>
      <c r="GGY122" s="225"/>
      <c r="GGZ122" s="225"/>
      <c r="GHA122" s="225"/>
      <c r="GHB122" s="225"/>
      <c r="GHC122" s="225"/>
      <c r="GHD122" s="225"/>
      <c r="GHE122" s="225"/>
      <c r="GHF122" s="225"/>
      <c r="GHG122" s="225"/>
      <c r="GHH122" s="225"/>
      <c r="GHI122" s="225"/>
      <c r="GHJ122" s="225"/>
      <c r="GHK122" s="225"/>
      <c r="GHL122" s="225"/>
      <c r="GHM122" s="225"/>
      <c r="GHN122" s="225"/>
      <c r="GHO122" s="225"/>
      <c r="GHP122" s="225"/>
      <c r="GHQ122" s="225"/>
      <c r="GHR122" s="225"/>
      <c r="GHS122" s="225"/>
      <c r="GHT122" s="225"/>
      <c r="GHU122" s="225"/>
      <c r="GHV122" s="225"/>
      <c r="GHW122" s="225"/>
      <c r="GHX122" s="225"/>
      <c r="GHY122" s="225"/>
      <c r="GHZ122" s="225"/>
      <c r="GIA122" s="225"/>
      <c r="GIB122" s="225"/>
      <c r="GIC122" s="225"/>
      <c r="GID122" s="225"/>
      <c r="GIE122" s="225"/>
      <c r="GIF122" s="225"/>
      <c r="GIG122" s="225"/>
      <c r="GIH122" s="225"/>
      <c r="GII122" s="225"/>
      <c r="GIJ122" s="225"/>
      <c r="GIK122" s="225"/>
      <c r="GIL122" s="225"/>
      <c r="GIM122" s="225"/>
      <c r="GIN122" s="225"/>
      <c r="GIO122" s="225"/>
      <c r="GIP122" s="225"/>
      <c r="GIQ122" s="225"/>
      <c r="GIR122" s="225"/>
      <c r="GIS122" s="225"/>
      <c r="GIT122" s="225"/>
      <c r="GIU122" s="225"/>
      <c r="GIV122" s="225"/>
      <c r="GIW122" s="225"/>
      <c r="GIX122" s="225"/>
      <c r="GIY122" s="225"/>
      <c r="GIZ122" s="225"/>
      <c r="GJA122" s="225"/>
      <c r="GJB122" s="225"/>
      <c r="GJC122" s="225"/>
      <c r="GJD122" s="225"/>
      <c r="GJE122" s="225"/>
      <c r="GJF122" s="225"/>
      <c r="GJG122" s="225"/>
      <c r="GJH122" s="225"/>
      <c r="GJI122" s="225"/>
      <c r="GJJ122" s="225"/>
      <c r="GJK122" s="225"/>
      <c r="GJL122" s="225"/>
      <c r="GJM122" s="225"/>
      <c r="GJN122" s="225"/>
      <c r="GJO122" s="225"/>
      <c r="GJP122" s="225"/>
      <c r="GJQ122" s="225"/>
      <c r="GJR122" s="225"/>
      <c r="GJS122" s="225"/>
      <c r="GJT122" s="225"/>
      <c r="GJU122" s="225"/>
      <c r="GJV122" s="225"/>
      <c r="GJW122" s="225"/>
      <c r="GJX122" s="225"/>
      <c r="GJY122" s="225"/>
      <c r="GJZ122" s="225"/>
      <c r="GKA122" s="225"/>
      <c r="GKB122" s="225"/>
      <c r="GKC122" s="225"/>
      <c r="GKD122" s="225"/>
      <c r="GKE122" s="225"/>
      <c r="GKF122" s="225"/>
      <c r="GKG122" s="225"/>
      <c r="GKH122" s="225"/>
      <c r="GKI122" s="225"/>
      <c r="GKJ122" s="225"/>
      <c r="GKK122" s="225"/>
      <c r="GKL122" s="225"/>
      <c r="GKM122" s="225"/>
      <c r="GKN122" s="225"/>
      <c r="GKO122" s="225"/>
      <c r="GKP122" s="225"/>
      <c r="GKQ122" s="225"/>
      <c r="GKR122" s="225"/>
      <c r="GKS122" s="225"/>
      <c r="GKT122" s="225"/>
      <c r="GKU122" s="225"/>
      <c r="GKV122" s="225"/>
      <c r="GKW122" s="225"/>
      <c r="GKX122" s="225"/>
      <c r="GKY122" s="225"/>
      <c r="GKZ122" s="225"/>
      <c r="GLA122" s="225"/>
      <c r="GLB122" s="225"/>
      <c r="GLC122" s="225"/>
      <c r="GLD122" s="225"/>
      <c r="GLE122" s="225"/>
      <c r="GLF122" s="225"/>
      <c r="GLG122" s="225"/>
      <c r="GLH122" s="225"/>
      <c r="GLI122" s="225"/>
      <c r="GLJ122" s="225"/>
      <c r="GLK122" s="225"/>
      <c r="GLL122" s="225"/>
      <c r="GLM122" s="225"/>
      <c r="GLN122" s="225"/>
      <c r="GLO122" s="225"/>
      <c r="GLP122" s="225"/>
      <c r="GLQ122" s="225"/>
      <c r="GLR122" s="225"/>
      <c r="GLS122" s="225"/>
      <c r="GLT122" s="225"/>
      <c r="GLU122" s="225"/>
      <c r="GLV122" s="225"/>
      <c r="GLW122" s="225"/>
      <c r="GLX122" s="225"/>
      <c r="GLY122" s="225"/>
      <c r="GLZ122" s="225"/>
      <c r="GMA122" s="225"/>
      <c r="GMB122" s="225"/>
      <c r="GMC122" s="225"/>
      <c r="GMD122" s="225"/>
      <c r="GME122" s="225"/>
      <c r="GMF122" s="225"/>
      <c r="GMG122" s="225"/>
      <c r="GMH122" s="225"/>
      <c r="GMI122" s="225"/>
      <c r="GMJ122" s="225"/>
      <c r="GMK122" s="225"/>
      <c r="GML122" s="225"/>
      <c r="GMM122" s="225"/>
      <c r="GMN122" s="225"/>
      <c r="GMO122" s="225"/>
      <c r="GMP122" s="225"/>
      <c r="GMQ122" s="225"/>
      <c r="GMR122" s="225"/>
      <c r="GMS122" s="225"/>
      <c r="GMT122" s="225"/>
      <c r="GMU122" s="225"/>
      <c r="GMV122" s="225"/>
      <c r="GMW122" s="225"/>
      <c r="GMX122" s="225"/>
      <c r="GMY122" s="225"/>
      <c r="GMZ122" s="225"/>
      <c r="GNA122" s="225"/>
      <c r="GNB122" s="225"/>
      <c r="GNC122" s="225"/>
      <c r="GND122" s="225"/>
      <c r="GNE122" s="225"/>
      <c r="GNF122" s="225"/>
      <c r="GNG122" s="225"/>
      <c r="GNH122" s="225"/>
      <c r="GNI122" s="225"/>
      <c r="GNJ122" s="225"/>
      <c r="GNK122" s="225"/>
      <c r="GNL122" s="225"/>
      <c r="GNM122" s="225"/>
      <c r="GNN122" s="225"/>
      <c r="GNO122" s="225"/>
      <c r="GNP122" s="225"/>
      <c r="GNQ122" s="225"/>
      <c r="GNR122" s="225"/>
      <c r="GNS122" s="225"/>
      <c r="GNT122" s="225"/>
      <c r="GNU122" s="225"/>
      <c r="GNV122" s="225"/>
      <c r="GNW122" s="225"/>
      <c r="GNX122" s="225"/>
      <c r="GNY122" s="225"/>
      <c r="GNZ122" s="225"/>
      <c r="GOA122" s="225"/>
      <c r="GOB122" s="225"/>
      <c r="GOC122" s="225"/>
      <c r="GOD122" s="225"/>
      <c r="GOE122" s="225"/>
      <c r="GOF122" s="225"/>
      <c r="GOG122" s="225"/>
      <c r="GOH122" s="225"/>
      <c r="GOI122" s="225"/>
      <c r="GOJ122" s="225"/>
      <c r="GOK122" s="225"/>
      <c r="GOL122" s="225"/>
      <c r="GOM122" s="225"/>
      <c r="GON122" s="225"/>
      <c r="GOO122" s="225"/>
      <c r="GOP122" s="225"/>
      <c r="GOQ122" s="225"/>
      <c r="GOR122" s="225"/>
      <c r="GOS122" s="225"/>
      <c r="GOT122" s="225"/>
      <c r="GOU122" s="225"/>
      <c r="GOV122" s="225"/>
      <c r="GOW122" s="225"/>
      <c r="GOX122" s="225"/>
      <c r="GOY122" s="225"/>
      <c r="GOZ122" s="225"/>
      <c r="GPA122" s="225"/>
      <c r="GPB122" s="225"/>
      <c r="GPC122" s="225"/>
      <c r="GPD122" s="225"/>
      <c r="GPE122" s="225"/>
      <c r="GPF122" s="225"/>
      <c r="GPG122" s="225"/>
      <c r="GPH122" s="225"/>
      <c r="GPI122" s="225"/>
      <c r="GPJ122" s="225"/>
      <c r="GPK122" s="225"/>
      <c r="GPL122" s="225"/>
      <c r="GPM122" s="225"/>
      <c r="GPN122" s="225"/>
      <c r="GPO122" s="225"/>
      <c r="GPP122" s="225"/>
      <c r="GPQ122" s="225"/>
      <c r="GPR122" s="225"/>
      <c r="GPS122" s="225"/>
      <c r="GPT122" s="225"/>
      <c r="GPU122" s="225"/>
      <c r="GPV122" s="225"/>
      <c r="GPW122" s="225"/>
      <c r="GPX122" s="225"/>
      <c r="GPY122" s="225"/>
      <c r="GPZ122" s="225"/>
      <c r="GQA122" s="225"/>
      <c r="GQB122" s="225"/>
      <c r="GQC122" s="225"/>
      <c r="GQD122" s="225"/>
      <c r="GQE122" s="225"/>
      <c r="GQF122" s="225"/>
      <c r="GQG122" s="225"/>
      <c r="GQH122" s="225"/>
      <c r="GQI122" s="225"/>
      <c r="GQJ122" s="225"/>
      <c r="GQK122" s="225"/>
      <c r="GQL122" s="225"/>
      <c r="GQM122" s="225"/>
      <c r="GQN122" s="225"/>
      <c r="GQO122" s="225"/>
      <c r="GQP122" s="225"/>
      <c r="GQQ122" s="225"/>
      <c r="GQR122" s="225"/>
      <c r="GQS122" s="225"/>
      <c r="GQT122" s="225"/>
      <c r="GQU122" s="225"/>
      <c r="GQV122" s="225"/>
      <c r="GQW122" s="225"/>
      <c r="GQX122" s="225"/>
      <c r="GQY122" s="225"/>
      <c r="GQZ122" s="225"/>
      <c r="GRA122" s="225"/>
      <c r="GRB122" s="225"/>
      <c r="GRC122" s="225"/>
      <c r="GRD122" s="225"/>
      <c r="GRE122" s="225"/>
      <c r="GRF122" s="225"/>
      <c r="GRG122" s="225"/>
      <c r="GRH122" s="225"/>
      <c r="GRI122" s="225"/>
      <c r="GRJ122" s="225"/>
      <c r="GRK122" s="225"/>
      <c r="GRL122" s="225"/>
      <c r="GRM122" s="225"/>
      <c r="GRN122" s="225"/>
      <c r="GRO122" s="225"/>
      <c r="GRP122" s="225"/>
      <c r="GRQ122" s="225"/>
      <c r="GRR122" s="225"/>
      <c r="GRS122" s="225"/>
      <c r="GRT122" s="225"/>
      <c r="GRU122" s="225"/>
      <c r="GRV122" s="225"/>
      <c r="GRW122" s="225"/>
      <c r="GRX122" s="225"/>
      <c r="GRY122" s="225"/>
      <c r="GRZ122" s="225"/>
      <c r="GSA122" s="225"/>
      <c r="GSB122" s="225"/>
      <c r="GSC122" s="225"/>
      <c r="GSD122" s="225"/>
      <c r="GSE122" s="225"/>
      <c r="GSF122" s="225"/>
      <c r="GSG122" s="225"/>
      <c r="GSH122" s="225"/>
      <c r="GSI122" s="225"/>
      <c r="GSJ122" s="225"/>
      <c r="GSK122" s="225"/>
      <c r="GSL122" s="225"/>
      <c r="GSM122" s="225"/>
      <c r="GSN122" s="225"/>
      <c r="GSO122" s="225"/>
      <c r="GSP122" s="225"/>
      <c r="GSQ122" s="225"/>
      <c r="GSR122" s="225"/>
      <c r="GSS122" s="225"/>
      <c r="GST122" s="225"/>
      <c r="GSU122" s="225"/>
      <c r="GSV122" s="225"/>
      <c r="GSW122" s="225"/>
      <c r="GSX122" s="225"/>
      <c r="GSY122" s="225"/>
      <c r="GSZ122" s="225"/>
      <c r="GTA122" s="225"/>
      <c r="GTB122" s="225"/>
      <c r="GTC122" s="225"/>
      <c r="GTD122" s="225"/>
      <c r="GTE122" s="225"/>
      <c r="GTF122" s="225"/>
      <c r="GTG122" s="225"/>
      <c r="GTH122" s="225"/>
      <c r="GTI122" s="225"/>
      <c r="GTJ122" s="225"/>
      <c r="GTK122" s="225"/>
      <c r="GTL122" s="225"/>
      <c r="GTM122" s="225"/>
      <c r="GTN122" s="225"/>
      <c r="GTO122" s="225"/>
      <c r="GTP122" s="225"/>
      <c r="GTQ122" s="225"/>
      <c r="GTR122" s="225"/>
      <c r="GTS122" s="225"/>
      <c r="GTT122" s="225"/>
      <c r="GTU122" s="225"/>
      <c r="GTV122" s="225"/>
      <c r="GTW122" s="225"/>
      <c r="GTX122" s="225"/>
      <c r="GTY122" s="225"/>
      <c r="GTZ122" s="225"/>
      <c r="GUA122" s="225"/>
      <c r="GUB122" s="225"/>
      <c r="GUC122" s="225"/>
      <c r="GUD122" s="225"/>
      <c r="GUE122" s="225"/>
      <c r="GUF122" s="225"/>
      <c r="GUG122" s="225"/>
      <c r="GUH122" s="225"/>
      <c r="GUI122" s="225"/>
      <c r="GUJ122" s="225"/>
      <c r="GUK122" s="225"/>
      <c r="GUL122" s="225"/>
      <c r="GUM122" s="225"/>
      <c r="GUN122" s="225"/>
      <c r="GUO122" s="225"/>
      <c r="GUP122" s="225"/>
      <c r="GUQ122" s="225"/>
      <c r="GUR122" s="225"/>
      <c r="GUS122" s="225"/>
      <c r="GUT122" s="225"/>
      <c r="GUU122" s="225"/>
      <c r="GUV122" s="225"/>
      <c r="GUW122" s="225"/>
      <c r="GUX122" s="225"/>
      <c r="GUY122" s="225"/>
      <c r="GUZ122" s="225"/>
      <c r="GVA122" s="225"/>
      <c r="GVB122" s="225"/>
      <c r="GVC122" s="225"/>
      <c r="GVD122" s="225"/>
      <c r="GVE122" s="225"/>
      <c r="GVF122" s="225"/>
      <c r="GVG122" s="225"/>
      <c r="GVH122" s="225"/>
      <c r="GVI122" s="225"/>
      <c r="GVJ122" s="225"/>
      <c r="GVK122" s="225"/>
      <c r="GVL122" s="225"/>
      <c r="GVM122" s="225"/>
      <c r="GVN122" s="225"/>
      <c r="GVO122" s="225"/>
      <c r="GVP122" s="225"/>
      <c r="GVQ122" s="225"/>
      <c r="GVR122" s="225"/>
      <c r="GVS122" s="225"/>
      <c r="GVT122" s="225"/>
      <c r="GVU122" s="225"/>
      <c r="GVV122" s="225"/>
      <c r="GVW122" s="225"/>
      <c r="GVX122" s="225"/>
      <c r="GVY122" s="225"/>
      <c r="GVZ122" s="225"/>
      <c r="GWA122" s="225"/>
      <c r="GWB122" s="225"/>
      <c r="GWC122" s="225"/>
      <c r="GWD122" s="225"/>
      <c r="GWE122" s="225"/>
      <c r="GWF122" s="225"/>
      <c r="GWG122" s="225"/>
      <c r="GWH122" s="225"/>
      <c r="GWI122" s="225"/>
      <c r="GWJ122" s="225"/>
      <c r="GWK122" s="225"/>
      <c r="GWL122" s="225"/>
      <c r="GWM122" s="225"/>
      <c r="GWN122" s="225"/>
      <c r="GWO122" s="225"/>
      <c r="GWP122" s="225"/>
      <c r="GWQ122" s="225"/>
      <c r="GWR122" s="225"/>
      <c r="GWS122" s="225"/>
      <c r="GWT122" s="225"/>
      <c r="GWU122" s="225"/>
      <c r="GWV122" s="225"/>
      <c r="GWW122" s="225"/>
      <c r="GWX122" s="225"/>
      <c r="GWY122" s="225"/>
      <c r="GWZ122" s="225"/>
      <c r="GXA122" s="225"/>
      <c r="GXB122" s="225"/>
      <c r="GXC122" s="225"/>
      <c r="GXD122" s="225"/>
      <c r="GXE122" s="225"/>
      <c r="GXF122" s="225"/>
      <c r="GXG122" s="225"/>
      <c r="GXH122" s="225"/>
      <c r="GXI122" s="225"/>
      <c r="GXJ122" s="225"/>
      <c r="GXK122" s="225"/>
      <c r="GXL122" s="225"/>
      <c r="GXM122" s="225"/>
      <c r="GXN122" s="225"/>
      <c r="GXO122" s="225"/>
      <c r="GXP122" s="225"/>
      <c r="GXQ122" s="225"/>
      <c r="GXR122" s="225"/>
      <c r="GXS122" s="225"/>
      <c r="GXT122" s="225"/>
      <c r="GXU122" s="225"/>
      <c r="GXV122" s="225"/>
      <c r="GXW122" s="225"/>
      <c r="GXX122" s="225"/>
      <c r="GXY122" s="225"/>
      <c r="GXZ122" s="225"/>
      <c r="GYA122" s="225"/>
      <c r="GYB122" s="225"/>
      <c r="GYC122" s="225"/>
      <c r="GYD122" s="225"/>
      <c r="GYE122" s="225"/>
      <c r="GYF122" s="225"/>
      <c r="GYG122" s="225"/>
      <c r="GYH122" s="225"/>
      <c r="GYI122" s="225"/>
      <c r="GYJ122" s="225"/>
      <c r="GYK122" s="225"/>
      <c r="GYL122" s="225"/>
      <c r="GYM122" s="225"/>
      <c r="GYN122" s="225"/>
      <c r="GYO122" s="225"/>
      <c r="GYP122" s="225"/>
      <c r="GYQ122" s="225"/>
      <c r="GYR122" s="225"/>
      <c r="GYS122" s="225"/>
      <c r="GYT122" s="225"/>
      <c r="GYU122" s="225"/>
      <c r="GYV122" s="225"/>
      <c r="GYW122" s="225"/>
      <c r="GYX122" s="225"/>
      <c r="GYY122" s="225"/>
      <c r="GYZ122" s="225"/>
      <c r="GZA122" s="225"/>
      <c r="GZB122" s="225"/>
      <c r="GZC122" s="225"/>
      <c r="GZD122" s="225"/>
      <c r="GZE122" s="225"/>
      <c r="GZF122" s="225"/>
      <c r="GZG122" s="225"/>
      <c r="GZH122" s="225"/>
      <c r="GZI122" s="225"/>
      <c r="GZJ122" s="225"/>
      <c r="GZK122" s="225"/>
      <c r="GZL122" s="225"/>
      <c r="GZM122" s="225"/>
      <c r="GZN122" s="225"/>
      <c r="GZO122" s="225"/>
      <c r="GZP122" s="225"/>
      <c r="GZQ122" s="225"/>
      <c r="GZR122" s="225"/>
      <c r="GZS122" s="225"/>
      <c r="GZT122" s="225"/>
      <c r="GZU122" s="225"/>
      <c r="GZV122" s="225"/>
      <c r="GZW122" s="225"/>
      <c r="GZX122" s="225"/>
      <c r="GZY122" s="225"/>
      <c r="GZZ122" s="225"/>
      <c r="HAA122" s="225"/>
      <c r="HAB122" s="225"/>
      <c r="HAC122" s="225"/>
      <c r="HAD122" s="225"/>
      <c r="HAE122" s="225"/>
      <c r="HAF122" s="225"/>
      <c r="HAG122" s="225"/>
      <c r="HAH122" s="225"/>
      <c r="HAI122" s="225"/>
      <c r="HAJ122" s="225"/>
      <c r="HAK122" s="225"/>
      <c r="HAL122" s="225"/>
      <c r="HAM122" s="225"/>
      <c r="HAN122" s="225"/>
      <c r="HAO122" s="225"/>
      <c r="HAP122" s="225"/>
      <c r="HAQ122" s="225"/>
      <c r="HAR122" s="225"/>
      <c r="HAS122" s="225"/>
      <c r="HAT122" s="225"/>
      <c r="HAU122" s="225"/>
      <c r="HAV122" s="225"/>
      <c r="HAW122" s="225"/>
      <c r="HAX122" s="225"/>
      <c r="HAY122" s="225"/>
      <c r="HAZ122" s="225"/>
      <c r="HBA122" s="225"/>
      <c r="HBB122" s="225"/>
      <c r="HBC122" s="225"/>
      <c r="HBD122" s="225"/>
      <c r="HBE122" s="225"/>
      <c r="HBF122" s="225"/>
      <c r="HBG122" s="225"/>
      <c r="HBH122" s="225"/>
      <c r="HBI122" s="225"/>
      <c r="HBJ122" s="225"/>
      <c r="HBK122" s="225"/>
      <c r="HBL122" s="225"/>
      <c r="HBM122" s="225"/>
      <c r="HBN122" s="225"/>
      <c r="HBO122" s="225"/>
      <c r="HBP122" s="225"/>
      <c r="HBQ122" s="225"/>
      <c r="HBR122" s="225"/>
      <c r="HBS122" s="225"/>
      <c r="HBT122" s="225"/>
      <c r="HBU122" s="225"/>
      <c r="HBV122" s="225"/>
      <c r="HBW122" s="225"/>
      <c r="HBX122" s="225"/>
      <c r="HBY122" s="225"/>
      <c r="HBZ122" s="225"/>
      <c r="HCA122" s="225"/>
      <c r="HCB122" s="225"/>
      <c r="HCC122" s="225"/>
      <c r="HCD122" s="225"/>
      <c r="HCE122" s="225"/>
      <c r="HCF122" s="225"/>
      <c r="HCG122" s="225"/>
      <c r="HCH122" s="225"/>
      <c r="HCI122" s="225"/>
      <c r="HCJ122" s="225"/>
      <c r="HCK122" s="225"/>
      <c r="HCL122" s="225"/>
      <c r="HCM122" s="225"/>
      <c r="HCN122" s="225"/>
      <c r="HCO122" s="225"/>
      <c r="HCP122" s="225"/>
      <c r="HCQ122" s="225"/>
      <c r="HCR122" s="225"/>
      <c r="HCS122" s="225"/>
      <c r="HCT122" s="225"/>
      <c r="HCU122" s="225"/>
      <c r="HCV122" s="225"/>
      <c r="HCW122" s="225"/>
      <c r="HCX122" s="225"/>
      <c r="HCY122" s="225"/>
      <c r="HCZ122" s="225"/>
      <c r="HDA122" s="225"/>
      <c r="HDB122" s="225"/>
      <c r="HDC122" s="225"/>
      <c r="HDD122" s="225"/>
      <c r="HDE122" s="225"/>
      <c r="HDF122" s="225"/>
      <c r="HDG122" s="225"/>
      <c r="HDH122" s="225"/>
      <c r="HDI122" s="225"/>
      <c r="HDJ122" s="225"/>
      <c r="HDK122" s="225"/>
      <c r="HDL122" s="225"/>
      <c r="HDM122" s="225"/>
      <c r="HDN122" s="225"/>
      <c r="HDO122" s="225"/>
      <c r="HDP122" s="225"/>
      <c r="HDQ122" s="225"/>
      <c r="HDR122" s="225"/>
      <c r="HDS122" s="225"/>
      <c r="HDT122" s="225"/>
      <c r="HDU122" s="225"/>
      <c r="HDV122" s="225"/>
      <c r="HDW122" s="225"/>
      <c r="HDX122" s="225"/>
      <c r="HDY122" s="225"/>
      <c r="HDZ122" s="225"/>
      <c r="HEA122" s="225"/>
      <c r="HEB122" s="225"/>
      <c r="HEC122" s="225"/>
      <c r="HED122" s="225"/>
      <c r="HEE122" s="225"/>
      <c r="HEF122" s="225"/>
      <c r="HEG122" s="225"/>
      <c r="HEH122" s="225"/>
      <c r="HEI122" s="225"/>
      <c r="HEJ122" s="225"/>
      <c r="HEK122" s="225"/>
      <c r="HEL122" s="225"/>
      <c r="HEM122" s="225"/>
      <c r="HEN122" s="225"/>
      <c r="HEO122" s="225"/>
      <c r="HEP122" s="225"/>
      <c r="HEQ122" s="225"/>
      <c r="HER122" s="225"/>
      <c r="HES122" s="225"/>
      <c r="HET122" s="225"/>
      <c r="HEU122" s="225"/>
      <c r="HEV122" s="225"/>
      <c r="HEW122" s="225"/>
      <c r="HEX122" s="225"/>
      <c r="HEY122" s="225"/>
      <c r="HEZ122" s="225"/>
      <c r="HFA122" s="225"/>
      <c r="HFB122" s="225"/>
      <c r="HFC122" s="225"/>
      <c r="HFD122" s="225"/>
      <c r="HFE122" s="225"/>
      <c r="HFF122" s="225"/>
      <c r="HFG122" s="225"/>
      <c r="HFH122" s="225"/>
      <c r="HFI122" s="225"/>
      <c r="HFJ122" s="225"/>
      <c r="HFK122" s="225"/>
      <c r="HFL122" s="225"/>
      <c r="HFM122" s="225"/>
      <c r="HFN122" s="225"/>
      <c r="HFO122" s="225"/>
      <c r="HFP122" s="225"/>
      <c r="HFQ122" s="225"/>
      <c r="HFR122" s="225"/>
      <c r="HFS122" s="225"/>
      <c r="HFT122" s="225"/>
      <c r="HFU122" s="225"/>
      <c r="HFV122" s="225"/>
      <c r="HFW122" s="225"/>
      <c r="HFX122" s="225"/>
      <c r="HFY122" s="225"/>
      <c r="HFZ122" s="225"/>
      <c r="HGA122" s="225"/>
      <c r="HGB122" s="225"/>
      <c r="HGC122" s="225"/>
      <c r="HGD122" s="225"/>
      <c r="HGE122" s="225"/>
      <c r="HGF122" s="225"/>
      <c r="HGG122" s="225"/>
      <c r="HGH122" s="225"/>
      <c r="HGI122" s="225"/>
      <c r="HGJ122" s="225"/>
      <c r="HGK122" s="225"/>
      <c r="HGL122" s="225"/>
      <c r="HGM122" s="225"/>
      <c r="HGN122" s="225"/>
      <c r="HGO122" s="225"/>
      <c r="HGP122" s="225"/>
      <c r="HGQ122" s="225"/>
      <c r="HGR122" s="225"/>
      <c r="HGS122" s="225"/>
      <c r="HGT122" s="225"/>
      <c r="HGU122" s="225"/>
      <c r="HGV122" s="225"/>
      <c r="HGW122" s="225"/>
      <c r="HGX122" s="225"/>
      <c r="HGY122" s="225"/>
      <c r="HGZ122" s="225"/>
      <c r="HHA122" s="225"/>
      <c r="HHB122" s="225"/>
      <c r="HHC122" s="225"/>
      <c r="HHD122" s="225"/>
      <c r="HHE122" s="225"/>
      <c r="HHF122" s="225"/>
      <c r="HHG122" s="225"/>
      <c r="HHH122" s="225"/>
      <c r="HHI122" s="225"/>
      <c r="HHJ122" s="225"/>
      <c r="HHK122" s="225"/>
      <c r="HHL122" s="225"/>
      <c r="HHM122" s="225"/>
      <c r="HHN122" s="225"/>
      <c r="HHO122" s="225"/>
      <c r="HHP122" s="225"/>
      <c r="HHQ122" s="225"/>
      <c r="HHR122" s="225"/>
      <c r="HHS122" s="225"/>
      <c r="HHT122" s="225"/>
      <c r="HHU122" s="225"/>
      <c r="HHV122" s="225"/>
      <c r="HHW122" s="225"/>
      <c r="HHX122" s="225"/>
      <c r="HHY122" s="225"/>
      <c r="HHZ122" s="225"/>
      <c r="HIA122" s="225"/>
      <c r="HIB122" s="225"/>
      <c r="HIC122" s="225"/>
      <c r="HID122" s="225"/>
      <c r="HIE122" s="225"/>
      <c r="HIF122" s="225"/>
      <c r="HIG122" s="225"/>
      <c r="HIH122" s="225"/>
      <c r="HII122" s="225"/>
      <c r="HIJ122" s="225"/>
      <c r="HIK122" s="225"/>
      <c r="HIL122" s="225"/>
      <c r="HIM122" s="225"/>
      <c r="HIN122" s="225"/>
      <c r="HIO122" s="225"/>
      <c r="HIP122" s="225"/>
      <c r="HIQ122" s="225"/>
      <c r="HIR122" s="225"/>
      <c r="HIS122" s="225"/>
      <c r="HIT122" s="225"/>
      <c r="HIU122" s="225"/>
      <c r="HIV122" s="225"/>
      <c r="HIW122" s="225"/>
      <c r="HIX122" s="225"/>
      <c r="HIY122" s="225"/>
      <c r="HIZ122" s="225"/>
      <c r="HJA122" s="225"/>
      <c r="HJB122" s="225"/>
      <c r="HJC122" s="225"/>
      <c r="HJD122" s="225"/>
      <c r="HJE122" s="225"/>
      <c r="HJF122" s="225"/>
      <c r="HJG122" s="225"/>
      <c r="HJH122" s="225"/>
      <c r="HJI122" s="225"/>
      <c r="HJJ122" s="225"/>
      <c r="HJK122" s="225"/>
      <c r="HJL122" s="225"/>
      <c r="HJM122" s="225"/>
      <c r="HJN122" s="225"/>
      <c r="HJO122" s="225"/>
      <c r="HJP122" s="225"/>
      <c r="HJQ122" s="225"/>
      <c r="HJR122" s="225"/>
      <c r="HJS122" s="225"/>
      <c r="HJT122" s="225"/>
      <c r="HJU122" s="225"/>
      <c r="HJV122" s="225"/>
      <c r="HJW122" s="225"/>
      <c r="HJX122" s="225"/>
      <c r="HJY122" s="225"/>
      <c r="HJZ122" s="225"/>
      <c r="HKA122" s="225"/>
      <c r="HKB122" s="225"/>
      <c r="HKC122" s="225"/>
      <c r="HKD122" s="225"/>
      <c r="HKE122" s="225"/>
      <c r="HKF122" s="225"/>
      <c r="HKG122" s="225"/>
      <c r="HKH122" s="225"/>
      <c r="HKI122" s="225"/>
      <c r="HKJ122" s="225"/>
      <c r="HKK122" s="225"/>
      <c r="HKL122" s="225"/>
      <c r="HKM122" s="225"/>
      <c r="HKN122" s="225"/>
      <c r="HKO122" s="225"/>
      <c r="HKP122" s="225"/>
      <c r="HKQ122" s="225"/>
      <c r="HKR122" s="225"/>
      <c r="HKS122" s="225"/>
      <c r="HKT122" s="225"/>
      <c r="HKU122" s="225"/>
      <c r="HKV122" s="225"/>
      <c r="HKW122" s="225"/>
      <c r="HKX122" s="225"/>
      <c r="HKY122" s="225"/>
      <c r="HKZ122" s="225"/>
      <c r="HLA122" s="225"/>
      <c r="HLB122" s="225"/>
      <c r="HLC122" s="225"/>
      <c r="HLD122" s="225"/>
      <c r="HLE122" s="225"/>
      <c r="HLF122" s="225"/>
      <c r="HLG122" s="225"/>
      <c r="HLH122" s="225"/>
      <c r="HLI122" s="225"/>
      <c r="HLJ122" s="225"/>
      <c r="HLK122" s="225"/>
      <c r="HLL122" s="225"/>
      <c r="HLM122" s="225"/>
      <c r="HLN122" s="225"/>
      <c r="HLO122" s="225"/>
      <c r="HLP122" s="225"/>
      <c r="HLQ122" s="225"/>
      <c r="HLR122" s="225"/>
      <c r="HLS122" s="225"/>
      <c r="HLT122" s="225"/>
      <c r="HLU122" s="225"/>
      <c r="HLV122" s="225"/>
      <c r="HLW122" s="225"/>
      <c r="HLX122" s="225"/>
      <c r="HLY122" s="225"/>
      <c r="HLZ122" s="225"/>
      <c r="HMA122" s="225"/>
      <c r="HMB122" s="225"/>
      <c r="HMC122" s="225"/>
      <c r="HMD122" s="225"/>
      <c r="HME122" s="225"/>
      <c r="HMF122" s="225"/>
      <c r="HMG122" s="225"/>
      <c r="HMH122" s="225"/>
      <c r="HMI122" s="225"/>
      <c r="HMJ122" s="225"/>
      <c r="HMK122" s="225"/>
      <c r="HML122" s="225"/>
      <c r="HMM122" s="225"/>
      <c r="HMN122" s="225"/>
      <c r="HMO122" s="225"/>
      <c r="HMP122" s="225"/>
      <c r="HMQ122" s="225"/>
      <c r="HMR122" s="225"/>
      <c r="HMS122" s="225"/>
      <c r="HMT122" s="225"/>
      <c r="HMU122" s="225"/>
      <c r="HMV122" s="225"/>
      <c r="HMW122" s="225"/>
      <c r="HMX122" s="225"/>
      <c r="HMY122" s="225"/>
      <c r="HMZ122" s="225"/>
      <c r="HNA122" s="225"/>
      <c r="HNB122" s="225"/>
      <c r="HNC122" s="225"/>
      <c r="HND122" s="225"/>
      <c r="HNE122" s="225"/>
      <c r="HNF122" s="225"/>
      <c r="HNG122" s="225"/>
      <c r="HNH122" s="225"/>
      <c r="HNI122" s="225"/>
      <c r="HNJ122" s="225"/>
      <c r="HNK122" s="225"/>
      <c r="HNL122" s="225"/>
      <c r="HNM122" s="225"/>
      <c r="HNN122" s="225"/>
      <c r="HNO122" s="225"/>
      <c r="HNP122" s="225"/>
      <c r="HNQ122" s="225"/>
      <c r="HNR122" s="225"/>
      <c r="HNS122" s="225"/>
      <c r="HNT122" s="225"/>
      <c r="HNU122" s="225"/>
      <c r="HNV122" s="225"/>
      <c r="HNW122" s="225"/>
      <c r="HNX122" s="225"/>
      <c r="HNY122" s="225"/>
      <c r="HNZ122" s="225"/>
      <c r="HOA122" s="225"/>
      <c r="HOB122" s="225"/>
      <c r="HOC122" s="225"/>
      <c r="HOD122" s="225"/>
      <c r="HOE122" s="225"/>
      <c r="HOF122" s="225"/>
      <c r="HOG122" s="225"/>
      <c r="HOH122" s="225"/>
      <c r="HOI122" s="225"/>
      <c r="HOJ122" s="225"/>
      <c r="HOK122" s="225"/>
      <c r="HOL122" s="225"/>
      <c r="HOM122" s="225"/>
      <c r="HON122" s="225"/>
      <c r="HOO122" s="225"/>
      <c r="HOP122" s="225"/>
      <c r="HOQ122" s="225"/>
      <c r="HOR122" s="225"/>
      <c r="HOS122" s="225"/>
      <c r="HOT122" s="225"/>
      <c r="HOU122" s="225"/>
      <c r="HOV122" s="225"/>
      <c r="HOW122" s="225"/>
      <c r="HOX122" s="225"/>
      <c r="HOY122" s="225"/>
      <c r="HOZ122" s="225"/>
      <c r="HPA122" s="225"/>
      <c r="HPB122" s="225"/>
      <c r="HPC122" s="225"/>
      <c r="HPD122" s="225"/>
      <c r="HPE122" s="225"/>
      <c r="HPF122" s="225"/>
      <c r="HPG122" s="225"/>
      <c r="HPH122" s="225"/>
      <c r="HPI122" s="225"/>
      <c r="HPJ122" s="225"/>
      <c r="HPK122" s="225"/>
      <c r="HPL122" s="225"/>
      <c r="HPM122" s="225"/>
      <c r="HPN122" s="225"/>
      <c r="HPO122" s="225"/>
      <c r="HPP122" s="225"/>
      <c r="HPQ122" s="225"/>
      <c r="HPR122" s="225"/>
      <c r="HPS122" s="225"/>
      <c r="HPT122" s="225"/>
      <c r="HPU122" s="225"/>
      <c r="HPV122" s="225"/>
      <c r="HPW122" s="225"/>
      <c r="HPX122" s="225"/>
      <c r="HPY122" s="225"/>
      <c r="HPZ122" s="225"/>
      <c r="HQA122" s="225"/>
      <c r="HQB122" s="225"/>
      <c r="HQC122" s="225"/>
      <c r="HQD122" s="225"/>
      <c r="HQE122" s="225"/>
      <c r="HQF122" s="225"/>
      <c r="HQG122" s="225"/>
      <c r="HQH122" s="225"/>
      <c r="HQI122" s="225"/>
      <c r="HQJ122" s="225"/>
      <c r="HQK122" s="225"/>
      <c r="HQL122" s="225"/>
      <c r="HQM122" s="225"/>
      <c r="HQN122" s="225"/>
      <c r="HQO122" s="225"/>
      <c r="HQP122" s="225"/>
      <c r="HQQ122" s="225"/>
      <c r="HQR122" s="225"/>
      <c r="HQS122" s="225"/>
      <c r="HQT122" s="225"/>
      <c r="HQU122" s="225"/>
      <c r="HQV122" s="225"/>
      <c r="HQW122" s="225"/>
      <c r="HQX122" s="225"/>
      <c r="HQY122" s="225"/>
      <c r="HQZ122" s="225"/>
      <c r="HRA122" s="225"/>
      <c r="HRB122" s="225"/>
      <c r="HRC122" s="225"/>
      <c r="HRD122" s="225"/>
      <c r="HRE122" s="225"/>
      <c r="HRF122" s="225"/>
      <c r="HRG122" s="225"/>
      <c r="HRH122" s="225"/>
      <c r="HRI122" s="225"/>
      <c r="HRJ122" s="225"/>
      <c r="HRK122" s="225"/>
      <c r="HRL122" s="225"/>
      <c r="HRM122" s="225"/>
      <c r="HRN122" s="225"/>
      <c r="HRO122" s="225"/>
      <c r="HRP122" s="225"/>
      <c r="HRQ122" s="225"/>
      <c r="HRR122" s="225"/>
      <c r="HRS122" s="225"/>
      <c r="HRT122" s="225"/>
      <c r="HRU122" s="225"/>
      <c r="HRV122" s="225"/>
      <c r="HRW122" s="225"/>
      <c r="HRX122" s="225"/>
      <c r="HRY122" s="225"/>
      <c r="HRZ122" s="225"/>
      <c r="HSA122" s="225"/>
      <c r="HSB122" s="225"/>
      <c r="HSC122" s="225"/>
      <c r="HSD122" s="225"/>
      <c r="HSE122" s="225"/>
      <c r="HSF122" s="225"/>
      <c r="HSG122" s="225"/>
      <c r="HSH122" s="225"/>
      <c r="HSI122" s="225"/>
      <c r="HSJ122" s="225"/>
      <c r="HSK122" s="225"/>
      <c r="HSL122" s="225"/>
      <c r="HSM122" s="225"/>
      <c r="HSN122" s="225"/>
      <c r="HSO122" s="225"/>
      <c r="HSP122" s="225"/>
      <c r="HSQ122" s="225"/>
      <c r="HSR122" s="225"/>
      <c r="HSS122" s="225"/>
      <c r="HST122" s="225"/>
      <c r="HSU122" s="225"/>
      <c r="HSV122" s="225"/>
      <c r="HSW122" s="225"/>
      <c r="HSX122" s="225"/>
      <c r="HSY122" s="225"/>
      <c r="HSZ122" s="225"/>
      <c r="HTA122" s="225"/>
      <c r="HTB122" s="225"/>
      <c r="HTC122" s="225"/>
      <c r="HTD122" s="225"/>
      <c r="HTE122" s="225"/>
      <c r="HTF122" s="225"/>
      <c r="HTG122" s="225"/>
      <c r="HTH122" s="225"/>
      <c r="HTI122" s="225"/>
      <c r="HTJ122" s="225"/>
      <c r="HTK122" s="225"/>
      <c r="HTL122" s="225"/>
      <c r="HTM122" s="225"/>
      <c r="HTN122" s="225"/>
      <c r="HTO122" s="225"/>
      <c r="HTP122" s="225"/>
      <c r="HTQ122" s="225"/>
      <c r="HTR122" s="225"/>
      <c r="HTS122" s="225"/>
      <c r="HTT122" s="225"/>
      <c r="HTU122" s="225"/>
      <c r="HTV122" s="225"/>
      <c r="HTW122" s="225"/>
      <c r="HTX122" s="225"/>
      <c r="HTY122" s="225"/>
      <c r="HTZ122" s="225"/>
      <c r="HUA122" s="225"/>
      <c r="HUB122" s="225"/>
      <c r="HUC122" s="225"/>
      <c r="HUD122" s="225"/>
      <c r="HUE122" s="225"/>
      <c r="HUF122" s="225"/>
      <c r="HUG122" s="225"/>
      <c r="HUH122" s="225"/>
      <c r="HUI122" s="225"/>
      <c r="HUJ122" s="225"/>
      <c r="HUK122" s="225"/>
      <c r="HUL122" s="225"/>
      <c r="HUM122" s="225"/>
      <c r="HUN122" s="225"/>
      <c r="HUO122" s="225"/>
      <c r="HUP122" s="225"/>
      <c r="HUQ122" s="225"/>
      <c r="HUR122" s="225"/>
      <c r="HUS122" s="225"/>
      <c r="HUT122" s="225"/>
      <c r="HUU122" s="225"/>
      <c r="HUV122" s="225"/>
      <c r="HUW122" s="225"/>
      <c r="HUX122" s="225"/>
      <c r="HUY122" s="225"/>
      <c r="HUZ122" s="225"/>
      <c r="HVA122" s="225"/>
      <c r="HVB122" s="225"/>
      <c r="HVC122" s="225"/>
      <c r="HVD122" s="225"/>
      <c r="HVE122" s="225"/>
      <c r="HVF122" s="225"/>
      <c r="HVG122" s="225"/>
      <c r="HVH122" s="225"/>
      <c r="HVI122" s="225"/>
      <c r="HVJ122" s="225"/>
      <c r="HVK122" s="225"/>
      <c r="HVL122" s="225"/>
      <c r="HVM122" s="225"/>
      <c r="HVN122" s="225"/>
      <c r="HVO122" s="225"/>
      <c r="HVP122" s="225"/>
      <c r="HVQ122" s="225"/>
      <c r="HVR122" s="225"/>
      <c r="HVS122" s="225"/>
      <c r="HVT122" s="225"/>
      <c r="HVU122" s="225"/>
      <c r="HVV122" s="225"/>
      <c r="HVW122" s="225"/>
      <c r="HVX122" s="225"/>
      <c r="HVY122" s="225"/>
      <c r="HVZ122" s="225"/>
      <c r="HWA122" s="225"/>
      <c r="HWB122" s="225"/>
      <c r="HWC122" s="225"/>
      <c r="HWD122" s="225"/>
      <c r="HWE122" s="225"/>
      <c r="HWF122" s="225"/>
      <c r="HWG122" s="225"/>
      <c r="HWH122" s="225"/>
      <c r="HWI122" s="225"/>
      <c r="HWJ122" s="225"/>
      <c r="HWK122" s="225"/>
      <c r="HWL122" s="225"/>
      <c r="HWM122" s="225"/>
      <c r="HWN122" s="225"/>
      <c r="HWO122" s="225"/>
      <c r="HWP122" s="225"/>
      <c r="HWQ122" s="225"/>
      <c r="HWR122" s="225"/>
      <c r="HWS122" s="225"/>
      <c r="HWT122" s="225"/>
      <c r="HWU122" s="225"/>
      <c r="HWV122" s="225"/>
      <c r="HWW122" s="225"/>
      <c r="HWX122" s="225"/>
      <c r="HWY122" s="225"/>
      <c r="HWZ122" s="225"/>
      <c r="HXA122" s="225"/>
      <c r="HXB122" s="225"/>
      <c r="HXC122" s="225"/>
      <c r="HXD122" s="225"/>
      <c r="HXE122" s="225"/>
      <c r="HXF122" s="225"/>
      <c r="HXG122" s="225"/>
      <c r="HXH122" s="225"/>
      <c r="HXI122" s="225"/>
      <c r="HXJ122" s="225"/>
      <c r="HXK122" s="225"/>
      <c r="HXL122" s="225"/>
      <c r="HXM122" s="225"/>
      <c r="HXN122" s="225"/>
      <c r="HXO122" s="225"/>
      <c r="HXP122" s="225"/>
      <c r="HXQ122" s="225"/>
      <c r="HXR122" s="225"/>
      <c r="HXS122" s="225"/>
      <c r="HXT122" s="225"/>
      <c r="HXU122" s="225"/>
      <c r="HXV122" s="225"/>
      <c r="HXW122" s="225"/>
      <c r="HXX122" s="225"/>
      <c r="HXY122" s="225"/>
      <c r="HXZ122" s="225"/>
      <c r="HYA122" s="225"/>
      <c r="HYB122" s="225"/>
      <c r="HYC122" s="225"/>
      <c r="HYD122" s="225"/>
      <c r="HYE122" s="225"/>
      <c r="HYF122" s="225"/>
      <c r="HYG122" s="225"/>
      <c r="HYH122" s="225"/>
      <c r="HYI122" s="225"/>
      <c r="HYJ122" s="225"/>
      <c r="HYK122" s="225"/>
      <c r="HYL122" s="225"/>
      <c r="HYM122" s="225"/>
      <c r="HYN122" s="225"/>
      <c r="HYO122" s="225"/>
      <c r="HYP122" s="225"/>
      <c r="HYQ122" s="225"/>
      <c r="HYR122" s="225"/>
      <c r="HYS122" s="225"/>
      <c r="HYT122" s="225"/>
      <c r="HYU122" s="225"/>
      <c r="HYV122" s="225"/>
      <c r="HYW122" s="225"/>
      <c r="HYX122" s="225"/>
      <c r="HYY122" s="225"/>
      <c r="HYZ122" s="225"/>
      <c r="HZA122" s="225"/>
      <c r="HZB122" s="225"/>
      <c r="HZC122" s="225"/>
      <c r="HZD122" s="225"/>
      <c r="HZE122" s="225"/>
      <c r="HZF122" s="225"/>
      <c r="HZG122" s="225"/>
      <c r="HZH122" s="225"/>
      <c r="HZI122" s="225"/>
      <c r="HZJ122" s="225"/>
      <c r="HZK122" s="225"/>
      <c r="HZL122" s="225"/>
      <c r="HZM122" s="225"/>
      <c r="HZN122" s="225"/>
      <c r="HZO122" s="225"/>
      <c r="HZP122" s="225"/>
      <c r="HZQ122" s="225"/>
      <c r="HZR122" s="225"/>
      <c r="HZS122" s="225"/>
      <c r="HZT122" s="225"/>
      <c r="HZU122" s="225"/>
      <c r="HZV122" s="225"/>
      <c r="HZW122" s="225"/>
      <c r="HZX122" s="225"/>
      <c r="HZY122" s="225"/>
      <c r="HZZ122" s="225"/>
      <c r="IAA122" s="225"/>
      <c r="IAB122" s="225"/>
      <c r="IAC122" s="225"/>
      <c r="IAD122" s="225"/>
      <c r="IAE122" s="225"/>
      <c r="IAF122" s="225"/>
      <c r="IAG122" s="225"/>
      <c r="IAH122" s="225"/>
      <c r="IAI122" s="225"/>
      <c r="IAJ122" s="225"/>
      <c r="IAK122" s="225"/>
      <c r="IAL122" s="225"/>
      <c r="IAM122" s="225"/>
      <c r="IAN122" s="225"/>
      <c r="IAO122" s="225"/>
      <c r="IAP122" s="225"/>
      <c r="IAQ122" s="225"/>
      <c r="IAR122" s="225"/>
      <c r="IAS122" s="225"/>
      <c r="IAT122" s="225"/>
      <c r="IAU122" s="225"/>
      <c r="IAV122" s="225"/>
      <c r="IAW122" s="225"/>
      <c r="IAX122" s="225"/>
      <c r="IAY122" s="225"/>
      <c r="IAZ122" s="225"/>
      <c r="IBA122" s="225"/>
      <c r="IBB122" s="225"/>
      <c r="IBC122" s="225"/>
      <c r="IBD122" s="225"/>
      <c r="IBE122" s="225"/>
      <c r="IBF122" s="225"/>
      <c r="IBG122" s="225"/>
      <c r="IBH122" s="225"/>
      <c r="IBI122" s="225"/>
      <c r="IBJ122" s="225"/>
      <c r="IBK122" s="225"/>
      <c r="IBL122" s="225"/>
      <c r="IBM122" s="225"/>
      <c r="IBN122" s="225"/>
      <c r="IBO122" s="225"/>
      <c r="IBP122" s="225"/>
      <c r="IBQ122" s="225"/>
      <c r="IBR122" s="225"/>
      <c r="IBS122" s="225"/>
      <c r="IBT122" s="225"/>
      <c r="IBU122" s="225"/>
      <c r="IBV122" s="225"/>
      <c r="IBW122" s="225"/>
      <c r="IBX122" s="225"/>
      <c r="IBY122" s="225"/>
      <c r="IBZ122" s="225"/>
      <c r="ICA122" s="225"/>
      <c r="ICB122" s="225"/>
      <c r="ICC122" s="225"/>
      <c r="ICD122" s="225"/>
      <c r="ICE122" s="225"/>
      <c r="ICF122" s="225"/>
      <c r="ICG122" s="225"/>
      <c r="ICH122" s="225"/>
      <c r="ICI122" s="225"/>
      <c r="ICJ122" s="225"/>
      <c r="ICK122" s="225"/>
      <c r="ICL122" s="225"/>
      <c r="ICM122" s="225"/>
      <c r="ICN122" s="225"/>
      <c r="ICO122" s="225"/>
      <c r="ICP122" s="225"/>
      <c r="ICQ122" s="225"/>
      <c r="ICR122" s="225"/>
      <c r="ICS122" s="225"/>
      <c r="ICT122" s="225"/>
      <c r="ICU122" s="225"/>
      <c r="ICV122" s="225"/>
      <c r="ICW122" s="225"/>
      <c r="ICX122" s="225"/>
      <c r="ICY122" s="225"/>
      <c r="ICZ122" s="225"/>
      <c r="IDA122" s="225"/>
      <c r="IDB122" s="225"/>
      <c r="IDC122" s="225"/>
      <c r="IDD122" s="225"/>
      <c r="IDE122" s="225"/>
      <c r="IDF122" s="225"/>
      <c r="IDG122" s="225"/>
      <c r="IDH122" s="225"/>
      <c r="IDI122" s="225"/>
      <c r="IDJ122" s="225"/>
      <c r="IDK122" s="225"/>
      <c r="IDL122" s="225"/>
      <c r="IDM122" s="225"/>
      <c r="IDN122" s="225"/>
      <c r="IDO122" s="225"/>
      <c r="IDP122" s="225"/>
      <c r="IDQ122" s="225"/>
      <c r="IDR122" s="225"/>
      <c r="IDS122" s="225"/>
      <c r="IDT122" s="225"/>
      <c r="IDU122" s="225"/>
      <c r="IDV122" s="225"/>
      <c r="IDW122" s="225"/>
      <c r="IDX122" s="225"/>
      <c r="IDY122" s="225"/>
      <c r="IDZ122" s="225"/>
      <c r="IEA122" s="225"/>
      <c r="IEB122" s="225"/>
      <c r="IEC122" s="225"/>
      <c r="IED122" s="225"/>
      <c r="IEE122" s="225"/>
      <c r="IEF122" s="225"/>
      <c r="IEG122" s="225"/>
      <c r="IEH122" s="225"/>
      <c r="IEI122" s="225"/>
      <c r="IEJ122" s="225"/>
      <c r="IEK122" s="225"/>
      <c r="IEL122" s="225"/>
      <c r="IEM122" s="225"/>
      <c r="IEN122" s="225"/>
      <c r="IEO122" s="225"/>
      <c r="IEP122" s="225"/>
      <c r="IEQ122" s="225"/>
      <c r="IER122" s="225"/>
      <c r="IES122" s="225"/>
      <c r="IET122" s="225"/>
      <c r="IEU122" s="225"/>
      <c r="IEV122" s="225"/>
      <c r="IEW122" s="225"/>
      <c r="IEX122" s="225"/>
      <c r="IEY122" s="225"/>
      <c r="IEZ122" s="225"/>
      <c r="IFA122" s="225"/>
      <c r="IFB122" s="225"/>
      <c r="IFC122" s="225"/>
      <c r="IFD122" s="225"/>
      <c r="IFE122" s="225"/>
      <c r="IFF122" s="225"/>
      <c r="IFG122" s="225"/>
      <c r="IFH122" s="225"/>
      <c r="IFI122" s="225"/>
      <c r="IFJ122" s="225"/>
      <c r="IFK122" s="225"/>
      <c r="IFL122" s="225"/>
      <c r="IFM122" s="225"/>
      <c r="IFN122" s="225"/>
      <c r="IFO122" s="225"/>
      <c r="IFP122" s="225"/>
      <c r="IFQ122" s="225"/>
      <c r="IFR122" s="225"/>
      <c r="IFS122" s="225"/>
      <c r="IFT122" s="225"/>
      <c r="IFU122" s="225"/>
      <c r="IFV122" s="225"/>
      <c r="IFW122" s="225"/>
      <c r="IFX122" s="225"/>
      <c r="IFY122" s="225"/>
      <c r="IFZ122" s="225"/>
      <c r="IGA122" s="225"/>
      <c r="IGB122" s="225"/>
      <c r="IGC122" s="225"/>
      <c r="IGD122" s="225"/>
      <c r="IGE122" s="225"/>
      <c r="IGF122" s="225"/>
      <c r="IGG122" s="225"/>
      <c r="IGH122" s="225"/>
      <c r="IGI122" s="225"/>
      <c r="IGJ122" s="225"/>
      <c r="IGK122" s="225"/>
      <c r="IGL122" s="225"/>
      <c r="IGM122" s="225"/>
      <c r="IGN122" s="225"/>
      <c r="IGO122" s="225"/>
      <c r="IGP122" s="225"/>
      <c r="IGQ122" s="225"/>
      <c r="IGR122" s="225"/>
      <c r="IGS122" s="225"/>
      <c r="IGT122" s="225"/>
      <c r="IGU122" s="225"/>
      <c r="IGV122" s="225"/>
      <c r="IGW122" s="225"/>
      <c r="IGX122" s="225"/>
      <c r="IGY122" s="225"/>
      <c r="IGZ122" s="225"/>
      <c r="IHA122" s="225"/>
      <c r="IHB122" s="225"/>
      <c r="IHC122" s="225"/>
      <c r="IHD122" s="225"/>
      <c r="IHE122" s="225"/>
      <c r="IHF122" s="225"/>
      <c r="IHG122" s="225"/>
      <c r="IHH122" s="225"/>
      <c r="IHI122" s="225"/>
      <c r="IHJ122" s="225"/>
      <c r="IHK122" s="225"/>
      <c r="IHL122" s="225"/>
      <c r="IHM122" s="225"/>
      <c r="IHN122" s="225"/>
      <c r="IHO122" s="225"/>
      <c r="IHP122" s="225"/>
      <c r="IHQ122" s="225"/>
      <c r="IHR122" s="225"/>
      <c r="IHS122" s="225"/>
      <c r="IHT122" s="225"/>
      <c r="IHU122" s="225"/>
      <c r="IHV122" s="225"/>
      <c r="IHW122" s="225"/>
      <c r="IHX122" s="225"/>
      <c r="IHY122" s="225"/>
      <c r="IHZ122" s="225"/>
      <c r="IIA122" s="225"/>
      <c r="IIB122" s="225"/>
      <c r="IIC122" s="225"/>
      <c r="IID122" s="225"/>
      <c r="IIE122" s="225"/>
      <c r="IIF122" s="225"/>
      <c r="IIG122" s="225"/>
      <c r="IIH122" s="225"/>
      <c r="III122" s="225"/>
      <c r="IIJ122" s="225"/>
      <c r="IIK122" s="225"/>
      <c r="IIL122" s="225"/>
      <c r="IIM122" s="225"/>
      <c r="IIN122" s="225"/>
      <c r="IIO122" s="225"/>
      <c r="IIP122" s="225"/>
      <c r="IIQ122" s="225"/>
      <c r="IIR122" s="225"/>
      <c r="IIS122" s="225"/>
      <c r="IIT122" s="225"/>
      <c r="IIU122" s="225"/>
      <c r="IIV122" s="225"/>
      <c r="IIW122" s="225"/>
      <c r="IIX122" s="225"/>
      <c r="IIY122" s="225"/>
      <c r="IIZ122" s="225"/>
      <c r="IJA122" s="225"/>
      <c r="IJB122" s="225"/>
      <c r="IJC122" s="225"/>
      <c r="IJD122" s="225"/>
      <c r="IJE122" s="225"/>
      <c r="IJF122" s="225"/>
      <c r="IJG122" s="225"/>
      <c r="IJH122" s="225"/>
      <c r="IJI122" s="225"/>
      <c r="IJJ122" s="225"/>
      <c r="IJK122" s="225"/>
      <c r="IJL122" s="225"/>
      <c r="IJM122" s="225"/>
      <c r="IJN122" s="225"/>
      <c r="IJO122" s="225"/>
      <c r="IJP122" s="225"/>
      <c r="IJQ122" s="225"/>
      <c r="IJR122" s="225"/>
      <c r="IJS122" s="225"/>
      <c r="IJT122" s="225"/>
      <c r="IJU122" s="225"/>
      <c r="IJV122" s="225"/>
      <c r="IJW122" s="225"/>
      <c r="IJX122" s="225"/>
      <c r="IJY122" s="225"/>
      <c r="IJZ122" s="225"/>
      <c r="IKA122" s="225"/>
      <c r="IKB122" s="225"/>
      <c r="IKC122" s="225"/>
      <c r="IKD122" s="225"/>
      <c r="IKE122" s="225"/>
      <c r="IKF122" s="225"/>
      <c r="IKG122" s="225"/>
      <c r="IKH122" s="225"/>
      <c r="IKI122" s="225"/>
      <c r="IKJ122" s="225"/>
      <c r="IKK122" s="225"/>
      <c r="IKL122" s="225"/>
      <c r="IKM122" s="225"/>
      <c r="IKN122" s="225"/>
      <c r="IKO122" s="225"/>
      <c r="IKP122" s="225"/>
      <c r="IKQ122" s="225"/>
      <c r="IKR122" s="225"/>
      <c r="IKS122" s="225"/>
      <c r="IKT122" s="225"/>
      <c r="IKU122" s="225"/>
      <c r="IKV122" s="225"/>
      <c r="IKW122" s="225"/>
      <c r="IKX122" s="225"/>
      <c r="IKY122" s="225"/>
      <c r="IKZ122" s="225"/>
      <c r="ILA122" s="225"/>
      <c r="ILB122" s="225"/>
      <c r="ILC122" s="225"/>
      <c r="ILD122" s="225"/>
      <c r="ILE122" s="225"/>
      <c r="ILF122" s="225"/>
      <c r="ILG122" s="225"/>
      <c r="ILH122" s="225"/>
      <c r="ILI122" s="225"/>
      <c r="ILJ122" s="225"/>
      <c r="ILK122" s="225"/>
      <c r="ILL122" s="225"/>
      <c r="ILM122" s="225"/>
      <c r="ILN122" s="225"/>
      <c r="ILO122" s="225"/>
      <c r="ILP122" s="225"/>
      <c r="ILQ122" s="225"/>
      <c r="ILR122" s="225"/>
      <c r="ILS122" s="225"/>
      <c r="ILT122" s="225"/>
      <c r="ILU122" s="225"/>
      <c r="ILV122" s="225"/>
      <c r="ILW122" s="225"/>
      <c r="ILX122" s="225"/>
      <c r="ILY122" s="225"/>
      <c r="ILZ122" s="225"/>
      <c r="IMA122" s="225"/>
      <c r="IMB122" s="225"/>
      <c r="IMC122" s="225"/>
      <c r="IMD122" s="225"/>
      <c r="IME122" s="225"/>
      <c r="IMF122" s="225"/>
      <c r="IMG122" s="225"/>
      <c r="IMH122" s="225"/>
      <c r="IMI122" s="225"/>
      <c r="IMJ122" s="225"/>
      <c r="IMK122" s="225"/>
      <c r="IML122" s="225"/>
      <c r="IMM122" s="225"/>
      <c r="IMN122" s="225"/>
      <c r="IMO122" s="225"/>
      <c r="IMP122" s="225"/>
      <c r="IMQ122" s="225"/>
      <c r="IMR122" s="225"/>
      <c r="IMS122" s="225"/>
      <c r="IMT122" s="225"/>
      <c r="IMU122" s="225"/>
      <c r="IMV122" s="225"/>
      <c r="IMW122" s="225"/>
      <c r="IMX122" s="225"/>
      <c r="IMY122" s="225"/>
      <c r="IMZ122" s="225"/>
      <c r="INA122" s="225"/>
      <c r="INB122" s="225"/>
      <c r="INC122" s="225"/>
      <c r="IND122" s="225"/>
      <c r="INE122" s="225"/>
      <c r="INF122" s="225"/>
      <c r="ING122" s="225"/>
      <c r="INH122" s="225"/>
      <c r="INI122" s="225"/>
      <c r="INJ122" s="225"/>
      <c r="INK122" s="225"/>
      <c r="INL122" s="225"/>
      <c r="INM122" s="225"/>
      <c r="INN122" s="225"/>
      <c r="INO122" s="225"/>
      <c r="INP122" s="225"/>
      <c r="INQ122" s="225"/>
      <c r="INR122" s="225"/>
      <c r="INS122" s="225"/>
      <c r="INT122" s="225"/>
      <c r="INU122" s="225"/>
      <c r="INV122" s="225"/>
      <c r="INW122" s="225"/>
      <c r="INX122" s="225"/>
      <c r="INY122" s="225"/>
      <c r="INZ122" s="225"/>
      <c r="IOA122" s="225"/>
      <c r="IOB122" s="225"/>
      <c r="IOC122" s="225"/>
      <c r="IOD122" s="225"/>
      <c r="IOE122" s="225"/>
      <c r="IOF122" s="225"/>
      <c r="IOG122" s="225"/>
      <c r="IOH122" s="225"/>
      <c r="IOI122" s="225"/>
      <c r="IOJ122" s="225"/>
      <c r="IOK122" s="225"/>
      <c r="IOL122" s="225"/>
      <c r="IOM122" s="225"/>
      <c r="ION122" s="225"/>
      <c r="IOO122" s="225"/>
      <c r="IOP122" s="225"/>
      <c r="IOQ122" s="225"/>
      <c r="IOR122" s="225"/>
      <c r="IOS122" s="225"/>
      <c r="IOT122" s="225"/>
      <c r="IOU122" s="225"/>
      <c r="IOV122" s="225"/>
      <c r="IOW122" s="225"/>
      <c r="IOX122" s="225"/>
      <c r="IOY122" s="225"/>
      <c r="IOZ122" s="225"/>
      <c r="IPA122" s="225"/>
      <c r="IPB122" s="225"/>
      <c r="IPC122" s="225"/>
      <c r="IPD122" s="225"/>
      <c r="IPE122" s="225"/>
      <c r="IPF122" s="225"/>
      <c r="IPG122" s="225"/>
      <c r="IPH122" s="225"/>
      <c r="IPI122" s="225"/>
      <c r="IPJ122" s="225"/>
      <c r="IPK122" s="225"/>
      <c r="IPL122" s="225"/>
      <c r="IPM122" s="225"/>
      <c r="IPN122" s="225"/>
      <c r="IPO122" s="225"/>
      <c r="IPP122" s="225"/>
      <c r="IPQ122" s="225"/>
      <c r="IPR122" s="225"/>
      <c r="IPS122" s="225"/>
      <c r="IPT122" s="225"/>
      <c r="IPU122" s="225"/>
      <c r="IPV122" s="225"/>
      <c r="IPW122" s="225"/>
      <c r="IPX122" s="225"/>
      <c r="IPY122" s="225"/>
      <c r="IPZ122" s="225"/>
      <c r="IQA122" s="225"/>
      <c r="IQB122" s="225"/>
      <c r="IQC122" s="225"/>
      <c r="IQD122" s="225"/>
      <c r="IQE122" s="225"/>
      <c r="IQF122" s="225"/>
      <c r="IQG122" s="225"/>
      <c r="IQH122" s="225"/>
      <c r="IQI122" s="225"/>
      <c r="IQJ122" s="225"/>
      <c r="IQK122" s="225"/>
      <c r="IQL122" s="225"/>
      <c r="IQM122" s="225"/>
      <c r="IQN122" s="225"/>
      <c r="IQO122" s="225"/>
      <c r="IQP122" s="225"/>
      <c r="IQQ122" s="225"/>
      <c r="IQR122" s="225"/>
      <c r="IQS122" s="225"/>
      <c r="IQT122" s="225"/>
      <c r="IQU122" s="225"/>
      <c r="IQV122" s="225"/>
      <c r="IQW122" s="225"/>
      <c r="IQX122" s="225"/>
      <c r="IQY122" s="225"/>
      <c r="IQZ122" s="225"/>
      <c r="IRA122" s="225"/>
      <c r="IRB122" s="225"/>
      <c r="IRC122" s="225"/>
      <c r="IRD122" s="225"/>
      <c r="IRE122" s="225"/>
      <c r="IRF122" s="225"/>
      <c r="IRG122" s="225"/>
      <c r="IRH122" s="225"/>
      <c r="IRI122" s="225"/>
      <c r="IRJ122" s="225"/>
      <c r="IRK122" s="225"/>
      <c r="IRL122" s="225"/>
      <c r="IRM122" s="225"/>
      <c r="IRN122" s="225"/>
      <c r="IRO122" s="225"/>
      <c r="IRP122" s="225"/>
      <c r="IRQ122" s="225"/>
      <c r="IRR122" s="225"/>
      <c r="IRS122" s="225"/>
      <c r="IRT122" s="225"/>
      <c r="IRU122" s="225"/>
      <c r="IRV122" s="225"/>
      <c r="IRW122" s="225"/>
      <c r="IRX122" s="225"/>
      <c r="IRY122" s="225"/>
      <c r="IRZ122" s="225"/>
      <c r="ISA122" s="225"/>
      <c r="ISB122" s="225"/>
      <c r="ISC122" s="225"/>
      <c r="ISD122" s="225"/>
      <c r="ISE122" s="225"/>
      <c r="ISF122" s="225"/>
      <c r="ISG122" s="225"/>
      <c r="ISH122" s="225"/>
      <c r="ISI122" s="225"/>
      <c r="ISJ122" s="225"/>
      <c r="ISK122" s="225"/>
      <c r="ISL122" s="225"/>
      <c r="ISM122" s="225"/>
      <c r="ISN122" s="225"/>
      <c r="ISO122" s="225"/>
      <c r="ISP122" s="225"/>
      <c r="ISQ122" s="225"/>
      <c r="ISR122" s="225"/>
      <c r="ISS122" s="225"/>
      <c r="IST122" s="225"/>
      <c r="ISU122" s="225"/>
      <c r="ISV122" s="225"/>
      <c r="ISW122" s="225"/>
      <c r="ISX122" s="225"/>
      <c r="ISY122" s="225"/>
      <c r="ISZ122" s="225"/>
      <c r="ITA122" s="225"/>
      <c r="ITB122" s="225"/>
      <c r="ITC122" s="225"/>
      <c r="ITD122" s="225"/>
      <c r="ITE122" s="225"/>
      <c r="ITF122" s="225"/>
      <c r="ITG122" s="225"/>
      <c r="ITH122" s="225"/>
      <c r="ITI122" s="225"/>
      <c r="ITJ122" s="225"/>
      <c r="ITK122" s="225"/>
      <c r="ITL122" s="225"/>
      <c r="ITM122" s="225"/>
      <c r="ITN122" s="225"/>
      <c r="ITO122" s="225"/>
      <c r="ITP122" s="225"/>
      <c r="ITQ122" s="225"/>
      <c r="ITR122" s="225"/>
      <c r="ITS122" s="225"/>
      <c r="ITT122" s="225"/>
      <c r="ITU122" s="225"/>
      <c r="ITV122" s="225"/>
      <c r="ITW122" s="225"/>
      <c r="ITX122" s="225"/>
      <c r="ITY122" s="225"/>
      <c r="ITZ122" s="225"/>
      <c r="IUA122" s="225"/>
      <c r="IUB122" s="225"/>
      <c r="IUC122" s="225"/>
      <c r="IUD122" s="225"/>
      <c r="IUE122" s="225"/>
      <c r="IUF122" s="225"/>
      <c r="IUG122" s="225"/>
      <c r="IUH122" s="225"/>
      <c r="IUI122" s="225"/>
      <c r="IUJ122" s="225"/>
      <c r="IUK122" s="225"/>
      <c r="IUL122" s="225"/>
      <c r="IUM122" s="225"/>
      <c r="IUN122" s="225"/>
      <c r="IUO122" s="225"/>
      <c r="IUP122" s="225"/>
      <c r="IUQ122" s="225"/>
      <c r="IUR122" s="225"/>
      <c r="IUS122" s="225"/>
      <c r="IUT122" s="225"/>
      <c r="IUU122" s="225"/>
      <c r="IUV122" s="225"/>
      <c r="IUW122" s="225"/>
      <c r="IUX122" s="225"/>
      <c r="IUY122" s="225"/>
      <c r="IUZ122" s="225"/>
      <c r="IVA122" s="225"/>
      <c r="IVB122" s="225"/>
      <c r="IVC122" s="225"/>
      <c r="IVD122" s="225"/>
      <c r="IVE122" s="225"/>
      <c r="IVF122" s="225"/>
      <c r="IVG122" s="225"/>
      <c r="IVH122" s="225"/>
      <c r="IVI122" s="225"/>
      <c r="IVJ122" s="225"/>
      <c r="IVK122" s="225"/>
      <c r="IVL122" s="225"/>
      <c r="IVM122" s="225"/>
      <c r="IVN122" s="225"/>
      <c r="IVO122" s="225"/>
      <c r="IVP122" s="225"/>
      <c r="IVQ122" s="225"/>
      <c r="IVR122" s="225"/>
      <c r="IVS122" s="225"/>
      <c r="IVT122" s="225"/>
      <c r="IVU122" s="225"/>
      <c r="IVV122" s="225"/>
      <c r="IVW122" s="225"/>
      <c r="IVX122" s="225"/>
      <c r="IVY122" s="225"/>
      <c r="IVZ122" s="225"/>
      <c r="IWA122" s="225"/>
      <c r="IWB122" s="225"/>
      <c r="IWC122" s="225"/>
      <c r="IWD122" s="225"/>
      <c r="IWE122" s="225"/>
      <c r="IWF122" s="225"/>
      <c r="IWG122" s="225"/>
      <c r="IWH122" s="225"/>
      <c r="IWI122" s="225"/>
      <c r="IWJ122" s="225"/>
      <c r="IWK122" s="225"/>
      <c r="IWL122" s="225"/>
      <c r="IWM122" s="225"/>
      <c r="IWN122" s="225"/>
      <c r="IWO122" s="225"/>
      <c r="IWP122" s="225"/>
      <c r="IWQ122" s="225"/>
      <c r="IWR122" s="225"/>
      <c r="IWS122" s="225"/>
      <c r="IWT122" s="225"/>
      <c r="IWU122" s="225"/>
      <c r="IWV122" s="225"/>
      <c r="IWW122" s="225"/>
      <c r="IWX122" s="225"/>
      <c r="IWY122" s="225"/>
      <c r="IWZ122" s="225"/>
      <c r="IXA122" s="225"/>
      <c r="IXB122" s="225"/>
      <c r="IXC122" s="225"/>
      <c r="IXD122" s="225"/>
      <c r="IXE122" s="225"/>
      <c r="IXF122" s="225"/>
      <c r="IXG122" s="225"/>
      <c r="IXH122" s="225"/>
      <c r="IXI122" s="225"/>
      <c r="IXJ122" s="225"/>
      <c r="IXK122" s="225"/>
      <c r="IXL122" s="225"/>
      <c r="IXM122" s="225"/>
      <c r="IXN122" s="225"/>
      <c r="IXO122" s="225"/>
      <c r="IXP122" s="225"/>
      <c r="IXQ122" s="225"/>
      <c r="IXR122" s="225"/>
      <c r="IXS122" s="225"/>
      <c r="IXT122" s="225"/>
      <c r="IXU122" s="225"/>
      <c r="IXV122" s="225"/>
      <c r="IXW122" s="225"/>
      <c r="IXX122" s="225"/>
      <c r="IXY122" s="225"/>
      <c r="IXZ122" s="225"/>
      <c r="IYA122" s="225"/>
      <c r="IYB122" s="225"/>
      <c r="IYC122" s="225"/>
      <c r="IYD122" s="225"/>
      <c r="IYE122" s="225"/>
      <c r="IYF122" s="225"/>
      <c r="IYG122" s="225"/>
      <c r="IYH122" s="225"/>
      <c r="IYI122" s="225"/>
      <c r="IYJ122" s="225"/>
      <c r="IYK122" s="225"/>
      <c r="IYL122" s="225"/>
      <c r="IYM122" s="225"/>
      <c r="IYN122" s="225"/>
      <c r="IYO122" s="225"/>
      <c r="IYP122" s="225"/>
      <c r="IYQ122" s="225"/>
      <c r="IYR122" s="225"/>
      <c r="IYS122" s="225"/>
      <c r="IYT122" s="225"/>
      <c r="IYU122" s="225"/>
      <c r="IYV122" s="225"/>
      <c r="IYW122" s="225"/>
      <c r="IYX122" s="225"/>
      <c r="IYY122" s="225"/>
      <c r="IYZ122" s="225"/>
      <c r="IZA122" s="225"/>
      <c r="IZB122" s="225"/>
      <c r="IZC122" s="225"/>
      <c r="IZD122" s="225"/>
      <c r="IZE122" s="225"/>
      <c r="IZF122" s="225"/>
      <c r="IZG122" s="225"/>
      <c r="IZH122" s="225"/>
      <c r="IZI122" s="225"/>
      <c r="IZJ122" s="225"/>
      <c r="IZK122" s="225"/>
      <c r="IZL122" s="225"/>
      <c r="IZM122" s="225"/>
      <c r="IZN122" s="225"/>
      <c r="IZO122" s="225"/>
      <c r="IZP122" s="225"/>
      <c r="IZQ122" s="225"/>
      <c r="IZR122" s="225"/>
      <c r="IZS122" s="225"/>
      <c r="IZT122" s="225"/>
      <c r="IZU122" s="225"/>
      <c r="IZV122" s="225"/>
      <c r="IZW122" s="225"/>
      <c r="IZX122" s="225"/>
      <c r="IZY122" s="225"/>
      <c r="IZZ122" s="225"/>
      <c r="JAA122" s="225"/>
      <c r="JAB122" s="225"/>
      <c r="JAC122" s="225"/>
      <c r="JAD122" s="225"/>
      <c r="JAE122" s="225"/>
      <c r="JAF122" s="225"/>
      <c r="JAG122" s="225"/>
      <c r="JAH122" s="225"/>
      <c r="JAI122" s="225"/>
      <c r="JAJ122" s="225"/>
      <c r="JAK122" s="225"/>
      <c r="JAL122" s="225"/>
      <c r="JAM122" s="225"/>
      <c r="JAN122" s="225"/>
      <c r="JAO122" s="225"/>
      <c r="JAP122" s="225"/>
      <c r="JAQ122" s="225"/>
      <c r="JAR122" s="225"/>
      <c r="JAS122" s="225"/>
      <c r="JAT122" s="225"/>
      <c r="JAU122" s="225"/>
      <c r="JAV122" s="225"/>
      <c r="JAW122" s="225"/>
      <c r="JAX122" s="225"/>
      <c r="JAY122" s="225"/>
      <c r="JAZ122" s="225"/>
      <c r="JBA122" s="225"/>
      <c r="JBB122" s="225"/>
      <c r="JBC122" s="225"/>
      <c r="JBD122" s="225"/>
      <c r="JBE122" s="225"/>
      <c r="JBF122" s="225"/>
      <c r="JBG122" s="225"/>
      <c r="JBH122" s="225"/>
      <c r="JBI122" s="225"/>
      <c r="JBJ122" s="225"/>
      <c r="JBK122" s="225"/>
      <c r="JBL122" s="225"/>
      <c r="JBM122" s="225"/>
      <c r="JBN122" s="225"/>
      <c r="JBO122" s="225"/>
      <c r="JBP122" s="225"/>
      <c r="JBQ122" s="225"/>
      <c r="JBR122" s="225"/>
      <c r="JBS122" s="225"/>
      <c r="JBT122" s="225"/>
      <c r="JBU122" s="225"/>
      <c r="JBV122" s="225"/>
      <c r="JBW122" s="225"/>
      <c r="JBX122" s="225"/>
      <c r="JBY122" s="225"/>
      <c r="JBZ122" s="225"/>
      <c r="JCA122" s="225"/>
      <c r="JCB122" s="225"/>
      <c r="JCC122" s="225"/>
      <c r="JCD122" s="225"/>
      <c r="JCE122" s="225"/>
      <c r="JCF122" s="225"/>
      <c r="JCG122" s="225"/>
      <c r="JCH122" s="225"/>
      <c r="JCI122" s="225"/>
      <c r="JCJ122" s="225"/>
      <c r="JCK122" s="225"/>
      <c r="JCL122" s="225"/>
      <c r="JCM122" s="225"/>
      <c r="JCN122" s="225"/>
      <c r="JCO122" s="225"/>
      <c r="JCP122" s="225"/>
      <c r="JCQ122" s="225"/>
      <c r="JCR122" s="225"/>
      <c r="JCS122" s="225"/>
      <c r="JCT122" s="225"/>
      <c r="JCU122" s="225"/>
      <c r="JCV122" s="225"/>
      <c r="JCW122" s="225"/>
      <c r="JCX122" s="225"/>
      <c r="JCY122" s="225"/>
      <c r="JCZ122" s="225"/>
      <c r="JDA122" s="225"/>
      <c r="JDB122" s="225"/>
      <c r="JDC122" s="225"/>
      <c r="JDD122" s="225"/>
      <c r="JDE122" s="225"/>
      <c r="JDF122" s="225"/>
      <c r="JDG122" s="225"/>
      <c r="JDH122" s="225"/>
      <c r="JDI122" s="225"/>
      <c r="JDJ122" s="225"/>
      <c r="JDK122" s="225"/>
      <c r="JDL122" s="225"/>
      <c r="JDM122" s="225"/>
      <c r="JDN122" s="225"/>
      <c r="JDO122" s="225"/>
      <c r="JDP122" s="225"/>
      <c r="JDQ122" s="225"/>
      <c r="JDR122" s="225"/>
      <c r="JDS122" s="225"/>
      <c r="JDT122" s="225"/>
      <c r="JDU122" s="225"/>
      <c r="JDV122" s="225"/>
      <c r="JDW122" s="225"/>
      <c r="JDX122" s="225"/>
      <c r="JDY122" s="225"/>
      <c r="JDZ122" s="225"/>
      <c r="JEA122" s="225"/>
      <c r="JEB122" s="225"/>
      <c r="JEC122" s="225"/>
      <c r="JED122" s="225"/>
      <c r="JEE122" s="225"/>
      <c r="JEF122" s="225"/>
      <c r="JEG122" s="225"/>
      <c r="JEH122" s="225"/>
      <c r="JEI122" s="225"/>
      <c r="JEJ122" s="225"/>
      <c r="JEK122" s="225"/>
      <c r="JEL122" s="225"/>
      <c r="JEM122" s="225"/>
      <c r="JEN122" s="225"/>
      <c r="JEO122" s="225"/>
      <c r="JEP122" s="225"/>
      <c r="JEQ122" s="225"/>
      <c r="JER122" s="225"/>
      <c r="JES122" s="225"/>
      <c r="JET122" s="225"/>
      <c r="JEU122" s="225"/>
      <c r="JEV122" s="225"/>
      <c r="JEW122" s="225"/>
      <c r="JEX122" s="225"/>
      <c r="JEY122" s="225"/>
      <c r="JEZ122" s="225"/>
      <c r="JFA122" s="225"/>
      <c r="JFB122" s="225"/>
      <c r="JFC122" s="225"/>
      <c r="JFD122" s="225"/>
      <c r="JFE122" s="225"/>
      <c r="JFF122" s="225"/>
      <c r="JFG122" s="225"/>
      <c r="JFH122" s="225"/>
      <c r="JFI122" s="225"/>
      <c r="JFJ122" s="225"/>
      <c r="JFK122" s="225"/>
      <c r="JFL122" s="225"/>
      <c r="JFM122" s="225"/>
      <c r="JFN122" s="225"/>
      <c r="JFO122" s="225"/>
      <c r="JFP122" s="225"/>
      <c r="JFQ122" s="225"/>
      <c r="JFR122" s="225"/>
      <c r="JFS122" s="225"/>
      <c r="JFT122" s="225"/>
      <c r="JFU122" s="225"/>
      <c r="JFV122" s="225"/>
      <c r="JFW122" s="225"/>
      <c r="JFX122" s="225"/>
      <c r="JFY122" s="225"/>
      <c r="JFZ122" s="225"/>
      <c r="JGA122" s="225"/>
      <c r="JGB122" s="225"/>
      <c r="JGC122" s="225"/>
      <c r="JGD122" s="225"/>
      <c r="JGE122" s="225"/>
      <c r="JGF122" s="225"/>
      <c r="JGG122" s="225"/>
      <c r="JGH122" s="225"/>
      <c r="JGI122" s="225"/>
      <c r="JGJ122" s="225"/>
      <c r="JGK122" s="225"/>
      <c r="JGL122" s="225"/>
      <c r="JGM122" s="225"/>
      <c r="JGN122" s="225"/>
      <c r="JGO122" s="225"/>
      <c r="JGP122" s="225"/>
      <c r="JGQ122" s="225"/>
      <c r="JGR122" s="225"/>
      <c r="JGS122" s="225"/>
      <c r="JGT122" s="225"/>
      <c r="JGU122" s="225"/>
      <c r="JGV122" s="225"/>
      <c r="JGW122" s="225"/>
      <c r="JGX122" s="225"/>
      <c r="JGY122" s="225"/>
      <c r="JGZ122" s="225"/>
      <c r="JHA122" s="225"/>
      <c r="JHB122" s="225"/>
      <c r="JHC122" s="225"/>
      <c r="JHD122" s="225"/>
      <c r="JHE122" s="225"/>
      <c r="JHF122" s="225"/>
      <c r="JHG122" s="225"/>
      <c r="JHH122" s="225"/>
      <c r="JHI122" s="225"/>
      <c r="JHJ122" s="225"/>
      <c r="JHK122" s="225"/>
      <c r="JHL122" s="225"/>
      <c r="JHM122" s="225"/>
      <c r="JHN122" s="225"/>
      <c r="JHO122" s="225"/>
      <c r="JHP122" s="225"/>
      <c r="JHQ122" s="225"/>
      <c r="JHR122" s="225"/>
      <c r="JHS122" s="225"/>
      <c r="JHT122" s="225"/>
      <c r="JHU122" s="225"/>
      <c r="JHV122" s="225"/>
      <c r="JHW122" s="225"/>
      <c r="JHX122" s="225"/>
      <c r="JHY122" s="225"/>
      <c r="JHZ122" s="225"/>
      <c r="JIA122" s="225"/>
      <c r="JIB122" s="225"/>
      <c r="JIC122" s="225"/>
      <c r="JID122" s="225"/>
      <c r="JIE122" s="225"/>
      <c r="JIF122" s="225"/>
      <c r="JIG122" s="225"/>
      <c r="JIH122" s="225"/>
      <c r="JII122" s="225"/>
      <c r="JIJ122" s="225"/>
      <c r="JIK122" s="225"/>
      <c r="JIL122" s="225"/>
      <c r="JIM122" s="225"/>
      <c r="JIN122" s="225"/>
      <c r="JIO122" s="225"/>
      <c r="JIP122" s="225"/>
      <c r="JIQ122" s="225"/>
      <c r="JIR122" s="225"/>
      <c r="JIS122" s="225"/>
      <c r="JIT122" s="225"/>
      <c r="JIU122" s="225"/>
      <c r="JIV122" s="225"/>
      <c r="JIW122" s="225"/>
      <c r="JIX122" s="225"/>
      <c r="JIY122" s="225"/>
      <c r="JIZ122" s="225"/>
      <c r="JJA122" s="225"/>
      <c r="JJB122" s="225"/>
      <c r="JJC122" s="225"/>
      <c r="JJD122" s="225"/>
      <c r="JJE122" s="225"/>
      <c r="JJF122" s="225"/>
      <c r="JJG122" s="225"/>
      <c r="JJH122" s="225"/>
      <c r="JJI122" s="225"/>
      <c r="JJJ122" s="225"/>
      <c r="JJK122" s="225"/>
      <c r="JJL122" s="225"/>
      <c r="JJM122" s="225"/>
      <c r="JJN122" s="225"/>
      <c r="JJO122" s="225"/>
      <c r="JJP122" s="225"/>
      <c r="JJQ122" s="225"/>
      <c r="JJR122" s="225"/>
      <c r="JJS122" s="225"/>
      <c r="JJT122" s="225"/>
      <c r="JJU122" s="225"/>
      <c r="JJV122" s="225"/>
      <c r="JJW122" s="225"/>
      <c r="JJX122" s="225"/>
      <c r="JJY122" s="225"/>
      <c r="JJZ122" s="225"/>
      <c r="JKA122" s="225"/>
      <c r="JKB122" s="225"/>
      <c r="JKC122" s="225"/>
      <c r="JKD122" s="225"/>
      <c r="JKE122" s="225"/>
      <c r="JKF122" s="225"/>
      <c r="JKG122" s="225"/>
      <c r="JKH122" s="225"/>
      <c r="JKI122" s="225"/>
      <c r="JKJ122" s="225"/>
      <c r="JKK122" s="225"/>
      <c r="JKL122" s="225"/>
      <c r="JKM122" s="225"/>
      <c r="JKN122" s="225"/>
      <c r="JKO122" s="225"/>
      <c r="JKP122" s="225"/>
      <c r="JKQ122" s="225"/>
      <c r="JKR122" s="225"/>
      <c r="JKS122" s="225"/>
      <c r="JKT122" s="225"/>
      <c r="JKU122" s="225"/>
      <c r="JKV122" s="225"/>
      <c r="JKW122" s="225"/>
      <c r="JKX122" s="225"/>
      <c r="JKY122" s="225"/>
      <c r="JKZ122" s="225"/>
      <c r="JLA122" s="225"/>
      <c r="JLB122" s="225"/>
      <c r="JLC122" s="225"/>
      <c r="JLD122" s="225"/>
      <c r="JLE122" s="225"/>
      <c r="JLF122" s="225"/>
      <c r="JLG122" s="225"/>
      <c r="JLH122" s="225"/>
      <c r="JLI122" s="225"/>
      <c r="JLJ122" s="225"/>
      <c r="JLK122" s="225"/>
      <c r="JLL122" s="225"/>
      <c r="JLM122" s="225"/>
      <c r="JLN122" s="225"/>
      <c r="JLO122" s="225"/>
      <c r="JLP122" s="225"/>
      <c r="JLQ122" s="225"/>
      <c r="JLR122" s="225"/>
      <c r="JLS122" s="225"/>
      <c r="JLT122" s="225"/>
      <c r="JLU122" s="225"/>
      <c r="JLV122" s="225"/>
      <c r="JLW122" s="225"/>
      <c r="JLX122" s="225"/>
      <c r="JLY122" s="225"/>
      <c r="JLZ122" s="225"/>
      <c r="JMA122" s="225"/>
      <c r="JMB122" s="225"/>
      <c r="JMC122" s="225"/>
      <c r="JMD122" s="225"/>
      <c r="JME122" s="225"/>
      <c r="JMF122" s="225"/>
      <c r="JMG122" s="225"/>
      <c r="JMH122" s="225"/>
      <c r="JMI122" s="225"/>
      <c r="JMJ122" s="225"/>
      <c r="JMK122" s="225"/>
      <c r="JML122" s="225"/>
      <c r="JMM122" s="225"/>
      <c r="JMN122" s="225"/>
      <c r="JMO122" s="225"/>
      <c r="JMP122" s="225"/>
      <c r="JMQ122" s="225"/>
      <c r="JMR122" s="225"/>
      <c r="JMS122" s="225"/>
      <c r="JMT122" s="225"/>
      <c r="JMU122" s="225"/>
      <c r="JMV122" s="225"/>
      <c r="JMW122" s="225"/>
      <c r="JMX122" s="225"/>
      <c r="JMY122" s="225"/>
      <c r="JMZ122" s="225"/>
      <c r="JNA122" s="225"/>
      <c r="JNB122" s="225"/>
      <c r="JNC122" s="225"/>
      <c r="JND122" s="225"/>
      <c r="JNE122" s="225"/>
      <c r="JNF122" s="225"/>
      <c r="JNG122" s="225"/>
      <c r="JNH122" s="225"/>
      <c r="JNI122" s="225"/>
      <c r="JNJ122" s="225"/>
      <c r="JNK122" s="225"/>
      <c r="JNL122" s="225"/>
      <c r="JNM122" s="225"/>
      <c r="JNN122" s="225"/>
      <c r="JNO122" s="225"/>
      <c r="JNP122" s="225"/>
      <c r="JNQ122" s="225"/>
      <c r="JNR122" s="225"/>
      <c r="JNS122" s="225"/>
      <c r="JNT122" s="225"/>
      <c r="JNU122" s="225"/>
      <c r="JNV122" s="225"/>
      <c r="JNW122" s="225"/>
      <c r="JNX122" s="225"/>
      <c r="JNY122" s="225"/>
      <c r="JNZ122" s="225"/>
      <c r="JOA122" s="225"/>
      <c r="JOB122" s="225"/>
      <c r="JOC122" s="225"/>
      <c r="JOD122" s="225"/>
      <c r="JOE122" s="225"/>
      <c r="JOF122" s="225"/>
      <c r="JOG122" s="225"/>
      <c r="JOH122" s="225"/>
      <c r="JOI122" s="225"/>
      <c r="JOJ122" s="225"/>
      <c r="JOK122" s="225"/>
      <c r="JOL122" s="225"/>
      <c r="JOM122" s="225"/>
      <c r="JON122" s="225"/>
      <c r="JOO122" s="225"/>
      <c r="JOP122" s="225"/>
      <c r="JOQ122" s="225"/>
      <c r="JOR122" s="225"/>
      <c r="JOS122" s="225"/>
      <c r="JOT122" s="225"/>
      <c r="JOU122" s="225"/>
      <c r="JOV122" s="225"/>
      <c r="JOW122" s="225"/>
      <c r="JOX122" s="225"/>
      <c r="JOY122" s="225"/>
      <c r="JOZ122" s="225"/>
      <c r="JPA122" s="225"/>
      <c r="JPB122" s="225"/>
      <c r="JPC122" s="225"/>
      <c r="JPD122" s="225"/>
      <c r="JPE122" s="225"/>
      <c r="JPF122" s="225"/>
      <c r="JPG122" s="225"/>
      <c r="JPH122" s="225"/>
      <c r="JPI122" s="225"/>
      <c r="JPJ122" s="225"/>
      <c r="JPK122" s="225"/>
      <c r="JPL122" s="225"/>
      <c r="JPM122" s="225"/>
      <c r="JPN122" s="225"/>
      <c r="JPO122" s="225"/>
      <c r="JPP122" s="225"/>
      <c r="JPQ122" s="225"/>
      <c r="JPR122" s="225"/>
      <c r="JPS122" s="225"/>
      <c r="JPT122" s="225"/>
      <c r="JPU122" s="225"/>
      <c r="JPV122" s="225"/>
      <c r="JPW122" s="225"/>
      <c r="JPX122" s="225"/>
      <c r="JPY122" s="225"/>
      <c r="JPZ122" s="225"/>
      <c r="JQA122" s="225"/>
      <c r="JQB122" s="225"/>
      <c r="JQC122" s="225"/>
      <c r="JQD122" s="225"/>
      <c r="JQE122" s="225"/>
      <c r="JQF122" s="225"/>
      <c r="JQG122" s="225"/>
      <c r="JQH122" s="225"/>
      <c r="JQI122" s="225"/>
      <c r="JQJ122" s="225"/>
      <c r="JQK122" s="225"/>
      <c r="JQL122" s="225"/>
      <c r="JQM122" s="225"/>
      <c r="JQN122" s="225"/>
      <c r="JQO122" s="225"/>
      <c r="JQP122" s="225"/>
      <c r="JQQ122" s="225"/>
      <c r="JQR122" s="225"/>
      <c r="JQS122" s="225"/>
      <c r="JQT122" s="225"/>
      <c r="JQU122" s="225"/>
      <c r="JQV122" s="225"/>
      <c r="JQW122" s="225"/>
      <c r="JQX122" s="225"/>
      <c r="JQY122" s="225"/>
      <c r="JQZ122" s="225"/>
      <c r="JRA122" s="225"/>
      <c r="JRB122" s="225"/>
      <c r="JRC122" s="225"/>
      <c r="JRD122" s="225"/>
      <c r="JRE122" s="225"/>
      <c r="JRF122" s="225"/>
      <c r="JRG122" s="225"/>
      <c r="JRH122" s="225"/>
      <c r="JRI122" s="225"/>
      <c r="JRJ122" s="225"/>
      <c r="JRK122" s="225"/>
      <c r="JRL122" s="225"/>
      <c r="JRM122" s="225"/>
      <c r="JRN122" s="225"/>
      <c r="JRO122" s="225"/>
      <c r="JRP122" s="225"/>
      <c r="JRQ122" s="225"/>
      <c r="JRR122" s="225"/>
      <c r="JRS122" s="225"/>
      <c r="JRT122" s="225"/>
      <c r="JRU122" s="225"/>
      <c r="JRV122" s="225"/>
      <c r="JRW122" s="225"/>
      <c r="JRX122" s="225"/>
      <c r="JRY122" s="225"/>
      <c r="JRZ122" s="225"/>
      <c r="JSA122" s="225"/>
      <c r="JSB122" s="225"/>
      <c r="JSC122" s="225"/>
      <c r="JSD122" s="225"/>
      <c r="JSE122" s="225"/>
      <c r="JSF122" s="225"/>
      <c r="JSG122" s="225"/>
      <c r="JSH122" s="225"/>
      <c r="JSI122" s="225"/>
      <c r="JSJ122" s="225"/>
      <c r="JSK122" s="225"/>
      <c r="JSL122" s="225"/>
      <c r="JSM122" s="225"/>
      <c r="JSN122" s="225"/>
      <c r="JSO122" s="225"/>
      <c r="JSP122" s="225"/>
      <c r="JSQ122" s="225"/>
      <c r="JSR122" s="225"/>
      <c r="JSS122" s="225"/>
      <c r="JST122" s="225"/>
      <c r="JSU122" s="225"/>
      <c r="JSV122" s="225"/>
      <c r="JSW122" s="225"/>
      <c r="JSX122" s="225"/>
      <c r="JSY122" s="225"/>
      <c r="JSZ122" s="225"/>
      <c r="JTA122" s="225"/>
      <c r="JTB122" s="225"/>
      <c r="JTC122" s="225"/>
      <c r="JTD122" s="225"/>
      <c r="JTE122" s="225"/>
      <c r="JTF122" s="225"/>
      <c r="JTG122" s="225"/>
      <c r="JTH122" s="225"/>
      <c r="JTI122" s="225"/>
      <c r="JTJ122" s="225"/>
      <c r="JTK122" s="225"/>
      <c r="JTL122" s="225"/>
      <c r="JTM122" s="225"/>
      <c r="JTN122" s="225"/>
      <c r="JTO122" s="225"/>
      <c r="JTP122" s="225"/>
      <c r="JTQ122" s="225"/>
      <c r="JTR122" s="225"/>
      <c r="JTS122" s="225"/>
      <c r="JTT122" s="225"/>
      <c r="JTU122" s="225"/>
      <c r="JTV122" s="225"/>
      <c r="JTW122" s="225"/>
      <c r="JTX122" s="225"/>
      <c r="JTY122" s="225"/>
      <c r="JTZ122" s="225"/>
      <c r="JUA122" s="225"/>
      <c r="JUB122" s="225"/>
      <c r="JUC122" s="225"/>
      <c r="JUD122" s="225"/>
      <c r="JUE122" s="225"/>
      <c r="JUF122" s="225"/>
      <c r="JUG122" s="225"/>
      <c r="JUH122" s="225"/>
      <c r="JUI122" s="225"/>
      <c r="JUJ122" s="225"/>
      <c r="JUK122" s="225"/>
      <c r="JUL122" s="225"/>
      <c r="JUM122" s="225"/>
      <c r="JUN122" s="225"/>
      <c r="JUO122" s="225"/>
      <c r="JUP122" s="225"/>
      <c r="JUQ122" s="225"/>
      <c r="JUR122" s="225"/>
      <c r="JUS122" s="225"/>
      <c r="JUT122" s="225"/>
      <c r="JUU122" s="225"/>
      <c r="JUV122" s="225"/>
      <c r="JUW122" s="225"/>
      <c r="JUX122" s="225"/>
      <c r="JUY122" s="225"/>
      <c r="JUZ122" s="225"/>
      <c r="JVA122" s="225"/>
      <c r="JVB122" s="225"/>
      <c r="JVC122" s="225"/>
      <c r="JVD122" s="225"/>
      <c r="JVE122" s="225"/>
      <c r="JVF122" s="225"/>
      <c r="JVG122" s="225"/>
      <c r="JVH122" s="225"/>
      <c r="JVI122" s="225"/>
      <c r="JVJ122" s="225"/>
      <c r="JVK122" s="225"/>
      <c r="JVL122" s="225"/>
      <c r="JVM122" s="225"/>
      <c r="JVN122" s="225"/>
      <c r="JVO122" s="225"/>
      <c r="JVP122" s="225"/>
      <c r="JVQ122" s="225"/>
      <c r="JVR122" s="225"/>
      <c r="JVS122" s="225"/>
      <c r="JVT122" s="225"/>
      <c r="JVU122" s="225"/>
      <c r="JVV122" s="225"/>
      <c r="JVW122" s="225"/>
      <c r="JVX122" s="225"/>
      <c r="JVY122" s="225"/>
      <c r="JVZ122" s="225"/>
      <c r="JWA122" s="225"/>
      <c r="JWB122" s="225"/>
      <c r="JWC122" s="225"/>
      <c r="JWD122" s="225"/>
      <c r="JWE122" s="225"/>
      <c r="JWF122" s="225"/>
      <c r="JWG122" s="225"/>
      <c r="JWH122" s="225"/>
      <c r="JWI122" s="225"/>
      <c r="JWJ122" s="225"/>
      <c r="JWK122" s="225"/>
      <c r="JWL122" s="225"/>
      <c r="JWM122" s="225"/>
      <c r="JWN122" s="225"/>
      <c r="JWO122" s="225"/>
      <c r="JWP122" s="225"/>
      <c r="JWQ122" s="225"/>
      <c r="JWR122" s="225"/>
      <c r="JWS122" s="225"/>
      <c r="JWT122" s="225"/>
      <c r="JWU122" s="225"/>
      <c r="JWV122" s="225"/>
      <c r="JWW122" s="225"/>
      <c r="JWX122" s="225"/>
      <c r="JWY122" s="225"/>
      <c r="JWZ122" s="225"/>
      <c r="JXA122" s="225"/>
      <c r="JXB122" s="225"/>
      <c r="JXC122" s="225"/>
      <c r="JXD122" s="225"/>
      <c r="JXE122" s="225"/>
      <c r="JXF122" s="225"/>
      <c r="JXG122" s="225"/>
      <c r="JXH122" s="225"/>
      <c r="JXI122" s="225"/>
      <c r="JXJ122" s="225"/>
      <c r="JXK122" s="225"/>
      <c r="JXL122" s="225"/>
      <c r="JXM122" s="225"/>
      <c r="JXN122" s="225"/>
      <c r="JXO122" s="225"/>
      <c r="JXP122" s="225"/>
      <c r="JXQ122" s="225"/>
      <c r="JXR122" s="225"/>
      <c r="JXS122" s="225"/>
      <c r="JXT122" s="225"/>
      <c r="JXU122" s="225"/>
      <c r="JXV122" s="225"/>
      <c r="JXW122" s="225"/>
      <c r="JXX122" s="225"/>
      <c r="JXY122" s="225"/>
      <c r="JXZ122" s="225"/>
      <c r="JYA122" s="225"/>
      <c r="JYB122" s="225"/>
      <c r="JYC122" s="225"/>
      <c r="JYD122" s="225"/>
      <c r="JYE122" s="225"/>
      <c r="JYF122" s="225"/>
      <c r="JYG122" s="225"/>
      <c r="JYH122" s="225"/>
      <c r="JYI122" s="225"/>
      <c r="JYJ122" s="225"/>
      <c r="JYK122" s="225"/>
      <c r="JYL122" s="225"/>
      <c r="JYM122" s="225"/>
      <c r="JYN122" s="225"/>
      <c r="JYO122" s="225"/>
      <c r="JYP122" s="225"/>
      <c r="JYQ122" s="225"/>
      <c r="JYR122" s="225"/>
      <c r="JYS122" s="225"/>
      <c r="JYT122" s="225"/>
      <c r="JYU122" s="225"/>
      <c r="JYV122" s="225"/>
      <c r="JYW122" s="225"/>
      <c r="JYX122" s="225"/>
      <c r="JYY122" s="225"/>
      <c r="JYZ122" s="225"/>
      <c r="JZA122" s="225"/>
      <c r="JZB122" s="225"/>
      <c r="JZC122" s="225"/>
      <c r="JZD122" s="225"/>
      <c r="JZE122" s="225"/>
      <c r="JZF122" s="225"/>
      <c r="JZG122" s="225"/>
      <c r="JZH122" s="225"/>
      <c r="JZI122" s="225"/>
      <c r="JZJ122" s="225"/>
      <c r="JZK122" s="225"/>
      <c r="JZL122" s="225"/>
      <c r="JZM122" s="225"/>
      <c r="JZN122" s="225"/>
      <c r="JZO122" s="225"/>
      <c r="JZP122" s="225"/>
      <c r="JZQ122" s="225"/>
      <c r="JZR122" s="225"/>
      <c r="JZS122" s="225"/>
      <c r="JZT122" s="225"/>
      <c r="JZU122" s="225"/>
      <c r="JZV122" s="225"/>
      <c r="JZW122" s="225"/>
      <c r="JZX122" s="225"/>
      <c r="JZY122" s="225"/>
      <c r="JZZ122" s="225"/>
      <c r="KAA122" s="225"/>
      <c r="KAB122" s="225"/>
      <c r="KAC122" s="225"/>
      <c r="KAD122" s="225"/>
      <c r="KAE122" s="225"/>
      <c r="KAF122" s="225"/>
      <c r="KAG122" s="225"/>
      <c r="KAH122" s="225"/>
      <c r="KAI122" s="225"/>
      <c r="KAJ122" s="225"/>
      <c r="KAK122" s="225"/>
      <c r="KAL122" s="225"/>
      <c r="KAM122" s="225"/>
      <c r="KAN122" s="225"/>
      <c r="KAO122" s="225"/>
      <c r="KAP122" s="225"/>
      <c r="KAQ122" s="225"/>
      <c r="KAR122" s="225"/>
      <c r="KAS122" s="225"/>
      <c r="KAT122" s="225"/>
      <c r="KAU122" s="225"/>
      <c r="KAV122" s="225"/>
      <c r="KAW122" s="225"/>
      <c r="KAX122" s="225"/>
      <c r="KAY122" s="225"/>
      <c r="KAZ122" s="225"/>
      <c r="KBA122" s="225"/>
      <c r="KBB122" s="225"/>
      <c r="KBC122" s="225"/>
      <c r="KBD122" s="225"/>
      <c r="KBE122" s="225"/>
      <c r="KBF122" s="225"/>
      <c r="KBG122" s="225"/>
      <c r="KBH122" s="225"/>
      <c r="KBI122" s="225"/>
      <c r="KBJ122" s="225"/>
      <c r="KBK122" s="225"/>
      <c r="KBL122" s="225"/>
      <c r="KBM122" s="225"/>
      <c r="KBN122" s="225"/>
      <c r="KBO122" s="225"/>
      <c r="KBP122" s="225"/>
      <c r="KBQ122" s="225"/>
      <c r="KBR122" s="225"/>
      <c r="KBS122" s="225"/>
      <c r="KBT122" s="225"/>
      <c r="KBU122" s="225"/>
      <c r="KBV122" s="225"/>
      <c r="KBW122" s="225"/>
      <c r="KBX122" s="225"/>
      <c r="KBY122" s="225"/>
      <c r="KBZ122" s="225"/>
      <c r="KCA122" s="225"/>
      <c r="KCB122" s="225"/>
      <c r="KCC122" s="225"/>
      <c r="KCD122" s="225"/>
      <c r="KCE122" s="225"/>
      <c r="KCF122" s="225"/>
      <c r="KCG122" s="225"/>
      <c r="KCH122" s="225"/>
      <c r="KCI122" s="225"/>
      <c r="KCJ122" s="225"/>
      <c r="KCK122" s="225"/>
      <c r="KCL122" s="225"/>
      <c r="KCM122" s="225"/>
      <c r="KCN122" s="225"/>
      <c r="KCO122" s="225"/>
      <c r="KCP122" s="225"/>
      <c r="KCQ122" s="225"/>
      <c r="KCR122" s="225"/>
      <c r="KCS122" s="225"/>
      <c r="KCT122" s="225"/>
      <c r="KCU122" s="225"/>
      <c r="KCV122" s="225"/>
      <c r="KCW122" s="225"/>
      <c r="KCX122" s="225"/>
      <c r="KCY122" s="225"/>
      <c r="KCZ122" s="225"/>
      <c r="KDA122" s="225"/>
      <c r="KDB122" s="225"/>
      <c r="KDC122" s="225"/>
      <c r="KDD122" s="225"/>
      <c r="KDE122" s="225"/>
      <c r="KDF122" s="225"/>
      <c r="KDG122" s="225"/>
      <c r="KDH122" s="225"/>
      <c r="KDI122" s="225"/>
      <c r="KDJ122" s="225"/>
      <c r="KDK122" s="225"/>
      <c r="KDL122" s="225"/>
      <c r="KDM122" s="225"/>
      <c r="KDN122" s="225"/>
      <c r="KDO122" s="225"/>
      <c r="KDP122" s="225"/>
      <c r="KDQ122" s="225"/>
      <c r="KDR122" s="225"/>
      <c r="KDS122" s="225"/>
      <c r="KDT122" s="225"/>
      <c r="KDU122" s="225"/>
      <c r="KDV122" s="225"/>
      <c r="KDW122" s="225"/>
      <c r="KDX122" s="225"/>
      <c r="KDY122" s="225"/>
      <c r="KDZ122" s="225"/>
      <c r="KEA122" s="225"/>
      <c r="KEB122" s="225"/>
      <c r="KEC122" s="225"/>
      <c r="KED122" s="225"/>
      <c r="KEE122" s="225"/>
      <c r="KEF122" s="225"/>
      <c r="KEG122" s="225"/>
      <c r="KEH122" s="225"/>
      <c r="KEI122" s="225"/>
      <c r="KEJ122" s="225"/>
      <c r="KEK122" s="225"/>
      <c r="KEL122" s="225"/>
      <c r="KEM122" s="225"/>
      <c r="KEN122" s="225"/>
      <c r="KEO122" s="225"/>
      <c r="KEP122" s="225"/>
      <c r="KEQ122" s="225"/>
      <c r="KER122" s="225"/>
      <c r="KES122" s="225"/>
      <c r="KET122" s="225"/>
      <c r="KEU122" s="225"/>
      <c r="KEV122" s="225"/>
      <c r="KEW122" s="225"/>
      <c r="KEX122" s="225"/>
      <c r="KEY122" s="225"/>
      <c r="KEZ122" s="225"/>
      <c r="KFA122" s="225"/>
      <c r="KFB122" s="225"/>
      <c r="KFC122" s="225"/>
      <c r="KFD122" s="225"/>
      <c r="KFE122" s="225"/>
      <c r="KFF122" s="225"/>
      <c r="KFG122" s="225"/>
      <c r="KFH122" s="225"/>
      <c r="KFI122" s="225"/>
      <c r="KFJ122" s="225"/>
      <c r="KFK122" s="225"/>
      <c r="KFL122" s="225"/>
      <c r="KFM122" s="225"/>
      <c r="KFN122" s="225"/>
      <c r="KFO122" s="225"/>
      <c r="KFP122" s="225"/>
      <c r="KFQ122" s="225"/>
      <c r="KFR122" s="225"/>
      <c r="KFS122" s="225"/>
      <c r="KFT122" s="225"/>
      <c r="KFU122" s="225"/>
      <c r="KFV122" s="225"/>
      <c r="KFW122" s="225"/>
      <c r="KFX122" s="225"/>
      <c r="KFY122" s="225"/>
      <c r="KFZ122" s="225"/>
      <c r="KGA122" s="225"/>
      <c r="KGB122" s="225"/>
      <c r="KGC122" s="225"/>
      <c r="KGD122" s="225"/>
      <c r="KGE122" s="225"/>
      <c r="KGF122" s="225"/>
      <c r="KGG122" s="225"/>
      <c r="KGH122" s="225"/>
      <c r="KGI122" s="225"/>
      <c r="KGJ122" s="225"/>
      <c r="KGK122" s="225"/>
      <c r="KGL122" s="225"/>
      <c r="KGM122" s="225"/>
      <c r="KGN122" s="225"/>
      <c r="KGO122" s="225"/>
      <c r="KGP122" s="225"/>
      <c r="KGQ122" s="225"/>
      <c r="KGR122" s="225"/>
      <c r="KGS122" s="225"/>
      <c r="KGT122" s="225"/>
      <c r="KGU122" s="225"/>
      <c r="KGV122" s="225"/>
      <c r="KGW122" s="225"/>
      <c r="KGX122" s="225"/>
      <c r="KGY122" s="225"/>
      <c r="KGZ122" s="225"/>
      <c r="KHA122" s="225"/>
      <c r="KHB122" s="225"/>
      <c r="KHC122" s="225"/>
      <c r="KHD122" s="225"/>
      <c r="KHE122" s="225"/>
      <c r="KHF122" s="225"/>
      <c r="KHG122" s="225"/>
      <c r="KHH122" s="225"/>
      <c r="KHI122" s="225"/>
      <c r="KHJ122" s="225"/>
      <c r="KHK122" s="225"/>
      <c r="KHL122" s="225"/>
      <c r="KHM122" s="225"/>
      <c r="KHN122" s="225"/>
      <c r="KHO122" s="225"/>
      <c r="KHP122" s="225"/>
      <c r="KHQ122" s="225"/>
      <c r="KHR122" s="225"/>
      <c r="KHS122" s="225"/>
      <c r="KHT122" s="225"/>
      <c r="KHU122" s="225"/>
      <c r="KHV122" s="225"/>
      <c r="KHW122" s="225"/>
      <c r="KHX122" s="225"/>
      <c r="KHY122" s="225"/>
      <c r="KHZ122" s="225"/>
      <c r="KIA122" s="225"/>
      <c r="KIB122" s="225"/>
      <c r="KIC122" s="225"/>
      <c r="KID122" s="225"/>
      <c r="KIE122" s="225"/>
      <c r="KIF122" s="225"/>
      <c r="KIG122" s="225"/>
      <c r="KIH122" s="225"/>
      <c r="KII122" s="225"/>
      <c r="KIJ122" s="225"/>
      <c r="KIK122" s="225"/>
      <c r="KIL122" s="225"/>
      <c r="KIM122" s="225"/>
      <c r="KIN122" s="225"/>
      <c r="KIO122" s="225"/>
      <c r="KIP122" s="225"/>
      <c r="KIQ122" s="225"/>
      <c r="KIR122" s="225"/>
      <c r="KIS122" s="225"/>
      <c r="KIT122" s="225"/>
      <c r="KIU122" s="225"/>
      <c r="KIV122" s="225"/>
      <c r="KIW122" s="225"/>
      <c r="KIX122" s="225"/>
      <c r="KIY122" s="225"/>
      <c r="KIZ122" s="225"/>
      <c r="KJA122" s="225"/>
      <c r="KJB122" s="225"/>
      <c r="KJC122" s="225"/>
      <c r="KJD122" s="225"/>
      <c r="KJE122" s="225"/>
      <c r="KJF122" s="225"/>
      <c r="KJG122" s="225"/>
      <c r="KJH122" s="225"/>
      <c r="KJI122" s="225"/>
      <c r="KJJ122" s="225"/>
      <c r="KJK122" s="225"/>
      <c r="KJL122" s="225"/>
      <c r="KJM122" s="225"/>
      <c r="KJN122" s="225"/>
      <c r="KJO122" s="225"/>
      <c r="KJP122" s="225"/>
      <c r="KJQ122" s="225"/>
      <c r="KJR122" s="225"/>
      <c r="KJS122" s="225"/>
      <c r="KJT122" s="225"/>
      <c r="KJU122" s="225"/>
      <c r="KJV122" s="225"/>
      <c r="KJW122" s="225"/>
      <c r="KJX122" s="225"/>
      <c r="KJY122" s="225"/>
      <c r="KJZ122" s="225"/>
      <c r="KKA122" s="225"/>
      <c r="KKB122" s="225"/>
      <c r="KKC122" s="225"/>
      <c r="KKD122" s="225"/>
      <c r="KKE122" s="225"/>
      <c r="KKF122" s="225"/>
      <c r="KKG122" s="225"/>
      <c r="KKH122" s="225"/>
      <c r="KKI122" s="225"/>
      <c r="KKJ122" s="225"/>
      <c r="KKK122" s="225"/>
      <c r="KKL122" s="225"/>
      <c r="KKM122" s="225"/>
      <c r="KKN122" s="225"/>
      <c r="KKO122" s="225"/>
      <c r="KKP122" s="225"/>
      <c r="KKQ122" s="225"/>
      <c r="KKR122" s="225"/>
      <c r="KKS122" s="225"/>
      <c r="KKT122" s="225"/>
      <c r="KKU122" s="225"/>
      <c r="KKV122" s="225"/>
      <c r="KKW122" s="225"/>
      <c r="KKX122" s="225"/>
      <c r="KKY122" s="225"/>
      <c r="KKZ122" s="225"/>
      <c r="KLA122" s="225"/>
      <c r="KLB122" s="225"/>
      <c r="KLC122" s="225"/>
      <c r="KLD122" s="225"/>
      <c r="KLE122" s="225"/>
      <c r="KLF122" s="225"/>
      <c r="KLG122" s="225"/>
      <c r="KLH122" s="225"/>
      <c r="KLI122" s="225"/>
      <c r="KLJ122" s="225"/>
      <c r="KLK122" s="225"/>
      <c r="KLL122" s="225"/>
      <c r="KLM122" s="225"/>
      <c r="KLN122" s="225"/>
      <c r="KLO122" s="225"/>
      <c r="KLP122" s="225"/>
      <c r="KLQ122" s="225"/>
      <c r="KLR122" s="225"/>
      <c r="KLS122" s="225"/>
      <c r="KLT122" s="225"/>
      <c r="KLU122" s="225"/>
      <c r="KLV122" s="225"/>
      <c r="KLW122" s="225"/>
      <c r="KLX122" s="225"/>
      <c r="KLY122" s="225"/>
      <c r="KLZ122" s="225"/>
      <c r="KMA122" s="225"/>
      <c r="KMB122" s="225"/>
      <c r="KMC122" s="225"/>
      <c r="KMD122" s="225"/>
      <c r="KME122" s="225"/>
      <c r="KMF122" s="225"/>
      <c r="KMG122" s="225"/>
      <c r="KMH122" s="225"/>
      <c r="KMI122" s="225"/>
      <c r="KMJ122" s="225"/>
      <c r="KMK122" s="225"/>
      <c r="KML122" s="225"/>
      <c r="KMM122" s="225"/>
      <c r="KMN122" s="225"/>
      <c r="KMO122" s="225"/>
      <c r="KMP122" s="225"/>
      <c r="KMQ122" s="225"/>
      <c r="KMR122" s="225"/>
      <c r="KMS122" s="225"/>
      <c r="KMT122" s="225"/>
      <c r="KMU122" s="225"/>
      <c r="KMV122" s="225"/>
      <c r="KMW122" s="225"/>
      <c r="KMX122" s="225"/>
      <c r="KMY122" s="225"/>
      <c r="KMZ122" s="225"/>
      <c r="KNA122" s="225"/>
      <c r="KNB122" s="225"/>
      <c r="KNC122" s="225"/>
      <c r="KND122" s="225"/>
      <c r="KNE122" s="225"/>
      <c r="KNF122" s="225"/>
      <c r="KNG122" s="225"/>
      <c r="KNH122" s="225"/>
      <c r="KNI122" s="225"/>
      <c r="KNJ122" s="225"/>
      <c r="KNK122" s="225"/>
      <c r="KNL122" s="225"/>
      <c r="KNM122" s="225"/>
      <c r="KNN122" s="225"/>
      <c r="KNO122" s="225"/>
      <c r="KNP122" s="225"/>
      <c r="KNQ122" s="225"/>
      <c r="KNR122" s="225"/>
      <c r="KNS122" s="225"/>
      <c r="KNT122" s="225"/>
      <c r="KNU122" s="225"/>
      <c r="KNV122" s="225"/>
      <c r="KNW122" s="225"/>
      <c r="KNX122" s="225"/>
      <c r="KNY122" s="225"/>
      <c r="KNZ122" s="225"/>
      <c r="KOA122" s="225"/>
      <c r="KOB122" s="225"/>
      <c r="KOC122" s="225"/>
      <c r="KOD122" s="225"/>
      <c r="KOE122" s="225"/>
      <c r="KOF122" s="225"/>
      <c r="KOG122" s="225"/>
      <c r="KOH122" s="225"/>
      <c r="KOI122" s="225"/>
      <c r="KOJ122" s="225"/>
      <c r="KOK122" s="225"/>
      <c r="KOL122" s="225"/>
      <c r="KOM122" s="225"/>
      <c r="KON122" s="225"/>
      <c r="KOO122" s="225"/>
      <c r="KOP122" s="225"/>
      <c r="KOQ122" s="225"/>
      <c r="KOR122" s="225"/>
      <c r="KOS122" s="225"/>
      <c r="KOT122" s="225"/>
      <c r="KOU122" s="225"/>
      <c r="KOV122" s="225"/>
      <c r="KOW122" s="225"/>
      <c r="KOX122" s="225"/>
      <c r="KOY122" s="225"/>
      <c r="KOZ122" s="225"/>
      <c r="KPA122" s="225"/>
      <c r="KPB122" s="225"/>
      <c r="KPC122" s="225"/>
      <c r="KPD122" s="225"/>
      <c r="KPE122" s="225"/>
      <c r="KPF122" s="225"/>
      <c r="KPG122" s="225"/>
      <c r="KPH122" s="225"/>
      <c r="KPI122" s="225"/>
      <c r="KPJ122" s="225"/>
      <c r="KPK122" s="225"/>
      <c r="KPL122" s="225"/>
      <c r="KPM122" s="225"/>
      <c r="KPN122" s="225"/>
      <c r="KPO122" s="225"/>
      <c r="KPP122" s="225"/>
      <c r="KPQ122" s="225"/>
      <c r="KPR122" s="225"/>
      <c r="KPS122" s="225"/>
      <c r="KPT122" s="225"/>
      <c r="KPU122" s="225"/>
      <c r="KPV122" s="225"/>
      <c r="KPW122" s="225"/>
      <c r="KPX122" s="225"/>
      <c r="KPY122" s="225"/>
      <c r="KPZ122" s="225"/>
      <c r="KQA122" s="225"/>
      <c r="KQB122" s="225"/>
      <c r="KQC122" s="225"/>
      <c r="KQD122" s="225"/>
      <c r="KQE122" s="225"/>
      <c r="KQF122" s="225"/>
      <c r="KQG122" s="225"/>
      <c r="KQH122" s="225"/>
      <c r="KQI122" s="225"/>
      <c r="KQJ122" s="225"/>
      <c r="KQK122" s="225"/>
      <c r="KQL122" s="225"/>
      <c r="KQM122" s="225"/>
      <c r="KQN122" s="225"/>
      <c r="KQO122" s="225"/>
      <c r="KQP122" s="225"/>
      <c r="KQQ122" s="225"/>
      <c r="KQR122" s="225"/>
      <c r="KQS122" s="225"/>
      <c r="KQT122" s="225"/>
      <c r="KQU122" s="225"/>
      <c r="KQV122" s="225"/>
      <c r="KQW122" s="225"/>
      <c r="KQX122" s="225"/>
      <c r="KQY122" s="225"/>
      <c r="KQZ122" s="225"/>
      <c r="KRA122" s="225"/>
      <c r="KRB122" s="225"/>
      <c r="KRC122" s="225"/>
      <c r="KRD122" s="225"/>
      <c r="KRE122" s="225"/>
      <c r="KRF122" s="225"/>
      <c r="KRG122" s="225"/>
      <c r="KRH122" s="225"/>
      <c r="KRI122" s="225"/>
      <c r="KRJ122" s="225"/>
      <c r="KRK122" s="225"/>
      <c r="KRL122" s="225"/>
      <c r="KRM122" s="225"/>
      <c r="KRN122" s="225"/>
      <c r="KRO122" s="225"/>
      <c r="KRP122" s="225"/>
      <c r="KRQ122" s="225"/>
      <c r="KRR122" s="225"/>
      <c r="KRS122" s="225"/>
      <c r="KRT122" s="225"/>
      <c r="KRU122" s="225"/>
      <c r="KRV122" s="225"/>
      <c r="KRW122" s="225"/>
      <c r="KRX122" s="225"/>
      <c r="KRY122" s="225"/>
      <c r="KRZ122" s="225"/>
      <c r="KSA122" s="225"/>
      <c r="KSB122" s="225"/>
      <c r="KSC122" s="225"/>
      <c r="KSD122" s="225"/>
      <c r="KSE122" s="225"/>
      <c r="KSF122" s="225"/>
      <c r="KSG122" s="225"/>
      <c r="KSH122" s="225"/>
      <c r="KSI122" s="225"/>
      <c r="KSJ122" s="225"/>
      <c r="KSK122" s="225"/>
      <c r="KSL122" s="225"/>
      <c r="KSM122" s="225"/>
      <c r="KSN122" s="225"/>
      <c r="KSO122" s="225"/>
      <c r="KSP122" s="225"/>
      <c r="KSQ122" s="225"/>
      <c r="KSR122" s="225"/>
      <c r="KSS122" s="225"/>
      <c r="KST122" s="225"/>
      <c r="KSU122" s="225"/>
      <c r="KSV122" s="225"/>
      <c r="KSW122" s="225"/>
      <c r="KSX122" s="225"/>
      <c r="KSY122" s="225"/>
      <c r="KSZ122" s="225"/>
      <c r="KTA122" s="225"/>
      <c r="KTB122" s="225"/>
      <c r="KTC122" s="225"/>
      <c r="KTD122" s="225"/>
      <c r="KTE122" s="225"/>
      <c r="KTF122" s="225"/>
      <c r="KTG122" s="225"/>
      <c r="KTH122" s="225"/>
      <c r="KTI122" s="225"/>
      <c r="KTJ122" s="225"/>
      <c r="KTK122" s="225"/>
      <c r="KTL122" s="225"/>
      <c r="KTM122" s="225"/>
      <c r="KTN122" s="225"/>
      <c r="KTO122" s="225"/>
      <c r="KTP122" s="225"/>
      <c r="KTQ122" s="225"/>
      <c r="KTR122" s="225"/>
      <c r="KTS122" s="225"/>
      <c r="KTT122" s="225"/>
      <c r="KTU122" s="225"/>
      <c r="KTV122" s="225"/>
      <c r="KTW122" s="225"/>
      <c r="KTX122" s="225"/>
      <c r="KTY122" s="225"/>
      <c r="KTZ122" s="225"/>
      <c r="KUA122" s="225"/>
      <c r="KUB122" s="225"/>
      <c r="KUC122" s="225"/>
      <c r="KUD122" s="225"/>
      <c r="KUE122" s="225"/>
      <c r="KUF122" s="225"/>
      <c r="KUG122" s="225"/>
      <c r="KUH122" s="225"/>
      <c r="KUI122" s="225"/>
      <c r="KUJ122" s="225"/>
      <c r="KUK122" s="225"/>
      <c r="KUL122" s="225"/>
      <c r="KUM122" s="225"/>
      <c r="KUN122" s="225"/>
      <c r="KUO122" s="225"/>
      <c r="KUP122" s="225"/>
      <c r="KUQ122" s="225"/>
      <c r="KUR122" s="225"/>
      <c r="KUS122" s="225"/>
      <c r="KUT122" s="225"/>
      <c r="KUU122" s="225"/>
      <c r="KUV122" s="225"/>
      <c r="KUW122" s="225"/>
      <c r="KUX122" s="225"/>
      <c r="KUY122" s="225"/>
      <c r="KUZ122" s="225"/>
      <c r="KVA122" s="225"/>
      <c r="KVB122" s="225"/>
      <c r="KVC122" s="225"/>
      <c r="KVD122" s="225"/>
      <c r="KVE122" s="225"/>
      <c r="KVF122" s="225"/>
      <c r="KVG122" s="225"/>
      <c r="KVH122" s="225"/>
      <c r="KVI122" s="225"/>
      <c r="KVJ122" s="225"/>
      <c r="KVK122" s="225"/>
      <c r="KVL122" s="225"/>
      <c r="KVM122" s="225"/>
      <c r="KVN122" s="225"/>
      <c r="KVO122" s="225"/>
      <c r="KVP122" s="225"/>
      <c r="KVQ122" s="225"/>
      <c r="KVR122" s="225"/>
      <c r="KVS122" s="225"/>
      <c r="KVT122" s="225"/>
      <c r="KVU122" s="225"/>
      <c r="KVV122" s="225"/>
      <c r="KVW122" s="225"/>
      <c r="KVX122" s="225"/>
      <c r="KVY122" s="225"/>
      <c r="KVZ122" s="225"/>
      <c r="KWA122" s="225"/>
      <c r="KWB122" s="225"/>
      <c r="KWC122" s="225"/>
      <c r="KWD122" s="225"/>
      <c r="KWE122" s="225"/>
      <c r="KWF122" s="225"/>
      <c r="KWG122" s="225"/>
      <c r="KWH122" s="225"/>
      <c r="KWI122" s="225"/>
      <c r="KWJ122" s="225"/>
      <c r="KWK122" s="225"/>
      <c r="KWL122" s="225"/>
      <c r="KWM122" s="225"/>
      <c r="KWN122" s="225"/>
      <c r="KWO122" s="225"/>
      <c r="KWP122" s="225"/>
      <c r="KWQ122" s="225"/>
      <c r="KWR122" s="225"/>
      <c r="KWS122" s="225"/>
      <c r="KWT122" s="225"/>
      <c r="KWU122" s="225"/>
      <c r="KWV122" s="225"/>
      <c r="KWW122" s="225"/>
      <c r="KWX122" s="225"/>
      <c r="KWY122" s="225"/>
      <c r="KWZ122" s="225"/>
      <c r="KXA122" s="225"/>
      <c r="KXB122" s="225"/>
      <c r="KXC122" s="225"/>
      <c r="KXD122" s="225"/>
      <c r="KXE122" s="225"/>
      <c r="KXF122" s="225"/>
      <c r="KXG122" s="225"/>
      <c r="KXH122" s="225"/>
      <c r="KXI122" s="225"/>
      <c r="KXJ122" s="225"/>
      <c r="KXK122" s="225"/>
      <c r="KXL122" s="225"/>
      <c r="KXM122" s="225"/>
      <c r="KXN122" s="225"/>
      <c r="KXO122" s="225"/>
      <c r="KXP122" s="225"/>
      <c r="KXQ122" s="225"/>
      <c r="KXR122" s="225"/>
      <c r="KXS122" s="225"/>
      <c r="KXT122" s="225"/>
      <c r="KXU122" s="225"/>
      <c r="KXV122" s="225"/>
      <c r="KXW122" s="225"/>
      <c r="KXX122" s="225"/>
      <c r="KXY122" s="225"/>
      <c r="KXZ122" s="225"/>
      <c r="KYA122" s="225"/>
      <c r="KYB122" s="225"/>
      <c r="KYC122" s="225"/>
      <c r="KYD122" s="225"/>
      <c r="KYE122" s="225"/>
      <c r="KYF122" s="225"/>
      <c r="KYG122" s="225"/>
      <c r="KYH122" s="225"/>
      <c r="KYI122" s="225"/>
      <c r="KYJ122" s="225"/>
      <c r="KYK122" s="225"/>
      <c r="KYL122" s="225"/>
      <c r="KYM122" s="225"/>
      <c r="KYN122" s="225"/>
      <c r="KYO122" s="225"/>
      <c r="KYP122" s="225"/>
      <c r="KYQ122" s="225"/>
      <c r="KYR122" s="225"/>
      <c r="KYS122" s="225"/>
      <c r="KYT122" s="225"/>
      <c r="KYU122" s="225"/>
      <c r="KYV122" s="225"/>
      <c r="KYW122" s="225"/>
      <c r="KYX122" s="225"/>
      <c r="KYY122" s="225"/>
      <c r="KYZ122" s="225"/>
      <c r="KZA122" s="225"/>
      <c r="KZB122" s="225"/>
      <c r="KZC122" s="225"/>
      <c r="KZD122" s="225"/>
      <c r="KZE122" s="225"/>
      <c r="KZF122" s="225"/>
      <c r="KZG122" s="225"/>
      <c r="KZH122" s="225"/>
      <c r="KZI122" s="225"/>
      <c r="KZJ122" s="225"/>
      <c r="KZK122" s="225"/>
      <c r="KZL122" s="225"/>
      <c r="KZM122" s="225"/>
      <c r="KZN122" s="225"/>
      <c r="KZO122" s="225"/>
      <c r="KZP122" s="225"/>
      <c r="KZQ122" s="225"/>
      <c r="KZR122" s="225"/>
      <c r="KZS122" s="225"/>
      <c r="KZT122" s="225"/>
      <c r="KZU122" s="225"/>
      <c r="KZV122" s="225"/>
      <c r="KZW122" s="225"/>
      <c r="KZX122" s="225"/>
      <c r="KZY122" s="225"/>
      <c r="KZZ122" s="225"/>
      <c r="LAA122" s="225"/>
      <c r="LAB122" s="225"/>
      <c r="LAC122" s="225"/>
      <c r="LAD122" s="225"/>
      <c r="LAE122" s="225"/>
      <c r="LAF122" s="225"/>
      <c r="LAG122" s="225"/>
      <c r="LAH122" s="225"/>
      <c r="LAI122" s="225"/>
      <c r="LAJ122" s="225"/>
      <c r="LAK122" s="225"/>
      <c r="LAL122" s="225"/>
      <c r="LAM122" s="225"/>
      <c r="LAN122" s="225"/>
      <c r="LAO122" s="225"/>
      <c r="LAP122" s="225"/>
      <c r="LAQ122" s="225"/>
      <c r="LAR122" s="225"/>
      <c r="LAS122" s="225"/>
      <c r="LAT122" s="225"/>
      <c r="LAU122" s="225"/>
      <c r="LAV122" s="225"/>
      <c r="LAW122" s="225"/>
      <c r="LAX122" s="225"/>
      <c r="LAY122" s="225"/>
      <c r="LAZ122" s="225"/>
      <c r="LBA122" s="225"/>
      <c r="LBB122" s="225"/>
      <c r="LBC122" s="225"/>
      <c r="LBD122" s="225"/>
      <c r="LBE122" s="225"/>
      <c r="LBF122" s="225"/>
      <c r="LBG122" s="225"/>
      <c r="LBH122" s="225"/>
      <c r="LBI122" s="225"/>
      <c r="LBJ122" s="225"/>
      <c r="LBK122" s="225"/>
      <c r="LBL122" s="225"/>
      <c r="LBM122" s="225"/>
      <c r="LBN122" s="225"/>
      <c r="LBO122" s="225"/>
      <c r="LBP122" s="225"/>
      <c r="LBQ122" s="225"/>
      <c r="LBR122" s="225"/>
      <c r="LBS122" s="225"/>
      <c r="LBT122" s="225"/>
      <c r="LBU122" s="225"/>
      <c r="LBV122" s="225"/>
      <c r="LBW122" s="225"/>
      <c r="LBX122" s="225"/>
      <c r="LBY122" s="225"/>
      <c r="LBZ122" s="225"/>
      <c r="LCA122" s="225"/>
      <c r="LCB122" s="225"/>
      <c r="LCC122" s="225"/>
      <c r="LCD122" s="225"/>
      <c r="LCE122" s="225"/>
      <c r="LCF122" s="225"/>
      <c r="LCG122" s="225"/>
      <c r="LCH122" s="225"/>
      <c r="LCI122" s="225"/>
      <c r="LCJ122" s="225"/>
      <c r="LCK122" s="225"/>
      <c r="LCL122" s="225"/>
      <c r="LCM122" s="225"/>
      <c r="LCN122" s="225"/>
      <c r="LCO122" s="225"/>
      <c r="LCP122" s="225"/>
      <c r="LCQ122" s="225"/>
      <c r="LCR122" s="225"/>
      <c r="LCS122" s="225"/>
      <c r="LCT122" s="225"/>
      <c r="LCU122" s="225"/>
      <c r="LCV122" s="225"/>
      <c r="LCW122" s="225"/>
      <c r="LCX122" s="225"/>
      <c r="LCY122" s="225"/>
      <c r="LCZ122" s="225"/>
      <c r="LDA122" s="225"/>
      <c r="LDB122" s="225"/>
      <c r="LDC122" s="225"/>
      <c r="LDD122" s="225"/>
      <c r="LDE122" s="225"/>
      <c r="LDF122" s="225"/>
      <c r="LDG122" s="225"/>
      <c r="LDH122" s="225"/>
      <c r="LDI122" s="225"/>
      <c r="LDJ122" s="225"/>
      <c r="LDK122" s="225"/>
      <c r="LDL122" s="225"/>
      <c r="LDM122" s="225"/>
      <c r="LDN122" s="225"/>
      <c r="LDO122" s="225"/>
      <c r="LDP122" s="225"/>
      <c r="LDQ122" s="225"/>
      <c r="LDR122" s="225"/>
      <c r="LDS122" s="225"/>
      <c r="LDT122" s="225"/>
      <c r="LDU122" s="225"/>
      <c r="LDV122" s="225"/>
      <c r="LDW122" s="225"/>
      <c r="LDX122" s="225"/>
      <c r="LDY122" s="225"/>
      <c r="LDZ122" s="225"/>
      <c r="LEA122" s="225"/>
      <c r="LEB122" s="225"/>
      <c r="LEC122" s="225"/>
      <c r="LED122" s="225"/>
      <c r="LEE122" s="225"/>
      <c r="LEF122" s="225"/>
      <c r="LEG122" s="225"/>
      <c r="LEH122" s="225"/>
      <c r="LEI122" s="225"/>
      <c r="LEJ122" s="225"/>
      <c r="LEK122" s="225"/>
      <c r="LEL122" s="225"/>
      <c r="LEM122" s="225"/>
      <c r="LEN122" s="225"/>
      <c r="LEO122" s="225"/>
      <c r="LEP122" s="225"/>
      <c r="LEQ122" s="225"/>
      <c r="LER122" s="225"/>
      <c r="LES122" s="225"/>
      <c r="LET122" s="225"/>
      <c r="LEU122" s="225"/>
      <c r="LEV122" s="225"/>
      <c r="LEW122" s="225"/>
      <c r="LEX122" s="225"/>
      <c r="LEY122" s="225"/>
      <c r="LEZ122" s="225"/>
      <c r="LFA122" s="225"/>
      <c r="LFB122" s="225"/>
      <c r="LFC122" s="225"/>
      <c r="LFD122" s="225"/>
      <c r="LFE122" s="225"/>
      <c r="LFF122" s="225"/>
      <c r="LFG122" s="225"/>
      <c r="LFH122" s="225"/>
      <c r="LFI122" s="225"/>
      <c r="LFJ122" s="225"/>
      <c r="LFK122" s="225"/>
      <c r="LFL122" s="225"/>
      <c r="LFM122" s="225"/>
      <c r="LFN122" s="225"/>
      <c r="LFO122" s="225"/>
      <c r="LFP122" s="225"/>
      <c r="LFQ122" s="225"/>
      <c r="LFR122" s="225"/>
      <c r="LFS122" s="225"/>
      <c r="LFT122" s="225"/>
      <c r="LFU122" s="225"/>
      <c r="LFV122" s="225"/>
      <c r="LFW122" s="225"/>
      <c r="LFX122" s="225"/>
      <c r="LFY122" s="225"/>
      <c r="LFZ122" s="225"/>
      <c r="LGA122" s="225"/>
      <c r="LGB122" s="225"/>
      <c r="LGC122" s="225"/>
      <c r="LGD122" s="225"/>
      <c r="LGE122" s="225"/>
      <c r="LGF122" s="225"/>
      <c r="LGG122" s="225"/>
      <c r="LGH122" s="225"/>
      <c r="LGI122" s="225"/>
      <c r="LGJ122" s="225"/>
      <c r="LGK122" s="225"/>
      <c r="LGL122" s="225"/>
      <c r="LGM122" s="225"/>
      <c r="LGN122" s="225"/>
      <c r="LGO122" s="225"/>
      <c r="LGP122" s="225"/>
      <c r="LGQ122" s="225"/>
      <c r="LGR122" s="225"/>
      <c r="LGS122" s="225"/>
      <c r="LGT122" s="225"/>
      <c r="LGU122" s="225"/>
      <c r="LGV122" s="225"/>
      <c r="LGW122" s="225"/>
      <c r="LGX122" s="225"/>
      <c r="LGY122" s="225"/>
      <c r="LGZ122" s="225"/>
      <c r="LHA122" s="225"/>
      <c r="LHB122" s="225"/>
      <c r="LHC122" s="225"/>
      <c r="LHD122" s="225"/>
      <c r="LHE122" s="225"/>
      <c r="LHF122" s="225"/>
      <c r="LHG122" s="225"/>
      <c r="LHH122" s="225"/>
      <c r="LHI122" s="225"/>
      <c r="LHJ122" s="225"/>
      <c r="LHK122" s="225"/>
      <c r="LHL122" s="225"/>
      <c r="LHM122" s="225"/>
      <c r="LHN122" s="225"/>
      <c r="LHO122" s="225"/>
      <c r="LHP122" s="225"/>
      <c r="LHQ122" s="225"/>
      <c r="LHR122" s="225"/>
      <c r="LHS122" s="225"/>
      <c r="LHT122" s="225"/>
      <c r="LHU122" s="225"/>
      <c r="LHV122" s="225"/>
      <c r="LHW122" s="225"/>
      <c r="LHX122" s="225"/>
      <c r="LHY122" s="225"/>
      <c r="LHZ122" s="225"/>
      <c r="LIA122" s="225"/>
      <c r="LIB122" s="225"/>
      <c r="LIC122" s="225"/>
      <c r="LID122" s="225"/>
      <c r="LIE122" s="225"/>
      <c r="LIF122" s="225"/>
      <c r="LIG122" s="225"/>
      <c r="LIH122" s="225"/>
      <c r="LII122" s="225"/>
      <c r="LIJ122" s="225"/>
      <c r="LIK122" s="225"/>
      <c r="LIL122" s="225"/>
      <c r="LIM122" s="225"/>
      <c r="LIN122" s="225"/>
      <c r="LIO122" s="225"/>
      <c r="LIP122" s="225"/>
      <c r="LIQ122" s="225"/>
      <c r="LIR122" s="225"/>
      <c r="LIS122" s="225"/>
      <c r="LIT122" s="225"/>
      <c r="LIU122" s="225"/>
      <c r="LIV122" s="225"/>
      <c r="LIW122" s="225"/>
      <c r="LIX122" s="225"/>
      <c r="LIY122" s="225"/>
      <c r="LIZ122" s="225"/>
      <c r="LJA122" s="225"/>
      <c r="LJB122" s="225"/>
      <c r="LJC122" s="225"/>
      <c r="LJD122" s="225"/>
      <c r="LJE122" s="225"/>
      <c r="LJF122" s="225"/>
      <c r="LJG122" s="225"/>
      <c r="LJH122" s="225"/>
      <c r="LJI122" s="225"/>
      <c r="LJJ122" s="225"/>
      <c r="LJK122" s="225"/>
      <c r="LJL122" s="225"/>
      <c r="LJM122" s="225"/>
      <c r="LJN122" s="225"/>
      <c r="LJO122" s="225"/>
      <c r="LJP122" s="225"/>
      <c r="LJQ122" s="225"/>
      <c r="LJR122" s="225"/>
      <c r="LJS122" s="225"/>
      <c r="LJT122" s="225"/>
      <c r="LJU122" s="225"/>
      <c r="LJV122" s="225"/>
      <c r="LJW122" s="225"/>
      <c r="LJX122" s="225"/>
      <c r="LJY122" s="225"/>
      <c r="LJZ122" s="225"/>
      <c r="LKA122" s="225"/>
      <c r="LKB122" s="225"/>
      <c r="LKC122" s="225"/>
      <c r="LKD122" s="225"/>
      <c r="LKE122" s="225"/>
      <c r="LKF122" s="225"/>
      <c r="LKG122" s="225"/>
      <c r="LKH122" s="225"/>
      <c r="LKI122" s="225"/>
      <c r="LKJ122" s="225"/>
      <c r="LKK122" s="225"/>
      <c r="LKL122" s="225"/>
      <c r="LKM122" s="225"/>
      <c r="LKN122" s="225"/>
      <c r="LKO122" s="225"/>
      <c r="LKP122" s="225"/>
      <c r="LKQ122" s="225"/>
      <c r="LKR122" s="225"/>
      <c r="LKS122" s="225"/>
      <c r="LKT122" s="225"/>
      <c r="LKU122" s="225"/>
      <c r="LKV122" s="225"/>
      <c r="LKW122" s="225"/>
      <c r="LKX122" s="225"/>
      <c r="LKY122" s="225"/>
      <c r="LKZ122" s="225"/>
      <c r="LLA122" s="225"/>
      <c r="LLB122" s="225"/>
      <c r="LLC122" s="225"/>
      <c r="LLD122" s="225"/>
      <c r="LLE122" s="225"/>
      <c r="LLF122" s="225"/>
      <c r="LLG122" s="225"/>
      <c r="LLH122" s="225"/>
      <c r="LLI122" s="225"/>
      <c r="LLJ122" s="225"/>
      <c r="LLK122" s="225"/>
      <c r="LLL122" s="225"/>
      <c r="LLM122" s="225"/>
      <c r="LLN122" s="225"/>
      <c r="LLO122" s="225"/>
      <c r="LLP122" s="225"/>
      <c r="LLQ122" s="225"/>
      <c r="LLR122" s="225"/>
      <c r="LLS122" s="225"/>
      <c r="LLT122" s="225"/>
      <c r="LLU122" s="225"/>
      <c r="LLV122" s="225"/>
      <c r="LLW122" s="225"/>
      <c r="LLX122" s="225"/>
      <c r="LLY122" s="225"/>
      <c r="LLZ122" s="225"/>
      <c r="LMA122" s="225"/>
      <c r="LMB122" s="225"/>
      <c r="LMC122" s="225"/>
      <c r="LMD122" s="225"/>
      <c r="LME122" s="225"/>
      <c r="LMF122" s="225"/>
      <c r="LMG122" s="225"/>
      <c r="LMH122" s="225"/>
      <c r="LMI122" s="225"/>
      <c r="LMJ122" s="225"/>
      <c r="LMK122" s="225"/>
      <c r="LML122" s="225"/>
      <c r="LMM122" s="225"/>
      <c r="LMN122" s="225"/>
      <c r="LMO122" s="225"/>
      <c r="LMP122" s="225"/>
      <c r="LMQ122" s="225"/>
      <c r="LMR122" s="225"/>
      <c r="LMS122" s="225"/>
      <c r="LMT122" s="225"/>
      <c r="LMU122" s="225"/>
      <c r="LMV122" s="225"/>
      <c r="LMW122" s="225"/>
      <c r="LMX122" s="225"/>
      <c r="LMY122" s="225"/>
      <c r="LMZ122" s="225"/>
      <c r="LNA122" s="225"/>
      <c r="LNB122" s="225"/>
      <c r="LNC122" s="225"/>
      <c r="LND122" s="225"/>
      <c r="LNE122" s="225"/>
      <c r="LNF122" s="225"/>
      <c r="LNG122" s="225"/>
      <c r="LNH122" s="225"/>
      <c r="LNI122" s="225"/>
      <c r="LNJ122" s="225"/>
      <c r="LNK122" s="225"/>
      <c r="LNL122" s="225"/>
      <c r="LNM122" s="225"/>
      <c r="LNN122" s="225"/>
      <c r="LNO122" s="225"/>
      <c r="LNP122" s="225"/>
      <c r="LNQ122" s="225"/>
      <c r="LNR122" s="225"/>
      <c r="LNS122" s="225"/>
      <c r="LNT122" s="225"/>
      <c r="LNU122" s="225"/>
      <c r="LNV122" s="225"/>
      <c r="LNW122" s="225"/>
      <c r="LNX122" s="225"/>
      <c r="LNY122" s="225"/>
      <c r="LNZ122" s="225"/>
      <c r="LOA122" s="225"/>
      <c r="LOB122" s="225"/>
      <c r="LOC122" s="225"/>
      <c r="LOD122" s="225"/>
      <c r="LOE122" s="225"/>
      <c r="LOF122" s="225"/>
      <c r="LOG122" s="225"/>
      <c r="LOH122" s="225"/>
      <c r="LOI122" s="225"/>
      <c r="LOJ122" s="225"/>
      <c r="LOK122" s="225"/>
      <c r="LOL122" s="225"/>
      <c r="LOM122" s="225"/>
      <c r="LON122" s="225"/>
      <c r="LOO122" s="225"/>
      <c r="LOP122" s="225"/>
      <c r="LOQ122" s="225"/>
      <c r="LOR122" s="225"/>
      <c r="LOS122" s="225"/>
      <c r="LOT122" s="225"/>
      <c r="LOU122" s="225"/>
      <c r="LOV122" s="225"/>
      <c r="LOW122" s="225"/>
      <c r="LOX122" s="225"/>
      <c r="LOY122" s="225"/>
      <c r="LOZ122" s="225"/>
      <c r="LPA122" s="225"/>
      <c r="LPB122" s="225"/>
      <c r="LPC122" s="225"/>
      <c r="LPD122" s="225"/>
      <c r="LPE122" s="225"/>
      <c r="LPF122" s="225"/>
      <c r="LPG122" s="225"/>
      <c r="LPH122" s="225"/>
      <c r="LPI122" s="225"/>
      <c r="LPJ122" s="225"/>
      <c r="LPK122" s="225"/>
      <c r="LPL122" s="225"/>
      <c r="LPM122" s="225"/>
      <c r="LPN122" s="225"/>
      <c r="LPO122" s="225"/>
      <c r="LPP122" s="225"/>
      <c r="LPQ122" s="225"/>
      <c r="LPR122" s="225"/>
      <c r="LPS122" s="225"/>
      <c r="LPT122" s="225"/>
      <c r="LPU122" s="225"/>
      <c r="LPV122" s="225"/>
      <c r="LPW122" s="225"/>
      <c r="LPX122" s="225"/>
      <c r="LPY122" s="225"/>
      <c r="LPZ122" s="225"/>
      <c r="LQA122" s="225"/>
      <c r="LQB122" s="225"/>
      <c r="LQC122" s="225"/>
      <c r="LQD122" s="225"/>
      <c r="LQE122" s="225"/>
      <c r="LQF122" s="225"/>
      <c r="LQG122" s="225"/>
      <c r="LQH122" s="225"/>
      <c r="LQI122" s="225"/>
      <c r="LQJ122" s="225"/>
      <c r="LQK122" s="225"/>
      <c r="LQL122" s="225"/>
      <c r="LQM122" s="225"/>
      <c r="LQN122" s="225"/>
      <c r="LQO122" s="225"/>
      <c r="LQP122" s="225"/>
      <c r="LQQ122" s="225"/>
      <c r="LQR122" s="225"/>
      <c r="LQS122" s="225"/>
      <c r="LQT122" s="225"/>
      <c r="LQU122" s="225"/>
      <c r="LQV122" s="225"/>
      <c r="LQW122" s="225"/>
      <c r="LQX122" s="225"/>
      <c r="LQY122" s="225"/>
      <c r="LQZ122" s="225"/>
      <c r="LRA122" s="225"/>
      <c r="LRB122" s="225"/>
      <c r="LRC122" s="225"/>
      <c r="LRD122" s="225"/>
      <c r="LRE122" s="225"/>
      <c r="LRF122" s="225"/>
      <c r="LRG122" s="225"/>
      <c r="LRH122" s="225"/>
      <c r="LRI122" s="225"/>
      <c r="LRJ122" s="225"/>
      <c r="LRK122" s="225"/>
      <c r="LRL122" s="225"/>
      <c r="LRM122" s="225"/>
      <c r="LRN122" s="225"/>
      <c r="LRO122" s="225"/>
      <c r="LRP122" s="225"/>
      <c r="LRQ122" s="225"/>
      <c r="LRR122" s="225"/>
      <c r="LRS122" s="225"/>
      <c r="LRT122" s="225"/>
      <c r="LRU122" s="225"/>
      <c r="LRV122" s="225"/>
      <c r="LRW122" s="225"/>
      <c r="LRX122" s="225"/>
      <c r="LRY122" s="225"/>
      <c r="LRZ122" s="225"/>
      <c r="LSA122" s="225"/>
      <c r="LSB122" s="225"/>
      <c r="LSC122" s="225"/>
      <c r="LSD122" s="225"/>
      <c r="LSE122" s="225"/>
      <c r="LSF122" s="225"/>
      <c r="LSG122" s="225"/>
      <c r="LSH122" s="225"/>
      <c r="LSI122" s="225"/>
      <c r="LSJ122" s="225"/>
      <c r="LSK122" s="225"/>
      <c r="LSL122" s="225"/>
      <c r="LSM122" s="225"/>
      <c r="LSN122" s="225"/>
      <c r="LSO122" s="225"/>
      <c r="LSP122" s="225"/>
      <c r="LSQ122" s="225"/>
      <c r="LSR122" s="225"/>
      <c r="LSS122" s="225"/>
      <c r="LST122" s="225"/>
      <c r="LSU122" s="225"/>
      <c r="LSV122" s="225"/>
      <c r="LSW122" s="225"/>
      <c r="LSX122" s="225"/>
      <c r="LSY122" s="225"/>
      <c r="LSZ122" s="225"/>
      <c r="LTA122" s="225"/>
      <c r="LTB122" s="225"/>
      <c r="LTC122" s="225"/>
      <c r="LTD122" s="225"/>
      <c r="LTE122" s="225"/>
      <c r="LTF122" s="225"/>
      <c r="LTG122" s="225"/>
      <c r="LTH122" s="225"/>
      <c r="LTI122" s="225"/>
      <c r="LTJ122" s="225"/>
      <c r="LTK122" s="225"/>
      <c r="LTL122" s="225"/>
      <c r="LTM122" s="225"/>
      <c r="LTN122" s="225"/>
      <c r="LTO122" s="225"/>
      <c r="LTP122" s="225"/>
      <c r="LTQ122" s="225"/>
      <c r="LTR122" s="225"/>
      <c r="LTS122" s="225"/>
      <c r="LTT122" s="225"/>
      <c r="LTU122" s="225"/>
      <c r="LTV122" s="225"/>
      <c r="LTW122" s="225"/>
      <c r="LTX122" s="225"/>
      <c r="LTY122" s="225"/>
      <c r="LTZ122" s="225"/>
      <c r="LUA122" s="225"/>
      <c r="LUB122" s="225"/>
      <c r="LUC122" s="225"/>
      <c r="LUD122" s="225"/>
      <c r="LUE122" s="225"/>
      <c r="LUF122" s="225"/>
      <c r="LUG122" s="225"/>
      <c r="LUH122" s="225"/>
      <c r="LUI122" s="225"/>
      <c r="LUJ122" s="225"/>
      <c r="LUK122" s="225"/>
      <c r="LUL122" s="225"/>
      <c r="LUM122" s="225"/>
      <c r="LUN122" s="225"/>
      <c r="LUO122" s="225"/>
      <c r="LUP122" s="225"/>
      <c r="LUQ122" s="225"/>
      <c r="LUR122" s="225"/>
      <c r="LUS122" s="225"/>
      <c r="LUT122" s="225"/>
      <c r="LUU122" s="225"/>
      <c r="LUV122" s="225"/>
      <c r="LUW122" s="225"/>
      <c r="LUX122" s="225"/>
      <c r="LUY122" s="225"/>
      <c r="LUZ122" s="225"/>
      <c r="LVA122" s="225"/>
      <c r="LVB122" s="225"/>
      <c r="LVC122" s="225"/>
      <c r="LVD122" s="225"/>
      <c r="LVE122" s="225"/>
      <c r="LVF122" s="225"/>
      <c r="LVG122" s="225"/>
      <c r="LVH122" s="225"/>
      <c r="LVI122" s="225"/>
      <c r="LVJ122" s="225"/>
      <c r="LVK122" s="225"/>
      <c r="LVL122" s="225"/>
      <c r="LVM122" s="225"/>
      <c r="LVN122" s="225"/>
      <c r="LVO122" s="225"/>
      <c r="LVP122" s="225"/>
      <c r="LVQ122" s="225"/>
      <c r="LVR122" s="225"/>
      <c r="LVS122" s="225"/>
      <c r="LVT122" s="225"/>
      <c r="LVU122" s="225"/>
      <c r="LVV122" s="225"/>
      <c r="LVW122" s="225"/>
      <c r="LVX122" s="225"/>
      <c r="LVY122" s="225"/>
      <c r="LVZ122" s="225"/>
      <c r="LWA122" s="225"/>
      <c r="LWB122" s="225"/>
      <c r="LWC122" s="225"/>
      <c r="LWD122" s="225"/>
      <c r="LWE122" s="225"/>
      <c r="LWF122" s="225"/>
      <c r="LWG122" s="225"/>
      <c r="LWH122" s="225"/>
      <c r="LWI122" s="225"/>
      <c r="LWJ122" s="225"/>
      <c r="LWK122" s="225"/>
      <c r="LWL122" s="225"/>
      <c r="LWM122" s="225"/>
      <c r="LWN122" s="225"/>
      <c r="LWO122" s="225"/>
      <c r="LWP122" s="225"/>
      <c r="LWQ122" s="225"/>
      <c r="LWR122" s="225"/>
      <c r="LWS122" s="225"/>
      <c r="LWT122" s="225"/>
      <c r="LWU122" s="225"/>
      <c r="LWV122" s="225"/>
      <c r="LWW122" s="225"/>
      <c r="LWX122" s="225"/>
      <c r="LWY122" s="225"/>
      <c r="LWZ122" s="225"/>
      <c r="LXA122" s="225"/>
      <c r="LXB122" s="225"/>
      <c r="LXC122" s="225"/>
      <c r="LXD122" s="225"/>
      <c r="LXE122" s="225"/>
      <c r="LXF122" s="225"/>
      <c r="LXG122" s="225"/>
      <c r="LXH122" s="225"/>
      <c r="LXI122" s="225"/>
      <c r="LXJ122" s="225"/>
      <c r="LXK122" s="225"/>
      <c r="LXL122" s="225"/>
      <c r="LXM122" s="225"/>
      <c r="LXN122" s="225"/>
      <c r="LXO122" s="225"/>
      <c r="LXP122" s="225"/>
      <c r="LXQ122" s="225"/>
      <c r="LXR122" s="225"/>
      <c r="LXS122" s="225"/>
      <c r="LXT122" s="225"/>
      <c r="LXU122" s="225"/>
      <c r="LXV122" s="225"/>
      <c r="LXW122" s="225"/>
      <c r="LXX122" s="225"/>
      <c r="LXY122" s="225"/>
      <c r="LXZ122" s="225"/>
      <c r="LYA122" s="225"/>
      <c r="LYB122" s="225"/>
      <c r="LYC122" s="225"/>
      <c r="LYD122" s="225"/>
      <c r="LYE122" s="225"/>
      <c r="LYF122" s="225"/>
      <c r="LYG122" s="225"/>
      <c r="LYH122" s="225"/>
      <c r="LYI122" s="225"/>
      <c r="LYJ122" s="225"/>
      <c r="LYK122" s="225"/>
      <c r="LYL122" s="225"/>
      <c r="LYM122" s="225"/>
      <c r="LYN122" s="225"/>
      <c r="LYO122" s="225"/>
      <c r="LYP122" s="225"/>
      <c r="LYQ122" s="225"/>
      <c r="LYR122" s="225"/>
      <c r="LYS122" s="225"/>
      <c r="LYT122" s="225"/>
      <c r="LYU122" s="225"/>
      <c r="LYV122" s="225"/>
      <c r="LYW122" s="225"/>
      <c r="LYX122" s="225"/>
      <c r="LYY122" s="225"/>
      <c r="LYZ122" s="225"/>
      <c r="LZA122" s="225"/>
      <c r="LZB122" s="225"/>
      <c r="LZC122" s="225"/>
      <c r="LZD122" s="225"/>
      <c r="LZE122" s="225"/>
      <c r="LZF122" s="225"/>
      <c r="LZG122" s="225"/>
      <c r="LZH122" s="225"/>
      <c r="LZI122" s="225"/>
      <c r="LZJ122" s="225"/>
      <c r="LZK122" s="225"/>
      <c r="LZL122" s="225"/>
      <c r="LZM122" s="225"/>
      <c r="LZN122" s="225"/>
      <c r="LZO122" s="225"/>
      <c r="LZP122" s="225"/>
      <c r="LZQ122" s="225"/>
      <c r="LZR122" s="225"/>
      <c r="LZS122" s="225"/>
      <c r="LZT122" s="225"/>
      <c r="LZU122" s="225"/>
      <c r="LZV122" s="225"/>
      <c r="LZW122" s="225"/>
      <c r="LZX122" s="225"/>
      <c r="LZY122" s="225"/>
      <c r="LZZ122" s="225"/>
      <c r="MAA122" s="225"/>
      <c r="MAB122" s="225"/>
      <c r="MAC122" s="225"/>
      <c r="MAD122" s="225"/>
      <c r="MAE122" s="225"/>
      <c r="MAF122" s="225"/>
      <c r="MAG122" s="225"/>
      <c r="MAH122" s="225"/>
      <c r="MAI122" s="225"/>
      <c r="MAJ122" s="225"/>
      <c r="MAK122" s="225"/>
      <c r="MAL122" s="225"/>
      <c r="MAM122" s="225"/>
      <c r="MAN122" s="225"/>
      <c r="MAO122" s="225"/>
      <c r="MAP122" s="225"/>
      <c r="MAQ122" s="225"/>
      <c r="MAR122" s="225"/>
      <c r="MAS122" s="225"/>
      <c r="MAT122" s="225"/>
      <c r="MAU122" s="225"/>
      <c r="MAV122" s="225"/>
      <c r="MAW122" s="225"/>
      <c r="MAX122" s="225"/>
      <c r="MAY122" s="225"/>
      <c r="MAZ122" s="225"/>
      <c r="MBA122" s="225"/>
      <c r="MBB122" s="225"/>
      <c r="MBC122" s="225"/>
      <c r="MBD122" s="225"/>
      <c r="MBE122" s="225"/>
      <c r="MBF122" s="225"/>
      <c r="MBG122" s="225"/>
      <c r="MBH122" s="225"/>
      <c r="MBI122" s="225"/>
      <c r="MBJ122" s="225"/>
      <c r="MBK122" s="225"/>
      <c r="MBL122" s="225"/>
      <c r="MBM122" s="225"/>
      <c r="MBN122" s="225"/>
      <c r="MBO122" s="225"/>
      <c r="MBP122" s="225"/>
      <c r="MBQ122" s="225"/>
      <c r="MBR122" s="225"/>
      <c r="MBS122" s="225"/>
      <c r="MBT122" s="225"/>
      <c r="MBU122" s="225"/>
      <c r="MBV122" s="225"/>
      <c r="MBW122" s="225"/>
      <c r="MBX122" s="225"/>
      <c r="MBY122" s="225"/>
      <c r="MBZ122" s="225"/>
      <c r="MCA122" s="225"/>
      <c r="MCB122" s="225"/>
      <c r="MCC122" s="225"/>
      <c r="MCD122" s="225"/>
      <c r="MCE122" s="225"/>
      <c r="MCF122" s="225"/>
      <c r="MCG122" s="225"/>
      <c r="MCH122" s="225"/>
      <c r="MCI122" s="225"/>
      <c r="MCJ122" s="225"/>
      <c r="MCK122" s="225"/>
      <c r="MCL122" s="225"/>
      <c r="MCM122" s="225"/>
      <c r="MCN122" s="225"/>
      <c r="MCO122" s="225"/>
      <c r="MCP122" s="225"/>
      <c r="MCQ122" s="225"/>
      <c r="MCR122" s="225"/>
      <c r="MCS122" s="225"/>
      <c r="MCT122" s="225"/>
      <c r="MCU122" s="225"/>
      <c r="MCV122" s="225"/>
      <c r="MCW122" s="225"/>
      <c r="MCX122" s="225"/>
      <c r="MCY122" s="225"/>
      <c r="MCZ122" s="225"/>
      <c r="MDA122" s="225"/>
      <c r="MDB122" s="225"/>
      <c r="MDC122" s="225"/>
      <c r="MDD122" s="225"/>
      <c r="MDE122" s="225"/>
      <c r="MDF122" s="225"/>
      <c r="MDG122" s="225"/>
      <c r="MDH122" s="225"/>
      <c r="MDI122" s="225"/>
      <c r="MDJ122" s="225"/>
      <c r="MDK122" s="225"/>
      <c r="MDL122" s="225"/>
      <c r="MDM122" s="225"/>
      <c r="MDN122" s="225"/>
      <c r="MDO122" s="225"/>
      <c r="MDP122" s="225"/>
      <c r="MDQ122" s="225"/>
      <c r="MDR122" s="225"/>
      <c r="MDS122" s="225"/>
      <c r="MDT122" s="225"/>
      <c r="MDU122" s="225"/>
      <c r="MDV122" s="225"/>
      <c r="MDW122" s="225"/>
      <c r="MDX122" s="225"/>
      <c r="MDY122" s="225"/>
      <c r="MDZ122" s="225"/>
      <c r="MEA122" s="225"/>
      <c r="MEB122" s="225"/>
      <c r="MEC122" s="225"/>
      <c r="MED122" s="225"/>
      <c r="MEE122" s="225"/>
      <c r="MEF122" s="225"/>
      <c r="MEG122" s="225"/>
      <c r="MEH122" s="225"/>
      <c r="MEI122" s="225"/>
      <c r="MEJ122" s="225"/>
      <c r="MEK122" s="225"/>
      <c r="MEL122" s="225"/>
      <c r="MEM122" s="225"/>
      <c r="MEN122" s="225"/>
      <c r="MEO122" s="225"/>
      <c r="MEP122" s="225"/>
      <c r="MEQ122" s="225"/>
      <c r="MER122" s="225"/>
      <c r="MES122" s="225"/>
      <c r="MET122" s="225"/>
      <c r="MEU122" s="225"/>
      <c r="MEV122" s="225"/>
      <c r="MEW122" s="225"/>
      <c r="MEX122" s="225"/>
      <c r="MEY122" s="225"/>
      <c r="MEZ122" s="225"/>
      <c r="MFA122" s="225"/>
      <c r="MFB122" s="225"/>
      <c r="MFC122" s="225"/>
      <c r="MFD122" s="225"/>
      <c r="MFE122" s="225"/>
      <c r="MFF122" s="225"/>
      <c r="MFG122" s="225"/>
      <c r="MFH122" s="225"/>
      <c r="MFI122" s="225"/>
      <c r="MFJ122" s="225"/>
      <c r="MFK122" s="225"/>
      <c r="MFL122" s="225"/>
      <c r="MFM122" s="225"/>
      <c r="MFN122" s="225"/>
      <c r="MFO122" s="225"/>
      <c r="MFP122" s="225"/>
      <c r="MFQ122" s="225"/>
      <c r="MFR122" s="225"/>
      <c r="MFS122" s="225"/>
      <c r="MFT122" s="225"/>
      <c r="MFU122" s="225"/>
      <c r="MFV122" s="225"/>
      <c r="MFW122" s="225"/>
      <c r="MFX122" s="225"/>
      <c r="MFY122" s="225"/>
      <c r="MFZ122" s="225"/>
      <c r="MGA122" s="225"/>
      <c r="MGB122" s="225"/>
      <c r="MGC122" s="225"/>
      <c r="MGD122" s="225"/>
      <c r="MGE122" s="225"/>
      <c r="MGF122" s="225"/>
      <c r="MGG122" s="225"/>
      <c r="MGH122" s="225"/>
      <c r="MGI122" s="225"/>
      <c r="MGJ122" s="225"/>
      <c r="MGK122" s="225"/>
      <c r="MGL122" s="225"/>
      <c r="MGM122" s="225"/>
      <c r="MGN122" s="225"/>
      <c r="MGO122" s="225"/>
      <c r="MGP122" s="225"/>
      <c r="MGQ122" s="225"/>
      <c r="MGR122" s="225"/>
      <c r="MGS122" s="225"/>
      <c r="MGT122" s="225"/>
      <c r="MGU122" s="225"/>
      <c r="MGV122" s="225"/>
      <c r="MGW122" s="225"/>
      <c r="MGX122" s="225"/>
      <c r="MGY122" s="225"/>
      <c r="MGZ122" s="225"/>
      <c r="MHA122" s="225"/>
      <c r="MHB122" s="225"/>
      <c r="MHC122" s="225"/>
      <c r="MHD122" s="225"/>
      <c r="MHE122" s="225"/>
      <c r="MHF122" s="225"/>
      <c r="MHG122" s="225"/>
      <c r="MHH122" s="225"/>
      <c r="MHI122" s="225"/>
      <c r="MHJ122" s="225"/>
      <c r="MHK122" s="225"/>
      <c r="MHL122" s="225"/>
      <c r="MHM122" s="225"/>
      <c r="MHN122" s="225"/>
      <c r="MHO122" s="225"/>
      <c r="MHP122" s="225"/>
      <c r="MHQ122" s="225"/>
      <c r="MHR122" s="225"/>
      <c r="MHS122" s="225"/>
      <c r="MHT122" s="225"/>
      <c r="MHU122" s="225"/>
      <c r="MHV122" s="225"/>
      <c r="MHW122" s="225"/>
      <c r="MHX122" s="225"/>
      <c r="MHY122" s="225"/>
      <c r="MHZ122" s="225"/>
      <c r="MIA122" s="225"/>
      <c r="MIB122" s="225"/>
      <c r="MIC122" s="225"/>
      <c r="MID122" s="225"/>
      <c r="MIE122" s="225"/>
      <c r="MIF122" s="225"/>
      <c r="MIG122" s="225"/>
      <c r="MIH122" s="225"/>
      <c r="MII122" s="225"/>
      <c r="MIJ122" s="225"/>
      <c r="MIK122" s="225"/>
      <c r="MIL122" s="225"/>
      <c r="MIM122" s="225"/>
      <c r="MIN122" s="225"/>
      <c r="MIO122" s="225"/>
      <c r="MIP122" s="225"/>
      <c r="MIQ122" s="225"/>
      <c r="MIR122" s="225"/>
      <c r="MIS122" s="225"/>
      <c r="MIT122" s="225"/>
      <c r="MIU122" s="225"/>
      <c r="MIV122" s="225"/>
      <c r="MIW122" s="225"/>
      <c r="MIX122" s="225"/>
      <c r="MIY122" s="225"/>
      <c r="MIZ122" s="225"/>
      <c r="MJA122" s="225"/>
      <c r="MJB122" s="225"/>
      <c r="MJC122" s="225"/>
      <c r="MJD122" s="225"/>
      <c r="MJE122" s="225"/>
      <c r="MJF122" s="225"/>
      <c r="MJG122" s="225"/>
      <c r="MJH122" s="225"/>
      <c r="MJI122" s="225"/>
      <c r="MJJ122" s="225"/>
      <c r="MJK122" s="225"/>
      <c r="MJL122" s="225"/>
      <c r="MJM122" s="225"/>
      <c r="MJN122" s="225"/>
      <c r="MJO122" s="225"/>
      <c r="MJP122" s="225"/>
      <c r="MJQ122" s="225"/>
      <c r="MJR122" s="225"/>
      <c r="MJS122" s="225"/>
      <c r="MJT122" s="225"/>
      <c r="MJU122" s="225"/>
      <c r="MJV122" s="225"/>
      <c r="MJW122" s="225"/>
      <c r="MJX122" s="225"/>
      <c r="MJY122" s="225"/>
      <c r="MJZ122" s="225"/>
      <c r="MKA122" s="225"/>
      <c r="MKB122" s="225"/>
      <c r="MKC122" s="225"/>
      <c r="MKD122" s="225"/>
      <c r="MKE122" s="225"/>
      <c r="MKF122" s="225"/>
      <c r="MKG122" s="225"/>
      <c r="MKH122" s="225"/>
      <c r="MKI122" s="225"/>
      <c r="MKJ122" s="225"/>
      <c r="MKK122" s="225"/>
      <c r="MKL122" s="225"/>
      <c r="MKM122" s="225"/>
      <c r="MKN122" s="225"/>
      <c r="MKO122" s="225"/>
      <c r="MKP122" s="225"/>
      <c r="MKQ122" s="225"/>
      <c r="MKR122" s="225"/>
      <c r="MKS122" s="225"/>
      <c r="MKT122" s="225"/>
      <c r="MKU122" s="225"/>
      <c r="MKV122" s="225"/>
      <c r="MKW122" s="225"/>
      <c r="MKX122" s="225"/>
      <c r="MKY122" s="225"/>
      <c r="MKZ122" s="225"/>
      <c r="MLA122" s="225"/>
      <c r="MLB122" s="225"/>
      <c r="MLC122" s="225"/>
      <c r="MLD122" s="225"/>
      <c r="MLE122" s="225"/>
      <c r="MLF122" s="225"/>
      <c r="MLG122" s="225"/>
      <c r="MLH122" s="225"/>
      <c r="MLI122" s="225"/>
      <c r="MLJ122" s="225"/>
      <c r="MLK122" s="225"/>
      <c r="MLL122" s="225"/>
      <c r="MLM122" s="225"/>
      <c r="MLN122" s="225"/>
      <c r="MLO122" s="225"/>
      <c r="MLP122" s="225"/>
      <c r="MLQ122" s="225"/>
      <c r="MLR122" s="225"/>
      <c r="MLS122" s="225"/>
      <c r="MLT122" s="225"/>
      <c r="MLU122" s="225"/>
      <c r="MLV122" s="225"/>
      <c r="MLW122" s="225"/>
      <c r="MLX122" s="225"/>
      <c r="MLY122" s="225"/>
      <c r="MLZ122" s="225"/>
      <c r="MMA122" s="225"/>
      <c r="MMB122" s="225"/>
      <c r="MMC122" s="225"/>
      <c r="MMD122" s="225"/>
      <c r="MME122" s="225"/>
      <c r="MMF122" s="225"/>
      <c r="MMG122" s="225"/>
      <c r="MMH122" s="225"/>
      <c r="MMI122" s="225"/>
      <c r="MMJ122" s="225"/>
      <c r="MMK122" s="225"/>
      <c r="MML122" s="225"/>
      <c r="MMM122" s="225"/>
      <c r="MMN122" s="225"/>
      <c r="MMO122" s="225"/>
      <c r="MMP122" s="225"/>
      <c r="MMQ122" s="225"/>
      <c r="MMR122" s="225"/>
      <c r="MMS122" s="225"/>
      <c r="MMT122" s="225"/>
      <c r="MMU122" s="225"/>
      <c r="MMV122" s="225"/>
      <c r="MMW122" s="225"/>
      <c r="MMX122" s="225"/>
      <c r="MMY122" s="225"/>
      <c r="MMZ122" s="225"/>
      <c r="MNA122" s="225"/>
      <c r="MNB122" s="225"/>
      <c r="MNC122" s="225"/>
      <c r="MND122" s="225"/>
      <c r="MNE122" s="225"/>
      <c r="MNF122" s="225"/>
      <c r="MNG122" s="225"/>
      <c r="MNH122" s="225"/>
      <c r="MNI122" s="225"/>
      <c r="MNJ122" s="225"/>
      <c r="MNK122" s="225"/>
      <c r="MNL122" s="225"/>
      <c r="MNM122" s="225"/>
      <c r="MNN122" s="225"/>
      <c r="MNO122" s="225"/>
      <c r="MNP122" s="225"/>
      <c r="MNQ122" s="225"/>
      <c r="MNR122" s="225"/>
      <c r="MNS122" s="225"/>
      <c r="MNT122" s="225"/>
      <c r="MNU122" s="225"/>
      <c r="MNV122" s="225"/>
      <c r="MNW122" s="225"/>
      <c r="MNX122" s="225"/>
      <c r="MNY122" s="225"/>
      <c r="MNZ122" s="225"/>
      <c r="MOA122" s="225"/>
      <c r="MOB122" s="225"/>
      <c r="MOC122" s="225"/>
      <c r="MOD122" s="225"/>
      <c r="MOE122" s="225"/>
      <c r="MOF122" s="225"/>
      <c r="MOG122" s="225"/>
      <c r="MOH122" s="225"/>
      <c r="MOI122" s="225"/>
      <c r="MOJ122" s="225"/>
      <c r="MOK122" s="225"/>
      <c r="MOL122" s="225"/>
      <c r="MOM122" s="225"/>
      <c r="MON122" s="225"/>
      <c r="MOO122" s="225"/>
      <c r="MOP122" s="225"/>
      <c r="MOQ122" s="225"/>
      <c r="MOR122" s="225"/>
      <c r="MOS122" s="225"/>
      <c r="MOT122" s="225"/>
      <c r="MOU122" s="225"/>
      <c r="MOV122" s="225"/>
      <c r="MOW122" s="225"/>
      <c r="MOX122" s="225"/>
      <c r="MOY122" s="225"/>
      <c r="MOZ122" s="225"/>
      <c r="MPA122" s="225"/>
      <c r="MPB122" s="225"/>
      <c r="MPC122" s="225"/>
      <c r="MPD122" s="225"/>
      <c r="MPE122" s="225"/>
      <c r="MPF122" s="225"/>
      <c r="MPG122" s="225"/>
      <c r="MPH122" s="225"/>
      <c r="MPI122" s="225"/>
      <c r="MPJ122" s="225"/>
      <c r="MPK122" s="225"/>
      <c r="MPL122" s="225"/>
      <c r="MPM122" s="225"/>
      <c r="MPN122" s="225"/>
      <c r="MPO122" s="225"/>
      <c r="MPP122" s="225"/>
      <c r="MPQ122" s="225"/>
      <c r="MPR122" s="225"/>
      <c r="MPS122" s="225"/>
      <c r="MPT122" s="225"/>
      <c r="MPU122" s="225"/>
      <c r="MPV122" s="225"/>
      <c r="MPW122" s="225"/>
      <c r="MPX122" s="225"/>
      <c r="MPY122" s="225"/>
      <c r="MPZ122" s="225"/>
      <c r="MQA122" s="225"/>
      <c r="MQB122" s="225"/>
      <c r="MQC122" s="225"/>
      <c r="MQD122" s="225"/>
      <c r="MQE122" s="225"/>
      <c r="MQF122" s="225"/>
      <c r="MQG122" s="225"/>
      <c r="MQH122" s="225"/>
      <c r="MQI122" s="225"/>
      <c r="MQJ122" s="225"/>
      <c r="MQK122" s="225"/>
      <c r="MQL122" s="225"/>
      <c r="MQM122" s="225"/>
      <c r="MQN122" s="225"/>
      <c r="MQO122" s="225"/>
      <c r="MQP122" s="225"/>
      <c r="MQQ122" s="225"/>
      <c r="MQR122" s="225"/>
      <c r="MQS122" s="225"/>
      <c r="MQT122" s="225"/>
      <c r="MQU122" s="225"/>
      <c r="MQV122" s="225"/>
      <c r="MQW122" s="225"/>
      <c r="MQX122" s="225"/>
      <c r="MQY122" s="225"/>
      <c r="MQZ122" s="225"/>
      <c r="MRA122" s="225"/>
      <c r="MRB122" s="225"/>
      <c r="MRC122" s="225"/>
      <c r="MRD122" s="225"/>
      <c r="MRE122" s="225"/>
      <c r="MRF122" s="225"/>
      <c r="MRG122" s="225"/>
      <c r="MRH122" s="225"/>
      <c r="MRI122" s="225"/>
      <c r="MRJ122" s="225"/>
      <c r="MRK122" s="225"/>
      <c r="MRL122" s="225"/>
      <c r="MRM122" s="225"/>
      <c r="MRN122" s="225"/>
      <c r="MRO122" s="225"/>
      <c r="MRP122" s="225"/>
      <c r="MRQ122" s="225"/>
      <c r="MRR122" s="225"/>
      <c r="MRS122" s="225"/>
      <c r="MRT122" s="225"/>
      <c r="MRU122" s="225"/>
      <c r="MRV122" s="225"/>
      <c r="MRW122" s="225"/>
      <c r="MRX122" s="225"/>
      <c r="MRY122" s="225"/>
      <c r="MRZ122" s="225"/>
      <c r="MSA122" s="225"/>
      <c r="MSB122" s="225"/>
      <c r="MSC122" s="225"/>
      <c r="MSD122" s="225"/>
      <c r="MSE122" s="225"/>
      <c r="MSF122" s="225"/>
      <c r="MSG122" s="225"/>
      <c r="MSH122" s="225"/>
      <c r="MSI122" s="225"/>
      <c r="MSJ122" s="225"/>
      <c r="MSK122" s="225"/>
      <c r="MSL122" s="225"/>
      <c r="MSM122" s="225"/>
      <c r="MSN122" s="225"/>
      <c r="MSO122" s="225"/>
      <c r="MSP122" s="225"/>
      <c r="MSQ122" s="225"/>
      <c r="MSR122" s="225"/>
      <c r="MSS122" s="225"/>
      <c r="MST122" s="225"/>
      <c r="MSU122" s="225"/>
      <c r="MSV122" s="225"/>
      <c r="MSW122" s="225"/>
      <c r="MSX122" s="225"/>
      <c r="MSY122" s="225"/>
      <c r="MSZ122" s="225"/>
      <c r="MTA122" s="225"/>
      <c r="MTB122" s="225"/>
      <c r="MTC122" s="225"/>
      <c r="MTD122" s="225"/>
      <c r="MTE122" s="225"/>
      <c r="MTF122" s="225"/>
      <c r="MTG122" s="225"/>
      <c r="MTH122" s="225"/>
      <c r="MTI122" s="225"/>
      <c r="MTJ122" s="225"/>
      <c r="MTK122" s="225"/>
      <c r="MTL122" s="225"/>
      <c r="MTM122" s="225"/>
      <c r="MTN122" s="225"/>
      <c r="MTO122" s="225"/>
      <c r="MTP122" s="225"/>
      <c r="MTQ122" s="225"/>
      <c r="MTR122" s="225"/>
      <c r="MTS122" s="225"/>
      <c r="MTT122" s="225"/>
      <c r="MTU122" s="225"/>
      <c r="MTV122" s="225"/>
      <c r="MTW122" s="225"/>
      <c r="MTX122" s="225"/>
      <c r="MTY122" s="225"/>
      <c r="MTZ122" s="225"/>
      <c r="MUA122" s="225"/>
      <c r="MUB122" s="225"/>
      <c r="MUC122" s="225"/>
      <c r="MUD122" s="225"/>
      <c r="MUE122" s="225"/>
      <c r="MUF122" s="225"/>
      <c r="MUG122" s="225"/>
      <c r="MUH122" s="225"/>
      <c r="MUI122" s="225"/>
      <c r="MUJ122" s="225"/>
      <c r="MUK122" s="225"/>
      <c r="MUL122" s="225"/>
      <c r="MUM122" s="225"/>
      <c r="MUN122" s="225"/>
      <c r="MUO122" s="225"/>
      <c r="MUP122" s="225"/>
      <c r="MUQ122" s="225"/>
      <c r="MUR122" s="225"/>
      <c r="MUS122" s="225"/>
      <c r="MUT122" s="225"/>
      <c r="MUU122" s="225"/>
      <c r="MUV122" s="225"/>
      <c r="MUW122" s="225"/>
      <c r="MUX122" s="225"/>
      <c r="MUY122" s="225"/>
      <c r="MUZ122" s="225"/>
      <c r="MVA122" s="225"/>
      <c r="MVB122" s="225"/>
      <c r="MVC122" s="225"/>
      <c r="MVD122" s="225"/>
      <c r="MVE122" s="225"/>
      <c r="MVF122" s="225"/>
      <c r="MVG122" s="225"/>
      <c r="MVH122" s="225"/>
      <c r="MVI122" s="225"/>
      <c r="MVJ122" s="225"/>
      <c r="MVK122" s="225"/>
      <c r="MVL122" s="225"/>
      <c r="MVM122" s="225"/>
      <c r="MVN122" s="225"/>
      <c r="MVO122" s="225"/>
      <c r="MVP122" s="225"/>
      <c r="MVQ122" s="225"/>
      <c r="MVR122" s="225"/>
      <c r="MVS122" s="225"/>
      <c r="MVT122" s="225"/>
      <c r="MVU122" s="225"/>
      <c r="MVV122" s="225"/>
      <c r="MVW122" s="225"/>
      <c r="MVX122" s="225"/>
      <c r="MVY122" s="225"/>
      <c r="MVZ122" s="225"/>
      <c r="MWA122" s="225"/>
      <c r="MWB122" s="225"/>
      <c r="MWC122" s="225"/>
      <c r="MWD122" s="225"/>
      <c r="MWE122" s="225"/>
      <c r="MWF122" s="225"/>
      <c r="MWG122" s="225"/>
      <c r="MWH122" s="225"/>
      <c r="MWI122" s="225"/>
      <c r="MWJ122" s="225"/>
      <c r="MWK122" s="225"/>
      <c r="MWL122" s="225"/>
      <c r="MWM122" s="225"/>
      <c r="MWN122" s="225"/>
      <c r="MWO122" s="225"/>
      <c r="MWP122" s="225"/>
      <c r="MWQ122" s="225"/>
      <c r="MWR122" s="225"/>
      <c r="MWS122" s="225"/>
      <c r="MWT122" s="225"/>
      <c r="MWU122" s="225"/>
      <c r="MWV122" s="225"/>
      <c r="MWW122" s="225"/>
      <c r="MWX122" s="225"/>
      <c r="MWY122" s="225"/>
      <c r="MWZ122" s="225"/>
      <c r="MXA122" s="225"/>
      <c r="MXB122" s="225"/>
      <c r="MXC122" s="225"/>
      <c r="MXD122" s="225"/>
      <c r="MXE122" s="225"/>
      <c r="MXF122" s="225"/>
      <c r="MXG122" s="225"/>
      <c r="MXH122" s="225"/>
      <c r="MXI122" s="225"/>
      <c r="MXJ122" s="225"/>
      <c r="MXK122" s="225"/>
      <c r="MXL122" s="225"/>
      <c r="MXM122" s="225"/>
      <c r="MXN122" s="225"/>
      <c r="MXO122" s="225"/>
      <c r="MXP122" s="225"/>
      <c r="MXQ122" s="225"/>
      <c r="MXR122" s="225"/>
      <c r="MXS122" s="225"/>
      <c r="MXT122" s="225"/>
      <c r="MXU122" s="225"/>
      <c r="MXV122" s="225"/>
      <c r="MXW122" s="225"/>
      <c r="MXX122" s="225"/>
      <c r="MXY122" s="225"/>
      <c r="MXZ122" s="225"/>
      <c r="MYA122" s="225"/>
      <c r="MYB122" s="225"/>
      <c r="MYC122" s="225"/>
      <c r="MYD122" s="225"/>
      <c r="MYE122" s="225"/>
      <c r="MYF122" s="225"/>
      <c r="MYG122" s="225"/>
      <c r="MYH122" s="225"/>
      <c r="MYI122" s="225"/>
      <c r="MYJ122" s="225"/>
      <c r="MYK122" s="225"/>
      <c r="MYL122" s="225"/>
      <c r="MYM122" s="225"/>
      <c r="MYN122" s="225"/>
      <c r="MYO122" s="225"/>
      <c r="MYP122" s="225"/>
      <c r="MYQ122" s="225"/>
      <c r="MYR122" s="225"/>
      <c r="MYS122" s="225"/>
      <c r="MYT122" s="225"/>
      <c r="MYU122" s="225"/>
      <c r="MYV122" s="225"/>
      <c r="MYW122" s="225"/>
      <c r="MYX122" s="225"/>
      <c r="MYY122" s="225"/>
      <c r="MYZ122" s="225"/>
      <c r="MZA122" s="225"/>
      <c r="MZB122" s="225"/>
      <c r="MZC122" s="225"/>
      <c r="MZD122" s="225"/>
      <c r="MZE122" s="225"/>
      <c r="MZF122" s="225"/>
      <c r="MZG122" s="225"/>
      <c r="MZH122" s="225"/>
      <c r="MZI122" s="225"/>
      <c r="MZJ122" s="225"/>
      <c r="MZK122" s="225"/>
      <c r="MZL122" s="225"/>
      <c r="MZM122" s="225"/>
      <c r="MZN122" s="225"/>
      <c r="MZO122" s="225"/>
      <c r="MZP122" s="225"/>
      <c r="MZQ122" s="225"/>
      <c r="MZR122" s="225"/>
      <c r="MZS122" s="225"/>
      <c r="MZT122" s="225"/>
      <c r="MZU122" s="225"/>
      <c r="MZV122" s="225"/>
      <c r="MZW122" s="225"/>
      <c r="MZX122" s="225"/>
      <c r="MZY122" s="225"/>
      <c r="MZZ122" s="225"/>
      <c r="NAA122" s="225"/>
      <c r="NAB122" s="225"/>
      <c r="NAC122" s="225"/>
      <c r="NAD122" s="225"/>
      <c r="NAE122" s="225"/>
      <c r="NAF122" s="225"/>
      <c r="NAG122" s="225"/>
      <c r="NAH122" s="225"/>
      <c r="NAI122" s="225"/>
      <c r="NAJ122" s="225"/>
      <c r="NAK122" s="225"/>
      <c r="NAL122" s="225"/>
      <c r="NAM122" s="225"/>
      <c r="NAN122" s="225"/>
      <c r="NAO122" s="225"/>
      <c r="NAP122" s="225"/>
      <c r="NAQ122" s="225"/>
      <c r="NAR122" s="225"/>
      <c r="NAS122" s="225"/>
      <c r="NAT122" s="225"/>
      <c r="NAU122" s="225"/>
      <c r="NAV122" s="225"/>
      <c r="NAW122" s="225"/>
      <c r="NAX122" s="225"/>
      <c r="NAY122" s="225"/>
      <c r="NAZ122" s="225"/>
      <c r="NBA122" s="225"/>
      <c r="NBB122" s="225"/>
      <c r="NBC122" s="225"/>
      <c r="NBD122" s="225"/>
      <c r="NBE122" s="225"/>
      <c r="NBF122" s="225"/>
      <c r="NBG122" s="225"/>
      <c r="NBH122" s="225"/>
      <c r="NBI122" s="225"/>
      <c r="NBJ122" s="225"/>
      <c r="NBK122" s="225"/>
      <c r="NBL122" s="225"/>
      <c r="NBM122" s="225"/>
      <c r="NBN122" s="225"/>
      <c r="NBO122" s="225"/>
      <c r="NBP122" s="225"/>
      <c r="NBQ122" s="225"/>
      <c r="NBR122" s="225"/>
      <c r="NBS122" s="225"/>
      <c r="NBT122" s="225"/>
      <c r="NBU122" s="225"/>
      <c r="NBV122" s="225"/>
      <c r="NBW122" s="225"/>
      <c r="NBX122" s="225"/>
      <c r="NBY122" s="225"/>
      <c r="NBZ122" s="225"/>
      <c r="NCA122" s="225"/>
      <c r="NCB122" s="225"/>
      <c r="NCC122" s="225"/>
      <c r="NCD122" s="225"/>
      <c r="NCE122" s="225"/>
      <c r="NCF122" s="225"/>
      <c r="NCG122" s="225"/>
      <c r="NCH122" s="225"/>
      <c r="NCI122" s="225"/>
      <c r="NCJ122" s="225"/>
      <c r="NCK122" s="225"/>
      <c r="NCL122" s="225"/>
      <c r="NCM122" s="225"/>
      <c r="NCN122" s="225"/>
      <c r="NCO122" s="225"/>
      <c r="NCP122" s="225"/>
      <c r="NCQ122" s="225"/>
      <c r="NCR122" s="225"/>
      <c r="NCS122" s="225"/>
      <c r="NCT122" s="225"/>
      <c r="NCU122" s="225"/>
      <c r="NCV122" s="225"/>
      <c r="NCW122" s="225"/>
      <c r="NCX122" s="225"/>
      <c r="NCY122" s="225"/>
      <c r="NCZ122" s="225"/>
      <c r="NDA122" s="225"/>
      <c r="NDB122" s="225"/>
      <c r="NDC122" s="225"/>
      <c r="NDD122" s="225"/>
      <c r="NDE122" s="225"/>
      <c r="NDF122" s="225"/>
      <c r="NDG122" s="225"/>
      <c r="NDH122" s="225"/>
      <c r="NDI122" s="225"/>
      <c r="NDJ122" s="225"/>
      <c r="NDK122" s="225"/>
      <c r="NDL122" s="225"/>
      <c r="NDM122" s="225"/>
      <c r="NDN122" s="225"/>
      <c r="NDO122" s="225"/>
      <c r="NDP122" s="225"/>
      <c r="NDQ122" s="225"/>
      <c r="NDR122" s="225"/>
      <c r="NDS122" s="225"/>
      <c r="NDT122" s="225"/>
      <c r="NDU122" s="225"/>
      <c r="NDV122" s="225"/>
      <c r="NDW122" s="225"/>
      <c r="NDX122" s="225"/>
      <c r="NDY122" s="225"/>
      <c r="NDZ122" s="225"/>
      <c r="NEA122" s="225"/>
      <c r="NEB122" s="225"/>
      <c r="NEC122" s="225"/>
      <c r="NED122" s="225"/>
      <c r="NEE122" s="225"/>
      <c r="NEF122" s="225"/>
      <c r="NEG122" s="225"/>
      <c r="NEH122" s="225"/>
      <c r="NEI122" s="225"/>
      <c r="NEJ122" s="225"/>
      <c r="NEK122" s="225"/>
      <c r="NEL122" s="225"/>
      <c r="NEM122" s="225"/>
      <c r="NEN122" s="225"/>
      <c r="NEO122" s="225"/>
      <c r="NEP122" s="225"/>
      <c r="NEQ122" s="225"/>
      <c r="NER122" s="225"/>
      <c r="NES122" s="225"/>
      <c r="NET122" s="225"/>
      <c r="NEU122" s="225"/>
      <c r="NEV122" s="225"/>
      <c r="NEW122" s="225"/>
      <c r="NEX122" s="225"/>
      <c r="NEY122" s="225"/>
      <c r="NEZ122" s="225"/>
      <c r="NFA122" s="225"/>
      <c r="NFB122" s="225"/>
      <c r="NFC122" s="225"/>
      <c r="NFD122" s="225"/>
      <c r="NFE122" s="225"/>
      <c r="NFF122" s="225"/>
      <c r="NFG122" s="225"/>
      <c r="NFH122" s="225"/>
      <c r="NFI122" s="225"/>
      <c r="NFJ122" s="225"/>
      <c r="NFK122" s="225"/>
      <c r="NFL122" s="225"/>
      <c r="NFM122" s="225"/>
      <c r="NFN122" s="225"/>
      <c r="NFO122" s="225"/>
      <c r="NFP122" s="225"/>
      <c r="NFQ122" s="225"/>
      <c r="NFR122" s="225"/>
      <c r="NFS122" s="225"/>
      <c r="NFT122" s="225"/>
      <c r="NFU122" s="225"/>
      <c r="NFV122" s="225"/>
      <c r="NFW122" s="225"/>
      <c r="NFX122" s="225"/>
      <c r="NFY122" s="225"/>
      <c r="NFZ122" s="225"/>
      <c r="NGA122" s="225"/>
      <c r="NGB122" s="225"/>
      <c r="NGC122" s="225"/>
      <c r="NGD122" s="225"/>
      <c r="NGE122" s="225"/>
      <c r="NGF122" s="225"/>
      <c r="NGG122" s="225"/>
      <c r="NGH122" s="225"/>
      <c r="NGI122" s="225"/>
      <c r="NGJ122" s="225"/>
      <c r="NGK122" s="225"/>
      <c r="NGL122" s="225"/>
      <c r="NGM122" s="225"/>
      <c r="NGN122" s="225"/>
      <c r="NGO122" s="225"/>
      <c r="NGP122" s="225"/>
      <c r="NGQ122" s="225"/>
      <c r="NGR122" s="225"/>
      <c r="NGS122" s="225"/>
      <c r="NGT122" s="225"/>
      <c r="NGU122" s="225"/>
      <c r="NGV122" s="225"/>
      <c r="NGW122" s="225"/>
      <c r="NGX122" s="225"/>
      <c r="NGY122" s="225"/>
      <c r="NGZ122" s="225"/>
      <c r="NHA122" s="225"/>
      <c r="NHB122" s="225"/>
      <c r="NHC122" s="225"/>
      <c r="NHD122" s="225"/>
      <c r="NHE122" s="225"/>
      <c r="NHF122" s="225"/>
      <c r="NHG122" s="225"/>
      <c r="NHH122" s="225"/>
      <c r="NHI122" s="225"/>
      <c r="NHJ122" s="225"/>
      <c r="NHK122" s="225"/>
      <c r="NHL122" s="225"/>
      <c r="NHM122" s="225"/>
      <c r="NHN122" s="225"/>
      <c r="NHO122" s="225"/>
      <c r="NHP122" s="225"/>
      <c r="NHQ122" s="225"/>
      <c r="NHR122" s="225"/>
      <c r="NHS122" s="225"/>
      <c r="NHT122" s="225"/>
      <c r="NHU122" s="225"/>
      <c r="NHV122" s="225"/>
      <c r="NHW122" s="225"/>
      <c r="NHX122" s="225"/>
      <c r="NHY122" s="225"/>
      <c r="NHZ122" s="225"/>
      <c r="NIA122" s="225"/>
      <c r="NIB122" s="225"/>
      <c r="NIC122" s="225"/>
      <c r="NID122" s="225"/>
      <c r="NIE122" s="225"/>
      <c r="NIF122" s="225"/>
      <c r="NIG122" s="225"/>
      <c r="NIH122" s="225"/>
      <c r="NII122" s="225"/>
      <c r="NIJ122" s="225"/>
      <c r="NIK122" s="225"/>
      <c r="NIL122" s="225"/>
      <c r="NIM122" s="225"/>
      <c r="NIN122" s="225"/>
      <c r="NIO122" s="225"/>
      <c r="NIP122" s="225"/>
      <c r="NIQ122" s="225"/>
      <c r="NIR122" s="225"/>
      <c r="NIS122" s="225"/>
      <c r="NIT122" s="225"/>
      <c r="NIU122" s="225"/>
      <c r="NIV122" s="225"/>
      <c r="NIW122" s="225"/>
      <c r="NIX122" s="225"/>
      <c r="NIY122" s="225"/>
      <c r="NIZ122" s="225"/>
      <c r="NJA122" s="225"/>
      <c r="NJB122" s="225"/>
      <c r="NJC122" s="225"/>
      <c r="NJD122" s="225"/>
      <c r="NJE122" s="225"/>
      <c r="NJF122" s="225"/>
      <c r="NJG122" s="225"/>
      <c r="NJH122" s="225"/>
      <c r="NJI122" s="225"/>
      <c r="NJJ122" s="225"/>
      <c r="NJK122" s="225"/>
      <c r="NJL122" s="225"/>
      <c r="NJM122" s="225"/>
      <c r="NJN122" s="225"/>
      <c r="NJO122" s="225"/>
      <c r="NJP122" s="225"/>
      <c r="NJQ122" s="225"/>
      <c r="NJR122" s="225"/>
      <c r="NJS122" s="225"/>
      <c r="NJT122" s="225"/>
      <c r="NJU122" s="225"/>
      <c r="NJV122" s="225"/>
      <c r="NJW122" s="225"/>
      <c r="NJX122" s="225"/>
      <c r="NJY122" s="225"/>
      <c r="NJZ122" s="225"/>
      <c r="NKA122" s="225"/>
      <c r="NKB122" s="225"/>
      <c r="NKC122" s="225"/>
      <c r="NKD122" s="225"/>
      <c r="NKE122" s="225"/>
      <c r="NKF122" s="225"/>
      <c r="NKG122" s="225"/>
      <c r="NKH122" s="225"/>
      <c r="NKI122" s="225"/>
      <c r="NKJ122" s="225"/>
      <c r="NKK122" s="225"/>
      <c r="NKL122" s="225"/>
      <c r="NKM122" s="225"/>
      <c r="NKN122" s="225"/>
      <c r="NKO122" s="225"/>
      <c r="NKP122" s="225"/>
      <c r="NKQ122" s="225"/>
      <c r="NKR122" s="225"/>
      <c r="NKS122" s="225"/>
      <c r="NKT122" s="225"/>
      <c r="NKU122" s="225"/>
      <c r="NKV122" s="225"/>
      <c r="NKW122" s="225"/>
      <c r="NKX122" s="225"/>
      <c r="NKY122" s="225"/>
      <c r="NKZ122" s="225"/>
      <c r="NLA122" s="225"/>
      <c r="NLB122" s="225"/>
      <c r="NLC122" s="225"/>
      <c r="NLD122" s="225"/>
      <c r="NLE122" s="225"/>
      <c r="NLF122" s="225"/>
      <c r="NLG122" s="225"/>
      <c r="NLH122" s="225"/>
      <c r="NLI122" s="225"/>
      <c r="NLJ122" s="225"/>
      <c r="NLK122" s="225"/>
      <c r="NLL122" s="225"/>
      <c r="NLM122" s="225"/>
      <c r="NLN122" s="225"/>
      <c r="NLO122" s="225"/>
      <c r="NLP122" s="225"/>
      <c r="NLQ122" s="225"/>
      <c r="NLR122" s="225"/>
      <c r="NLS122" s="225"/>
      <c r="NLT122" s="225"/>
      <c r="NLU122" s="225"/>
      <c r="NLV122" s="225"/>
      <c r="NLW122" s="225"/>
      <c r="NLX122" s="225"/>
      <c r="NLY122" s="225"/>
      <c r="NLZ122" s="225"/>
      <c r="NMA122" s="225"/>
      <c r="NMB122" s="225"/>
      <c r="NMC122" s="225"/>
      <c r="NMD122" s="225"/>
      <c r="NME122" s="225"/>
      <c r="NMF122" s="225"/>
      <c r="NMG122" s="225"/>
      <c r="NMH122" s="225"/>
      <c r="NMI122" s="225"/>
      <c r="NMJ122" s="225"/>
      <c r="NMK122" s="225"/>
      <c r="NML122" s="225"/>
      <c r="NMM122" s="225"/>
      <c r="NMN122" s="225"/>
      <c r="NMO122" s="225"/>
      <c r="NMP122" s="225"/>
      <c r="NMQ122" s="225"/>
      <c r="NMR122" s="225"/>
      <c r="NMS122" s="225"/>
      <c r="NMT122" s="225"/>
      <c r="NMU122" s="225"/>
      <c r="NMV122" s="225"/>
      <c r="NMW122" s="225"/>
      <c r="NMX122" s="225"/>
      <c r="NMY122" s="225"/>
      <c r="NMZ122" s="225"/>
      <c r="NNA122" s="225"/>
      <c r="NNB122" s="225"/>
      <c r="NNC122" s="225"/>
      <c r="NND122" s="225"/>
      <c r="NNE122" s="225"/>
      <c r="NNF122" s="225"/>
      <c r="NNG122" s="225"/>
      <c r="NNH122" s="225"/>
      <c r="NNI122" s="225"/>
      <c r="NNJ122" s="225"/>
      <c r="NNK122" s="225"/>
      <c r="NNL122" s="225"/>
      <c r="NNM122" s="225"/>
      <c r="NNN122" s="225"/>
      <c r="NNO122" s="225"/>
      <c r="NNP122" s="225"/>
      <c r="NNQ122" s="225"/>
      <c r="NNR122" s="225"/>
      <c r="NNS122" s="225"/>
      <c r="NNT122" s="225"/>
      <c r="NNU122" s="225"/>
      <c r="NNV122" s="225"/>
      <c r="NNW122" s="225"/>
      <c r="NNX122" s="225"/>
      <c r="NNY122" s="225"/>
      <c r="NNZ122" s="225"/>
      <c r="NOA122" s="225"/>
      <c r="NOB122" s="225"/>
      <c r="NOC122" s="225"/>
      <c r="NOD122" s="225"/>
      <c r="NOE122" s="225"/>
      <c r="NOF122" s="225"/>
      <c r="NOG122" s="225"/>
      <c r="NOH122" s="225"/>
      <c r="NOI122" s="225"/>
      <c r="NOJ122" s="225"/>
      <c r="NOK122" s="225"/>
      <c r="NOL122" s="225"/>
      <c r="NOM122" s="225"/>
      <c r="NON122" s="225"/>
      <c r="NOO122" s="225"/>
      <c r="NOP122" s="225"/>
      <c r="NOQ122" s="225"/>
      <c r="NOR122" s="225"/>
      <c r="NOS122" s="225"/>
      <c r="NOT122" s="225"/>
      <c r="NOU122" s="225"/>
      <c r="NOV122" s="225"/>
      <c r="NOW122" s="225"/>
      <c r="NOX122" s="225"/>
      <c r="NOY122" s="225"/>
      <c r="NOZ122" s="225"/>
      <c r="NPA122" s="225"/>
      <c r="NPB122" s="225"/>
      <c r="NPC122" s="225"/>
      <c r="NPD122" s="225"/>
      <c r="NPE122" s="225"/>
      <c r="NPF122" s="225"/>
      <c r="NPG122" s="225"/>
      <c r="NPH122" s="225"/>
      <c r="NPI122" s="225"/>
      <c r="NPJ122" s="225"/>
      <c r="NPK122" s="225"/>
      <c r="NPL122" s="225"/>
      <c r="NPM122" s="225"/>
      <c r="NPN122" s="225"/>
      <c r="NPO122" s="225"/>
      <c r="NPP122" s="225"/>
      <c r="NPQ122" s="225"/>
      <c r="NPR122" s="225"/>
      <c r="NPS122" s="225"/>
      <c r="NPT122" s="225"/>
      <c r="NPU122" s="225"/>
      <c r="NPV122" s="225"/>
      <c r="NPW122" s="225"/>
      <c r="NPX122" s="225"/>
      <c r="NPY122" s="225"/>
      <c r="NPZ122" s="225"/>
      <c r="NQA122" s="225"/>
      <c r="NQB122" s="225"/>
      <c r="NQC122" s="225"/>
      <c r="NQD122" s="225"/>
      <c r="NQE122" s="225"/>
      <c r="NQF122" s="225"/>
      <c r="NQG122" s="225"/>
      <c r="NQH122" s="225"/>
      <c r="NQI122" s="225"/>
      <c r="NQJ122" s="225"/>
      <c r="NQK122" s="225"/>
      <c r="NQL122" s="225"/>
      <c r="NQM122" s="225"/>
      <c r="NQN122" s="225"/>
      <c r="NQO122" s="225"/>
      <c r="NQP122" s="225"/>
      <c r="NQQ122" s="225"/>
      <c r="NQR122" s="225"/>
      <c r="NQS122" s="225"/>
      <c r="NQT122" s="225"/>
      <c r="NQU122" s="225"/>
      <c r="NQV122" s="225"/>
      <c r="NQW122" s="225"/>
      <c r="NQX122" s="225"/>
      <c r="NQY122" s="225"/>
      <c r="NQZ122" s="225"/>
      <c r="NRA122" s="225"/>
      <c r="NRB122" s="225"/>
      <c r="NRC122" s="225"/>
      <c r="NRD122" s="225"/>
      <c r="NRE122" s="225"/>
      <c r="NRF122" s="225"/>
      <c r="NRG122" s="225"/>
      <c r="NRH122" s="225"/>
      <c r="NRI122" s="225"/>
      <c r="NRJ122" s="225"/>
      <c r="NRK122" s="225"/>
      <c r="NRL122" s="225"/>
      <c r="NRM122" s="225"/>
      <c r="NRN122" s="225"/>
      <c r="NRO122" s="225"/>
      <c r="NRP122" s="225"/>
      <c r="NRQ122" s="225"/>
      <c r="NRR122" s="225"/>
      <c r="NRS122" s="225"/>
      <c r="NRT122" s="225"/>
      <c r="NRU122" s="225"/>
      <c r="NRV122" s="225"/>
      <c r="NRW122" s="225"/>
      <c r="NRX122" s="225"/>
      <c r="NRY122" s="225"/>
      <c r="NRZ122" s="225"/>
      <c r="NSA122" s="225"/>
      <c r="NSB122" s="225"/>
      <c r="NSC122" s="225"/>
      <c r="NSD122" s="225"/>
      <c r="NSE122" s="225"/>
      <c r="NSF122" s="225"/>
      <c r="NSG122" s="225"/>
      <c r="NSH122" s="225"/>
      <c r="NSI122" s="225"/>
      <c r="NSJ122" s="225"/>
      <c r="NSK122" s="225"/>
      <c r="NSL122" s="225"/>
      <c r="NSM122" s="225"/>
      <c r="NSN122" s="225"/>
      <c r="NSO122" s="225"/>
      <c r="NSP122" s="225"/>
      <c r="NSQ122" s="225"/>
      <c r="NSR122" s="225"/>
      <c r="NSS122" s="225"/>
      <c r="NST122" s="225"/>
      <c r="NSU122" s="225"/>
      <c r="NSV122" s="225"/>
      <c r="NSW122" s="225"/>
      <c r="NSX122" s="225"/>
      <c r="NSY122" s="225"/>
      <c r="NSZ122" s="225"/>
      <c r="NTA122" s="225"/>
      <c r="NTB122" s="225"/>
      <c r="NTC122" s="225"/>
      <c r="NTD122" s="225"/>
      <c r="NTE122" s="225"/>
      <c r="NTF122" s="225"/>
      <c r="NTG122" s="225"/>
      <c r="NTH122" s="225"/>
      <c r="NTI122" s="225"/>
      <c r="NTJ122" s="225"/>
      <c r="NTK122" s="225"/>
      <c r="NTL122" s="225"/>
      <c r="NTM122" s="225"/>
      <c r="NTN122" s="225"/>
      <c r="NTO122" s="225"/>
      <c r="NTP122" s="225"/>
      <c r="NTQ122" s="225"/>
      <c r="NTR122" s="225"/>
      <c r="NTS122" s="225"/>
      <c r="NTT122" s="225"/>
      <c r="NTU122" s="225"/>
      <c r="NTV122" s="225"/>
      <c r="NTW122" s="225"/>
      <c r="NTX122" s="225"/>
      <c r="NTY122" s="225"/>
      <c r="NTZ122" s="225"/>
      <c r="NUA122" s="225"/>
      <c r="NUB122" s="225"/>
      <c r="NUC122" s="225"/>
      <c r="NUD122" s="225"/>
      <c r="NUE122" s="225"/>
      <c r="NUF122" s="225"/>
      <c r="NUG122" s="225"/>
      <c r="NUH122" s="225"/>
      <c r="NUI122" s="225"/>
      <c r="NUJ122" s="225"/>
      <c r="NUK122" s="225"/>
      <c r="NUL122" s="225"/>
      <c r="NUM122" s="225"/>
      <c r="NUN122" s="225"/>
      <c r="NUO122" s="225"/>
      <c r="NUP122" s="225"/>
      <c r="NUQ122" s="225"/>
      <c r="NUR122" s="225"/>
      <c r="NUS122" s="225"/>
      <c r="NUT122" s="225"/>
      <c r="NUU122" s="225"/>
      <c r="NUV122" s="225"/>
      <c r="NUW122" s="225"/>
      <c r="NUX122" s="225"/>
      <c r="NUY122" s="225"/>
      <c r="NUZ122" s="225"/>
      <c r="NVA122" s="225"/>
      <c r="NVB122" s="225"/>
      <c r="NVC122" s="225"/>
      <c r="NVD122" s="225"/>
      <c r="NVE122" s="225"/>
      <c r="NVF122" s="225"/>
      <c r="NVG122" s="225"/>
      <c r="NVH122" s="225"/>
      <c r="NVI122" s="225"/>
      <c r="NVJ122" s="225"/>
      <c r="NVK122" s="225"/>
      <c r="NVL122" s="225"/>
      <c r="NVM122" s="225"/>
      <c r="NVN122" s="225"/>
      <c r="NVO122" s="225"/>
      <c r="NVP122" s="225"/>
      <c r="NVQ122" s="225"/>
      <c r="NVR122" s="225"/>
      <c r="NVS122" s="225"/>
      <c r="NVT122" s="225"/>
      <c r="NVU122" s="225"/>
      <c r="NVV122" s="225"/>
      <c r="NVW122" s="225"/>
      <c r="NVX122" s="225"/>
      <c r="NVY122" s="225"/>
      <c r="NVZ122" s="225"/>
      <c r="NWA122" s="225"/>
      <c r="NWB122" s="225"/>
      <c r="NWC122" s="225"/>
      <c r="NWD122" s="225"/>
      <c r="NWE122" s="225"/>
      <c r="NWF122" s="225"/>
      <c r="NWG122" s="225"/>
      <c r="NWH122" s="225"/>
      <c r="NWI122" s="225"/>
      <c r="NWJ122" s="225"/>
      <c r="NWK122" s="225"/>
      <c r="NWL122" s="225"/>
      <c r="NWM122" s="225"/>
      <c r="NWN122" s="225"/>
      <c r="NWO122" s="225"/>
      <c r="NWP122" s="225"/>
      <c r="NWQ122" s="225"/>
      <c r="NWR122" s="225"/>
      <c r="NWS122" s="225"/>
      <c r="NWT122" s="225"/>
      <c r="NWU122" s="225"/>
      <c r="NWV122" s="225"/>
      <c r="NWW122" s="225"/>
      <c r="NWX122" s="225"/>
      <c r="NWY122" s="225"/>
      <c r="NWZ122" s="225"/>
      <c r="NXA122" s="225"/>
      <c r="NXB122" s="225"/>
      <c r="NXC122" s="225"/>
      <c r="NXD122" s="225"/>
      <c r="NXE122" s="225"/>
      <c r="NXF122" s="225"/>
      <c r="NXG122" s="225"/>
      <c r="NXH122" s="225"/>
      <c r="NXI122" s="225"/>
      <c r="NXJ122" s="225"/>
      <c r="NXK122" s="225"/>
      <c r="NXL122" s="225"/>
      <c r="NXM122" s="225"/>
      <c r="NXN122" s="225"/>
      <c r="NXO122" s="225"/>
      <c r="NXP122" s="225"/>
      <c r="NXQ122" s="225"/>
      <c r="NXR122" s="225"/>
      <c r="NXS122" s="225"/>
      <c r="NXT122" s="225"/>
      <c r="NXU122" s="225"/>
      <c r="NXV122" s="225"/>
      <c r="NXW122" s="225"/>
      <c r="NXX122" s="225"/>
      <c r="NXY122" s="225"/>
      <c r="NXZ122" s="225"/>
      <c r="NYA122" s="225"/>
      <c r="NYB122" s="225"/>
      <c r="NYC122" s="225"/>
      <c r="NYD122" s="225"/>
      <c r="NYE122" s="225"/>
      <c r="NYF122" s="225"/>
      <c r="NYG122" s="225"/>
      <c r="NYH122" s="225"/>
      <c r="NYI122" s="225"/>
      <c r="NYJ122" s="225"/>
      <c r="NYK122" s="225"/>
      <c r="NYL122" s="225"/>
      <c r="NYM122" s="225"/>
      <c r="NYN122" s="225"/>
      <c r="NYO122" s="225"/>
      <c r="NYP122" s="225"/>
      <c r="NYQ122" s="225"/>
      <c r="NYR122" s="225"/>
      <c r="NYS122" s="225"/>
      <c r="NYT122" s="225"/>
      <c r="NYU122" s="225"/>
      <c r="NYV122" s="225"/>
      <c r="NYW122" s="225"/>
      <c r="NYX122" s="225"/>
      <c r="NYY122" s="225"/>
      <c r="NYZ122" s="225"/>
      <c r="NZA122" s="225"/>
      <c r="NZB122" s="225"/>
      <c r="NZC122" s="225"/>
      <c r="NZD122" s="225"/>
      <c r="NZE122" s="225"/>
      <c r="NZF122" s="225"/>
      <c r="NZG122" s="225"/>
      <c r="NZH122" s="225"/>
      <c r="NZI122" s="225"/>
      <c r="NZJ122" s="225"/>
      <c r="NZK122" s="225"/>
      <c r="NZL122" s="225"/>
      <c r="NZM122" s="225"/>
      <c r="NZN122" s="225"/>
      <c r="NZO122" s="225"/>
      <c r="NZP122" s="225"/>
      <c r="NZQ122" s="225"/>
      <c r="NZR122" s="225"/>
      <c r="NZS122" s="225"/>
      <c r="NZT122" s="225"/>
      <c r="NZU122" s="225"/>
      <c r="NZV122" s="225"/>
      <c r="NZW122" s="225"/>
      <c r="NZX122" s="225"/>
      <c r="NZY122" s="225"/>
      <c r="NZZ122" s="225"/>
      <c r="OAA122" s="225"/>
      <c r="OAB122" s="225"/>
      <c r="OAC122" s="225"/>
      <c r="OAD122" s="225"/>
      <c r="OAE122" s="225"/>
      <c r="OAF122" s="225"/>
      <c r="OAG122" s="225"/>
      <c r="OAH122" s="225"/>
      <c r="OAI122" s="225"/>
      <c r="OAJ122" s="225"/>
      <c r="OAK122" s="225"/>
      <c r="OAL122" s="225"/>
      <c r="OAM122" s="225"/>
      <c r="OAN122" s="225"/>
      <c r="OAO122" s="225"/>
      <c r="OAP122" s="225"/>
      <c r="OAQ122" s="225"/>
      <c r="OAR122" s="225"/>
      <c r="OAS122" s="225"/>
      <c r="OAT122" s="225"/>
      <c r="OAU122" s="225"/>
      <c r="OAV122" s="225"/>
      <c r="OAW122" s="225"/>
      <c r="OAX122" s="225"/>
      <c r="OAY122" s="225"/>
      <c r="OAZ122" s="225"/>
      <c r="OBA122" s="225"/>
      <c r="OBB122" s="225"/>
      <c r="OBC122" s="225"/>
      <c r="OBD122" s="225"/>
      <c r="OBE122" s="225"/>
      <c r="OBF122" s="225"/>
      <c r="OBG122" s="225"/>
      <c r="OBH122" s="225"/>
      <c r="OBI122" s="225"/>
      <c r="OBJ122" s="225"/>
      <c r="OBK122" s="225"/>
      <c r="OBL122" s="225"/>
      <c r="OBM122" s="225"/>
      <c r="OBN122" s="225"/>
      <c r="OBO122" s="225"/>
      <c r="OBP122" s="225"/>
      <c r="OBQ122" s="225"/>
      <c r="OBR122" s="225"/>
      <c r="OBS122" s="225"/>
      <c r="OBT122" s="225"/>
      <c r="OBU122" s="225"/>
      <c r="OBV122" s="225"/>
      <c r="OBW122" s="225"/>
      <c r="OBX122" s="225"/>
      <c r="OBY122" s="225"/>
      <c r="OBZ122" s="225"/>
      <c r="OCA122" s="225"/>
      <c r="OCB122" s="225"/>
      <c r="OCC122" s="225"/>
      <c r="OCD122" s="225"/>
      <c r="OCE122" s="225"/>
      <c r="OCF122" s="225"/>
      <c r="OCG122" s="225"/>
      <c r="OCH122" s="225"/>
      <c r="OCI122" s="225"/>
      <c r="OCJ122" s="225"/>
      <c r="OCK122" s="225"/>
      <c r="OCL122" s="225"/>
      <c r="OCM122" s="225"/>
      <c r="OCN122" s="225"/>
      <c r="OCO122" s="225"/>
      <c r="OCP122" s="225"/>
      <c r="OCQ122" s="225"/>
      <c r="OCR122" s="225"/>
      <c r="OCS122" s="225"/>
      <c r="OCT122" s="225"/>
      <c r="OCU122" s="225"/>
      <c r="OCV122" s="225"/>
      <c r="OCW122" s="225"/>
      <c r="OCX122" s="225"/>
      <c r="OCY122" s="225"/>
      <c r="OCZ122" s="225"/>
      <c r="ODA122" s="225"/>
      <c r="ODB122" s="225"/>
      <c r="ODC122" s="225"/>
      <c r="ODD122" s="225"/>
      <c r="ODE122" s="225"/>
      <c r="ODF122" s="225"/>
      <c r="ODG122" s="225"/>
      <c r="ODH122" s="225"/>
      <c r="ODI122" s="225"/>
      <c r="ODJ122" s="225"/>
      <c r="ODK122" s="225"/>
      <c r="ODL122" s="225"/>
      <c r="ODM122" s="225"/>
      <c r="ODN122" s="225"/>
      <c r="ODO122" s="225"/>
      <c r="ODP122" s="225"/>
      <c r="ODQ122" s="225"/>
      <c r="ODR122" s="225"/>
      <c r="ODS122" s="225"/>
      <c r="ODT122" s="225"/>
      <c r="ODU122" s="225"/>
      <c r="ODV122" s="225"/>
      <c r="ODW122" s="225"/>
      <c r="ODX122" s="225"/>
      <c r="ODY122" s="225"/>
      <c r="ODZ122" s="225"/>
      <c r="OEA122" s="225"/>
      <c r="OEB122" s="225"/>
      <c r="OEC122" s="225"/>
      <c r="OED122" s="225"/>
      <c r="OEE122" s="225"/>
      <c r="OEF122" s="225"/>
      <c r="OEG122" s="225"/>
      <c r="OEH122" s="225"/>
      <c r="OEI122" s="225"/>
      <c r="OEJ122" s="225"/>
      <c r="OEK122" s="225"/>
      <c r="OEL122" s="225"/>
      <c r="OEM122" s="225"/>
      <c r="OEN122" s="225"/>
      <c r="OEO122" s="225"/>
      <c r="OEP122" s="225"/>
      <c r="OEQ122" s="225"/>
      <c r="OER122" s="225"/>
      <c r="OES122" s="225"/>
      <c r="OET122" s="225"/>
      <c r="OEU122" s="225"/>
      <c r="OEV122" s="225"/>
      <c r="OEW122" s="225"/>
      <c r="OEX122" s="225"/>
      <c r="OEY122" s="225"/>
      <c r="OEZ122" s="225"/>
      <c r="OFA122" s="225"/>
      <c r="OFB122" s="225"/>
      <c r="OFC122" s="225"/>
      <c r="OFD122" s="225"/>
      <c r="OFE122" s="225"/>
      <c r="OFF122" s="225"/>
      <c r="OFG122" s="225"/>
      <c r="OFH122" s="225"/>
      <c r="OFI122" s="225"/>
      <c r="OFJ122" s="225"/>
      <c r="OFK122" s="225"/>
      <c r="OFL122" s="225"/>
      <c r="OFM122" s="225"/>
      <c r="OFN122" s="225"/>
      <c r="OFO122" s="225"/>
      <c r="OFP122" s="225"/>
      <c r="OFQ122" s="225"/>
      <c r="OFR122" s="225"/>
      <c r="OFS122" s="225"/>
      <c r="OFT122" s="225"/>
      <c r="OFU122" s="225"/>
      <c r="OFV122" s="225"/>
      <c r="OFW122" s="225"/>
      <c r="OFX122" s="225"/>
      <c r="OFY122" s="225"/>
      <c r="OFZ122" s="225"/>
      <c r="OGA122" s="225"/>
      <c r="OGB122" s="225"/>
      <c r="OGC122" s="225"/>
      <c r="OGD122" s="225"/>
      <c r="OGE122" s="225"/>
      <c r="OGF122" s="225"/>
      <c r="OGG122" s="225"/>
      <c r="OGH122" s="225"/>
      <c r="OGI122" s="225"/>
      <c r="OGJ122" s="225"/>
      <c r="OGK122" s="225"/>
      <c r="OGL122" s="225"/>
      <c r="OGM122" s="225"/>
      <c r="OGN122" s="225"/>
      <c r="OGO122" s="225"/>
      <c r="OGP122" s="225"/>
      <c r="OGQ122" s="225"/>
      <c r="OGR122" s="225"/>
      <c r="OGS122" s="225"/>
      <c r="OGT122" s="225"/>
      <c r="OGU122" s="225"/>
      <c r="OGV122" s="225"/>
      <c r="OGW122" s="225"/>
      <c r="OGX122" s="225"/>
      <c r="OGY122" s="225"/>
      <c r="OGZ122" s="225"/>
      <c r="OHA122" s="225"/>
      <c r="OHB122" s="225"/>
      <c r="OHC122" s="225"/>
      <c r="OHD122" s="225"/>
      <c r="OHE122" s="225"/>
      <c r="OHF122" s="225"/>
      <c r="OHG122" s="225"/>
      <c r="OHH122" s="225"/>
      <c r="OHI122" s="225"/>
      <c r="OHJ122" s="225"/>
      <c r="OHK122" s="225"/>
      <c r="OHL122" s="225"/>
      <c r="OHM122" s="225"/>
      <c r="OHN122" s="225"/>
      <c r="OHO122" s="225"/>
      <c r="OHP122" s="225"/>
      <c r="OHQ122" s="225"/>
      <c r="OHR122" s="225"/>
      <c r="OHS122" s="225"/>
      <c r="OHT122" s="225"/>
      <c r="OHU122" s="225"/>
      <c r="OHV122" s="225"/>
      <c r="OHW122" s="225"/>
      <c r="OHX122" s="225"/>
      <c r="OHY122" s="225"/>
      <c r="OHZ122" s="225"/>
      <c r="OIA122" s="225"/>
      <c r="OIB122" s="225"/>
      <c r="OIC122" s="225"/>
      <c r="OID122" s="225"/>
      <c r="OIE122" s="225"/>
      <c r="OIF122" s="225"/>
      <c r="OIG122" s="225"/>
      <c r="OIH122" s="225"/>
      <c r="OII122" s="225"/>
      <c r="OIJ122" s="225"/>
      <c r="OIK122" s="225"/>
      <c r="OIL122" s="225"/>
      <c r="OIM122" s="225"/>
      <c r="OIN122" s="225"/>
      <c r="OIO122" s="225"/>
      <c r="OIP122" s="225"/>
      <c r="OIQ122" s="225"/>
      <c r="OIR122" s="225"/>
      <c r="OIS122" s="225"/>
      <c r="OIT122" s="225"/>
      <c r="OIU122" s="225"/>
      <c r="OIV122" s="225"/>
      <c r="OIW122" s="225"/>
      <c r="OIX122" s="225"/>
      <c r="OIY122" s="225"/>
      <c r="OIZ122" s="225"/>
      <c r="OJA122" s="225"/>
      <c r="OJB122" s="225"/>
      <c r="OJC122" s="225"/>
      <c r="OJD122" s="225"/>
      <c r="OJE122" s="225"/>
      <c r="OJF122" s="225"/>
      <c r="OJG122" s="225"/>
      <c r="OJH122" s="225"/>
      <c r="OJI122" s="225"/>
      <c r="OJJ122" s="225"/>
      <c r="OJK122" s="225"/>
      <c r="OJL122" s="225"/>
      <c r="OJM122" s="225"/>
      <c r="OJN122" s="225"/>
      <c r="OJO122" s="225"/>
      <c r="OJP122" s="225"/>
      <c r="OJQ122" s="225"/>
      <c r="OJR122" s="225"/>
      <c r="OJS122" s="225"/>
      <c r="OJT122" s="225"/>
      <c r="OJU122" s="225"/>
      <c r="OJV122" s="225"/>
      <c r="OJW122" s="225"/>
      <c r="OJX122" s="225"/>
      <c r="OJY122" s="225"/>
      <c r="OJZ122" s="225"/>
      <c r="OKA122" s="225"/>
      <c r="OKB122" s="225"/>
      <c r="OKC122" s="225"/>
      <c r="OKD122" s="225"/>
      <c r="OKE122" s="225"/>
      <c r="OKF122" s="225"/>
      <c r="OKG122" s="225"/>
      <c r="OKH122" s="225"/>
      <c r="OKI122" s="225"/>
      <c r="OKJ122" s="225"/>
      <c r="OKK122" s="225"/>
      <c r="OKL122" s="225"/>
      <c r="OKM122" s="225"/>
      <c r="OKN122" s="225"/>
      <c r="OKO122" s="225"/>
      <c r="OKP122" s="225"/>
      <c r="OKQ122" s="225"/>
      <c r="OKR122" s="225"/>
      <c r="OKS122" s="225"/>
      <c r="OKT122" s="225"/>
      <c r="OKU122" s="225"/>
      <c r="OKV122" s="225"/>
      <c r="OKW122" s="225"/>
      <c r="OKX122" s="225"/>
      <c r="OKY122" s="225"/>
      <c r="OKZ122" s="225"/>
      <c r="OLA122" s="225"/>
      <c r="OLB122" s="225"/>
      <c r="OLC122" s="225"/>
      <c r="OLD122" s="225"/>
      <c r="OLE122" s="225"/>
      <c r="OLF122" s="225"/>
      <c r="OLG122" s="225"/>
      <c r="OLH122" s="225"/>
      <c r="OLI122" s="225"/>
      <c r="OLJ122" s="225"/>
      <c r="OLK122" s="225"/>
      <c r="OLL122" s="225"/>
      <c r="OLM122" s="225"/>
      <c r="OLN122" s="225"/>
      <c r="OLO122" s="225"/>
      <c r="OLP122" s="225"/>
      <c r="OLQ122" s="225"/>
      <c r="OLR122" s="225"/>
      <c r="OLS122" s="225"/>
      <c r="OLT122" s="225"/>
      <c r="OLU122" s="225"/>
      <c r="OLV122" s="225"/>
      <c r="OLW122" s="225"/>
      <c r="OLX122" s="225"/>
      <c r="OLY122" s="225"/>
      <c r="OLZ122" s="225"/>
      <c r="OMA122" s="225"/>
      <c r="OMB122" s="225"/>
      <c r="OMC122" s="225"/>
      <c r="OMD122" s="225"/>
      <c r="OME122" s="225"/>
      <c r="OMF122" s="225"/>
      <c r="OMG122" s="225"/>
      <c r="OMH122" s="225"/>
      <c r="OMI122" s="225"/>
      <c r="OMJ122" s="225"/>
      <c r="OMK122" s="225"/>
      <c r="OML122" s="225"/>
      <c r="OMM122" s="225"/>
      <c r="OMN122" s="225"/>
      <c r="OMO122" s="225"/>
      <c r="OMP122" s="225"/>
      <c r="OMQ122" s="225"/>
      <c r="OMR122" s="225"/>
      <c r="OMS122" s="225"/>
      <c r="OMT122" s="225"/>
      <c r="OMU122" s="225"/>
      <c r="OMV122" s="225"/>
      <c r="OMW122" s="225"/>
      <c r="OMX122" s="225"/>
      <c r="OMY122" s="225"/>
      <c r="OMZ122" s="225"/>
      <c r="ONA122" s="225"/>
      <c r="ONB122" s="225"/>
      <c r="ONC122" s="225"/>
      <c r="OND122" s="225"/>
      <c r="ONE122" s="225"/>
      <c r="ONF122" s="225"/>
      <c r="ONG122" s="225"/>
      <c r="ONH122" s="225"/>
      <c r="ONI122" s="225"/>
      <c r="ONJ122" s="225"/>
      <c r="ONK122" s="225"/>
      <c r="ONL122" s="225"/>
      <c r="ONM122" s="225"/>
      <c r="ONN122" s="225"/>
      <c r="ONO122" s="225"/>
      <c r="ONP122" s="225"/>
      <c r="ONQ122" s="225"/>
      <c r="ONR122" s="225"/>
      <c r="ONS122" s="225"/>
      <c r="ONT122" s="225"/>
      <c r="ONU122" s="225"/>
      <c r="ONV122" s="225"/>
      <c r="ONW122" s="225"/>
      <c r="ONX122" s="225"/>
      <c r="ONY122" s="225"/>
      <c r="ONZ122" s="225"/>
      <c r="OOA122" s="225"/>
      <c r="OOB122" s="225"/>
      <c r="OOC122" s="225"/>
      <c r="OOD122" s="225"/>
      <c r="OOE122" s="225"/>
      <c r="OOF122" s="225"/>
      <c r="OOG122" s="225"/>
      <c r="OOH122" s="225"/>
      <c r="OOI122" s="225"/>
      <c r="OOJ122" s="225"/>
      <c r="OOK122" s="225"/>
      <c r="OOL122" s="225"/>
      <c r="OOM122" s="225"/>
      <c r="OON122" s="225"/>
      <c r="OOO122" s="225"/>
      <c r="OOP122" s="225"/>
      <c r="OOQ122" s="225"/>
      <c r="OOR122" s="225"/>
      <c r="OOS122" s="225"/>
      <c r="OOT122" s="225"/>
      <c r="OOU122" s="225"/>
      <c r="OOV122" s="225"/>
      <c r="OOW122" s="225"/>
      <c r="OOX122" s="225"/>
      <c r="OOY122" s="225"/>
      <c r="OOZ122" s="225"/>
      <c r="OPA122" s="225"/>
      <c r="OPB122" s="225"/>
      <c r="OPC122" s="225"/>
      <c r="OPD122" s="225"/>
      <c r="OPE122" s="225"/>
      <c r="OPF122" s="225"/>
      <c r="OPG122" s="225"/>
      <c r="OPH122" s="225"/>
      <c r="OPI122" s="225"/>
      <c r="OPJ122" s="225"/>
      <c r="OPK122" s="225"/>
      <c r="OPL122" s="225"/>
      <c r="OPM122" s="225"/>
      <c r="OPN122" s="225"/>
      <c r="OPO122" s="225"/>
      <c r="OPP122" s="225"/>
      <c r="OPQ122" s="225"/>
      <c r="OPR122" s="225"/>
      <c r="OPS122" s="225"/>
      <c r="OPT122" s="225"/>
      <c r="OPU122" s="225"/>
      <c r="OPV122" s="225"/>
      <c r="OPW122" s="225"/>
      <c r="OPX122" s="225"/>
      <c r="OPY122" s="225"/>
      <c r="OPZ122" s="225"/>
      <c r="OQA122" s="225"/>
      <c r="OQB122" s="225"/>
      <c r="OQC122" s="225"/>
      <c r="OQD122" s="225"/>
      <c r="OQE122" s="225"/>
      <c r="OQF122" s="225"/>
      <c r="OQG122" s="225"/>
      <c r="OQH122" s="225"/>
      <c r="OQI122" s="225"/>
      <c r="OQJ122" s="225"/>
      <c r="OQK122" s="225"/>
      <c r="OQL122" s="225"/>
      <c r="OQM122" s="225"/>
      <c r="OQN122" s="225"/>
      <c r="OQO122" s="225"/>
      <c r="OQP122" s="225"/>
      <c r="OQQ122" s="225"/>
      <c r="OQR122" s="225"/>
      <c r="OQS122" s="225"/>
      <c r="OQT122" s="225"/>
      <c r="OQU122" s="225"/>
      <c r="OQV122" s="225"/>
      <c r="OQW122" s="225"/>
      <c r="OQX122" s="225"/>
      <c r="OQY122" s="225"/>
      <c r="OQZ122" s="225"/>
      <c r="ORA122" s="225"/>
      <c r="ORB122" s="225"/>
      <c r="ORC122" s="225"/>
      <c r="ORD122" s="225"/>
      <c r="ORE122" s="225"/>
      <c r="ORF122" s="225"/>
      <c r="ORG122" s="225"/>
      <c r="ORH122" s="225"/>
      <c r="ORI122" s="225"/>
      <c r="ORJ122" s="225"/>
      <c r="ORK122" s="225"/>
      <c r="ORL122" s="225"/>
      <c r="ORM122" s="225"/>
      <c r="ORN122" s="225"/>
      <c r="ORO122" s="225"/>
      <c r="ORP122" s="225"/>
      <c r="ORQ122" s="225"/>
      <c r="ORR122" s="225"/>
      <c r="ORS122" s="225"/>
      <c r="ORT122" s="225"/>
      <c r="ORU122" s="225"/>
      <c r="ORV122" s="225"/>
      <c r="ORW122" s="225"/>
      <c r="ORX122" s="225"/>
      <c r="ORY122" s="225"/>
      <c r="ORZ122" s="225"/>
      <c r="OSA122" s="225"/>
      <c r="OSB122" s="225"/>
      <c r="OSC122" s="225"/>
      <c r="OSD122" s="225"/>
      <c r="OSE122" s="225"/>
      <c r="OSF122" s="225"/>
      <c r="OSG122" s="225"/>
      <c r="OSH122" s="225"/>
      <c r="OSI122" s="225"/>
      <c r="OSJ122" s="225"/>
      <c r="OSK122" s="225"/>
      <c r="OSL122" s="225"/>
      <c r="OSM122" s="225"/>
      <c r="OSN122" s="225"/>
      <c r="OSO122" s="225"/>
      <c r="OSP122" s="225"/>
      <c r="OSQ122" s="225"/>
      <c r="OSR122" s="225"/>
      <c r="OSS122" s="225"/>
      <c r="OST122" s="225"/>
      <c r="OSU122" s="225"/>
      <c r="OSV122" s="225"/>
      <c r="OSW122" s="225"/>
      <c r="OSX122" s="225"/>
      <c r="OSY122" s="225"/>
      <c r="OSZ122" s="225"/>
      <c r="OTA122" s="225"/>
      <c r="OTB122" s="225"/>
      <c r="OTC122" s="225"/>
      <c r="OTD122" s="225"/>
      <c r="OTE122" s="225"/>
      <c r="OTF122" s="225"/>
      <c r="OTG122" s="225"/>
      <c r="OTH122" s="225"/>
      <c r="OTI122" s="225"/>
      <c r="OTJ122" s="225"/>
      <c r="OTK122" s="225"/>
      <c r="OTL122" s="225"/>
      <c r="OTM122" s="225"/>
      <c r="OTN122" s="225"/>
      <c r="OTO122" s="225"/>
      <c r="OTP122" s="225"/>
      <c r="OTQ122" s="225"/>
      <c r="OTR122" s="225"/>
      <c r="OTS122" s="225"/>
      <c r="OTT122" s="225"/>
      <c r="OTU122" s="225"/>
      <c r="OTV122" s="225"/>
      <c r="OTW122" s="225"/>
      <c r="OTX122" s="225"/>
      <c r="OTY122" s="225"/>
      <c r="OTZ122" s="225"/>
      <c r="OUA122" s="225"/>
      <c r="OUB122" s="225"/>
      <c r="OUC122" s="225"/>
      <c r="OUD122" s="225"/>
      <c r="OUE122" s="225"/>
      <c r="OUF122" s="225"/>
      <c r="OUG122" s="225"/>
      <c r="OUH122" s="225"/>
      <c r="OUI122" s="225"/>
      <c r="OUJ122" s="225"/>
      <c r="OUK122" s="225"/>
      <c r="OUL122" s="225"/>
      <c r="OUM122" s="225"/>
      <c r="OUN122" s="225"/>
      <c r="OUO122" s="225"/>
      <c r="OUP122" s="225"/>
      <c r="OUQ122" s="225"/>
      <c r="OUR122" s="225"/>
      <c r="OUS122" s="225"/>
      <c r="OUT122" s="225"/>
      <c r="OUU122" s="225"/>
      <c r="OUV122" s="225"/>
      <c r="OUW122" s="225"/>
      <c r="OUX122" s="225"/>
      <c r="OUY122" s="225"/>
      <c r="OUZ122" s="225"/>
      <c r="OVA122" s="225"/>
      <c r="OVB122" s="225"/>
      <c r="OVC122" s="225"/>
      <c r="OVD122" s="225"/>
      <c r="OVE122" s="225"/>
      <c r="OVF122" s="225"/>
      <c r="OVG122" s="225"/>
      <c r="OVH122" s="225"/>
      <c r="OVI122" s="225"/>
      <c r="OVJ122" s="225"/>
      <c r="OVK122" s="225"/>
      <c r="OVL122" s="225"/>
      <c r="OVM122" s="225"/>
      <c r="OVN122" s="225"/>
      <c r="OVO122" s="225"/>
      <c r="OVP122" s="225"/>
      <c r="OVQ122" s="225"/>
      <c r="OVR122" s="225"/>
      <c r="OVS122" s="225"/>
      <c r="OVT122" s="225"/>
      <c r="OVU122" s="225"/>
      <c r="OVV122" s="225"/>
      <c r="OVW122" s="225"/>
      <c r="OVX122" s="225"/>
      <c r="OVY122" s="225"/>
      <c r="OVZ122" s="225"/>
      <c r="OWA122" s="225"/>
      <c r="OWB122" s="225"/>
      <c r="OWC122" s="225"/>
      <c r="OWD122" s="225"/>
      <c r="OWE122" s="225"/>
      <c r="OWF122" s="225"/>
      <c r="OWG122" s="225"/>
      <c r="OWH122" s="225"/>
      <c r="OWI122" s="225"/>
      <c r="OWJ122" s="225"/>
      <c r="OWK122" s="225"/>
      <c r="OWL122" s="225"/>
      <c r="OWM122" s="225"/>
      <c r="OWN122" s="225"/>
      <c r="OWO122" s="225"/>
      <c r="OWP122" s="225"/>
      <c r="OWQ122" s="225"/>
      <c r="OWR122" s="225"/>
      <c r="OWS122" s="225"/>
      <c r="OWT122" s="225"/>
      <c r="OWU122" s="225"/>
      <c r="OWV122" s="225"/>
      <c r="OWW122" s="225"/>
      <c r="OWX122" s="225"/>
      <c r="OWY122" s="225"/>
      <c r="OWZ122" s="225"/>
      <c r="OXA122" s="225"/>
      <c r="OXB122" s="225"/>
      <c r="OXC122" s="225"/>
      <c r="OXD122" s="225"/>
      <c r="OXE122" s="225"/>
      <c r="OXF122" s="225"/>
      <c r="OXG122" s="225"/>
      <c r="OXH122" s="225"/>
      <c r="OXI122" s="225"/>
      <c r="OXJ122" s="225"/>
      <c r="OXK122" s="225"/>
      <c r="OXL122" s="225"/>
      <c r="OXM122" s="225"/>
      <c r="OXN122" s="225"/>
      <c r="OXO122" s="225"/>
      <c r="OXP122" s="225"/>
      <c r="OXQ122" s="225"/>
      <c r="OXR122" s="225"/>
      <c r="OXS122" s="225"/>
      <c r="OXT122" s="225"/>
      <c r="OXU122" s="225"/>
      <c r="OXV122" s="225"/>
      <c r="OXW122" s="225"/>
      <c r="OXX122" s="225"/>
      <c r="OXY122" s="225"/>
      <c r="OXZ122" s="225"/>
      <c r="OYA122" s="225"/>
      <c r="OYB122" s="225"/>
      <c r="OYC122" s="225"/>
      <c r="OYD122" s="225"/>
      <c r="OYE122" s="225"/>
      <c r="OYF122" s="225"/>
      <c r="OYG122" s="225"/>
      <c r="OYH122" s="225"/>
      <c r="OYI122" s="225"/>
      <c r="OYJ122" s="225"/>
      <c r="OYK122" s="225"/>
      <c r="OYL122" s="225"/>
      <c r="OYM122" s="225"/>
      <c r="OYN122" s="225"/>
      <c r="OYO122" s="225"/>
      <c r="OYP122" s="225"/>
      <c r="OYQ122" s="225"/>
      <c r="OYR122" s="225"/>
      <c r="OYS122" s="225"/>
      <c r="OYT122" s="225"/>
      <c r="OYU122" s="225"/>
      <c r="OYV122" s="225"/>
      <c r="OYW122" s="225"/>
      <c r="OYX122" s="225"/>
      <c r="OYY122" s="225"/>
      <c r="OYZ122" s="225"/>
      <c r="OZA122" s="225"/>
      <c r="OZB122" s="225"/>
      <c r="OZC122" s="225"/>
      <c r="OZD122" s="225"/>
      <c r="OZE122" s="225"/>
      <c r="OZF122" s="225"/>
      <c r="OZG122" s="225"/>
      <c r="OZH122" s="225"/>
      <c r="OZI122" s="225"/>
      <c r="OZJ122" s="225"/>
      <c r="OZK122" s="225"/>
      <c r="OZL122" s="225"/>
      <c r="OZM122" s="225"/>
      <c r="OZN122" s="225"/>
      <c r="OZO122" s="225"/>
      <c r="OZP122" s="225"/>
      <c r="OZQ122" s="225"/>
      <c r="OZR122" s="225"/>
      <c r="OZS122" s="225"/>
      <c r="OZT122" s="225"/>
      <c r="OZU122" s="225"/>
      <c r="OZV122" s="225"/>
      <c r="OZW122" s="225"/>
      <c r="OZX122" s="225"/>
      <c r="OZY122" s="225"/>
      <c r="OZZ122" s="225"/>
      <c r="PAA122" s="225"/>
      <c r="PAB122" s="225"/>
      <c r="PAC122" s="225"/>
      <c r="PAD122" s="225"/>
      <c r="PAE122" s="225"/>
      <c r="PAF122" s="225"/>
      <c r="PAG122" s="225"/>
      <c r="PAH122" s="225"/>
      <c r="PAI122" s="225"/>
      <c r="PAJ122" s="225"/>
      <c r="PAK122" s="225"/>
      <c r="PAL122" s="225"/>
      <c r="PAM122" s="225"/>
      <c r="PAN122" s="225"/>
      <c r="PAO122" s="225"/>
      <c r="PAP122" s="225"/>
      <c r="PAQ122" s="225"/>
      <c r="PAR122" s="225"/>
      <c r="PAS122" s="225"/>
      <c r="PAT122" s="225"/>
      <c r="PAU122" s="225"/>
      <c r="PAV122" s="225"/>
      <c r="PAW122" s="225"/>
      <c r="PAX122" s="225"/>
      <c r="PAY122" s="225"/>
      <c r="PAZ122" s="225"/>
      <c r="PBA122" s="225"/>
      <c r="PBB122" s="225"/>
      <c r="PBC122" s="225"/>
      <c r="PBD122" s="225"/>
      <c r="PBE122" s="225"/>
      <c r="PBF122" s="225"/>
      <c r="PBG122" s="225"/>
      <c r="PBH122" s="225"/>
      <c r="PBI122" s="225"/>
      <c r="PBJ122" s="225"/>
      <c r="PBK122" s="225"/>
      <c r="PBL122" s="225"/>
      <c r="PBM122" s="225"/>
      <c r="PBN122" s="225"/>
      <c r="PBO122" s="225"/>
      <c r="PBP122" s="225"/>
      <c r="PBQ122" s="225"/>
      <c r="PBR122" s="225"/>
      <c r="PBS122" s="225"/>
      <c r="PBT122" s="225"/>
      <c r="PBU122" s="225"/>
      <c r="PBV122" s="225"/>
      <c r="PBW122" s="225"/>
      <c r="PBX122" s="225"/>
      <c r="PBY122" s="225"/>
      <c r="PBZ122" s="225"/>
      <c r="PCA122" s="225"/>
      <c r="PCB122" s="225"/>
      <c r="PCC122" s="225"/>
      <c r="PCD122" s="225"/>
      <c r="PCE122" s="225"/>
      <c r="PCF122" s="225"/>
      <c r="PCG122" s="225"/>
      <c r="PCH122" s="225"/>
      <c r="PCI122" s="225"/>
      <c r="PCJ122" s="225"/>
      <c r="PCK122" s="225"/>
      <c r="PCL122" s="225"/>
      <c r="PCM122" s="225"/>
      <c r="PCN122" s="225"/>
      <c r="PCO122" s="225"/>
      <c r="PCP122" s="225"/>
      <c r="PCQ122" s="225"/>
      <c r="PCR122" s="225"/>
      <c r="PCS122" s="225"/>
      <c r="PCT122" s="225"/>
      <c r="PCU122" s="225"/>
      <c r="PCV122" s="225"/>
      <c r="PCW122" s="225"/>
      <c r="PCX122" s="225"/>
      <c r="PCY122" s="225"/>
      <c r="PCZ122" s="225"/>
      <c r="PDA122" s="225"/>
      <c r="PDB122" s="225"/>
      <c r="PDC122" s="225"/>
      <c r="PDD122" s="225"/>
      <c r="PDE122" s="225"/>
      <c r="PDF122" s="225"/>
      <c r="PDG122" s="225"/>
      <c r="PDH122" s="225"/>
      <c r="PDI122" s="225"/>
      <c r="PDJ122" s="225"/>
      <c r="PDK122" s="225"/>
      <c r="PDL122" s="225"/>
      <c r="PDM122" s="225"/>
      <c r="PDN122" s="225"/>
      <c r="PDO122" s="225"/>
      <c r="PDP122" s="225"/>
      <c r="PDQ122" s="225"/>
      <c r="PDR122" s="225"/>
      <c r="PDS122" s="225"/>
      <c r="PDT122" s="225"/>
      <c r="PDU122" s="225"/>
      <c r="PDV122" s="225"/>
      <c r="PDW122" s="225"/>
      <c r="PDX122" s="225"/>
      <c r="PDY122" s="225"/>
      <c r="PDZ122" s="225"/>
      <c r="PEA122" s="225"/>
      <c r="PEB122" s="225"/>
      <c r="PEC122" s="225"/>
      <c r="PED122" s="225"/>
      <c r="PEE122" s="225"/>
      <c r="PEF122" s="225"/>
      <c r="PEG122" s="225"/>
      <c r="PEH122" s="225"/>
      <c r="PEI122" s="225"/>
      <c r="PEJ122" s="225"/>
      <c r="PEK122" s="225"/>
      <c r="PEL122" s="225"/>
      <c r="PEM122" s="225"/>
      <c r="PEN122" s="225"/>
      <c r="PEO122" s="225"/>
      <c r="PEP122" s="225"/>
      <c r="PEQ122" s="225"/>
      <c r="PER122" s="225"/>
      <c r="PES122" s="225"/>
      <c r="PET122" s="225"/>
      <c r="PEU122" s="225"/>
      <c r="PEV122" s="225"/>
      <c r="PEW122" s="225"/>
      <c r="PEX122" s="225"/>
      <c r="PEY122" s="225"/>
      <c r="PEZ122" s="225"/>
      <c r="PFA122" s="225"/>
      <c r="PFB122" s="225"/>
      <c r="PFC122" s="225"/>
      <c r="PFD122" s="225"/>
      <c r="PFE122" s="225"/>
      <c r="PFF122" s="225"/>
      <c r="PFG122" s="225"/>
      <c r="PFH122" s="225"/>
      <c r="PFI122" s="225"/>
      <c r="PFJ122" s="225"/>
      <c r="PFK122" s="225"/>
      <c r="PFL122" s="225"/>
      <c r="PFM122" s="225"/>
      <c r="PFN122" s="225"/>
      <c r="PFO122" s="225"/>
      <c r="PFP122" s="225"/>
      <c r="PFQ122" s="225"/>
      <c r="PFR122" s="225"/>
      <c r="PFS122" s="225"/>
      <c r="PFT122" s="225"/>
      <c r="PFU122" s="225"/>
      <c r="PFV122" s="225"/>
      <c r="PFW122" s="225"/>
      <c r="PFX122" s="225"/>
      <c r="PFY122" s="225"/>
      <c r="PFZ122" s="225"/>
      <c r="PGA122" s="225"/>
      <c r="PGB122" s="225"/>
      <c r="PGC122" s="225"/>
      <c r="PGD122" s="225"/>
      <c r="PGE122" s="225"/>
      <c r="PGF122" s="225"/>
      <c r="PGG122" s="225"/>
      <c r="PGH122" s="225"/>
      <c r="PGI122" s="225"/>
      <c r="PGJ122" s="225"/>
      <c r="PGK122" s="225"/>
      <c r="PGL122" s="225"/>
      <c r="PGM122" s="225"/>
      <c r="PGN122" s="225"/>
      <c r="PGO122" s="225"/>
      <c r="PGP122" s="225"/>
      <c r="PGQ122" s="225"/>
      <c r="PGR122" s="225"/>
      <c r="PGS122" s="225"/>
      <c r="PGT122" s="225"/>
      <c r="PGU122" s="225"/>
      <c r="PGV122" s="225"/>
      <c r="PGW122" s="225"/>
      <c r="PGX122" s="225"/>
      <c r="PGY122" s="225"/>
      <c r="PGZ122" s="225"/>
      <c r="PHA122" s="225"/>
      <c r="PHB122" s="225"/>
      <c r="PHC122" s="225"/>
      <c r="PHD122" s="225"/>
      <c r="PHE122" s="225"/>
      <c r="PHF122" s="225"/>
      <c r="PHG122" s="225"/>
      <c r="PHH122" s="225"/>
      <c r="PHI122" s="225"/>
      <c r="PHJ122" s="225"/>
      <c r="PHK122" s="225"/>
      <c r="PHL122" s="225"/>
      <c r="PHM122" s="225"/>
      <c r="PHN122" s="225"/>
      <c r="PHO122" s="225"/>
      <c r="PHP122" s="225"/>
      <c r="PHQ122" s="225"/>
      <c r="PHR122" s="225"/>
      <c r="PHS122" s="225"/>
      <c r="PHT122" s="225"/>
      <c r="PHU122" s="225"/>
      <c r="PHV122" s="225"/>
      <c r="PHW122" s="225"/>
      <c r="PHX122" s="225"/>
      <c r="PHY122" s="225"/>
      <c r="PHZ122" s="225"/>
      <c r="PIA122" s="225"/>
      <c r="PIB122" s="225"/>
      <c r="PIC122" s="225"/>
      <c r="PID122" s="225"/>
      <c r="PIE122" s="225"/>
      <c r="PIF122" s="225"/>
      <c r="PIG122" s="225"/>
      <c r="PIH122" s="225"/>
      <c r="PII122" s="225"/>
      <c r="PIJ122" s="225"/>
      <c r="PIK122" s="225"/>
      <c r="PIL122" s="225"/>
      <c r="PIM122" s="225"/>
      <c r="PIN122" s="225"/>
      <c r="PIO122" s="225"/>
      <c r="PIP122" s="225"/>
      <c r="PIQ122" s="225"/>
      <c r="PIR122" s="225"/>
      <c r="PIS122" s="225"/>
      <c r="PIT122" s="225"/>
      <c r="PIU122" s="225"/>
      <c r="PIV122" s="225"/>
      <c r="PIW122" s="225"/>
      <c r="PIX122" s="225"/>
      <c r="PIY122" s="225"/>
      <c r="PIZ122" s="225"/>
      <c r="PJA122" s="225"/>
      <c r="PJB122" s="225"/>
      <c r="PJC122" s="225"/>
      <c r="PJD122" s="225"/>
      <c r="PJE122" s="225"/>
      <c r="PJF122" s="225"/>
      <c r="PJG122" s="225"/>
      <c r="PJH122" s="225"/>
      <c r="PJI122" s="225"/>
      <c r="PJJ122" s="225"/>
      <c r="PJK122" s="225"/>
      <c r="PJL122" s="225"/>
      <c r="PJM122" s="225"/>
      <c r="PJN122" s="225"/>
      <c r="PJO122" s="225"/>
      <c r="PJP122" s="225"/>
      <c r="PJQ122" s="225"/>
      <c r="PJR122" s="225"/>
      <c r="PJS122" s="225"/>
      <c r="PJT122" s="225"/>
      <c r="PJU122" s="225"/>
      <c r="PJV122" s="225"/>
      <c r="PJW122" s="225"/>
      <c r="PJX122" s="225"/>
      <c r="PJY122" s="225"/>
      <c r="PJZ122" s="225"/>
      <c r="PKA122" s="225"/>
      <c r="PKB122" s="225"/>
      <c r="PKC122" s="225"/>
      <c r="PKD122" s="225"/>
      <c r="PKE122" s="225"/>
      <c r="PKF122" s="225"/>
      <c r="PKG122" s="225"/>
      <c r="PKH122" s="225"/>
      <c r="PKI122" s="225"/>
      <c r="PKJ122" s="225"/>
      <c r="PKK122" s="225"/>
      <c r="PKL122" s="225"/>
      <c r="PKM122" s="225"/>
      <c r="PKN122" s="225"/>
      <c r="PKO122" s="225"/>
      <c r="PKP122" s="225"/>
      <c r="PKQ122" s="225"/>
      <c r="PKR122" s="225"/>
      <c r="PKS122" s="225"/>
      <c r="PKT122" s="225"/>
      <c r="PKU122" s="225"/>
      <c r="PKV122" s="225"/>
      <c r="PKW122" s="225"/>
      <c r="PKX122" s="225"/>
      <c r="PKY122" s="225"/>
      <c r="PKZ122" s="225"/>
      <c r="PLA122" s="225"/>
      <c r="PLB122" s="225"/>
      <c r="PLC122" s="225"/>
      <c r="PLD122" s="225"/>
      <c r="PLE122" s="225"/>
      <c r="PLF122" s="225"/>
      <c r="PLG122" s="225"/>
      <c r="PLH122" s="225"/>
      <c r="PLI122" s="225"/>
      <c r="PLJ122" s="225"/>
      <c r="PLK122" s="225"/>
      <c r="PLL122" s="225"/>
      <c r="PLM122" s="225"/>
      <c r="PLN122" s="225"/>
      <c r="PLO122" s="225"/>
      <c r="PLP122" s="225"/>
      <c r="PLQ122" s="225"/>
      <c r="PLR122" s="225"/>
      <c r="PLS122" s="225"/>
      <c r="PLT122" s="225"/>
      <c r="PLU122" s="225"/>
      <c r="PLV122" s="225"/>
      <c r="PLW122" s="225"/>
      <c r="PLX122" s="225"/>
      <c r="PLY122" s="225"/>
      <c r="PLZ122" s="225"/>
      <c r="PMA122" s="225"/>
      <c r="PMB122" s="225"/>
      <c r="PMC122" s="225"/>
      <c r="PMD122" s="225"/>
      <c r="PME122" s="225"/>
      <c r="PMF122" s="225"/>
      <c r="PMG122" s="225"/>
      <c r="PMH122" s="225"/>
      <c r="PMI122" s="225"/>
      <c r="PMJ122" s="225"/>
      <c r="PMK122" s="225"/>
      <c r="PML122" s="225"/>
      <c r="PMM122" s="225"/>
      <c r="PMN122" s="225"/>
      <c r="PMO122" s="225"/>
      <c r="PMP122" s="225"/>
      <c r="PMQ122" s="225"/>
      <c r="PMR122" s="225"/>
      <c r="PMS122" s="225"/>
      <c r="PMT122" s="225"/>
      <c r="PMU122" s="225"/>
      <c r="PMV122" s="225"/>
      <c r="PMW122" s="225"/>
      <c r="PMX122" s="225"/>
      <c r="PMY122" s="225"/>
      <c r="PMZ122" s="225"/>
      <c r="PNA122" s="225"/>
      <c r="PNB122" s="225"/>
      <c r="PNC122" s="225"/>
      <c r="PND122" s="225"/>
      <c r="PNE122" s="225"/>
      <c r="PNF122" s="225"/>
      <c r="PNG122" s="225"/>
      <c r="PNH122" s="225"/>
      <c r="PNI122" s="225"/>
      <c r="PNJ122" s="225"/>
      <c r="PNK122" s="225"/>
      <c r="PNL122" s="225"/>
      <c r="PNM122" s="225"/>
      <c r="PNN122" s="225"/>
      <c r="PNO122" s="225"/>
      <c r="PNP122" s="225"/>
      <c r="PNQ122" s="225"/>
      <c r="PNR122" s="225"/>
      <c r="PNS122" s="225"/>
      <c r="PNT122" s="225"/>
      <c r="PNU122" s="225"/>
      <c r="PNV122" s="225"/>
      <c r="PNW122" s="225"/>
      <c r="PNX122" s="225"/>
      <c r="PNY122" s="225"/>
      <c r="PNZ122" s="225"/>
      <c r="POA122" s="225"/>
      <c r="POB122" s="225"/>
      <c r="POC122" s="225"/>
      <c r="POD122" s="225"/>
      <c r="POE122" s="225"/>
      <c r="POF122" s="225"/>
      <c r="POG122" s="225"/>
      <c r="POH122" s="225"/>
      <c r="POI122" s="225"/>
      <c r="POJ122" s="225"/>
      <c r="POK122" s="225"/>
      <c r="POL122" s="225"/>
      <c r="POM122" s="225"/>
      <c r="PON122" s="225"/>
      <c r="POO122" s="225"/>
      <c r="POP122" s="225"/>
      <c r="POQ122" s="225"/>
      <c r="POR122" s="225"/>
      <c r="POS122" s="225"/>
      <c r="POT122" s="225"/>
      <c r="POU122" s="225"/>
      <c r="POV122" s="225"/>
      <c r="POW122" s="225"/>
      <c r="POX122" s="225"/>
      <c r="POY122" s="225"/>
      <c r="POZ122" s="225"/>
      <c r="PPA122" s="225"/>
      <c r="PPB122" s="225"/>
      <c r="PPC122" s="225"/>
      <c r="PPD122" s="225"/>
      <c r="PPE122" s="225"/>
      <c r="PPF122" s="225"/>
      <c r="PPG122" s="225"/>
      <c r="PPH122" s="225"/>
      <c r="PPI122" s="225"/>
      <c r="PPJ122" s="225"/>
      <c r="PPK122" s="225"/>
      <c r="PPL122" s="225"/>
      <c r="PPM122" s="225"/>
      <c r="PPN122" s="225"/>
      <c r="PPO122" s="225"/>
      <c r="PPP122" s="225"/>
      <c r="PPQ122" s="225"/>
      <c r="PPR122" s="225"/>
      <c r="PPS122" s="225"/>
      <c r="PPT122" s="225"/>
      <c r="PPU122" s="225"/>
      <c r="PPV122" s="225"/>
      <c r="PPW122" s="225"/>
      <c r="PPX122" s="225"/>
      <c r="PPY122" s="225"/>
      <c r="PPZ122" s="225"/>
      <c r="PQA122" s="225"/>
      <c r="PQB122" s="225"/>
      <c r="PQC122" s="225"/>
      <c r="PQD122" s="225"/>
      <c r="PQE122" s="225"/>
      <c r="PQF122" s="225"/>
      <c r="PQG122" s="225"/>
      <c r="PQH122" s="225"/>
      <c r="PQI122" s="225"/>
      <c r="PQJ122" s="225"/>
      <c r="PQK122" s="225"/>
      <c r="PQL122" s="225"/>
      <c r="PQM122" s="225"/>
      <c r="PQN122" s="225"/>
      <c r="PQO122" s="225"/>
      <c r="PQP122" s="225"/>
      <c r="PQQ122" s="225"/>
      <c r="PQR122" s="225"/>
      <c r="PQS122" s="225"/>
      <c r="PQT122" s="225"/>
      <c r="PQU122" s="225"/>
      <c r="PQV122" s="225"/>
      <c r="PQW122" s="225"/>
      <c r="PQX122" s="225"/>
      <c r="PQY122" s="225"/>
      <c r="PQZ122" s="225"/>
      <c r="PRA122" s="225"/>
      <c r="PRB122" s="225"/>
      <c r="PRC122" s="225"/>
      <c r="PRD122" s="225"/>
      <c r="PRE122" s="225"/>
      <c r="PRF122" s="225"/>
      <c r="PRG122" s="225"/>
      <c r="PRH122" s="225"/>
      <c r="PRI122" s="225"/>
      <c r="PRJ122" s="225"/>
      <c r="PRK122" s="225"/>
      <c r="PRL122" s="225"/>
      <c r="PRM122" s="225"/>
      <c r="PRN122" s="225"/>
      <c r="PRO122" s="225"/>
      <c r="PRP122" s="225"/>
      <c r="PRQ122" s="225"/>
      <c r="PRR122" s="225"/>
      <c r="PRS122" s="225"/>
      <c r="PRT122" s="225"/>
      <c r="PRU122" s="225"/>
      <c r="PRV122" s="225"/>
      <c r="PRW122" s="225"/>
      <c r="PRX122" s="225"/>
      <c r="PRY122" s="225"/>
      <c r="PRZ122" s="225"/>
      <c r="PSA122" s="225"/>
      <c r="PSB122" s="225"/>
      <c r="PSC122" s="225"/>
      <c r="PSD122" s="225"/>
      <c r="PSE122" s="225"/>
      <c r="PSF122" s="225"/>
      <c r="PSG122" s="225"/>
      <c r="PSH122" s="225"/>
      <c r="PSI122" s="225"/>
      <c r="PSJ122" s="225"/>
      <c r="PSK122" s="225"/>
      <c r="PSL122" s="225"/>
      <c r="PSM122" s="225"/>
      <c r="PSN122" s="225"/>
      <c r="PSO122" s="225"/>
      <c r="PSP122" s="225"/>
      <c r="PSQ122" s="225"/>
      <c r="PSR122" s="225"/>
      <c r="PSS122" s="225"/>
      <c r="PST122" s="225"/>
      <c r="PSU122" s="225"/>
      <c r="PSV122" s="225"/>
      <c r="PSW122" s="225"/>
      <c r="PSX122" s="225"/>
      <c r="PSY122" s="225"/>
      <c r="PSZ122" s="225"/>
      <c r="PTA122" s="225"/>
      <c r="PTB122" s="225"/>
      <c r="PTC122" s="225"/>
      <c r="PTD122" s="225"/>
      <c r="PTE122" s="225"/>
      <c r="PTF122" s="225"/>
      <c r="PTG122" s="225"/>
      <c r="PTH122" s="225"/>
      <c r="PTI122" s="225"/>
      <c r="PTJ122" s="225"/>
      <c r="PTK122" s="225"/>
      <c r="PTL122" s="225"/>
      <c r="PTM122" s="225"/>
      <c r="PTN122" s="225"/>
      <c r="PTO122" s="225"/>
      <c r="PTP122" s="225"/>
      <c r="PTQ122" s="225"/>
      <c r="PTR122" s="225"/>
      <c r="PTS122" s="225"/>
      <c r="PTT122" s="225"/>
      <c r="PTU122" s="225"/>
      <c r="PTV122" s="225"/>
      <c r="PTW122" s="225"/>
      <c r="PTX122" s="225"/>
      <c r="PTY122" s="225"/>
      <c r="PTZ122" s="225"/>
      <c r="PUA122" s="225"/>
      <c r="PUB122" s="225"/>
      <c r="PUC122" s="225"/>
      <c r="PUD122" s="225"/>
      <c r="PUE122" s="225"/>
      <c r="PUF122" s="225"/>
      <c r="PUG122" s="225"/>
      <c r="PUH122" s="225"/>
      <c r="PUI122" s="225"/>
      <c r="PUJ122" s="225"/>
      <c r="PUK122" s="225"/>
      <c r="PUL122" s="225"/>
      <c r="PUM122" s="225"/>
      <c r="PUN122" s="225"/>
      <c r="PUO122" s="225"/>
      <c r="PUP122" s="225"/>
      <c r="PUQ122" s="225"/>
      <c r="PUR122" s="225"/>
      <c r="PUS122" s="225"/>
      <c r="PUT122" s="225"/>
      <c r="PUU122" s="225"/>
      <c r="PUV122" s="225"/>
      <c r="PUW122" s="225"/>
      <c r="PUX122" s="225"/>
      <c r="PUY122" s="225"/>
      <c r="PUZ122" s="225"/>
      <c r="PVA122" s="225"/>
      <c r="PVB122" s="225"/>
      <c r="PVC122" s="225"/>
      <c r="PVD122" s="225"/>
      <c r="PVE122" s="225"/>
      <c r="PVF122" s="225"/>
      <c r="PVG122" s="225"/>
      <c r="PVH122" s="225"/>
      <c r="PVI122" s="225"/>
      <c r="PVJ122" s="225"/>
      <c r="PVK122" s="225"/>
      <c r="PVL122" s="225"/>
      <c r="PVM122" s="225"/>
      <c r="PVN122" s="225"/>
      <c r="PVO122" s="225"/>
      <c r="PVP122" s="225"/>
      <c r="PVQ122" s="225"/>
      <c r="PVR122" s="225"/>
      <c r="PVS122" s="225"/>
      <c r="PVT122" s="225"/>
      <c r="PVU122" s="225"/>
      <c r="PVV122" s="225"/>
      <c r="PVW122" s="225"/>
      <c r="PVX122" s="225"/>
      <c r="PVY122" s="225"/>
      <c r="PVZ122" s="225"/>
      <c r="PWA122" s="225"/>
      <c r="PWB122" s="225"/>
      <c r="PWC122" s="225"/>
      <c r="PWD122" s="225"/>
      <c r="PWE122" s="225"/>
      <c r="PWF122" s="225"/>
      <c r="PWG122" s="225"/>
      <c r="PWH122" s="225"/>
      <c r="PWI122" s="225"/>
      <c r="PWJ122" s="225"/>
      <c r="PWK122" s="225"/>
      <c r="PWL122" s="225"/>
      <c r="PWM122" s="225"/>
      <c r="PWN122" s="225"/>
      <c r="PWO122" s="225"/>
      <c r="PWP122" s="225"/>
      <c r="PWQ122" s="225"/>
      <c r="PWR122" s="225"/>
      <c r="PWS122" s="225"/>
      <c r="PWT122" s="225"/>
      <c r="PWU122" s="225"/>
      <c r="PWV122" s="225"/>
      <c r="PWW122" s="225"/>
      <c r="PWX122" s="225"/>
      <c r="PWY122" s="225"/>
      <c r="PWZ122" s="225"/>
      <c r="PXA122" s="225"/>
      <c r="PXB122" s="225"/>
      <c r="PXC122" s="225"/>
      <c r="PXD122" s="225"/>
      <c r="PXE122" s="225"/>
      <c r="PXF122" s="225"/>
      <c r="PXG122" s="225"/>
      <c r="PXH122" s="225"/>
      <c r="PXI122" s="225"/>
      <c r="PXJ122" s="225"/>
      <c r="PXK122" s="225"/>
      <c r="PXL122" s="225"/>
      <c r="PXM122" s="225"/>
      <c r="PXN122" s="225"/>
      <c r="PXO122" s="225"/>
      <c r="PXP122" s="225"/>
      <c r="PXQ122" s="225"/>
      <c r="PXR122" s="225"/>
      <c r="PXS122" s="225"/>
      <c r="PXT122" s="225"/>
      <c r="PXU122" s="225"/>
      <c r="PXV122" s="225"/>
      <c r="PXW122" s="225"/>
      <c r="PXX122" s="225"/>
      <c r="PXY122" s="225"/>
      <c r="PXZ122" s="225"/>
      <c r="PYA122" s="225"/>
      <c r="PYB122" s="225"/>
      <c r="PYC122" s="225"/>
      <c r="PYD122" s="225"/>
      <c r="PYE122" s="225"/>
      <c r="PYF122" s="225"/>
      <c r="PYG122" s="225"/>
      <c r="PYH122" s="225"/>
      <c r="PYI122" s="225"/>
      <c r="PYJ122" s="225"/>
      <c r="PYK122" s="225"/>
      <c r="PYL122" s="225"/>
      <c r="PYM122" s="225"/>
      <c r="PYN122" s="225"/>
      <c r="PYO122" s="225"/>
      <c r="PYP122" s="225"/>
      <c r="PYQ122" s="225"/>
      <c r="PYR122" s="225"/>
      <c r="PYS122" s="225"/>
      <c r="PYT122" s="225"/>
      <c r="PYU122" s="225"/>
      <c r="PYV122" s="225"/>
      <c r="PYW122" s="225"/>
      <c r="PYX122" s="225"/>
      <c r="PYY122" s="225"/>
      <c r="PYZ122" s="225"/>
      <c r="PZA122" s="225"/>
      <c r="PZB122" s="225"/>
      <c r="PZC122" s="225"/>
      <c r="PZD122" s="225"/>
      <c r="PZE122" s="225"/>
      <c r="PZF122" s="225"/>
      <c r="PZG122" s="225"/>
      <c r="PZH122" s="225"/>
      <c r="PZI122" s="225"/>
      <c r="PZJ122" s="225"/>
      <c r="PZK122" s="225"/>
      <c r="PZL122" s="225"/>
      <c r="PZM122" s="225"/>
      <c r="PZN122" s="225"/>
      <c r="PZO122" s="225"/>
      <c r="PZP122" s="225"/>
      <c r="PZQ122" s="225"/>
      <c r="PZR122" s="225"/>
      <c r="PZS122" s="225"/>
      <c r="PZT122" s="225"/>
      <c r="PZU122" s="225"/>
      <c r="PZV122" s="225"/>
      <c r="PZW122" s="225"/>
      <c r="PZX122" s="225"/>
      <c r="PZY122" s="225"/>
      <c r="PZZ122" s="225"/>
      <c r="QAA122" s="225"/>
      <c r="QAB122" s="225"/>
      <c r="QAC122" s="225"/>
      <c r="QAD122" s="225"/>
      <c r="QAE122" s="225"/>
      <c r="QAF122" s="225"/>
      <c r="QAG122" s="225"/>
      <c r="QAH122" s="225"/>
      <c r="QAI122" s="225"/>
      <c r="QAJ122" s="225"/>
      <c r="QAK122" s="225"/>
      <c r="QAL122" s="225"/>
      <c r="QAM122" s="225"/>
      <c r="QAN122" s="225"/>
      <c r="QAO122" s="225"/>
      <c r="QAP122" s="225"/>
      <c r="QAQ122" s="225"/>
      <c r="QAR122" s="225"/>
      <c r="QAS122" s="225"/>
      <c r="QAT122" s="225"/>
      <c r="QAU122" s="225"/>
      <c r="QAV122" s="225"/>
      <c r="QAW122" s="225"/>
      <c r="QAX122" s="225"/>
      <c r="QAY122" s="225"/>
      <c r="QAZ122" s="225"/>
      <c r="QBA122" s="225"/>
      <c r="QBB122" s="225"/>
      <c r="QBC122" s="225"/>
      <c r="QBD122" s="225"/>
      <c r="QBE122" s="225"/>
      <c r="QBF122" s="225"/>
      <c r="QBG122" s="225"/>
      <c r="QBH122" s="225"/>
      <c r="QBI122" s="225"/>
      <c r="QBJ122" s="225"/>
      <c r="QBK122" s="225"/>
      <c r="QBL122" s="225"/>
      <c r="QBM122" s="225"/>
      <c r="QBN122" s="225"/>
      <c r="QBO122" s="225"/>
      <c r="QBP122" s="225"/>
      <c r="QBQ122" s="225"/>
      <c r="QBR122" s="225"/>
      <c r="QBS122" s="225"/>
      <c r="QBT122" s="225"/>
      <c r="QBU122" s="225"/>
      <c r="QBV122" s="225"/>
      <c r="QBW122" s="225"/>
      <c r="QBX122" s="225"/>
      <c r="QBY122" s="225"/>
      <c r="QBZ122" s="225"/>
      <c r="QCA122" s="225"/>
      <c r="QCB122" s="225"/>
      <c r="QCC122" s="225"/>
      <c r="QCD122" s="225"/>
      <c r="QCE122" s="225"/>
      <c r="QCF122" s="225"/>
      <c r="QCG122" s="225"/>
      <c r="QCH122" s="225"/>
      <c r="QCI122" s="225"/>
      <c r="QCJ122" s="225"/>
      <c r="QCK122" s="225"/>
      <c r="QCL122" s="225"/>
      <c r="QCM122" s="225"/>
      <c r="QCN122" s="225"/>
      <c r="QCO122" s="225"/>
      <c r="QCP122" s="225"/>
      <c r="QCQ122" s="225"/>
      <c r="QCR122" s="225"/>
      <c r="QCS122" s="225"/>
      <c r="QCT122" s="225"/>
      <c r="QCU122" s="225"/>
      <c r="QCV122" s="225"/>
      <c r="QCW122" s="225"/>
      <c r="QCX122" s="225"/>
      <c r="QCY122" s="225"/>
      <c r="QCZ122" s="225"/>
      <c r="QDA122" s="225"/>
      <c r="QDB122" s="225"/>
      <c r="QDC122" s="225"/>
      <c r="QDD122" s="225"/>
      <c r="QDE122" s="225"/>
      <c r="QDF122" s="225"/>
      <c r="QDG122" s="225"/>
      <c r="QDH122" s="225"/>
      <c r="QDI122" s="225"/>
      <c r="QDJ122" s="225"/>
      <c r="QDK122" s="225"/>
      <c r="QDL122" s="225"/>
      <c r="QDM122" s="225"/>
      <c r="QDN122" s="225"/>
      <c r="QDO122" s="225"/>
      <c r="QDP122" s="225"/>
      <c r="QDQ122" s="225"/>
      <c r="QDR122" s="225"/>
      <c r="QDS122" s="225"/>
      <c r="QDT122" s="225"/>
      <c r="QDU122" s="225"/>
      <c r="QDV122" s="225"/>
      <c r="QDW122" s="225"/>
      <c r="QDX122" s="225"/>
      <c r="QDY122" s="225"/>
      <c r="QDZ122" s="225"/>
      <c r="QEA122" s="225"/>
      <c r="QEB122" s="225"/>
      <c r="QEC122" s="225"/>
      <c r="QED122" s="225"/>
      <c r="QEE122" s="225"/>
      <c r="QEF122" s="225"/>
      <c r="QEG122" s="225"/>
      <c r="QEH122" s="225"/>
      <c r="QEI122" s="225"/>
      <c r="QEJ122" s="225"/>
      <c r="QEK122" s="225"/>
      <c r="QEL122" s="225"/>
      <c r="QEM122" s="225"/>
      <c r="QEN122" s="225"/>
      <c r="QEO122" s="225"/>
      <c r="QEP122" s="225"/>
      <c r="QEQ122" s="225"/>
      <c r="QER122" s="225"/>
      <c r="QES122" s="225"/>
      <c r="QET122" s="225"/>
      <c r="QEU122" s="225"/>
      <c r="QEV122" s="225"/>
      <c r="QEW122" s="225"/>
      <c r="QEX122" s="225"/>
      <c r="QEY122" s="225"/>
      <c r="QEZ122" s="225"/>
      <c r="QFA122" s="225"/>
      <c r="QFB122" s="225"/>
      <c r="QFC122" s="225"/>
      <c r="QFD122" s="225"/>
      <c r="QFE122" s="225"/>
      <c r="QFF122" s="225"/>
      <c r="QFG122" s="225"/>
      <c r="QFH122" s="225"/>
      <c r="QFI122" s="225"/>
      <c r="QFJ122" s="225"/>
      <c r="QFK122" s="225"/>
      <c r="QFL122" s="225"/>
      <c r="QFM122" s="225"/>
      <c r="QFN122" s="225"/>
      <c r="QFO122" s="225"/>
      <c r="QFP122" s="225"/>
      <c r="QFQ122" s="225"/>
      <c r="QFR122" s="225"/>
      <c r="QFS122" s="225"/>
      <c r="QFT122" s="225"/>
      <c r="QFU122" s="225"/>
      <c r="QFV122" s="225"/>
      <c r="QFW122" s="225"/>
      <c r="QFX122" s="225"/>
      <c r="QFY122" s="225"/>
      <c r="QFZ122" s="225"/>
      <c r="QGA122" s="225"/>
      <c r="QGB122" s="225"/>
      <c r="QGC122" s="225"/>
      <c r="QGD122" s="225"/>
      <c r="QGE122" s="225"/>
      <c r="QGF122" s="225"/>
      <c r="QGG122" s="225"/>
      <c r="QGH122" s="225"/>
      <c r="QGI122" s="225"/>
      <c r="QGJ122" s="225"/>
      <c r="QGK122" s="225"/>
      <c r="QGL122" s="225"/>
      <c r="QGM122" s="225"/>
      <c r="QGN122" s="225"/>
      <c r="QGO122" s="225"/>
      <c r="QGP122" s="225"/>
      <c r="QGQ122" s="225"/>
      <c r="QGR122" s="225"/>
      <c r="QGS122" s="225"/>
      <c r="QGT122" s="225"/>
      <c r="QGU122" s="225"/>
      <c r="QGV122" s="225"/>
      <c r="QGW122" s="225"/>
      <c r="QGX122" s="225"/>
      <c r="QGY122" s="225"/>
      <c r="QGZ122" s="225"/>
      <c r="QHA122" s="225"/>
      <c r="QHB122" s="225"/>
      <c r="QHC122" s="225"/>
      <c r="QHD122" s="225"/>
      <c r="QHE122" s="225"/>
      <c r="QHF122" s="225"/>
      <c r="QHG122" s="225"/>
      <c r="QHH122" s="225"/>
      <c r="QHI122" s="225"/>
      <c r="QHJ122" s="225"/>
      <c r="QHK122" s="225"/>
      <c r="QHL122" s="225"/>
      <c r="QHM122" s="225"/>
      <c r="QHN122" s="225"/>
      <c r="QHO122" s="225"/>
      <c r="QHP122" s="225"/>
      <c r="QHQ122" s="225"/>
      <c r="QHR122" s="225"/>
      <c r="QHS122" s="225"/>
      <c r="QHT122" s="225"/>
      <c r="QHU122" s="225"/>
      <c r="QHV122" s="225"/>
      <c r="QHW122" s="225"/>
      <c r="QHX122" s="225"/>
      <c r="QHY122" s="225"/>
      <c r="QHZ122" s="225"/>
      <c r="QIA122" s="225"/>
      <c r="QIB122" s="225"/>
      <c r="QIC122" s="225"/>
      <c r="QID122" s="225"/>
      <c r="QIE122" s="225"/>
      <c r="QIF122" s="225"/>
      <c r="QIG122" s="225"/>
      <c r="QIH122" s="225"/>
      <c r="QII122" s="225"/>
      <c r="QIJ122" s="225"/>
      <c r="QIK122" s="225"/>
      <c r="QIL122" s="225"/>
      <c r="QIM122" s="225"/>
      <c r="QIN122" s="225"/>
      <c r="QIO122" s="225"/>
      <c r="QIP122" s="225"/>
      <c r="QIQ122" s="225"/>
      <c r="QIR122" s="225"/>
      <c r="QIS122" s="225"/>
      <c r="QIT122" s="225"/>
      <c r="QIU122" s="225"/>
      <c r="QIV122" s="225"/>
      <c r="QIW122" s="225"/>
      <c r="QIX122" s="225"/>
      <c r="QIY122" s="225"/>
      <c r="QIZ122" s="225"/>
      <c r="QJA122" s="225"/>
      <c r="QJB122" s="225"/>
      <c r="QJC122" s="225"/>
      <c r="QJD122" s="225"/>
      <c r="QJE122" s="225"/>
      <c r="QJF122" s="225"/>
      <c r="QJG122" s="225"/>
      <c r="QJH122" s="225"/>
      <c r="QJI122" s="225"/>
      <c r="QJJ122" s="225"/>
      <c r="QJK122" s="225"/>
      <c r="QJL122" s="225"/>
      <c r="QJM122" s="225"/>
      <c r="QJN122" s="225"/>
      <c r="QJO122" s="225"/>
      <c r="QJP122" s="225"/>
      <c r="QJQ122" s="225"/>
      <c r="QJR122" s="225"/>
      <c r="QJS122" s="225"/>
      <c r="QJT122" s="225"/>
      <c r="QJU122" s="225"/>
      <c r="QJV122" s="225"/>
      <c r="QJW122" s="225"/>
      <c r="QJX122" s="225"/>
      <c r="QJY122" s="225"/>
      <c r="QJZ122" s="225"/>
      <c r="QKA122" s="225"/>
      <c r="QKB122" s="225"/>
      <c r="QKC122" s="225"/>
      <c r="QKD122" s="225"/>
      <c r="QKE122" s="225"/>
      <c r="QKF122" s="225"/>
      <c r="QKG122" s="225"/>
      <c r="QKH122" s="225"/>
      <c r="QKI122" s="225"/>
      <c r="QKJ122" s="225"/>
      <c r="QKK122" s="225"/>
      <c r="QKL122" s="225"/>
      <c r="QKM122" s="225"/>
      <c r="QKN122" s="225"/>
      <c r="QKO122" s="225"/>
      <c r="QKP122" s="225"/>
      <c r="QKQ122" s="225"/>
      <c r="QKR122" s="225"/>
      <c r="QKS122" s="225"/>
      <c r="QKT122" s="225"/>
      <c r="QKU122" s="225"/>
      <c r="QKV122" s="225"/>
      <c r="QKW122" s="225"/>
      <c r="QKX122" s="225"/>
      <c r="QKY122" s="225"/>
      <c r="QKZ122" s="225"/>
      <c r="QLA122" s="225"/>
      <c r="QLB122" s="225"/>
      <c r="QLC122" s="225"/>
      <c r="QLD122" s="225"/>
      <c r="QLE122" s="225"/>
      <c r="QLF122" s="225"/>
      <c r="QLG122" s="225"/>
      <c r="QLH122" s="225"/>
      <c r="QLI122" s="225"/>
      <c r="QLJ122" s="225"/>
      <c r="QLK122" s="225"/>
      <c r="QLL122" s="225"/>
      <c r="QLM122" s="225"/>
      <c r="QLN122" s="225"/>
      <c r="QLO122" s="225"/>
      <c r="QLP122" s="225"/>
      <c r="QLQ122" s="225"/>
      <c r="QLR122" s="225"/>
      <c r="QLS122" s="225"/>
      <c r="QLT122" s="225"/>
      <c r="QLU122" s="225"/>
      <c r="QLV122" s="225"/>
      <c r="QLW122" s="225"/>
      <c r="QLX122" s="225"/>
      <c r="QLY122" s="225"/>
      <c r="QLZ122" s="225"/>
      <c r="QMA122" s="225"/>
      <c r="QMB122" s="225"/>
      <c r="QMC122" s="225"/>
      <c r="QMD122" s="225"/>
      <c r="QME122" s="225"/>
      <c r="QMF122" s="225"/>
      <c r="QMG122" s="225"/>
      <c r="QMH122" s="225"/>
      <c r="QMI122" s="225"/>
      <c r="QMJ122" s="225"/>
      <c r="QMK122" s="225"/>
      <c r="QML122" s="225"/>
      <c r="QMM122" s="225"/>
      <c r="QMN122" s="225"/>
      <c r="QMO122" s="225"/>
      <c r="QMP122" s="225"/>
      <c r="QMQ122" s="225"/>
      <c r="QMR122" s="225"/>
      <c r="QMS122" s="225"/>
      <c r="QMT122" s="225"/>
      <c r="QMU122" s="225"/>
      <c r="QMV122" s="225"/>
      <c r="QMW122" s="225"/>
      <c r="QMX122" s="225"/>
      <c r="QMY122" s="225"/>
      <c r="QMZ122" s="225"/>
      <c r="QNA122" s="225"/>
      <c r="QNB122" s="225"/>
      <c r="QNC122" s="225"/>
      <c r="QND122" s="225"/>
      <c r="QNE122" s="225"/>
      <c r="QNF122" s="225"/>
      <c r="QNG122" s="225"/>
      <c r="QNH122" s="225"/>
      <c r="QNI122" s="225"/>
      <c r="QNJ122" s="225"/>
      <c r="QNK122" s="225"/>
      <c r="QNL122" s="225"/>
      <c r="QNM122" s="225"/>
      <c r="QNN122" s="225"/>
      <c r="QNO122" s="225"/>
      <c r="QNP122" s="225"/>
      <c r="QNQ122" s="225"/>
      <c r="QNR122" s="225"/>
      <c r="QNS122" s="225"/>
      <c r="QNT122" s="225"/>
      <c r="QNU122" s="225"/>
      <c r="QNV122" s="225"/>
      <c r="QNW122" s="225"/>
      <c r="QNX122" s="225"/>
      <c r="QNY122" s="225"/>
      <c r="QNZ122" s="225"/>
      <c r="QOA122" s="225"/>
      <c r="QOB122" s="225"/>
      <c r="QOC122" s="225"/>
      <c r="QOD122" s="225"/>
      <c r="QOE122" s="225"/>
      <c r="QOF122" s="225"/>
      <c r="QOG122" s="225"/>
      <c r="QOH122" s="225"/>
      <c r="QOI122" s="225"/>
      <c r="QOJ122" s="225"/>
      <c r="QOK122" s="225"/>
      <c r="QOL122" s="225"/>
      <c r="QOM122" s="225"/>
      <c r="QON122" s="225"/>
      <c r="QOO122" s="225"/>
      <c r="QOP122" s="225"/>
      <c r="QOQ122" s="225"/>
      <c r="QOR122" s="225"/>
      <c r="QOS122" s="225"/>
      <c r="QOT122" s="225"/>
      <c r="QOU122" s="225"/>
      <c r="QOV122" s="225"/>
      <c r="QOW122" s="225"/>
      <c r="QOX122" s="225"/>
      <c r="QOY122" s="225"/>
      <c r="QOZ122" s="225"/>
      <c r="QPA122" s="225"/>
      <c r="QPB122" s="225"/>
      <c r="QPC122" s="225"/>
      <c r="QPD122" s="225"/>
      <c r="QPE122" s="225"/>
      <c r="QPF122" s="225"/>
      <c r="QPG122" s="225"/>
      <c r="QPH122" s="225"/>
      <c r="QPI122" s="225"/>
      <c r="QPJ122" s="225"/>
      <c r="QPK122" s="225"/>
      <c r="QPL122" s="225"/>
      <c r="QPM122" s="225"/>
      <c r="QPN122" s="225"/>
      <c r="QPO122" s="225"/>
      <c r="QPP122" s="225"/>
      <c r="QPQ122" s="225"/>
      <c r="QPR122" s="225"/>
      <c r="QPS122" s="225"/>
      <c r="QPT122" s="225"/>
      <c r="QPU122" s="225"/>
      <c r="QPV122" s="225"/>
      <c r="QPW122" s="225"/>
      <c r="QPX122" s="225"/>
      <c r="QPY122" s="225"/>
      <c r="QPZ122" s="225"/>
      <c r="QQA122" s="225"/>
      <c r="QQB122" s="225"/>
      <c r="QQC122" s="225"/>
      <c r="QQD122" s="225"/>
      <c r="QQE122" s="225"/>
      <c r="QQF122" s="225"/>
      <c r="QQG122" s="225"/>
      <c r="QQH122" s="225"/>
      <c r="QQI122" s="225"/>
      <c r="QQJ122" s="225"/>
      <c r="QQK122" s="225"/>
      <c r="QQL122" s="225"/>
      <c r="QQM122" s="225"/>
      <c r="QQN122" s="225"/>
      <c r="QQO122" s="225"/>
      <c r="QQP122" s="225"/>
      <c r="QQQ122" s="225"/>
      <c r="QQR122" s="225"/>
      <c r="QQS122" s="225"/>
      <c r="QQT122" s="225"/>
      <c r="QQU122" s="225"/>
      <c r="QQV122" s="225"/>
      <c r="QQW122" s="225"/>
      <c r="QQX122" s="225"/>
      <c r="QQY122" s="225"/>
      <c r="QQZ122" s="225"/>
      <c r="QRA122" s="225"/>
      <c r="QRB122" s="225"/>
      <c r="QRC122" s="225"/>
      <c r="QRD122" s="225"/>
      <c r="QRE122" s="225"/>
      <c r="QRF122" s="225"/>
      <c r="QRG122" s="225"/>
      <c r="QRH122" s="225"/>
      <c r="QRI122" s="225"/>
      <c r="QRJ122" s="225"/>
      <c r="QRK122" s="225"/>
      <c r="QRL122" s="225"/>
      <c r="QRM122" s="225"/>
      <c r="QRN122" s="225"/>
      <c r="QRO122" s="225"/>
      <c r="QRP122" s="225"/>
      <c r="QRQ122" s="225"/>
      <c r="QRR122" s="225"/>
      <c r="QRS122" s="225"/>
      <c r="QRT122" s="225"/>
      <c r="QRU122" s="225"/>
      <c r="QRV122" s="225"/>
      <c r="QRW122" s="225"/>
      <c r="QRX122" s="225"/>
      <c r="QRY122" s="225"/>
      <c r="QRZ122" s="225"/>
      <c r="QSA122" s="225"/>
      <c r="QSB122" s="225"/>
      <c r="QSC122" s="225"/>
      <c r="QSD122" s="225"/>
      <c r="QSE122" s="225"/>
      <c r="QSF122" s="225"/>
      <c r="QSG122" s="225"/>
      <c r="QSH122" s="225"/>
      <c r="QSI122" s="225"/>
      <c r="QSJ122" s="225"/>
      <c r="QSK122" s="225"/>
      <c r="QSL122" s="225"/>
      <c r="QSM122" s="225"/>
      <c r="QSN122" s="225"/>
      <c r="QSO122" s="225"/>
      <c r="QSP122" s="225"/>
      <c r="QSQ122" s="225"/>
      <c r="QSR122" s="225"/>
      <c r="QSS122" s="225"/>
      <c r="QST122" s="225"/>
      <c r="QSU122" s="225"/>
      <c r="QSV122" s="225"/>
      <c r="QSW122" s="225"/>
      <c r="QSX122" s="225"/>
      <c r="QSY122" s="225"/>
      <c r="QSZ122" s="225"/>
      <c r="QTA122" s="225"/>
      <c r="QTB122" s="225"/>
      <c r="QTC122" s="225"/>
      <c r="QTD122" s="225"/>
      <c r="QTE122" s="225"/>
      <c r="QTF122" s="225"/>
      <c r="QTG122" s="225"/>
      <c r="QTH122" s="225"/>
      <c r="QTI122" s="225"/>
      <c r="QTJ122" s="225"/>
      <c r="QTK122" s="225"/>
      <c r="QTL122" s="225"/>
      <c r="QTM122" s="225"/>
      <c r="QTN122" s="225"/>
      <c r="QTO122" s="225"/>
      <c r="QTP122" s="225"/>
      <c r="QTQ122" s="225"/>
      <c r="QTR122" s="225"/>
      <c r="QTS122" s="225"/>
      <c r="QTT122" s="225"/>
      <c r="QTU122" s="225"/>
      <c r="QTV122" s="225"/>
      <c r="QTW122" s="225"/>
      <c r="QTX122" s="225"/>
      <c r="QTY122" s="225"/>
      <c r="QTZ122" s="225"/>
      <c r="QUA122" s="225"/>
      <c r="QUB122" s="225"/>
      <c r="QUC122" s="225"/>
      <c r="QUD122" s="225"/>
      <c r="QUE122" s="225"/>
      <c r="QUF122" s="225"/>
      <c r="QUG122" s="225"/>
      <c r="QUH122" s="225"/>
      <c r="QUI122" s="225"/>
      <c r="QUJ122" s="225"/>
      <c r="QUK122" s="225"/>
      <c r="QUL122" s="225"/>
      <c r="QUM122" s="225"/>
      <c r="QUN122" s="225"/>
      <c r="QUO122" s="225"/>
      <c r="QUP122" s="225"/>
      <c r="QUQ122" s="225"/>
      <c r="QUR122" s="225"/>
      <c r="QUS122" s="225"/>
      <c r="QUT122" s="225"/>
      <c r="QUU122" s="225"/>
      <c r="QUV122" s="225"/>
      <c r="QUW122" s="225"/>
      <c r="QUX122" s="225"/>
      <c r="QUY122" s="225"/>
      <c r="QUZ122" s="225"/>
      <c r="QVA122" s="225"/>
      <c r="QVB122" s="225"/>
      <c r="QVC122" s="225"/>
      <c r="QVD122" s="225"/>
      <c r="QVE122" s="225"/>
      <c r="QVF122" s="225"/>
      <c r="QVG122" s="225"/>
      <c r="QVH122" s="225"/>
      <c r="QVI122" s="225"/>
      <c r="QVJ122" s="225"/>
      <c r="QVK122" s="225"/>
      <c r="QVL122" s="225"/>
      <c r="QVM122" s="225"/>
      <c r="QVN122" s="225"/>
      <c r="QVO122" s="225"/>
      <c r="QVP122" s="225"/>
      <c r="QVQ122" s="225"/>
      <c r="QVR122" s="225"/>
      <c r="QVS122" s="225"/>
      <c r="QVT122" s="225"/>
      <c r="QVU122" s="225"/>
      <c r="QVV122" s="225"/>
      <c r="QVW122" s="225"/>
      <c r="QVX122" s="225"/>
      <c r="QVY122" s="225"/>
      <c r="QVZ122" s="225"/>
      <c r="QWA122" s="225"/>
      <c r="QWB122" s="225"/>
      <c r="QWC122" s="225"/>
      <c r="QWD122" s="225"/>
      <c r="QWE122" s="225"/>
      <c r="QWF122" s="225"/>
      <c r="QWG122" s="225"/>
      <c r="QWH122" s="225"/>
      <c r="QWI122" s="225"/>
      <c r="QWJ122" s="225"/>
      <c r="QWK122" s="225"/>
      <c r="QWL122" s="225"/>
      <c r="QWM122" s="225"/>
      <c r="QWN122" s="225"/>
      <c r="QWO122" s="225"/>
      <c r="QWP122" s="225"/>
      <c r="QWQ122" s="225"/>
      <c r="QWR122" s="225"/>
      <c r="QWS122" s="225"/>
      <c r="QWT122" s="225"/>
      <c r="QWU122" s="225"/>
      <c r="QWV122" s="225"/>
      <c r="QWW122" s="225"/>
      <c r="QWX122" s="225"/>
      <c r="QWY122" s="225"/>
      <c r="QWZ122" s="225"/>
      <c r="QXA122" s="225"/>
      <c r="QXB122" s="225"/>
      <c r="QXC122" s="225"/>
      <c r="QXD122" s="225"/>
      <c r="QXE122" s="225"/>
      <c r="QXF122" s="225"/>
      <c r="QXG122" s="225"/>
      <c r="QXH122" s="225"/>
      <c r="QXI122" s="225"/>
      <c r="QXJ122" s="225"/>
      <c r="QXK122" s="225"/>
      <c r="QXL122" s="225"/>
      <c r="QXM122" s="225"/>
      <c r="QXN122" s="225"/>
      <c r="QXO122" s="225"/>
      <c r="QXP122" s="225"/>
      <c r="QXQ122" s="225"/>
      <c r="QXR122" s="225"/>
      <c r="QXS122" s="225"/>
      <c r="QXT122" s="225"/>
      <c r="QXU122" s="225"/>
      <c r="QXV122" s="225"/>
      <c r="QXW122" s="225"/>
      <c r="QXX122" s="225"/>
      <c r="QXY122" s="225"/>
      <c r="QXZ122" s="225"/>
      <c r="QYA122" s="225"/>
      <c r="QYB122" s="225"/>
      <c r="QYC122" s="225"/>
      <c r="QYD122" s="225"/>
      <c r="QYE122" s="225"/>
      <c r="QYF122" s="225"/>
      <c r="QYG122" s="225"/>
      <c r="QYH122" s="225"/>
      <c r="QYI122" s="225"/>
      <c r="QYJ122" s="225"/>
      <c r="QYK122" s="225"/>
      <c r="QYL122" s="225"/>
      <c r="QYM122" s="225"/>
      <c r="QYN122" s="225"/>
      <c r="QYO122" s="225"/>
      <c r="QYP122" s="225"/>
      <c r="QYQ122" s="225"/>
      <c r="QYR122" s="225"/>
      <c r="QYS122" s="225"/>
      <c r="QYT122" s="225"/>
      <c r="QYU122" s="225"/>
      <c r="QYV122" s="225"/>
      <c r="QYW122" s="225"/>
      <c r="QYX122" s="225"/>
      <c r="QYY122" s="225"/>
      <c r="QYZ122" s="225"/>
      <c r="QZA122" s="225"/>
      <c r="QZB122" s="225"/>
      <c r="QZC122" s="225"/>
      <c r="QZD122" s="225"/>
      <c r="QZE122" s="225"/>
      <c r="QZF122" s="225"/>
      <c r="QZG122" s="225"/>
      <c r="QZH122" s="225"/>
      <c r="QZI122" s="225"/>
      <c r="QZJ122" s="225"/>
      <c r="QZK122" s="225"/>
      <c r="QZL122" s="225"/>
      <c r="QZM122" s="225"/>
      <c r="QZN122" s="225"/>
      <c r="QZO122" s="225"/>
      <c r="QZP122" s="225"/>
      <c r="QZQ122" s="225"/>
      <c r="QZR122" s="225"/>
      <c r="QZS122" s="225"/>
      <c r="QZT122" s="225"/>
      <c r="QZU122" s="225"/>
      <c r="QZV122" s="225"/>
      <c r="QZW122" s="225"/>
      <c r="QZX122" s="225"/>
      <c r="QZY122" s="225"/>
      <c r="QZZ122" s="225"/>
      <c r="RAA122" s="225"/>
      <c r="RAB122" s="225"/>
      <c r="RAC122" s="225"/>
      <c r="RAD122" s="225"/>
      <c r="RAE122" s="225"/>
      <c r="RAF122" s="225"/>
      <c r="RAG122" s="225"/>
      <c r="RAH122" s="225"/>
      <c r="RAI122" s="225"/>
      <c r="RAJ122" s="225"/>
      <c r="RAK122" s="225"/>
      <c r="RAL122" s="225"/>
      <c r="RAM122" s="225"/>
      <c r="RAN122" s="225"/>
      <c r="RAO122" s="225"/>
      <c r="RAP122" s="225"/>
      <c r="RAQ122" s="225"/>
      <c r="RAR122" s="225"/>
      <c r="RAS122" s="225"/>
      <c r="RAT122" s="225"/>
      <c r="RAU122" s="225"/>
      <c r="RAV122" s="225"/>
      <c r="RAW122" s="225"/>
      <c r="RAX122" s="225"/>
      <c r="RAY122" s="225"/>
      <c r="RAZ122" s="225"/>
      <c r="RBA122" s="225"/>
      <c r="RBB122" s="225"/>
      <c r="RBC122" s="225"/>
      <c r="RBD122" s="225"/>
      <c r="RBE122" s="225"/>
      <c r="RBF122" s="225"/>
      <c r="RBG122" s="225"/>
      <c r="RBH122" s="225"/>
      <c r="RBI122" s="225"/>
      <c r="RBJ122" s="225"/>
      <c r="RBK122" s="225"/>
      <c r="RBL122" s="225"/>
      <c r="RBM122" s="225"/>
      <c r="RBN122" s="225"/>
      <c r="RBO122" s="225"/>
      <c r="RBP122" s="225"/>
      <c r="RBQ122" s="225"/>
      <c r="RBR122" s="225"/>
      <c r="RBS122" s="225"/>
      <c r="RBT122" s="225"/>
      <c r="RBU122" s="225"/>
      <c r="RBV122" s="225"/>
      <c r="RBW122" s="225"/>
      <c r="RBX122" s="225"/>
      <c r="RBY122" s="225"/>
      <c r="RBZ122" s="225"/>
      <c r="RCA122" s="225"/>
      <c r="RCB122" s="225"/>
      <c r="RCC122" s="225"/>
      <c r="RCD122" s="225"/>
      <c r="RCE122" s="225"/>
      <c r="RCF122" s="225"/>
      <c r="RCG122" s="225"/>
      <c r="RCH122" s="225"/>
      <c r="RCI122" s="225"/>
      <c r="RCJ122" s="225"/>
      <c r="RCK122" s="225"/>
      <c r="RCL122" s="225"/>
      <c r="RCM122" s="225"/>
      <c r="RCN122" s="225"/>
      <c r="RCO122" s="225"/>
      <c r="RCP122" s="225"/>
      <c r="RCQ122" s="225"/>
      <c r="RCR122" s="225"/>
      <c r="RCS122" s="225"/>
      <c r="RCT122" s="225"/>
      <c r="RCU122" s="225"/>
      <c r="RCV122" s="225"/>
      <c r="RCW122" s="225"/>
      <c r="RCX122" s="225"/>
      <c r="RCY122" s="225"/>
      <c r="RCZ122" s="225"/>
      <c r="RDA122" s="225"/>
      <c r="RDB122" s="225"/>
      <c r="RDC122" s="225"/>
      <c r="RDD122" s="225"/>
      <c r="RDE122" s="225"/>
      <c r="RDF122" s="225"/>
      <c r="RDG122" s="225"/>
      <c r="RDH122" s="225"/>
      <c r="RDI122" s="225"/>
      <c r="RDJ122" s="225"/>
      <c r="RDK122" s="225"/>
      <c r="RDL122" s="225"/>
      <c r="RDM122" s="225"/>
      <c r="RDN122" s="225"/>
      <c r="RDO122" s="225"/>
      <c r="RDP122" s="225"/>
      <c r="RDQ122" s="225"/>
      <c r="RDR122" s="225"/>
      <c r="RDS122" s="225"/>
      <c r="RDT122" s="225"/>
      <c r="RDU122" s="225"/>
      <c r="RDV122" s="225"/>
      <c r="RDW122" s="225"/>
      <c r="RDX122" s="225"/>
      <c r="RDY122" s="225"/>
      <c r="RDZ122" s="225"/>
      <c r="REA122" s="225"/>
      <c r="REB122" s="225"/>
      <c r="REC122" s="225"/>
      <c r="RED122" s="225"/>
      <c r="REE122" s="225"/>
      <c r="REF122" s="225"/>
      <c r="REG122" s="225"/>
      <c r="REH122" s="225"/>
      <c r="REI122" s="225"/>
      <c r="REJ122" s="225"/>
      <c r="REK122" s="225"/>
      <c r="REL122" s="225"/>
      <c r="REM122" s="225"/>
      <c r="REN122" s="225"/>
      <c r="REO122" s="225"/>
      <c r="REP122" s="225"/>
      <c r="REQ122" s="225"/>
      <c r="RER122" s="225"/>
      <c r="RES122" s="225"/>
      <c r="RET122" s="225"/>
      <c r="REU122" s="225"/>
      <c r="REV122" s="225"/>
      <c r="REW122" s="225"/>
      <c r="REX122" s="225"/>
      <c r="REY122" s="225"/>
      <c r="REZ122" s="225"/>
      <c r="RFA122" s="225"/>
      <c r="RFB122" s="225"/>
      <c r="RFC122" s="225"/>
      <c r="RFD122" s="225"/>
      <c r="RFE122" s="225"/>
      <c r="RFF122" s="225"/>
      <c r="RFG122" s="225"/>
      <c r="RFH122" s="225"/>
      <c r="RFI122" s="225"/>
      <c r="RFJ122" s="225"/>
      <c r="RFK122" s="225"/>
      <c r="RFL122" s="225"/>
      <c r="RFM122" s="225"/>
      <c r="RFN122" s="225"/>
      <c r="RFO122" s="225"/>
      <c r="RFP122" s="225"/>
      <c r="RFQ122" s="225"/>
      <c r="RFR122" s="225"/>
      <c r="RFS122" s="225"/>
      <c r="RFT122" s="225"/>
      <c r="RFU122" s="225"/>
      <c r="RFV122" s="225"/>
      <c r="RFW122" s="225"/>
      <c r="RFX122" s="225"/>
      <c r="RFY122" s="225"/>
      <c r="RFZ122" s="225"/>
      <c r="RGA122" s="225"/>
      <c r="RGB122" s="225"/>
      <c r="RGC122" s="225"/>
      <c r="RGD122" s="225"/>
      <c r="RGE122" s="225"/>
      <c r="RGF122" s="225"/>
      <c r="RGG122" s="225"/>
      <c r="RGH122" s="225"/>
      <c r="RGI122" s="225"/>
      <c r="RGJ122" s="225"/>
      <c r="RGK122" s="225"/>
      <c r="RGL122" s="225"/>
      <c r="RGM122" s="225"/>
      <c r="RGN122" s="225"/>
      <c r="RGO122" s="225"/>
      <c r="RGP122" s="225"/>
      <c r="RGQ122" s="225"/>
      <c r="RGR122" s="225"/>
      <c r="RGS122" s="225"/>
      <c r="RGT122" s="225"/>
      <c r="RGU122" s="225"/>
      <c r="RGV122" s="225"/>
      <c r="RGW122" s="225"/>
      <c r="RGX122" s="225"/>
      <c r="RGY122" s="225"/>
      <c r="RGZ122" s="225"/>
      <c r="RHA122" s="225"/>
      <c r="RHB122" s="225"/>
      <c r="RHC122" s="225"/>
      <c r="RHD122" s="225"/>
      <c r="RHE122" s="225"/>
      <c r="RHF122" s="225"/>
      <c r="RHG122" s="225"/>
      <c r="RHH122" s="225"/>
      <c r="RHI122" s="225"/>
      <c r="RHJ122" s="225"/>
      <c r="RHK122" s="225"/>
      <c r="RHL122" s="225"/>
      <c r="RHM122" s="225"/>
      <c r="RHN122" s="225"/>
      <c r="RHO122" s="225"/>
      <c r="RHP122" s="225"/>
      <c r="RHQ122" s="225"/>
      <c r="RHR122" s="225"/>
      <c r="RHS122" s="225"/>
      <c r="RHT122" s="225"/>
      <c r="RHU122" s="225"/>
      <c r="RHV122" s="225"/>
      <c r="RHW122" s="225"/>
      <c r="RHX122" s="225"/>
      <c r="RHY122" s="225"/>
      <c r="RHZ122" s="225"/>
      <c r="RIA122" s="225"/>
      <c r="RIB122" s="225"/>
      <c r="RIC122" s="225"/>
      <c r="RID122" s="225"/>
      <c r="RIE122" s="225"/>
      <c r="RIF122" s="225"/>
      <c r="RIG122" s="225"/>
      <c r="RIH122" s="225"/>
      <c r="RII122" s="225"/>
      <c r="RIJ122" s="225"/>
      <c r="RIK122" s="225"/>
      <c r="RIL122" s="225"/>
      <c r="RIM122" s="225"/>
      <c r="RIN122" s="225"/>
      <c r="RIO122" s="225"/>
      <c r="RIP122" s="225"/>
      <c r="RIQ122" s="225"/>
      <c r="RIR122" s="225"/>
      <c r="RIS122" s="225"/>
      <c r="RIT122" s="225"/>
      <c r="RIU122" s="225"/>
      <c r="RIV122" s="225"/>
      <c r="RIW122" s="225"/>
      <c r="RIX122" s="225"/>
      <c r="RIY122" s="225"/>
      <c r="RIZ122" s="225"/>
      <c r="RJA122" s="225"/>
      <c r="RJB122" s="225"/>
      <c r="RJC122" s="225"/>
      <c r="RJD122" s="225"/>
      <c r="RJE122" s="225"/>
      <c r="RJF122" s="225"/>
      <c r="RJG122" s="225"/>
      <c r="RJH122" s="225"/>
      <c r="RJI122" s="225"/>
      <c r="RJJ122" s="225"/>
      <c r="RJK122" s="225"/>
      <c r="RJL122" s="225"/>
      <c r="RJM122" s="225"/>
      <c r="RJN122" s="225"/>
      <c r="RJO122" s="225"/>
      <c r="RJP122" s="225"/>
      <c r="RJQ122" s="225"/>
      <c r="RJR122" s="225"/>
      <c r="RJS122" s="225"/>
      <c r="RJT122" s="225"/>
      <c r="RJU122" s="225"/>
      <c r="RJV122" s="225"/>
      <c r="RJW122" s="225"/>
      <c r="RJX122" s="225"/>
      <c r="RJY122" s="225"/>
      <c r="RJZ122" s="225"/>
      <c r="RKA122" s="225"/>
      <c r="RKB122" s="225"/>
      <c r="RKC122" s="225"/>
      <c r="RKD122" s="225"/>
      <c r="RKE122" s="225"/>
      <c r="RKF122" s="225"/>
      <c r="RKG122" s="225"/>
      <c r="RKH122" s="225"/>
      <c r="RKI122" s="225"/>
      <c r="RKJ122" s="225"/>
      <c r="RKK122" s="225"/>
      <c r="RKL122" s="225"/>
      <c r="RKM122" s="225"/>
      <c r="RKN122" s="225"/>
      <c r="RKO122" s="225"/>
      <c r="RKP122" s="225"/>
      <c r="RKQ122" s="225"/>
      <c r="RKR122" s="225"/>
      <c r="RKS122" s="225"/>
      <c r="RKT122" s="225"/>
      <c r="RKU122" s="225"/>
      <c r="RKV122" s="225"/>
      <c r="RKW122" s="225"/>
      <c r="RKX122" s="225"/>
      <c r="RKY122" s="225"/>
      <c r="RKZ122" s="225"/>
      <c r="RLA122" s="225"/>
      <c r="RLB122" s="225"/>
      <c r="RLC122" s="225"/>
      <c r="RLD122" s="225"/>
      <c r="RLE122" s="225"/>
      <c r="RLF122" s="225"/>
      <c r="RLG122" s="225"/>
      <c r="RLH122" s="225"/>
      <c r="RLI122" s="225"/>
      <c r="RLJ122" s="225"/>
      <c r="RLK122" s="225"/>
      <c r="RLL122" s="225"/>
      <c r="RLM122" s="225"/>
      <c r="RLN122" s="225"/>
      <c r="RLO122" s="225"/>
      <c r="RLP122" s="225"/>
      <c r="RLQ122" s="225"/>
      <c r="RLR122" s="225"/>
      <c r="RLS122" s="225"/>
      <c r="RLT122" s="225"/>
      <c r="RLU122" s="225"/>
      <c r="RLV122" s="225"/>
      <c r="RLW122" s="225"/>
      <c r="RLX122" s="225"/>
      <c r="RLY122" s="225"/>
      <c r="RLZ122" s="225"/>
      <c r="RMA122" s="225"/>
      <c r="RMB122" s="225"/>
      <c r="RMC122" s="225"/>
      <c r="RMD122" s="225"/>
      <c r="RME122" s="225"/>
      <c r="RMF122" s="225"/>
      <c r="RMG122" s="225"/>
      <c r="RMH122" s="225"/>
      <c r="RMI122" s="225"/>
      <c r="RMJ122" s="225"/>
      <c r="RMK122" s="225"/>
      <c r="RML122" s="225"/>
      <c r="RMM122" s="225"/>
      <c r="RMN122" s="225"/>
      <c r="RMO122" s="225"/>
      <c r="RMP122" s="225"/>
      <c r="RMQ122" s="225"/>
      <c r="RMR122" s="225"/>
      <c r="RMS122" s="225"/>
      <c r="RMT122" s="225"/>
      <c r="RMU122" s="225"/>
      <c r="RMV122" s="225"/>
      <c r="RMW122" s="225"/>
      <c r="RMX122" s="225"/>
      <c r="RMY122" s="225"/>
      <c r="RMZ122" s="225"/>
      <c r="RNA122" s="225"/>
      <c r="RNB122" s="225"/>
      <c r="RNC122" s="225"/>
      <c r="RND122" s="225"/>
      <c r="RNE122" s="225"/>
      <c r="RNF122" s="225"/>
      <c r="RNG122" s="225"/>
      <c r="RNH122" s="225"/>
      <c r="RNI122" s="225"/>
      <c r="RNJ122" s="225"/>
      <c r="RNK122" s="225"/>
      <c r="RNL122" s="225"/>
      <c r="RNM122" s="225"/>
      <c r="RNN122" s="225"/>
      <c r="RNO122" s="225"/>
      <c r="RNP122" s="225"/>
      <c r="RNQ122" s="225"/>
      <c r="RNR122" s="225"/>
      <c r="RNS122" s="225"/>
      <c r="RNT122" s="225"/>
      <c r="RNU122" s="225"/>
      <c r="RNV122" s="225"/>
      <c r="RNW122" s="225"/>
      <c r="RNX122" s="225"/>
      <c r="RNY122" s="225"/>
      <c r="RNZ122" s="225"/>
      <c r="ROA122" s="225"/>
      <c r="ROB122" s="225"/>
      <c r="ROC122" s="225"/>
      <c r="ROD122" s="225"/>
      <c r="ROE122" s="225"/>
      <c r="ROF122" s="225"/>
      <c r="ROG122" s="225"/>
      <c r="ROH122" s="225"/>
      <c r="ROI122" s="225"/>
      <c r="ROJ122" s="225"/>
      <c r="ROK122" s="225"/>
      <c r="ROL122" s="225"/>
      <c r="ROM122" s="225"/>
      <c r="RON122" s="225"/>
      <c r="ROO122" s="225"/>
      <c r="ROP122" s="225"/>
      <c r="ROQ122" s="225"/>
      <c r="ROR122" s="225"/>
      <c r="ROS122" s="225"/>
      <c r="ROT122" s="225"/>
      <c r="ROU122" s="225"/>
      <c r="ROV122" s="225"/>
      <c r="ROW122" s="225"/>
      <c r="ROX122" s="225"/>
      <c r="ROY122" s="225"/>
      <c r="ROZ122" s="225"/>
      <c r="RPA122" s="225"/>
      <c r="RPB122" s="225"/>
      <c r="RPC122" s="225"/>
      <c r="RPD122" s="225"/>
      <c r="RPE122" s="225"/>
      <c r="RPF122" s="225"/>
      <c r="RPG122" s="225"/>
      <c r="RPH122" s="225"/>
      <c r="RPI122" s="225"/>
      <c r="RPJ122" s="225"/>
      <c r="RPK122" s="225"/>
      <c r="RPL122" s="225"/>
      <c r="RPM122" s="225"/>
      <c r="RPN122" s="225"/>
      <c r="RPO122" s="225"/>
      <c r="RPP122" s="225"/>
      <c r="RPQ122" s="225"/>
      <c r="RPR122" s="225"/>
      <c r="RPS122" s="225"/>
      <c r="RPT122" s="225"/>
      <c r="RPU122" s="225"/>
      <c r="RPV122" s="225"/>
      <c r="RPW122" s="225"/>
      <c r="RPX122" s="225"/>
      <c r="RPY122" s="225"/>
      <c r="RPZ122" s="225"/>
      <c r="RQA122" s="225"/>
      <c r="RQB122" s="225"/>
      <c r="RQC122" s="225"/>
      <c r="RQD122" s="225"/>
      <c r="RQE122" s="225"/>
      <c r="RQF122" s="225"/>
      <c r="RQG122" s="225"/>
      <c r="RQH122" s="225"/>
      <c r="RQI122" s="225"/>
      <c r="RQJ122" s="225"/>
      <c r="RQK122" s="225"/>
      <c r="RQL122" s="225"/>
      <c r="RQM122" s="225"/>
      <c r="RQN122" s="225"/>
      <c r="RQO122" s="225"/>
      <c r="RQP122" s="225"/>
      <c r="RQQ122" s="225"/>
      <c r="RQR122" s="225"/>
      <c r="RQS122" s="225"/>
      <c r="RQT122" s="225"/>
      <c r="RQU122" s="225"/>
      <c r="RQV122" s="225"/>
      <c r="RQW122" s="225"/>
      <c r="RQX122" s="225"/>
      <c r="RQY122" s="225"/>
      <c r="RQZ122" s="225"/>
      <c r="RRA122" s="225"/>
      <c r="RRB122" s="225"/>
      <c r="RRC122" s="225"/>
      <c r="RRD122" s="225"/>
      <c r="RRE122" s="225"/>
      <c r="RRF122" s="225"/>
      <c r="RRG122" s="225"/>
      <c r="RRH122" s="225"/>
      <c r="RRI122" s="225"/>
      <c r="RRJ122" s="225"/>
      <c r="RRK122" s="225"/>
      <c r="RRL122" s="225"/>
      <c r="RRM122" s="225"/>
      <c r="RRN122" s="225"/>
      <c r="RRO122" s="225"/>
      <c r="RRP122" s="225"/>
      <c r="RRQ122" s="225"/>
      <c r="RRR122" s="225"/>
      <c r="RRS122" s="225"/>
      <c r="RRT122" s="225"/>
      <c r="RRU122" s="225"/>
      <c r="RRV122" s="225"/>
      <c r="RRW122" s="225"/>
      <c r="RRX122" s="225"/>
      <c r="RRY122" s="225"/>
      <c r="RRZ122" s="225"/>
      <c r="RSA122" s="225"/>
      <c r="RSB122" s="225"/>
      <c r="RSC122" s="225"/>
      <c r="RSD122" s="225"/>
      <c r="RSE122" s="225"/>
      <c r="RSF122" s="225"/>
      <c r="RSG122" s="225"/>
      <c r="RSH122" s="225"/>
      <c r="RSI122" s="225"/>
      <c r="RSJ122" s="225"/>
      <c r="RSK122" s="225"/>
      <c r="RSL122" s="225"/>
      <c r="RSM122" s="225"/>
      <c r="RSN122" s="225"/>
      <c r="RSO122" s="225"/>
      <c r="RSP122" s="225"/>
      <c r="RSQ122" s="225"/>
      <c r="RSR122" s="225"/>
      <c r="RSS122" s="225"/>
      <c r="RST122" s="225"/>
      <c r="RSU122" s="225"/>
      <c r="RSV122" s="225"/>
      <c r="RSW122" s="225"/>
      <c r="RSX122" s="225"/>
      <c r="RSY122" s="225"/>
      <c r="RSZ122" s="225"/>
      <c r="RTA122" s="225"/>
      <c r="RTB122" s="225"/>
      <c r="RTC122" s="225"/>
      <c r="RTD122" s="225"/>
      <c r="RTE122" s="225"/>
      <c r="RTF122" s="225"/>
      <c r="RTG122" s="225"/>
      <c r="RTH122" s="225"/>
      <c r="RTI122" s="225"/>
      <c r="RTJ122" s="225"/>
      <c r="RTK122" s="225"/>
      <c r="RTL122" s="225"/>
      <c r="RTM122" s="225"/>
      <c r="RTN122" s="225"/>
      <c r="RTO122" s="225"/>
      <c r="RTP122" s="225"/>
      <c r="RTQ122" s="225"/>
      <c r="RTR122" s="225"/>
      <c r="RTS122" s="225"/>
      <c r="RTT122" s="225"/>
      <c r="RTU122" s="225"/>
      <c r="RTV122" s="225"/>
      <c r="RTW122" s="225"/>
      <c r="RTX122" s="225"/>
      <c r="RTY122" s="225"/>
      <c r="RTZ122" s="225"/>
      <c r="RUA122" s="225"/>
      <c r="RUB122" s="225"/>
      <c r="RUC122" s="225"/>
      <c r="RUD122" s="225"/>
      <c r="RUE122" s="225"/>
      <c r="RUF122" s="225"/>
      <c r="RUG122" s="225"/>
      <c r="RUH122" s="225"/>
      <c r="RUI122" s="225"/>
      <c r="RUJ122" s="225"/>
      <c r="RUK122" s="225"/>
      <c r="RUL122" s="225"/>
      <c r="RUM122" s="225"/>
      <c r="RUN122" s="225"/>
      <c r="RUO122" s="225"/>
      <c r="RUP122" s="225"/>
      <c r="RUQ122" s="225"/>
      <c r="RUR122" s="225"/>
      <c r="RUS122" s="225"/>
      <c r="RUT122" s="225"/>
      <c r="RUU122" s="225"/>
      <c r="RUV122" s="225"/>
      <c r="RUW122" s="225"/>
      <c r="RUX122" s="225"/>
      <c r="RUY122" s="225"/>
      <c r="RUZ122" s="225"/>
      <c r="RVA122" s="225"/>
      <c r="RVB122" s="225"/>
      <c r="RVC122" s="225"/>
      <c r="RVD122" s="225"/>
      <c r="RVE122" s="225"/>
      <c r="RVF122" s="225"/>
      <c r="RVG122" s="225"/>
      <c r="RVH122" s="225"/>
      <c r="RVI122" s="225"/>
      <c r="RVJ122" s="225"/>
      <c r="RVK122" s="225"/>
      <c r="RVL122" s="225"/>
      <c r="RVM122" s="225"/>
      <c r="RVN122" s="225"/>
      <c r="RVO122" s="225"/>
      <c r="RVP122" s="225"/>
      <c r="RVQ122" s="225"/>
      <c r="RVR122" s="225"/>
      <c r="RVS122" s="225"/>
      <c r="RVT122" s="225"/>
      <c r="RVU122" s="225"/>
      <c r="RVV122" s="225"/>
      <c r="RVW122" s="225"/>
      <c r="RVX122" s="225"/>
      <c r="RVY122" s="225"/>
      <c r="RVZ122" s="225"/>
      <c r="RWA122" s="225"/>
      <c r="RWB122" s="225"/>
      <c r="RWC122" s="225"/>
      <c r="RWD122" s="225"/>
      <c r="RWE122" s="225"/>
      <c r="RWF122" s="225"/>
      <c r="RWG122" s="225"/>
      <c r="RWH122" s="225"/>
      <c r="RWI122" s="225"/>
      <c r="RWJ122" s="225"/>
      <c r="RWK122" s="225"/>
      <c r="RWL122" s="225"/>
      <c r="RWM122" s="225"/>
      <c r="RWN122" s="225"/>
      <c r="RWO122" s="225"/>
      <c r="RWP122" s="225"/>
      <c r="RWQ122" s="225"/>
      <c r="RWR122" s="225"/>
      <c r="RWS122" s="225"/>
      <c r="RWT122" s="225"/>
      <c r="RWU122" s="225"/>
      <c r="RWV122" s="225"/>
      <c r="RWW122" s="225"/>
      <c r="RWX122" s="225"/>
      <c r="RWY122" s="225"/>
      <c r="RWZ122" s="225"/>
      <c r="RXA122" s="225"/>
      <c r="RXB122" s="225"/>
      <c r="RXC122" s="225"/>
      <c r="RXD122" s="225"/>
      <c r="RXE122" s="225"/>
      <c r="RXF122" s="225"/>
      <c r="RXG122" s="225"/>
      <c r="RXH122" s="225"/>
      <c r="RXI122" s="225"/>
      <c r="RXJ122" s="225"/>
      <c r="RXK122" s="225"/>
      <c r="RXL122" s="225"/>
      <c r="RXM122" s="225"/>
      <c r="RXN122" s="225"/>
      <c r="RXO122" s="225"/>
      <c r="RXP122" s="225"/>
      <c r="RXQ122" s="225"/>
      <c r="RXR122" s="225"/>
      <c r="RXS122" s="225"/>
      <c r="RXT122" s="225"/>
      <c r="RXU122" s="225"/>
      <c r="RXV122" s="225"/>
      <c r="RXW122" s="225"/>
      <c r="RXX122" s="225"/>
      <c r="RXY122" s="225"/>
      <c r="RXZ122" s="225"/>
      <c r="RYA122" s="225"/>
      <c r="RYB122" s="225"/>
      <c r="RYC122" s="225"/>
      <c r="RYD122" s="225"/>
      <c r="RYE122" s="225"/>
      <c r="RYF122" s="225"/>
      <c r="RYG122" s="225"/>
      <c r="RYH122" s="225"/>
      <c r="RYI122" s="225"/>
      <c r="RYJ122" s="225"/>
      <c r="RYK122" s="225"/>
      <c r="RYL122" s="225"/>
      <c r="RYM122" s="225"/>
      <c r="RYN122" s="225"/>
      <c r="RYO122" s="225"/>
      <c r="RYP122" s="225"/>
      <c r="RYQ122" s="225"/>
      <c r="RYR122" s="225"/>
      <c r="RYS122" s="225"/>
      <c r="RYT122" s="225"/>
      <c r="RYU122" s="225"/>
      <c r="RYV122" s="225"/>
      <c r="RYW122" s="225"/>
      <c r="RYX122" s="225"/>
      <c r="RYY122" s="225"/>
      <c r="RYZ122" s="225"/>
      <c r="RZA122" s="225"/>
      <c r="RZB122" s="225"/>
      <c r="RZC122" s="225"/>
      <c r="RZD122" s="225"/>
      <c r="RZE122" s="225"/>
      <c r="RZF122" s="225"/>
      <c r="RZG122" s="225"/>
      <c r="RZH122" s="225"/>
      <c r="RZI122" s="225"/>
      <c r="RZJ122" s="225"/>
      <c r="RZK122" s="225"/>
      <c r="RZL122" s="225"/>
      <c r="RZM122" s="225"/>
      <c r="RZN122" s="225"/>
      <c r="RZO122" s="225"/>
      <c r="RZP122" s="225"/>
      <c r="RZQ122" s="225"/>
      <c r="RZR122" s="225"/>
      <c r="RZS122" s="225"/>
      <c r="RZT122" s="225"/>
      <c r="RZU122" s="225"/>
      <c r="RZV122" s="225"/>
      <c r="RZW122" s="225"/>
      <c r="RZX122" s="225"/>
      <c r="RZY122" s="225"/>
      <c r="RZZ122" s="225"/>
      <c r="SAA122" s="225"/>
      <c r="SAB122" s="225"/>
      <c r="SAC122" s="225"/>
      <c r="SAD122" s="225"/>
      <c r="SAE122" s="225"/>
      <c r="SAF122" s="225"/>
      <c r="SAG122" s="225"/>
      <c r="SAH122" s="225"/>
      <c r="SAI122" s="225"/>
      <c r="SAJ122" s="225"/>
      <c r="SAK122" s="225"/>
      <c r="SAL122" s="225"/>
      <c r="SAM122" s="225"/>
      <c r="SAN122" s="225"/>
      <c r="SAO122" s="225"/>
      <c r="SAP122" s="225"/>
      <c r="SAQ122" s="225"/>
      <c r="SAR122" s="225"/>
      <c r="SAS122" s="225"/>
      <c r="SAT122" s="225"/>
      <c r="SAU122" s="225"/>
      <c r="SAV122" s="225"/>
      <c r="SAW122" s="225"/>
      <c r="SAX122" s="225"/>
      <c r="SAY122" s="225"/>
      <c r="SAZ122" s="225"/>
      <c r="SBA122" s="225"/>
      <c r="SBB122" s="225"/>
      <c r="SBC122" s="225"/>
      <c r="SBD122" s="225"/>
      <c r="SBE122" s="225"/>
      <c r="SBF122" s="225"/>
      <c r="SBG122" s="225"/>
      <c r="SBH122" s="225"/>
      <c r="SBI122" s="225"/>
      <c r="SBJ122" s="225"/>
      <c r="SBK122" s="225"/>
      <c r="SBL122" s="225"/>
      <c r="SBM122" s="225"/>
      <c r="SBN122" s="225"/>
      <c r="SBO122" s="225"/>
      <c r="SBP122" s="225"/>
      <c r="SBQ122" s="225"/>
      <c r="SBR122" s="225"/>
      <c r="SBS122" s="225"/>
      <c r="SBT122" s="225"/>
      <c r="SBU122" s="225"/>
      <c r="SBV122" s="225"/>
      <c r="SBW122" s="225"/>
      <c r="SBX122" s="225"/>
      <c r="SBY122" s="225"/>
      <c r="SBZ122" s="225"/>
      <c r="SCA122" s="225"/>
      <c r="SCB122" s="225"/>
      <c r="SCC122" s="225"/>
      <c r="SCD122" s="225"/>
      <c r="SCE122" s="225"/>
      <c r="SCF122" s="225"/>
      <c r="SCG122" s="225"/>
      <c r="SCH122" s="225"/>
      <c r="SCI122" s="225"/>
      <c r="SCJ122" s="225"/>
      <c r="SCK122" s="225"/>
      <c r="SCL122" s="225"/>
      <c r="SCM122" s="225"/>
      <c r="SCN122" s="225"/>
      <c r="SCO122" s="225"/>
      <c r="SCP122" s="225"/>
      <c r="SCQ122" s="225"/>
      <c r="SCR122" s="225"/>
      <c r="SCS122" s="225"/>
      <c r="SCT122" s="225"/>
      <c r="SCU122" s="225"/>
      <c r="SCV122" s="225"/>
      <c r="SCW122" s="225"/>
      <c r="SCX122" s="225"/>
      <c r="SCY122" s="225"/>
      <c r="SCZ122" s="225"/>
      <c r="SDA122" s="225"/>
      <c r="SDB122" s="225"/>
      <c r="SDC122" s="225"/>
      <c r="SDD122" s="225"/>
      <c r="SDE122" s="225"/>
      <c r="SDF122" s="225"/>
      <c r="SDG122" s="225"/>
      <c r="SDH122" s="225"/>
      <c r="SDI122" s="225"/>
      <c r="SDJ122" s="225"/>
      <c r="SDK122" s="225"/>
      <c r="SDL122" s="225"/>
      <c r="SDM122" s="225"/>
      <c r="SDN122" s="225"/>
      <c r="SDO122" s="225"/>
      <c r="SDP122" s="225"/>
      <c r="SDQ122" s="225"/>
      <c r="SDR122" s="225"/>
      <c r="SDS122" s="225"/>
      <c r="SDT122" s="225"/>
      <c r="SDU122" s="225"/>
      <c r="SDV122" s="225"/>
      <c r="SDW122" s="225"/>
      <c r="SDX122" s="225"/>
      <c r="SDY122" s="225"/>
      <c r="SDZ122" s="225"/>
      <c r="SEA122" s="225"/>
      <c r="SEB122" s="225"/>
      <c r="SEC122" s="225"/>
      <c r="SED122" s="225"/>
      <c r="SEE122" s="225"/>
      <c r="SEF122" s="225"/>
      <c r="SEG122" s="225"/>
      <c r="SEH122" s="225"/>
      <c r="SEI122" s="225"/>
      <c r="SEJ122" s="225"/>
      <c r="SEK122" s="225"/>
      <c r="SEL122" s="225"/>
      <c r="SEM122" s="225"/>
      <c r="SEN122" s="225"/>
      <c r="SEO122" s="225"/>
      <c r="SEP122" s="225"/>
      <c r="SEQ122" s="225"/>
      <c r="SER122" s="225"/>
      <c r="SES122" s="225"/>
      <c r="SET122" s="225"/>
      <c r="SEU122" s="225"/>
      <c r="SEV122" s="225"/>
      <c r="SEW122" s="225"/>
      <c r="SEX122" s="225"/>
      <c r="SEY122" s="225"/>
      <c r="SEZ122" s="225"/>
      <c r="SFA122" s="225"/>
      <c r="SFB122" s="225"/>
      <c r="SFC122" s="225"/>
      <c r="SFD122" s="225"/>
      <c r="SFE122" s="225"/>
      <c r="SFF122" s="225"/>
      <c r="SFG122" s="225"/>
      <c r="SFH122" s="225"/>
      <c r="SFI122" s="225"/>
      <c r="SFJ122" s="225"/>
      <c r="SFK122" s="225"/>
      <c r="SFL122" s="225"/>
      <c r="SFM122" s="225"/>
      <c r="SFN122" s="225"/>
      <c r="SFO122" s="225"/>
      <c r="SFP122" s="225"/>
      <c r="SFQ122" s="225"/>
      <c r="SFR122" s="225"/>
      <c r="SFS122" s="225"/>
      <c r="SFT122" s="225"/>
      <c r="SFU122" s="225"/>
      <c r="SFV122" s="225"/>
      <c r="SFW122" s="225"/>
      <c r="SFX122" s="225"/>
      <c r="SFY122" s="225"/>
      <c r="SFZ122" s="225"/>
      <c r="SGA122" s="225"/>
      <c r="SGB122" s="225"/>
      <c r="SGC122" s="225"/>
      <c r="SGD122" s="225"/>
      <c r="SGE122" s="225"/>
      <c r="SGF122" s="225"/>
      <c r="SGG122" s="225"/>
      <c r="SGH122" s="225"/>
      <c r="SGI122" s="225"/>
      <c r="SGJ122" s="225"/>
      <c r="SGK122" s="225"/>
      <c r="SGL122" s="225"/>
      <c r="SGM122" s="225"/>
      <c r="SGN122" s="225"/>
      <c r="SGO122" s="225"/>
      <c r="SGP122" s="225"/>
      <c r="SGQ122" s="225"/>
      <c r="SGR122" s="225"/>
      <c r="SGS122" s="225"/>
      <c r="SGT122" s="225"/>
      <c r="SGU122" s="225"/>
      <c r="SGV122" s="225"/>
      <c r="SGW122" s="225"/>
      <c r="SGX122" s="225"/>
      <c r="SGY122" s="225"/>
      <c r="SGZ122" s="225"/>
      <c r="SHA122" s="225"/>
      <c r="SHB122" s="225"/>
      <c r="SHC122" s="225"/>
      <c r="SHD122" s="225"/>
      <c r="SHE122" s="225"/>
      <c r="SHF122" s="225"/>
      <c r="SHG122" s="225"/>
      <c r="SHH122" s="225"/>
      <c r="SHI122" s="225"/>
      <c r="SHJ122" s="225"/>
      <c r="SHK122" s="225"/>
      <c r="SHL122" s="225"/>
      <c r="SHM122" s="225"/>
      <c r="SHN122" s="225"/>
      <c r="SHO122" s="225"/>
      <c r="SHP122" s="225"/>
      <c r="SHQ122" s="225"/>
      <c r="SHR122" s="225"/>
      <c r="SHS122" s="225"/>
      <c r="SHT122" s="225"/>
      <c r="SHU122" s="225"/>
      <c r="SHV122" s="225"/>
      <c r="SHW122" s="225"/>
      <c r="SHX122" s="225"/>
      <c r="SHY122" s="225"/>
      <c r="SHZ122" s="225"/>
      <c r="SIA122" s="225"/>
      <c r="SIB122" s="225"/>
      <c r="SIC122" s="225"/>
      <c r="SID122" s="225"/>
      <c r="SIE122" s="225"/>
      <c r="SIF122" s="225"/>
      <c r="SIG122" s="225"/>
      <c r="SIH122" s="225"/>
      <c r="SII122" s="225"/>
      <c r="SIJ122" s="225"/>
      <c r="SIK122" s="225"/>
      <c r="SIL122" s="225"/>
      <c r="SIM122" s="225"/>
      <c r="SIN122" s="225"/>
      <c r="SIO122" s="225"/>
      <c r="SIP122" s="225"/>
      <c r="SIQ122" s="225"/>
      <c r="SIR122" s="225"/>
      <c r="SIS122" s="225"/>
      <c r="SIT122" s="225"/>
      <c r="SIU122" s="225"/>
      <c r="SIV122" s="225"/>
      <c r="SIW122" s="225"/>
      <c r="SIX122" s="225"/>
      <c r="SIY122" s="225"/>
      <c r="SIZ122" s="225"/>
      <c r="SJA122" s="225"/>
      <c r="SJB122" s="225"/>
      <c r="SJC122" s="225"/>
      <c r="SJD122" s="225"/>
      <c r="SJE122" s="225"/>
      <c r="SJF122" s="225"/>
      <c r="SJG122" s="225"/>
      <c r="SJH122" s="225"/>
      <c r="SJI122" s="225"/>
      <c r="SJJ122" s="225"/>
      <c r="SJK122" s="225"/>
      <c r="SJL122" s="225"/>
      <c r="SJM122" s="225"/>
      <c r="SJN122" s="225"/>
      <c r="SJO122" s="225"/>
      <c r="SJP122" s="225"/>
      <c r="SJQ122" s="225"/>
      <c r="SJR122" s="225"/>
      <c r="SJS122" s="225"/>
      <c r="SJT122" s="225"/>
      <c r="SJU122" s="225"/>
      <c r="SJV122" s="225"/>
      <c r="SJW122" s="225"/>
      <c r="SJX122" s="225"/>
      <c r="SJY122" s="225"/>
      <c r="SJZ122" s="225"/>
      <c r="SKA122" s="225"/>
      <c r="SKB122" s="225"/>
      <c r="SKC122" s="225"/>
      <c r="SKD122" s="225"/>
      <c r="SKE122" s="225"/>
      <c r="SKF122" s="225"/>
      <c r="SKG122" s="225"/>
      <c r="SKH122" s="225"/>
      <c r="SKI122" s="225"/>
      <c r="SKJ122" s="225"/>
      <c r="SKK122" s="225"/>
      <c r="SKL122" s="225"/>
      <c r="SKM122" s="225"/>
      <c r="SKN122" s="225"/>
      <c r="SKO122" s="225"/>
      <c r="SKP122" s="225"/>
      <c r="SKQ122" s="225"/>
      <c r="SKR122" s="225"/>
      <c r="SKS122" s="225"/>
      <c r="SKT122" s="225"/>
      <c r="SKU122" s="225"/>
      <c r="SKV122" s="225"/>
      <c r="SKW122" s="225"/>
      <c r="SKX122" s="225"/>
      <c r="SKY122" s="225"/>
      <c r="SKZ122" s="225"/>
      <c r="SLA122" s="225"/>
      <c r="SLB122" s="225"/>
      <c r="SLC122" s="225"/>
      <c r="SLD122" s="225"/>
      <c r="SLE122" s="225"/>
      <c r="SLF122" s="225"/>
      <c r="SLG122" s="225"/>
      <c r="SLH122" s="225"/>
      <c r="SLI122" s="225"/>
      <c r="SLJ122" s="225"/>
      <c r="SLK122" s="225"/>
      <c r="SLL122" s="225"/>
      <c r="SLM122" s="225"/>
      <c r="SLN122" s="225"/>
      <c r="SLO122" s="225"/>
      <c r="SLP122" s="225"/>
      <c r="SLQ122" s="225"/>
      <c r="SLR122" s="225"/>
      <c r="SLS122" s="225"/>
      <c r="SLT122" s="225"/>
      <c r="SLU122" s="225"/>
      <c r="SLV122" s="225"/>
      <c r="SLW122" s="225"/>
      <c r="SLX122" s="225"/>
      <c r="SLY122" s="225"/>
      <c r="SLZ122" s="225"/>
      <c r="SMA122" s="225"/>
      <c r="SMB122" s="225"/>
      <c r="SMC122" s="225"/>
      <c r="SMD122" s="225"/>
      <c r="SME122" s="225"/>
      <c r="SMF122" s="225"/>
      <c r="SMG122" s="225"/>
      <c r="SMH122" s="225"/>
      <c r="SMI122" s="225"/>
      <c r="SMJ122" s="225"/>
      <c r="SMK122" s="225"/>
      <c r="SML122" s="225"/>
      <c r="SMM122" s="225"/>
      <c r="SMN122" s="225"/>
      <c r="SMO122" s="225"/>
      <c r="SMP122" s="225"/>
      <c r="SMQ122" s="225"/>
      <c r="SMR122" s="225"/>
      <c r="SMS122" s="225"/>
      <c r="SMT122" s="225"/>
      <c r="SMU122" s="225"/>
      <c r="SMV122" s="225"/>
      <c r="SMW122" s="225"/>
      <c r="SMX122" s="225"/>
      <c r="SMY122" s="225"/>
      <c r="SMZ122" s="225"/>
      <c r="SNA122" s="225"/>
      <c r="SNB122" s="225"/>
      <c r="SNC122" s="225"/>
      <c r="SND122" s="225"/>
      <c r="SNE122" s="225"/>
      <c r="SNF122" s="225"/>
      <c r="SNG122" s="225"/>
      <c r="SNH122" s="225"/>
      <c r="SNI122" s="225"/>
      <c r="SNJ122" s="225"/>
      <c r="SNK122" s="225"/>
      <c r="SNL122" s="225"/>
      <c r="SNM122" s="225"/>
      <c r="SNN122" s="225"/>
      <c r="SNO122" s="225"/>
      <c r="SNP122" s="225"/>
      <c r="SNQ122" s="225"/>
      <c r="SNR122" s="225"/>
      <c r="SNS122" s="225"/>
      <c r="SNT122" s="225"/>
      <c r="SNU122" s="225"/>
      <c r="SNV122" s="225"/>
      <c r="SNW122" s="225"/>
      <c r="SNX122" s="225"/>
      <c r="SNY122" s="225"/>
      <c r="SNZ122" s="225"/>
      <c r="SOA122" s="225"/>
      <c r="SOB122" s="225"/>
      <c r="SOC122" s="225"/>
      <c r="SOD122" s="225"/>
      <c r="SOE122" s="225"/>
      <c r="SOF122" s="225"/>
      <c r="SOG122" s="225"/>
      <c r="SOH122" s="225"/>
      <c r="SOI122" s="225"/>
      <c r="SOJ122" s="225"/>
      <c r="SOK122" s="225"/>
      <c r="SOL122" s="225"/>
      <c r="SOM122" s="225"/>
      <c r="SON122" s="225"/>
      <c r="SOO122" s="225"/>
      <c r="SOP122" s="225"/>
      <c r="SOQ122" s="225"/>
      <c r="SOR122" s="225"/>
      <c r="SOS122" s="225"/>
      <c r="SOT122" s="225"/>
      <c r="SOU122" s="225"/>
      <c r="SOV122" s="225"/>
      <c r="SOW122" s="225"/>
      <c r="SOX122" s="225"/>
      <c r="SOY122" s="225"/>
      <c r="SOZ122" s="225"/>
      <c r="SPA122" s="225"/>
      <c r="SPB122" s="225"/>
      <c r="SPC122" s="225"/>
      <c r="SPD122" s="225"/>
      <c r="SPE122" s="225"/>
      <c r="SPF122" s="225"/>
      <c r="SPG122" s="225"/>
      <c r="SPH122" s="225"/>
      <c r="SPI122" s="225"/>
      <c r="SPJ122" s="225"/>
      <c r="SPK122" s="225"/>
      <c r="SPL122" s="225"/>
      <c r="SPM122" s="225"/>
      <c r="SPN122" s="225"/>
      <c r="SPO122" s="225"/>
      <c r="SPP122" s="225"/>
      <c r="SPQ122" s="225"/>
      <c r="SPR122" s="225"/>
      <c r="SPS122" s="225"/>
      <c r="SPT122" s="225"/>
      <c r="SPU122" s="225"/>
      <c r="SPV122" s="225"/>
      <c r="SPW122" s="225"/>
      <c r="SPX122" s="225"/>
      <c r="SPY122" s="225"/>
      <c r="SPZ122" s="225"/>
      <c r="SQA122" s="225"/>
      <c r="SQB122" s="225"/>
      <c r="SQC122" s="225"/>
      <c r="SQD122" s="225"/>
      <c r="SQE122" s="225"/>
      <c r="SQF122" s="225"/>
      <c r="SQG122" s="225"/>
      <c r="SQH122" s="225"/>
      <c r="SQI122" s="225"/>
      <c r="SQJ122" s="225"/>
      <c r="SQK122" s="225"/>
      <c r="SQL122" s="225"/>
      <c r="SQM122" s="225"/>
      <c r="SQN122" s="225"/>
      <c r="SQO122" s="225"/>
      <c r="SQP122" s="225"/>
      <c r="SQQ122" s="225"/>
      <c r="SQR122" s="225"/>
      <c r="SQS122" s="225"/>
      <c r="SQT122" s="225"/>
      <c r="SQU122" s="225"/>
      <c r="SQV122" s="225"/>
      <c r="SQW122" s="225"/>
      <c r="SQX122" s="225"/>
      <c r="SQY122" s="225"/>
      <c r="SQZ122" s="225"/>
      <c r="SRA122" s="225"/>
      <c r="SRB122" s="225"/>
      <c r="SRC122" s="225"/>
      <c r="SRD122" s="225"/>
      <c r="SRE122" s="225"/>
      <c r="SRF122" s="225"/>
      <c r="SRG122" s="225"/>
      <c r="SRH122" s="225"/>
      <c r="SRI122" s="225"/>
      <c r="SRJ122" s="225"/>
      <c r="SRK122" s="225"/>
      <c r="SRL122" s="225"/>
      <c r="SRM122" s="225"/>
      <c r="SRN122" s="225"/>
      <c r="SRO122" s="225"/>
      <c r="SRP122" s="225"/>
      <c r="SRQ122" s="225"/>
      <c r="SRR122" s="225"/>
      <c r="SRS122" s="225"/>
      <c r="SRT122" s="225"/>
      <c r="SRU122" s="225"/>
      <c r="SRV122" s="225"/>
      <c r="SRW122" s="225"/>
      <c r="SRX122" s="225"/>
      <c r="SRY122" s="225"/>
      <c r="SRZ122" s="225"/>
      <c r="SSA122" s="225"/>
      <c r="SSB122" s="225"/>
      <c r="SSC122" s="225"/>
      <c r="SSD122" s="225"/>
      <c r="SSE122" s="225"/>
      <c r="SSF122" s="225"/>
      <c r="SSG122" s="225"/>
      <c r="SSH122" s="225"/>
      <c r="SSI122" s="225"/>
      <c r="SSJ122" s="225"/>
      <c r="SSK122" s="225"/>
      <c r="SSL122" s="225"/>
      <c r="SSM122" s="225"/>
      <c r="SSN122" s="225"/>
      <c r="SSO122" s="225"/>
      <c r="SSP122" s="225"/>
      <c r="SSQ122" s="225"/>
      <c r="SSR122" s="225"/>
      <c r="SSS122" s="225"/>
      <c r="SST122" s="225"/>
      <c r="SSU122" s="225"/>
      <c r="SSV122" s="225"/>
      <c r="SSW122" s="225"/>
      <c r="SSX122" s="225"/>
      <c r="SSY122" s="225"/>
      <c r="SSZ122" s="225"/>
      <c r="STA122" s="225"/>
      <c r="STB122" s="225"/>
      <c r="STC122" s="225"/>
      <c r="STD122" s="225"/>
      <c r="STE122" s="225"/>
      <c r="STF122" s="225"/>
      <c r="STG122" s="225"/>
      <c r="STH122" s="225"/>
      <c r="STI122" s="225"/>
      <c r="STJ122" s="225"/>
      <c r="STK122" s="225"/>
      <c r="STL122" s="225"/>
      <c r="STM122" s="225"/>
      <c r="STN122" s="225"/>
      <c r="STO122" s="225"/>
      <c r="STP122" s="225"/>
      <c r="STQ122" s="225"/>
      <c r="STR122" s="225"/>
      <c r="STS122" s="225"/>
      <c r="STT122" s="225"/>
      <c r="STU122" s="225"/>
      <c r="STV122" s="225"/>
      <c r="STW122" s="225"/>
      <c r="STX122" s="225"/>
      <c r="STY122" s="225"/>
      <c r="STZ122" s="225"/>
      <c r="SUA122" s="225"/>
      <c r="SUB122" s="225"/>
      <c r="SUC122" s="225"/>
      <c r="SUD122" s="225"/>
      <c r="SUE122" s="225"/>
      <c r="SUF122" s="225"/>
      <c r="SUG122" s="225"/>
      <c r="SUH122" s="225"/>
      <c r="SUI122" s="225"/>
      <c r="SUJ122" s="225"/>
      <c r="SUK122" s="225"/>
      <c r="SUL122" s="225"/>
      <c r="SUM122" s="225"/>
      <c r="SUN122" s="225"/>
      <c r="SUO122" s="225"/>
      <c r="SUP122" s="225"/>
      <c r="SUQ122" s="225"/>
      <c r="SUR122" s="225"/>
      <c r="SUS122" s="225"/>
      <c r="SUT122" s="225"/>
      <c r="SUU122" s="225"/>
      <c r="SUV122" s="225"/>
      <c r="SUW122" s="225"/>
      <c r="SUX122" s="225"/>
      <c r="SUY122" s="225"/>
      <c r="SUZ122" s="225"/>
      <c r="SVA122" s="225"/>
      <c r="SVB122" s="225"/>
      <c r="SVC122" s="225"/>
      <c r="SVD122" s="225"/>
      <c r="SVE122" s="225"/>
      <c r="SVF122" s="225"/>
      <c r="SVG122" s="225"/>
      <c r="SVH122" s="225"/>
      <c r="SVI122" s="225"/>
      <c r="SVJ122" s="225"/>
      <c r="SVK122" s="225"/>
      <c r="SVL122" s="225"/>
      <c r="SVM122" s="225"/>
      <c r="SVN122" s="225"/>
      <c r="SVO122" s="225"/>
      <c r="SVP122" s="225"/>
      <c r="SVQ122" s="225"/>
      <c r="SVR122" s="225"/>
      <c r="SVS122" s="225"/>
      <c r="SVT122" s="225"/>
      <c r="SVU122" s="225"/>
      <c r="SVV122" s="225"/>
      <c r="SVW122" s="225"/>
      <c r="SVX122" s="225"/>
      <c r="SVY122" s="225"/>
      <c r="SVZ122" s="225"/>
      <c r="SWA122" s="225"/>
      <c r="SWB122" s="225"/>
      <c r="SWC122" s="225"/>
      <c r="SWD122" s="225"/>
      <c r="SWE122" s="225"/>
      <c r="SWF122" s="225"/>
      <c r="SWG122" s="225"/>
      <c r="SWH122" s="225"/>
      <c r="SWI122" s="225"/>
      <c r="SWJ122" s="225"/>
      <c r="SWK122" s="225"/>
      <c r="SWL122" s="225"/>
      <c r="SWM122" s="225"/>
      <c r="SWN122" s="225"/>
      <c r="SWO122" s="225"/>
      <c r="SWP122" s="225"/>
      <c r="SWQ122" s="225"/>
      <c r="SWR122" s="225"/>
      <c r="SWS122" s="225"/>
      <c r="SWT122" s="225"/>
      <c r="SWU122" s="225"/>
      <c r="SWV122" s="225"/>
      <c r="SWW122" s="225"/>
      <c r="SWX122" s="225"/>
      <c r="SWY122" s="225"/>
      <c r="SWZ122" s="225"/>
      <c r="SXA122" s="225"/>
      <c r="SXB122" s="225"/>
      <c r="SXC122" s="225"/>
      <c r="SXD122" s="225"/>
      <c r="SXE122" s="225"/>
      <c r="SXF122" s="225"/>
      <c r="SXG122" s="225"/>
      <c r="SXH122" s="225"/>
      <c r="SXI122" s="225"/>
      <c r="SXJ122" s="225"/>
      <c r="SXK122" s="225"/>
      <c r="SXL122" s="225"/>
      <c r="SXM122" s="225"/>
      <c r="SXN122" s="225"/>
      <c r="SXO122" s="225"/>
      <c r="SXP122" s="225"/>
      <c r="SXQ122" s="225"/>
      <c r="SXR122" s="225"/>
      <c r="SXS122" s="225"/>
      <c r="SXT122" s="225"/>
      <c r="SXU122" s="225"/>
      <c r="SXV122" s="225"/>
      <c r="SXW122" s="225"/>
      <c r="SXX122" s="225"/>
      <c r="SXY122" s="225"/>
      <c r="SXZ122" s="225"/>
      <c r="SYA122" s="225"/>
      <c r="SYB122" s="225"/>
      <c r="SYC122" s="225"/>
      <c r="SYD122" s="225"/>
      <c r="SYE122" s="225"/>
      <c r="SYF122" s="225"/>
      <c r="SYG122" s="225"/>
      <c r="SYH122" s="225"/>
      <c r="SYI122" s="225"/>
      <c r="SYJ122" s="225"/>
      <c r="SYK122" s="225"/>
      <c r="SYL122" s="225"/>
      <c r="SYM122" s="225"/>
      <c r="SYN122" s="225"/>
      <c r="SYO122" s="225"/>
      <c r="SYP122" s="225"/>
      <c r="SYQ122" s="225"/>
      <c r="SYR122" s="225"/>
      <c r="SYS122" s="225"/>
      <c r="SYT122" s="225"/>
      <c r="SYU122" s="225"/>
      <c r="SYV122" s="225"/>
      <c r="SYW122" s="225"/>
      <c r="SYX122" s="225"/>
      <c r="SYY122" s="225"/>
      <c r="SYZ122" s="225"/>
      <c r="SZA122" s="225"/>
      <c r="SZB122" s="225"/>
      <c r="SZC122" s="225"/>
      <c r="SZD122" s="225"/>
      <c r="SZE122" s="225"/>
      <c r="SZF122" s="225"/>
      <c r="SZG122" s="225"/>
      <c r="SZH122" s="225"/>
      <c r="SZI122" s="225"/>
      <c r="SZJ122" s="225"/>
      <c r="SZK122" s="225"/>
      <c r="SZL122" s="225"/>
      <c r="SZM122" s="225"/>
      <c r="SZN122" s="225"/>
      <c r="SZO122" s="225"/>
      <c r="SZP122" s="225"/>
      <c r="SZQ122" s="225"/>
      <c r="SZR122" s="225"/>
      <c r="SZS122" s="225"/>
      <c r="SZT122" s="225"/>
      <c r="SZU122" s="225"/>
      <c r="SZV122" s="225"/>
      <c r="SZW122" s="225"/>
      <c r="SZX122" s="225"/>
      <c r="SZY122" s="225"/>
      <c r="SZZ122" s="225"/>
      <c r="TAA122" s="225"/>
      <c r="TAB122" s="225"/>
      <c r="TAC122" s="225"/>
      <c r="TAD122" s="225"/>
      <c r="TAE122" s="225"/>
      <c r="TAF122" s="225"/>
      <c r="TAG122" s="225"/>
      <c r="TAH122" s="225"/>
      <c r="TAI122" s="225"/>
      <c r="TAJ122" s="225"/>
      <c r="TAK122" s="225"/>
      <c r="TAL122" s="225"/>
      <c r="TAM122" s="225"/>
      <c r="TAN122" s="225"/>
      <c r="TAO122" s="225"/>
      <c r="TAP122" s="225"/>
      <c r="TAQ122" s="225"/>
      <c r="TAR122" s="225"/>
      <c r="TAS122" s="225"/>
      <c r="TAT122" s="225"/>
      <c r="TAU122" s="225"/>
      <c r="TAV122" s="225"/>
      <c r="TAW122" s="225"/>
      <c r="TAX122" s="225"/>
      <c r="TAY122" s="225"/>
      <c r="TAZ122" s="225"/>
      <c r="TBA122" s="225"/>
      <c r="TBB122" s="225"/>
      <c r="TBC122" s="225"/>
      <c r="TBD122" s="225"/>
      <c r="TBE122" s="225"/>
      <c r="TBF122" s="225"/>
      <c r="TBG122" s="225"/>
      <c r="TBH122" s="225"/>
      <c r="TBI122" s="225"/>
      <c r="TBJ122" s="225"/>
      <c r="TBK122" s="225"/>
      <c r="TBL122" s="225"/>
      <c r="TBM122" s="225"/>
      <c r="TBN122" s="225"/>
      <c r="TBO122" s="225"/>
      <c r="TBP122" s="225"/>
      <c r="TBQ122" s="225"/>
      <c r="TBR122" s="225"/>
      <c r="TBS122" s="225"/>
      <c r="TBT122" s="225"/>
      <c r="TBU122" s="225"/>
      <c r="TBV122" s="225"/>
      <c r="TBW122" s="225"/>
      <c r="TBX122" s="225"/>
      <c r="TBY122" s="225"/>
      <c r="TBZ122" s="225"/>
      <c r="TCA122" s="225"/>
      <c r="TCB122" s="225"/>
      <c r="TCC122" s="225"/>
      <c r="TCD122" s="225"/>
      <c r="TCE122" s="225"/>
      <c r="TCF122" s="225"/>
      <c r="TCG122" s="225"/>
      <c r="TCH122" s="225"/>
      <c r="TCI122" s="225"/>
      <c r="TCJ122" s="225"/>
      <c r="TCK122" s="225"/>
      <c r="TCL122" s="225"/>
      <c r="TCM122" s="225"/>
      <c r="TCN122" s="225"/>
      <c r="TCO122" s="225"/>
      <c r="TCP122" s="225"/>
      <c r="TCQ122" s="225"/>
      <c r="TCR122" s="225"/>
      <c r="TCS122" s="225"/>
      <c r="TCT122" s="225"/>
      <c r="TCU122" s="225"/>
      <c r="TCV122" s="225"/>
      <c r="TCW122" s="225"/>
      <c r="TCX122" s="225"/>
      <c r="TCY122" s="225"/>
      <c r="TCZ122" s="225"/>
      <c r="TDA122" s="225"/>
      <c r="TDB122" s="225"/>
      <c r="TDC122" s="225"/>
      <c r="TDD122" s="225"/>
      <c r="TDE122" s="225"/>
      <c r="TDF122" s="225"/>
      <c r="TDG122" s="225"/>
      <c r="TDH122" s="225"/>
      <c r="TDI122" s="225"/>
      <c r="TDJ122" s="225"/>
      <c r="TDK122" s="225"/>
      <c r="TDL122" s="225"/>
      <c r="TDM122" s="225"/>
      <c r="TDN122" s="225"/>
      <c r="TDO122" s="225"/>
      <c r="TDP122" s="225"/>
      <c r="TDQ122" s="225"/>
      <c r="TDR122" s="225"/>
      <c r="TDS122" s="225"/>
      <c r="TDT122" s="225"/>
      <c r="TDU122" s="225"/>
      <c r="TDV122" s="225"/>
      <c r="TDW122" s="225"/>
      <c r="TDX122" s="225"/>
      <c r="TDY122" s="225"/>
      <c r="TDZ122" s="225"/>
      <c r="TEA122" s="225"/>
      <c r="TEB122" s="225"/>
      <c r="TEC122" s="225"/>
      <c r="TED122" s="225"/>
      <c r="TEE122" s="225"/>
      <c r="TEF122" s="225"/>
      <c r="TEG122" s="225"/>
      <c r="TEH122" s="225"/>
      <c r="TEI122" s="225"/>
      <c r="TEJ122" s="225"/>
      <c r="TEK122" s="225"/>
      <c r="TEL122" s="225"/>
      <c r="TEM122" s="225"/>
      <c r="TEN122" s="225"/>
      <c r="TEO122" s="225"/>
      <c r="TEP122" s="225"/>
      <c r="TEQ122" s="225"/>
      <c r="TER122" s="225"/>
      <c r="TES122" s="225"/>
      <c r="TET122" s="225"/>
      <c r="TEU122" s="225"/>
      <c r="TEV122" s="225"/>
      <c r="TEW122" s="225"/>
      <c r="TEX122" s="225"/>
      <c r="TEY122" s="225"/>
      <c r="TEZ122" s="225"/>
      <c r="TFA122" s="225"/>
      <c r="TFB122" s="225"/>
      <c r="TFC122" s="225"/>
      <c r="TFD122" s="225"/>
      <c r="TFE122" s="225"/>
      <c r="TFF122" s="225"/>
      <c r="TFG122" s="225"/>
      <c r="TFH122" s="225"/>
      <c r="TFI122" s="225"/>
      <c r="TFJ122" s="225"/>
      <c r="TFK122" s="225"/>
      <c r="TFL122" s="225"/>
      <c r="TFM122" s="225"/>
      <c r="TFN122" s="225"/>
      <c r="TFO122" s="225"/>
      <c r="TFP122" s="225"/>
      <c r="TFQ122" s="225"/>
      <c r="TFR122" s="225"/>
      <c r="TFS122" s="225"/>
      <c r="TFT122" s="225"/>
      <c r="TFU122" s="225"/>
      <c r="TFV122" s="225"/>
      <c r="TFW122" s="225"/>
      <c r="TFX122" s="225"/>
      <c r="TFY122" s="225"/>
      <c r="TFZ122" s="225"/>
      <c r="TGA122" s="225"/>
      <c r="TGB122" s="225"/>
      <c r="TGC122" s="225"/>
      <c r="TGD122" s="225"/>
      <c r="TGE122" s="225"/>
      <c r="TGF122" s="225"/>
      <c r="TGG122" s="225"/>
      <c r="TGH122" s="225"/>
      <c r="TGI122" s="225"/>
      <c r="TGJ122" s="225"/>
      <c r="TGK122" s="225"/>
      <c r="TGL122" s="225"/>
      <c r="TGM122" s="225"/>
      <c r="TGN122" s="225"/>
      <c r="TGO122" s="225"/>
      <c r="TGP122" s="225"/>
      <c r="TGQ122" s="225"/>
      <c r="TGR122" s="225"/>
      <c r="TGS122" s="225"/>
      <c r="TGT122" s="225"/>
      <c r="TGU122" s="225"/>
      <c r="TGV122" s="225"/>
      <c r="TGW122" s="225"/>
      <c r="TGX122" s="225"/>
      <c r="TGY122" s="225"/>
      <c r="TGZ122" s="225"/>
      <c r="THA122" s="225"/>
      <c r="THB122" s="225"/>
      <c r="THC122" s="225"/>
      <c r="THD122" s="225"/>
      <c r="THE122" s="225"/>
      <c r="THF122" s="225"/>
      <c r="THG122" s="225"/>
      <c r="THH122" s="225"/>
      <c r="THI122" s="225"/>
      <c r="THJ122" s="225"/>
      <c r="THK122" s="225"/>
      <c r="THL122" s="225"/>
      <c r="THM122" s="225"/>
      <c r="THN122" s="225"/>
      <c r="THO122" s="225"/>
      <c r="THP122" s="225"/>
      <c r="THQ122" s="225"/>
      <c r="THR122" s="225"/>
      <c r="THS122" s="225"/>
      <c r="THT122" s="225"/>
      <c r="THU122" s="225"/>
      <c r="THV122" s="225"/>
      <c r="THW122" s="225"/>
      <c r="THX122" s="225"/>
      <c r="THY122" s="225"/>
      <c r="THZ122" s="225"/>
      <c r="TIA122" s="225"/>
      <c r="TIB122" s="225"/>
      <c r="TIC122" s="225"/>
      <c r="TID122" s="225"/>
      <c r="TIE122" s="225"/>
      <c r="TIF122" s="225"/>
      <c r="TIG122" s="225"/>
      <c r="TIH122" s="225"/>
      <c r="TII122" s="225"/>
      <c r="TIJ122" s="225"/>
      <c r="TIK122" s="225"/>
      <c r="TIL122" s="225"/>
      <c r="TIM122" s="225"/>
      <c r="TIN122" s="225"/>
      <c r="TIO122" s="225"/>
      <c r="TIP122" s="225"/>
      <c r="TIQ122" s="225"/>
      <c r="TIR122" s="225"/>
      <c r="TIS122" s="225"/>
      <c r="TIT122" s="225"/>
      <c r="TIU122" s="225"/>
      <c r="TIV122" s="225"/>
      <c r="TIW122" s="225"/>
      <c r="TIX122" s="225"/>
      <c r="TIY122" s="225"/>
      <c r="TIZ122" s="225"/>
      <c r="TJA122" s="225"/>
      <c r="TJB122" s="225"/>
      <c r="TJC122" s="225"/>
      <c r="TJD122" s="225"/>
      <c r="TJE122" s="225"/>
      <c r="TJF122" s="225"/>
      <c r="TJG122" s="225"/>
      <c r="TJH122" s="225"/>
      <c r="TJI122" s="225"/>
      <c r="TJJ122" s="225"/>
      <c r="TJK122" s="225"/>
      <c r="TJL122" s="225"/>
      <c r="TJM122" s="225"/>
      <c r="TJN122" s="225"/>
      <c r="TJO122" s="225"/>
      <c r="TJP122" s="225"/>
      <c r="TJQ122" s="225"/>
      <c r="TJR122" s="225"/>
      <c r="TJS122" s="225"/>
      <c r="TJT122" s="225"/>
      <c r="TJU122" s="225"/>
      <c r="TJV122" s="225"/>
      <c r="TJW122" s="225"/>
      <c r="TJX122" s="225"/>
      <c r="TJY122" s="225"/>
      <c r="TJZ122" s="225"/>
      <c r="TKA122" s="225"/>
      <c r="TKB122" s="225"/>
      <c r="TKC122" s="225"/>
      <c r="TKD122" s="225"/>
      <c r="TKE122" s="225"/>
      <c r="TKF122" s="225"/>
      <c r="TKG122" s="225"/>
      <c r="TKH122" s="225"/>
      <c r="TKI122" s="225"/>
      <c r="TKJ122" s="225"/>
      <c r="TKK122" s="225"/>
      <c r="TKL122" s="225"/>
      <c r="TKM122" s="225"/>
      <c r="TKN122" s="225"/>
      <c r="TKO122" s="225"/>
      <c r="TKP122" s="225"/>
      <c r="TKQ122" s="225"/>
      <c r="TKR122" s="225"/>
      <c r="TKS122" s="225"/>
      <c r="TKT122" s="225"/>
      <c r="TKU122" s="225"/>
      <c r="TKV122" s="225"/>
      <c r="TKW122" s="225"/>
      <c r="TKX122" s="225"/>
      <c r="TKY122" s="225"/>
      <c r="TKZ122" s="225"/>
      <c r="TLA122" s="225"/>
      <c r="TLB122" s="225"/>
      <c r="TLC122" s="225"/>
      <c r="TLD122" s="225"/>
      <c r="TLE122" s="225"/>
      <c r="TLF122" s="225"/>
      <c r="TLG122" s="225"/>
      <c r="TLH122" s="225"/>
      <c r="TLI122" s="225"/>
      <c r="TLJ122" s="225"/>
      <c r="TLK122" s="225"/>
      <c r="TLL122" s="225"/>
      <c r="TLM122" s="225"/>
      <c r="TLN122" s="225"/>
      <c r="TLO122" s="225"/>
      <c r="TLP122" s="225"/>
      <c r="TLQ122" s="225"/>
      <c r="TLR122" s="225"/>
      <c r="TLS122" s="225"/>
      <c r="TLT122" s="225"/>
      <c r="TLU122" s="225"/>
      <c r="TLV122" s="225"/>
      <c r="TLW122" s="225"/>
      <c r="TLX122" s="225"/>
      <c r="TLY122" s="225"/>
      <c r="TLZ122" s="225"/>
      <c r="TMA122" s="225"/>
      <c r="TMB122" s="225"/>
      <c r="TMC122" s="225"/>
      <c r="TMD122" s="225"/>
      <c r="TME122" s="225"/>
      <c r="TMF122" s="225"/>
      <c r="TMG122" s="225"/>
      <c r="TMH122" s="225"/>
      <c r="TMI122" s="225"/>
      <c r="TMJ122" s="225"/>
      <c r="TMK122" s="225"/>
      <c r="TML122" s="225"/>
      <c r="TMM122" s="225"/>
      <c r="TMN122" s="225"/>
      <c r="TMO122" s="225"/>
      <c r="TMP122" s="225"/>
      <c r="TMQ122" s="225"/>
      <c r="TMR122" s="225"/>
      <c r="TMS122" s="225"/>
      <c r="TMT122" s="225"/>
      <c r="TMU122" s="225"/>
      <c r="TMV122" s="225"/>
      <c r="TMW122" s="225"/>
      <c r="TMX122" s="225"/>
      <c r="TMY122" s="225"/>
      <c r="TMZ122" s="225"/>
      <c r="TNA122" s="225"/>
      <c r="TNB122" s="225"/>
      <c r="TNC122" s="225"/>
      <c r="TND122" s="225"/>
      <c r="TNE122" s="225"/>
      <c r="TNF122" s="225"/>
      <c r="TNG122" s="225"/>
      <c r="TNH122" s="225"/>
      <c r="TNI122" s="225"/>
      <c r="TNJ122" s="225"/>
      <c r="TNK122" s="225"/>
      <c r="TNL122" s="225"/>
      <c r="TNM122" s="225"/>
      <c r="TNN122" s="225"/>
      <c r="TNO122" s="225"/>
      <c r="TNP122" s="225"/>
      <c r="TNQ122" s="225"/>
      <c r="TNR122" s="225"/>
      <c r="TNS122" s="225"/>
      <c r="TNT122" s="225"/>
      <c r="TNU122" s="225"/>
      <c r="TNV122" s="225"/>
      <c r="TNW122" s="225"/>
      <c r="TNX122" s="225"/>
      <c r="TNY122" s="225"/>
      <c r="TNZ122" s="225"/>
      <c r="TOA122" s="225"/>
      <c r="TOB122" s="225"/>
      <c r="TOC122" s="225"/>
      <c r="TOD122" s="225"/>
      <c r="TOE122" s="225"/>
      <c r="TOF122" s="225"/>
      <c r="TOG122" s="225"/>
      <c r="TOH122" s="225"/>
      <c r="TOI122" s="225"/>
      <c r="TOJ122" s="225"/>
      <c r="TOK122" s="225"/>
      <c r="TOL122" s="225"/>
      <c r="TOM122" s="225"/>
      <c r="TON122" s="225"/>
      <c r="TOO122" s="225"/>
      <c r="TOP122" s="225"/>
      <c r="TOQ122" s="225"/>
      <c r="TOR122" s="225"/>
      <c r="TOS122" s="225"/>
      <c r="TOT122" s="225"/>
      <c r="TOU122" s="225"/>
      <c r="TOV122" s="225"/>
      <c r="TOW122" s="225"/>
      <c r="TOX122" s="225"/>
      <c r="TOY122" s="225"/>
      <c r="TOZ122" s="225"/>
      <c r="TPA122" s="225"/>
      <c r="TPB122" s="225"/>
      <c r="TPC122" s="225"/>
      <c r="TPD122" s="225"/>
      <c r="TPE122" s="225"/>
      <c r="TPF122" s="225"/>
      <c r="TPG122" s="225"/>
      <c r="TPH122" s="225"/>
      <c r="TPI122" s="225"/>
      <c r="TPJ122" s="225"/>
      <c r="TPK122" s="225"/>
      <c r="TPL122" s="225"/>
      <c r="TPM122" s="225"/>
      <c r="TPN122" s="225"/>
      <c r="TPO122" s="225"/>
      <c r="TPP122" s="225"/>
      <c r="TPQ122" s="225"/>
      <c r="TPR122" s="225"/>
      <c r="TPS122" s="225"/>
      <c r="TPT122" s="225"/>
      <c r="TPU122" s="225"/>
      <c r="TPV122" s="225"/>
      <c r="TPW122" s="225"/>
      <c r="TPX122" s="225"/>
      <c r="TPY122" s="225"/>
      <c r="TPZ122" s="225"/>
      <c r="TQA122" s="225"/>
      <c r="TQB122" s="225"/>
      <c r="TQC122" s="225"/>
      <c r="TQD122" s="225"/>
      <c r="TQE122" s="225"/>
      <c r="TQF122" s="225"/>
      <c r="TQG122" s="225"/>
      <c r="TQH122" s="225"/>
      <c r="TQI122" s="225"/>
      <c r="TQJ122" s="225"/>
      <c r="TQK122" s="225"/>
      <c r="TQL122" s="225"/>
      <c r="TQM122" s="225"/>
      <c r="TQN122" s="225"/>
      <c r="TQO122" s="225"/>
      <c r="TQP122" s="225"/>
      <c r="TQQ122" s="225"/>
      <c r="TQR122" s="225"/>
      <c r="TQS122" s="225"/>
      <c r="TQT122" s="225"/>
      <c r="TQU122" s="225"/>
      <c r="TQV122" s="225"/>
      <c r="TQW122" s="225"/>
      <c r="TQX122" s="225"/>
      <c r="TQY122" s="225"/>
      <c r="TQZ122" s="225"/>
      <c r="TRA122" s="225"/>
      <c r="TRB122" s="225"/>
      <c r="TRC122" s="225"/>
      <c r="TRD122" s="225"/>
      <c r="TRE122" s="225"/>
      <c r="TRF122" s="225"/>
      <c r="TRG122" s="225"/>
      <c r="TRH122" s="225"/>
      <c r="TRI122" s="225"/>
      <c r="TRJ122" s="225"/>
      <c r="TRK122" s="225"/>
      <c r="TRL122" s="225"/>
      <c r="TRM122" s="225"/>
      <c r="TRN122" s="225"/>
      <c r="TRO122" s="225"/>
      <c r="TRP122" s="225"/>
      <c r="TRQ122" s="225"/>
      <c r="TRR122" s="225"/>
      <c r="TRS122" s="225"/>
      <c r="TRT122" s="225"/>
      <c r="TRU122" s="225"/>
      <c r="TRV122" s="225"/>
      <c r="TRW122" s="225"/>
      <c r="TRX122" s="225"/>
      <c r="TRY122" s="225"/>
      <c r="TRZ122" s="225"/>
      <c r="TSA122" s="225"/>
      <c r="TSB122" s="225"/>
      <c r="TSC122" s="225"/>
      <c r="TSD122" s="225"/>
      <c r="TSE122" s="225"/>
      <c r="TSF122" s="225"/>
      <c r="TSG122" s="225"/>
      <c r="TSH122" s="225"/>
      <c r="TSI122" s="225"/>
      <c r="TSJ122" s="225"/>
      <c r="TSK122" s="225"/>
      <c r="TSL122" s="225"/>
      <c r="TSM122" s="225"/>
      <c r="TSN122" s="225"/>
      <c r="TSO122" s="225"/>
      <c r="TSP122" s="225"/>
      <c r="TSQ122" s="225"/>
      <c r="TSR122" s="225"/>
      <c r="TSS122" s="225"/>
      <c r="TST122" s="225"/>
      <c r="TSU122" s="225"/>
      <c r="TSV122" s="225"/>
      <c r="TSW122" s="225"/>
      <c r="TSX122" s="225"/>
      <c r="TSY122" s="225"/>
      <c r="TSZ122" s="225"/>
      <c r="TTA122" s="225"/>
      <c r="TTB122" s="225"/>
      <c r="TTC122" s="225"/>
      <c r="TTD122" s="225"/>
      <c r="TTE122" s="225"/>
      <c r="TTF122" s="225"/>
      <c r="TTG122" s="225"/>
      <c r="TTH122" s="225"/>
      <c r="TTI122" s="225"/>
      <c r="TTJ122" s="225"/>
      <c r="TTK122" s="225"/>
      <c r="TTL122" s="225"/>
      <c r="TTM122" s="225"/>
      <c r="TTN122" s="225"/>
      <c r="TTO122" s="225"/>
      <c r="TTP122" s="225"/>
      <c r="TTQ122" s="225"/>
      <c r="TTR122" s="225"/>
      <c r="TTS122" s="225"/>
      <c r="TTT122" s="225"/>
      <c r="TTU122" s="225"/>
      <c r="TTV122" s="225"/>
      <c r="TTW122" s="225"/>
      <c r="TTX122" s="225"/>
      <c r="TTY122" s="225"/>
      <c r="TTZ122" s="225"/>
      <c r="TUA122" s="225"/>
      <c r="TUB122" s="225"/>
      <c r="TUC122" s="225"/>
      <c r="TUD122" s="225"/>
      <c r="TUE122" s="225"/>
      <c r="TUF122" s="225"/>
      <c r="TUG122" s="225"/>
      <c r="TUH122" s="225"/>
      <c r="TUI122" s="225"/>
      <c r="TUJ122" s="225"/>
      <c r="TUK122" s="225"/>
      <c r="TUL122" s="225"/>
      <c r="TUM122" s="225"/>
      <c r="TUN122" s="225"/>
      <c r="TUO122" s="225"/>
      <c r="TUP122" s="225"/>
      <c r="TUQ122" s="225"/>
      <c r="TUR122" s="225"/>
      <c r="TUS122" s="225"/>
      <c r="TUT122" s="225"/>
      <c r="TUU122" s="225"/>
      <c r="TUV122" s="225"/>
      <c r="TUW122" s="225"/>
      <c r="TUX122" s="225"/>
      <c r="TUY122" s="225"/>
      <c r="TUZ122" s="225"/>
      <c r="TVA122" s="225"/>
      <c r="TVB122" s="225"/>
      <c r="TVC122" s="225"/>
      <c r="TVD122" s="225"/>
      <c r="TVE122" s="225"/>
      <c r="TVF122" s="225"/>
      <c r="TVG122" s="225"/>
      <c r="TVH122" s="225"/>
      <c r="TVI122" s="225"/>
      <c r="TVJ122" s="225"/>
      <c r="TVK122" s="225"/>
      <c r="TVL122" s="225"/>
      <c r="TVM122" s="225"/>
      <c r="TVN122" s="225"/>
      <c r="TVO122" s="225"/>
      <c r="TVP122" s="225"/>
      <c r="TVQ122" s="225"/>
      <c r="TVR122" s="225"/>
      <c r="TVS122" s="225"/>
      <c r="TVT122" s="225"/>
      <c r="TVU122" s="225"/>
      <c r="TVV122" s="225"/>
      <c r="TVW122" s="225"/>
      <c r="TVX122" s="225"/>
      <c r="TVY122" s="225"/>
      <c r="TVZ122" s="225"/>
      <c r="TWA122" s="225"/>
      <c r="TWB122" s="225"/>
      <c r="TWC122" s="225"/>
      <c r="TWD122" s="225"/>
      <c r="TWE122" s="225"/>
      <c r="TWF122" s="225"/>
      <c r="TWG122" s="225"/>
      <c r="TWH122" s="225"/>
      <c r="TWI122" s="225"/>
      <c r="TWJ122" s="225"/>
      <c r="TWK122" s="225"/>
      <c r="TWL122" s="225"/>
      <c r="TWM122" s="225"/>
      <c r="TWN122" s="225"/>
      <c r="TWO122" s="225"/>
      <c r="TWP122" s="225"/>
      <c r="TWQ122" s="225"/>
      <c r="TWR122" s="225"/>
      <c r="TWS122" s="225"/>
      <c r="TWT122" s="225"/>
      <c r="TWU122" s="225"/>
      <c r="TWV122" s="225"/>
      <c r="TWW122" s="225"/>
      <c r="TWX122" s="225"/>
      <c r="TWY122" s="225"/>
      <c r="TWZ122" s="225"/>
      <c r="TXA122" s="225"/>
      <c r="TXB122" s="225"/>
      <c r="TXC122" s="225"/>
      <c r="TXD122" s="225"/>
      <c r="TXE122" s="225"/>
      <c r="TXF122" s="225"/>
      <c r="TXG122" s="225"/>
      <c r="TXH122" s="225"/>
      <c r="TXI122" s="225"/>
      <c r="TXJ122" s="225"/>
      <c r="TXK122" s="225"/>
      <c r="TXL122" s="225"/>
      <c r="TXM122" s="225"/>
      <c r="TXN122" s="225"/>
      <c r="TXO122" s="225"/>
      <c r="TXP122" s="225"/>
      <c r="TXQ122" s="225"/>
      <c r="TXR122" s="225"/>
      <c r="TXS122" s="225"/>
      <c r="TXT122" s="225"/>
      <c r="TXU122" s="225"/>
      <c r="TXV122" s="225"/>
      <c r="TXW122" s="225"/>
      <c r="TXX122" s="225"/>
      <c r="TXY122" s="225"/>
      <c r="TXZ122" s="225"/>
      <c r="TYA122" s="225"/>
      <c r="TYB122" s="225"/>
      <c r="TYC122" s="225"/>
      <c r="TYD122" s="225"/>
      <c r="TYE122" s="225"/>
      <c r="TYF122" s="225"/>
      <c r="TYG122" s="225"/>
      <c r="TYH122" s="225"/>
      <c r="TYI122" s="225"/>
      <c r="TYJ122" s="225"/>
      <c r="TYK122" s="225"/>
      <c r="TYL122" s="225"/>
      <c r="TYM122" s="225"/>
      <c r="TYN122" s="225"/>
      <c r="TYO122" s="225"/>
      <c r="TYP122" s="225"/>
      <c r="TYQ122" s="225"/>
      <c r="TYR122" s="225"/>
      <c r="TYS122" s="225"/>
      <c r="TYT122" s="225"/>
      <c r="TYU122" s="225"/>
      <c r="TYV122" s="225"/>
      <c r="TYW122" s="225"/>
      <c r="TYX122" s="225"/>
      <c r="TYY122" s="225"/>
      <c r="TYZ122" s="225"/>
      <c r="TZA122" s="225"/>
      <c r="TZB122" s="225"/>
      <c r="TZC122" s="225"/>
      <c r="TZD122" s="225"/>
      <c r="TZE122" s="225"/>
      <c r="TZF122" s="225"/>
      <c r="TZG122" s="225"/>
      <c r="TZH122" s="225"/>
      <c r="TZI122" s="225"/>
      <c r="TZJ122" s="225"/>
      <c r="TZK122" s="225"/>
      <c r="TZL122" s="225"/>
      <c r="TZM122" s="225"/>
      <c r="TZN122" s="225"/>
      <c r="TZO122" s="225"/>
      <c r="TZP122" s="225"/>
      <c r="TZQ122" s="225"/>
      <c r="TZR122" s="225"/>
      <c r="TZS122" s="225"/>
      <c r="TZT122" s="225"/>
      <c r="TZU122" s="225"/>
      <c r="TZV122" s="225"/>
      <c r="TZW122" s="225"/>
      <c r="TZX122" s="225"/>
      <c r="TZY122" s="225"/>
      <c r="TZZ122" s="225"/>
      <c r="UAA122" s="225"/>
      <c r="UAB122" s="225"/>
      <c r="UAC122" s="225"/>
      <c r="UAD122" s="225"/>
      <c r="UAE122" s="225"/>
      <c r="UAF122" s="225"/>
      <c r="UAG122" s="225"/>
      <c r="UAH122" s="225"/>
      <c r="UAI122" s="225"/>
      <c r="UAJ122" s="225"/>
      <c r="UAK122" s="225"/>
      <c r="UAL122" s="225"/>
      <c r="UAM122" s="225"/>
      <c r="UAN122" s="225"/>
      <c r="UAO122" s="225"/>
      <c r="UAP122" s="225"/>
      <c r="UAQ122" s="225"/>
      <c r="UAR122" s="225"/>
      <c r="UAS122" s="225"/>
      <c r="UAT122" s="225"/>
      <c r="UAU122" s="225"/>
      <c r="UAV122" s="225"/>
      <c r="UAW122" s="225"/>
      <c r="UAX122" s="225"/>
      <c r="UAY122" s="225"/>
      <c r="UAZ122" s="225"/>
      <c r="UBA122" s="225"/>
      <c r="UBB122" s="225"/>
      <c r="UBC122" s="225"/>
      <c r="UBD122" s="225"/>
      <c r="UBE122" s="225"/>
      <c r="UBF122" s="225"/>
      <c r="UBG122" s="225"/>
      <c r="UBH122" s="225"/>
      <c r="UBI122" s="225"/>
      <c r="UBJ122" s="225"/>
      <c r="UBK122" s="225"/>
      <c r="UBL122" s="225"/>
      <c r="UBM122" s="225"/>
      <c r="UBN122" s="225"/>
      <c r="UBO122" s="225"/>
      <c r="UBP122" s="225"/>
      <c r="UBQ122" s="225"/>
      <c r="UBR122" s="225"/>
      <c r="UBS122" s="225"/>
      <c r="UBT122" s="225"/>
      <c r="UBU122" s="225"/>
      <c r="UBV122" s="225"/>
      <c r="UBW122" s="225"/>
      <c r="UBX122" s="225"/>
      <c r="UBY122" s="225"/>
      <c r="UBZ122" s="225"/>
      <c r="UCA122" s="225"/>
      <c r="UCB122" s="225"/>
      <c r="UCC122" s="225"/>
      <c r="UCD122" s="225"/>
      <c r="UCE122" s="225"/>
      <c r="UCF122" s="225"/>
      <c r="UCG122" s="225"/>
      <c r="UCH122" s="225"/>
      <c r="UCI122" s="225"/>
      <c r="UCJ122" s="225"/>
      <c r="UCK122" s="225"/>
      <c r="UCL122" s="225"/>
      <c r="UCM122" s="225"/>
      <c r="UCN122" s="225"/>
      <c r="UCO122" s="225"/>
      <c r="UCP122" s="225"/>
      <c r="UCQ122" s="225"/>
      <c r="UCR122" s="225"/>
      <c r="UCS122" s="225"/>
      <c r="UCT122" s="225"/>
      <c r="UCU122" s="225"/>
      <c r="UCV122" s="225"/>
      <c r="UCW122" s="225"/>
      <c r="UCX122" s="225"/>
      <c r="UCY122" s="225"/>
      <c r="UCZ122" s="225"/>
      <c r="UDA122" s="225"/>
      <c r="UDB122" s="225"/>
      <c r="UDC122" s="225"/>
      <c r="UDD122" s="225"/>
      <c r="UDE122" s="225"/>
      <c r="UDF122" s="225"/>
      <c r="UDG122" s="225"/>
      <c r="UDH122" s="225"/>
      <c r="UDI122" s="225"/>
      <c r="UDJ122" s="225"/>
      <c r="UDK122" s="225"/>
      <c r="UDL122" s="225"/>
      <c r="UDM122" s="225"/>
      <c r="UDN122" s="225"/>
      <c r="UDO122" s="225"/>
      <c r="UDP122" s="225"/>
      <c r="UDQ122" s="225"/>
      <c r="UDR122" s="225"/>
      <c r="UDS122" s="225"/>
      <c r="UDT122" s="225"/>
      <c r="UDU122" s="225"/>
      <c r="UDV122" s="225"/>
      <c r="UDW122" s="225"/>
      <c r="UDX122" s="225"/>
      <c r="UDY122" s="225"/>
      <c r="UDZ122" s="225"/>
      <c r="UEA122" s="225"/>
      <c r="UEB122" s="225"/>
      <c r="UEC122" s="225"/>
      <c r="UED122" s="225"/>
      <c r="UEE122" s="225"/>
      <c r="UEF122" s="225"/>
      <c r="UEG122" s="225"/>
      <c r="UEH122" s="225"/>
      <c r="UEI122" s="225"/>
      <c r="UEJ122" s="225"/>
      <c r="UEK122" s="225"/>
      <c r="UEL122" s="225"/>
      <c r="UEM122" s="225"/>
      <c r="UEN122" s="225"/>
      <c r="UEO122" s="225"/>
      <c r="UEP122" s="225"/>
      <c r="UEQ122" s="225"/>
      <c r="UER122" s="225"/>
      <c r="UES122" s="225"/>
      <c r="UET122" s="225"/>
      <c r="UEU122" s="225"/>
      <c r="UEV122" s="225"/>
      <c r="UEW122" s="225"/>
      <c r="UEX122" s="225"/>
      <c r="UEY122" s="225"/>
      <c r="UEZ122" s="225"/>
      <c r="UFA122" s="225"/>
      <c r="UFB122" s="225"/>
      <c r="UFC122" s="225"/>
      <c r="UFD122" s="225"/>
      <c r="UFE122" s="225"/>
      <c r="UFF122" s="225"/>
      <c r="UFG122" s="225"/>
      <c r="UFH122" s="225"/>
      <c r="UFI122" s="225"/>
      <c r="UFJ122" s="225"/>
      <c r="UFK122" s="225"/>
      <c r="UFL122" s="225"/>
      <c r="UFM122" s="225"/>
      <c r="UFN122" s="225"/>
      <c r="UFO122" s="225"/>
      <c r="UFP122" s="225"/>
      <c r="UFQ122" s="225"/>
      <c r="UFR122" s="225"/>
      <c r="UFS122" s="225"/>
      <c r="UFT122" s="225"/>
      <c r="UFU122" s="225"/>
      <c r="UFV122" s="225"/>
      <c r="UFW122" s="225"/>
      <c r="UFX122" s="225"/>
      <c r="UFY122" s="225"/>
      <c r="UFZ122" s="225"/>
      <c r="UGA122" s="225"/>
      <c r="UGB122" s="225"/>
      <c r="UGC122" s="225"/>
      <c r="UGD122" s="225"/>
      <c r="UGE122" s="225"/>
      <c r="UGF122" s="225"/>
      <c r="UGG122" s="225"/>
      <c r="UGH122" s="225"/>
      <c r="UGI122" s="225"/>
      <c r="UGJ122" s="225"/>
      <c r="UGK122" s="225"/>
      <c r="UGL122" s="225"/>
      <c r="UGM122" s="225"/>
      <c r="UGN122" s="225"/>
      <c r="UGO122" s="225"/>
      <c r="UGP122" s="225"/>
      <c r="UGQ122" s="225"/>
      <c r="UGR122" s="225"/>
      <c r="UGS122" s="225"/>
      <c r="UGT122" s="225"/>
      <c r="UGU122" s="225"/>
      <c r="UGV122" s="225"/>
      <c r="UGW122" s="225"/>
      <c r="UGX122" s="225"/>
      <c r="UGY122" s="225"/>
      <c r="UGZ122" s="225"/>
      <c r="UHA122" s="225"/>
      <c r="UHB122" s="225"/>
      <c r="UHC122" s="225"/>
      <c r="UHD122" s="225"/>
      <c r="UHE122" s="225"/>
      <c r="UHF122" s="225"/>
      <c r="UHG122" s="225"/>
      <c r="UHH122" s="225"/>
      <c r="UHI122" s="225"/>
      <c r="UHJ122" s="225"/>
      <c r="UHK122" s="225"/>
      <c r="UHL122" s="225"/>
      <c r="UHM122" s="225"/>
      <c r="UHN122" s="225"/>
      <c r="UHO122" s="225"/>
      <c r="UHP122" s="225"/>
      <c r="UHQ122" s="225"/>
      <c r="UHR122" s="225"/>
      <c r="UHS122" s="225"/>
      <c r="UHT122" s="225"/>
      <c r="UHU122" s="225"/>
      <c r="UHV122" s="225"/>
      <c r="UHW122" s="225"/>
      <c r="UHX122" s="225"/>
      <c r="UHY122" s="225"/>
      <c r="UHZ122" s="225"/>
      <c r="UIA122" s="225"/>
      <c r="UIB122" s="225"/>
      <c r="UIC122" s="225"/>
      <c r="UID122" s="225"/>
      <c r="UIE122" s="225"/>
      <c r="UIF122" s="225"/>
      <c r="UIG122" s="225"/>
      <c r="UIH122" s="225"/>
      <c r="UII122" s="225"/>
      <c r="UIJ122" s="225"/>
      <c r="UIK122" s="225"/>
      <c r="UIL122" s="225"/>
      <c r="UIM122" s="225"/>
      <c r="UIN122" s="225"/>
      <c r="UIO122" s="225"/>
      <c r="UIP122" s="225"/>
      <c r="UIQ122" s="225"/>
      <c r="UIR122" s="225"/>
      <c r="UIS122" s="225"/>
      <c r="UIT122" s="225"/>
      <c r="UIU122" s="225"/>
      <c r="UIV122" s="225"/>
      <c r="UIW122" s="225"/>
      <c r="UIX122" s="225"/>
      <c r="UIY122" s="225"/>
      <c r="UIZ122" s="225"/>
      <c r="UJA122" s="225"/>
      <c r="UJB122" s="225"/>
      <c r="UJC122" s="225"/>
      <c r="UJD122" s="225"/>
      <c r="UJE122" s="225"/>
      <c r="UJF122" s="225"/>
      <c r="UJG122" s="225"/>
      <c r="UJH122" s="225"/>
      <c r="UJI122" s="225"/>
      <c r="UJJ122" s="225"/>
      <c r="UJK122" s="225"/>
      <c r="UJL122" s="225"/>
      <c r="UJM122" s="225"/>
      <c r="UJN122" s="225"/>
      <c r="UJO122" s="225"/>
      <c r="UJP122" s="225"/>
      <c r="UJQ122" s="225"/>
      <c r="UJR122" s="225"/>
      <c r="UJS122" s="225"/>
      <c r="UJT122" s="225"/>
      <c r="UJU122" s="225"/>
      <c r="UJV122" s="225"/>
      <c r="UJW122" s="225"/>
      <c r="UJX122" s="225"/>
      <c r="UJY122" s="225"/>
      <c r="UJZ122" s="225"/>
      <c r="UKA122" s="225"/>
      <c r="UKB122" s="225"/>
      <c r="UKC122" s="225"/>
      <c r="UKD122" s="225"/>
      <c r="UKE122" s="225"/>
      <c r="UKF122" s="225"/>
      <c r="UKG122" s="225"/>
      <c r="UKH122" s="225"/>
      <c r="UKI122" s="225"/>
      <c r="UKJ122" s="225"/>
      <c r="UKK122" s="225"/>
      <c r="UKL122" s="225"/>
      <c r="UKM122" s="225"/>
      <c r="UKN122" s="225"/>
      <c r="UKO122" s="225"/>
      <c r="UKP122" s="225"/>
      <c r="UKQ122" s="225"/>
      <c r="UKR122" s="225"/>
      <c r="UKS122" s="225"/>
      <c r="UKT122" s="225"/>
      <c r="UKU122" s="225"/>
      <c r="UKV122" s="225"/>
      <c r="UKW122" s="225"/>
      <c r="UKX122" s="225"/>
      <c r="UKY122" s="225"/>
      <c r="UKZ122" s="225"/>
      <c r="ULA122" s="225"/>
      <c r="ULB122" s="225"/>
      <c r="ULC122" s="225"/>
      <c r="ULD122" s="225"/>
      <c r="ULE122" s="225"/>
      <c r="ULF122" s="225"/>
      <c r="ULG122" s="225"/>
      <c r="ULH122" s="225"/>
      <c r="ULI122" s="225"/>
      <c r="ULJ122" s="225"/>
      <c r="ULK122" s="225"/>
      <c r="ULL122" s="225"/>
      <c r="ULM122" s="225"/>
      <c r="ULN122" s="225"/>
      <c r="ULO122" s="225"/>
      <c r="ULP122" s="225"/>
      <c r="ULQ122" s="225"/>
      <c r="ULR122" s="225"/>
      <c r="ULS122" s="225"/>
      <c r="ULT122" s="225"/>
      <c r="ULU122" s="225"/>
      <c r="ULV122" s="225"/>
      <c r="ULW122" s="225"/>
      <c r="ULX122" s="225"/>
      <c r="ULY122" s="225"/>
      <c r="ULZ122" s="225"/>
      <c r="UMA122" s="225"/>
      <c r="UMB122" s="225"/>
      <c r="UMC122" s="225"/>
      <c r="UMD122" s="225"/>
      <c r="UME122" s="225"/>
      <c r="UMF122" s="225"/>
      <c r="UMG122" s="225"/>
      <c r="UMH122" s="225"/>
      <c r="UMI122" s="225"/>
      <c r="UMJ122" s="225"/>
      <c r="UMK122" s="225"/>
      <c r="UML122" s="225"/>
      <c r="UMM122" s="225"/>
      <c r="UMN122" s="225"/>
      <c r="UMO122" s="225"/>
      <c r="UMP122" s="225"/>
      <c r="UMQ122" s="225"/>
      <c r="UMR122" s="225"/>
      <c r="UMS122" s="225"/>
      <c r="UMT122" s="225"/>
      <c r="UMU122" s="225"/>
      <c r="UMV122" s="225"/>
      <c r="UMW122" s="225"/>
      <c r="UMX122" s="225"/>
      <c r="UMY122" s="225"/>
      <c r="UMZ122" s="225"/>
      <c r="UNA122" s="225"/>
      <c r="UNB122" s="225"/>
      <c r="UNC122" s="225"/>
      <c r="UND122" s="225"/>
      <c r="UNE122" s="225"/>
      <c r="UNF122" s="225"/>
      <c r="UNG122" s="225"/>
      <c r="UNH122" s="225"/>
      <c r="UNI122" s="225"/>
      <c r="UNJ122" s="225"/>
      <c r="UNK122" s="225"/>
      <c r="UNL122" s="225"/>
      <c r="UNM122" s="225"/>
      <c r="UNN122" s="225"/>
      <c r="UNO122" s="225"/>
      <c r="UNP122" s="225"/>
      <c r="UNQ122" s="225"/>
      <c r="UNR122" s="225"/>
      <c r="UNS122" s="225"/>
      <c r="UNT122" s="225"/>
      <c r="UNU122" s="225"/>
      <c r="UNV122" s="225"/>
      <c r="UNW122" s="225"/>
      <c r="UNX122" s="225"/>
      <c r="UNY122" s="225"/>
      <c r="UNZ122" s="225"/>
      <c r="UOA122" s="225"/>
      <c r="UOB122" s="225"/>
      <c r="UOC122" s="225"/>
      <c r="UOD122" s="225"/>
      <c r="UOE122" s="225"/>
      <c r="UOF122" s="225"/>
      <c r="UOG122" s="225"/>
      <c r="UOH122" s="225"/>
      <c r="UOI122" s="225"/>
      <c r="UOJ122" s="225"/>
      <c r="UOK122" s="225"/>
      <c r="UOL122" s="225"/>
      <c r="UOM122" s="225"/>
      <c r="UON122" s="225"/>
      <c r="UOO122" s="225"/>
      <c r="UOP122" s="225"/>
      <c r="UOQ122" s="225"/>
      <c r="UOR122" s="225"/>
      <c r="UOS122" s="225"/>
      <c r="UOT122" s="225"/>
      <c r="UOU122" s="225"/>
      <c r="UOV122" s="225"/>
      <c r="UOW122" s="225"/>
      <c r="UOX122" s="225"/>
      <c r="UOY122" s="225"/>
      <c r="UOZ122" s="225"/>
      <c r="UPA122" s="225"/>
      <c r="UPB122" s="225"/>
      <c r="UPC122" s="225"/>
      <c r="UPD122" s="225"/>
      <c r="UPE122" s="225"/>
      <c r="UPF122" s="225"/>
      <c r="UPG122" s="225"/>
      <c r="UPH122" s="225"/>
      <c r="UPI122" s="225"/>
      <c r="UPJ122" s="225"/>
      <c r="UPK122" s="225"/>
      <c r="UPL122" s="225"/>
      <c r="UPM122" s="225"/>
      <c r="UPN122" s="225"/>
      <c r="UPO122" s="225"/>
      <c r="UPP122" s="225"/>
      <c r="UPQ122" s="225"/>
      <c r="UPR122" s="225"/>
      <c r="UPS122" s="225"/>
      <c r="UPT122" s="225"/>
      <c r="UPU122" s="225"/>
      <c r="UPV122" s="225"/>
      <c r="UPW122" s="225"/>
      <c r="UPX122" s="225"/>
      <c r="UPY122" s="225"/>
      <c r="UPZ122" s="225"/>
      <c r="UQA122" s="225"/>
      <c r="UQB122" s="225"/>
      <c r="UQC122" s="225"/>
      <c r="UQD122" s="225"/>
      <c r="UQE122" s="225"/>
      <c r="UQF122" s="225"/>
      <c r="UQG122" s="225"/>
      <c r="UQH122" s="225"/>
      <c r="UQI122" s="225"/>
      <c r="UQJ122" s="225"/>
      <c r="UQK122" s="225"/>
      <c r="UQL122" s="225"/>
      <c r="UQM122" s="225"/>
      <c r="UQN122" s="225"/>
      <c r="UQO122" s="225"/>
      <c r="UQP122" s="225"/>
      <c r="UQQ122" s="225"/>
      <c r="UQR122" s="225"/>
      <c r="UQS122" s="225"/>
      <c r="UQT122" s="225"/>
      <c r="UQU122" s="225"/>
      <c r="UQV122" s="225"/>
      <c r="UQW122" s="225"/>
      <c r="UQX122" s="225"/>
      <c r="UQY122" s="225"/>
      <c r="UQZ122" s="225"/>
      <c r="URA122" s="225"/>
      <c r="URB122" s="225"/>
      <c r="URC122" s="225"/>
      <c r="URD122" s="225"/>
      <c r="URE122" s="225"/>
      <c r="URF122" s="225"/>
      <c r="URG122" s="225"/>
      <c r="URH122" s="225"/>
      <c r="URI122" s="225"/>
      <c r="URJ122" s="225"/>
      <c r="URK122" s="225"/>
      <c r="URL122" s="225"/>
      <c r="URM122" s="225"/>
      <c r="URN122" s="225"/>
      <c r="URO122" s="225"/>
      <c r="URP122" s="225"/>
      <c r="URQ122" s="225"/>
      <c r="URR122" s="225"/>
      <c r="URS122" s="225"/>
      <c r="URT122" s="225"/>
      <c r="URU122" s="225"/>
      <c r="URV122" s="225"/>
      <c r="URW122" s="225"/>
      <c r="URX122" s="225"/>
      <c r="URY122" s="225"/>
      <c r="URZ122" s="225"/>
      <c r="USA122" s="225"/>
      <c r="USB122" s="225"/>
      <c r="USC122" s="225"/>
      <c r="USD122" s="225"/>
      <c r="USE122" s="225"/>
      <c r="USF122" s="225"/>
      <c r="USG122" s="225"/>
      <c r="USH122" s="225"/>
      <c r="USI122" s="225"/>
      <c r="USJ122" s="225"/>
      <c r="USK122" s="225"/>
      <c r="USL122" s="225"/>
      <c r="USM122" s="225"/>
      <c r="USN122" s="225"/>
      <c r="USO122" s="225"/>
      <c r="USP122" s="225"/>
      <c r="USQ122" s="225"/>
      <c r="USR122" s="225"/>
      <c r="USS122" s="225"/>
      <c r="UST122" s="225"/>
      <c r="USU122" s="225"/>
      <c r="USV122" s="225"/>
      <c r="USW122" s="225"/>
      <c r="USX122" s="225"/>
      <c r="USY122" s="225"/>
      <c r="USZ122" s="225"/>
      <c r="UTA122" s="225"/>
      <c r="UTB122" s="225"/>
      <c r="UTC122" s="225"/>
      <c r="UTD122" s="225"/>
      <c r="UTE122" s="225"/>
      <c r="UTF122" s="225"/>
      <c r="UTG122" s="225"/>
      <c r="UTH122" s="225"/>
      <c r="UTI122" s="225"/>
      <c r="UTJ122" s="225"/>
      <c r="UTK122" s="225"/>
      <c r="UTL122" s="225"/>
      <c r="UTM122" s="225"/>
      <c r="UTN122" s="225"/>
      <c r="UTO122" s="225"/>
      <c r="UTP122" s="225"/>
      <c r="UTQ122" s="225"/>
      <c r="UTR122" s="225"/>
      <c r="UTS122" s="225"/>
      <c r="UTT122" s="225"/>
      <c r="UTU122" s="225"/>
      <c r="UTV122" s="225"/>
      <c r="UTW122" s="225"/>
      <c r="UTX122" s="225"/>
      <c r="UTY122" s="225"/>
      <c r="UTZ122" s="225"/>
      <c r="UUA122" s="225"/>
      <c r="UUB122" s="225"/>
      <c r="UUC122" s="225"/>
      <c r="UUD122" s="225"/>
      <c r="UUE122" s="225"/>
      <c r="UUF122" s="225"/>
      <c r="UUG122" s="225"/>
      <c r="UUH122" s="225"/>
      <c r="UUI122" s="225"/>
      <c r="UUJ122" s="225"/>
      <c r="UUK122" s="225"/>
      <c r="UUL122" s="225"/>
      <c r="UUM122" s="225"/>
      <c r="UUN122" s="225"/>
      <c r="UUO122" s="225"/>
      <c r="UUP122" s="225"/>
      <c r="UUQ122" s="225"/>
      <c r="UUR122" s="225"/>
      <c r="UUS122" s="225"/>
      <c r="UUT122" s="225"/>
      <c r="UUU122" s="225"/>
      <c r="UUV122" s="225"/>
      <c r="UUW122" s="225"/>
      <c r="UUX122" s="225"/>
      <c r="UUY122" s="225"/>
      <c r="UUZ122" s="225"/>
      <c r="UVA122" s="225"/>
      <c r="UVB122" s="225"/>
      <c r="UVC122" s="225"/>
      <c r="UVD122" s="225"/>
      <c r="UVE122" s="225"/>
      <c r="UVF122" s="225"/>
      <c r="UVG122" s="225"/>
      <c r="UVH122" s="225"/>
      <c r="UVI122" s="225"/>
      <c r="UVJ122" s="225"/>
      <c r="UVK122" s="225"/>
      <c r="UVL122" s="225"/>
      <c r="UVM122" s="225"/>
      <c r="UVN122" s="225"/>
      <c r="UVO122" s="225"/>
      <c r="UVP122" s="225"/>
      <c r="UVQ122" s="225"/>
      <c r="UVR122" s="225"/>
      <c r="UVS122" s="225"/>
      <c r="UVT122" s="225"/>
      <c r="UVU122" s="225"/>
      <c r="UVV122" s="225"/>
      <c r="UVW122" s="225"/>
      <c r="UVX122" s="225"/>
      <c r="UVY122" s="225"/>
      <c r="UVZ122" s="225"/>
      <c r="UWA122" s="225"/>
      <c r="UWB122" s="225"/>
      <c r="UWC122" s="225"/>
      <c r="UWD122" s="225"/>
      <c r="UWE122" s="225"/>
      <c r="UWF122" s="225"/>
      <c r="UWG122" s="225"/>
      <c r="UWH122" s="225"/>
      <c r="UWI122" s="225"/>
      <c r="UWJ122" s="225"/>
      <c r="UWK122" s="225"/>
      <c r="UWL122" s="225"/>
      <c r="UWM122" s="225"/>
      <c r="UWN122" s="225"/>
      <c r="UWO122" s="225"/>
      <c r="UWP122" s="225"/>
      <c r="UWQ122" s="225"/>
      <c r="UWR122" s="225"/>
      <c r="UWS122" s="225"/>
      <c r="UWT122" s="225"/>
      <c r="UWU122" s="225"/>
      <c r="UWV122" s="225"/>
      <c r="UWW122" s="225"/>
      <c r="UWX122" s="225"/>
      <c r="UWY122" s="225"/>
      <c r="UWZ122" s="225"/>
      <c r="UXA122" s="225"/>
      <c r="UXB122" s="225"/>
      <c r="UXC122" s="225"/>
      <c r="UXD122" s="225"/>
      <c r="UXE122" s="225"/>
      <c r="UXF122" s="225"/>
      <c r="UXG122" s="225"/>
      <c r="UXH122" s="225"/>
      <c r="UXI122" s="225"/>
      <c r="UXJ122" s="225"/>
      <c r="UXK122" s="225"/>
      <c r="UXL122" s="225"/>
      <c r="UXM122" s="225"/>
      <c r="UXN122" s="225"/>
      <c r="UXO122" s="225"/>
      <c r="UXP122" s="225"/>
      <c r="UXQ122" s="225"/>
      <c r="UXR122" s="225"/>
      <c r="UXS122" s="225"/>
      <c r="UXT122" s="225"/>
      <c r="UXU122" s="225"/>
      <c r="UXV122" s="225"/>
      <c r="UXW122" s="225"/>
      <c r="UXX122" s="225"/>
      <c r="UXY122" s="225"/>
      <c r="UXZ122" s="225"/>
      <c r="UYA122" s="225"/>
      <c r="UYB122" s="225"/>
      <c r="UYC122" s="225"/>
      <c r="UYD122" s="225"/>
      <c r="UYE122" s="225"/>
      <c r="UYF122" s="225"/>
      <c r="UYG122" s="225"/>
      <c r="UYH122" s="225"/>
      <c r="UYI122" s="225"/>
      <c r="UYJ122" s="225"/>
      <c r="UYK122" s="225"/>
      <c r="UYL122" s="225"/>
      <c r="UYM122" s="225"/>
      <c r="UYN122" s="225"/>
      <c r="UYO122" s="225"/>
      <c r="UYP122" s="225"/>
      <c r="UYQ122" s="225"/>
      <c r="UYR122" s="225"/>
      <c r="UYS122" s="225"/>
      <c r="UYT122" s="225"/>
      <c r="UYU122" s="225"/>
      <c r="UYV122" s="225"/>
      <c r="UYW122" s="225"/>
      <c r="UYX122" s="225"/>
      <c r="UYY122" s="225"/>
      <c r="UYZ122" s="225"/>
      <c r="UZA122" s="225"/>
      <c r="UZB122" s="225"/>
      <c r="UZC122" s="225"/>
      <c r="UZD122" s="225"/>
      <c r="UZE122" s="225"/>
      <c r="UZF122" s="225"/>
      <c r="UZG122" s="225"/>
      <c r="UZH122" s="225"/>
      <c r="UZI122" s="225"/>
      <c r="UZJ122" s="225"/>
      <c r="UZK122" s="225"/>
      <c r="UZL122" s="225"/>
      <c r="UZM122" s="225"/>
      <c r="UZN122" s="225"/>
      <c r="UZO122" s="225"/>
      <c r="UZP122" s="225"/>
      <c r="UZQ122" s="225"/>
      <c r="UZR122" s="225"/>
      <c r="UZS122" s="225"/>
      <c r="UZT122" s="225"/>
      <c r="UZU122" s="225"/>
      <c r="UZV122" s="225"/>
      <c r="UZW122" s="225"/>
      <c r="UZX122" s="225"/>
      <c r="UZY122" s="225"/>
      <c r="UZZ122" s="225"/>
      <c r="VAA122" s="225"/>
      <c r="VAB122" s="225"/>
      <c r="VAC122" s="225"/>
      <c r="VAD122" s="225"/>
      <c r="VAE122" s="225"/>
      <c r="VAF122" s="225"/>
      <c r="VAG122" s="225"/>
      <c r="VAH122" s="225"/>
      <c r="VAI122" s="225"/>
      <c r="VAJ122" s="225"/>
      <c r="VAK122" s="225"/>
      <c r="VAL122" s="225"/>
      <c r="VAM122" s="225"/>
      <c r="VAN122" s="225"/>
      <c r="VAO122" s="225"/>
      <c r="VAP122" s="225"/>
      <c r="VAQ122" s="225"/>
      <c r="VAR122" s="225"/>
      <c r="VAS122" s="225"/>
      <c r="VAT122" s="225"/>
      <c r="VAU122" s="225"/>
      <c r="VAV122" s="225"/>
      <c r="VAW122" s="225"/>
      <c r="VAX122" s="225"/>
      <c r="VAY122" s="225"/>
      <c r="VAZ122" s="225"/>
      <c r="VBA122" s="225"/>
      <c r="VBB122" s="225"/>
      <c r="VBC122" s="225"/>
      <c r="VBD122" s="225"/>
      <c r="VBE122" s="225"/>
      <c r="VBF122" s="225"/>
      <c r="VBG122" s="225"/>
      <c r="VBH122" s="225"/>
      <c r="VBI122" s="225"/>
      <c r="VBJ122" s="225"/>
      <c r="VBK122" s="225"/>
      <c r="VBL122" s="225"/>
      <c r="VBM122" s="225"/>
      <c r="VBN122" s="225"/>
      <c r="VBO122" s="225"/>
      <c r="VBP122" s="225"/>
      <c r="VBQ122" s="225"/>
      <c r="VBR122" s="225"/>
      <c r="VBS122" s="225"/>
      <c r="VBT122" s="225"/>
      <c r="VBU122" s="225"/>
      <c r="VBV122" s="225"/>
      <c r="VBW122" s="225"/>
      <c r="VBX122" s="225"/>
      <c r="VBY122" s="225"/>
      <c r="VBZ122" s="225"/>
      <c r="VCA122" s="225"/>
      <c r="VCB122" s="225"/>
      <c r="VCC122" s="225"/>
      <c r="VCD122" s="225"/>
      <c r="VCE122" s="225"/>
      <c r="VCF122" s="225"/>
      <c r="VCG122" s="225"/>
      <c r="VCH122" s="225"/>
      <c r="VCI122" s="225"/>
      <c r="VCJ122" s="225"/>
      <c r="VCK122" s="225"/>
      <c r="VCL122" s="225"/>
      <c r="VCM122" s="225"/>
      <c r="VCN122" s="225"/>
      <c r="VCO122" s="225"/>
      <c r="VCP122" s="225"/>
      <c r="VCQ122" s="225"/>
      <c r="VCR122" s="225"/>
      <c r="VCS122" s="225"/>
      <c r="VCT122" s="225"/>
      <c r="VCU122" s="225"/>
      <c r="VCV122" s="225"/>
      <c r="VCW122" s="225"/>
      <c r="VCX122" s="225"/>
      <c r="VCY122" s="225"/>
      <c r="VCZ122" s="225"/>
      <c r="VDA122" s="225"/>
      <c r="VDB122" s="225"/>
      <c r="VDC122" s="225"/>
      <c r="VDD122" s="225"/>
      <c r="VDE122" s="225"/>
      <c r="VDF122" s="225"/>
      <c r="VDG122" s="225"/>
      <c r="VDH122" s="225"/>
      <c r="VDI122" s="225"/>
      <c r="VDJ122" s="225"/>
      <c r="VDK122" s="225"/>
      <c r="VDL122" s="225"/>
      <c r="VDM122" s="225"/>
      <c r="VDN122" s="225"/>
      <c r="VDO122" s="225"/>
      <c r="VDP122" s="225"/>
      <c r="VDQ122" s="225"/>
      <c r="VDR122" s="225"/>
      <c r="VDS122" s="225"/>
      <c r="VDT122" s="225"/>
      <c r="VDU122" s="225"/>
      <c r="VDV122" s="225"/>
      <c r="VDW122" s="225"/>
      <c r="VDX122" s="225"/>
      <c r="VDY122" s="225"/>
      <c r="VDZ122" s="225"/>
      <c r="VEA122" s="225"/>
      <c r="VEB122" s="225"/>
      <c r="VEC122" s="225"/>
      <c r="VED122" s="225"/>
      <c r="VEE122" s="225"/>
      <c r="VEF122" s="225"/>
      <c r="VEG122" s="225"/>
      <c r="VEH122" s="225"/>
      <c r="VEI122" s="225"/>
      <c r="VEJ122" s="225"/>
      <c r="VEK122" s="225"/>
      <c r="VEL122" s="225"/>
      <c r="VEM122" s="225"/>
      <c r="VEN122" s="225"/>
      <c r="VEO122" s="225"/>
      <c r="VEP122" s="225"/>
      <c r="VEQ122" s="225"/>
      <c r="VER122" s="225"/>
      <c r="VES122" s="225"/>
      <c r="VET122" s="225"/>
      <c r="VEU122" s="225"/>
      <c r="VEV122" s="225"/>
      <c r="VEW122" s="225"/>
      <c r="VEX122" s="225"/>
      <c r="VEY122" s="225"/>
      <c r="VEZ122" s="225"/>
      <c r="VFA122" s="225"/>
      <c r="VFB122" s="225"/>
      <c r="VFC122" s="225"/>
      <c r="VFD122" s="225"/>
      <c r="VFE122" s="225"/>
      <c r="VFF122" s="225"/>
      <c r="VFG122" s="225"/>
      <c r="VFH122" s="225"/>
      <c r="VFI122" s="225"/>
      <c r="VFJ122" s="225"/>
      <c r="VFK122" s="225"/>
      <c r="VFL122" s="225"/>
      <c r="VFM122" s="225"/>
      <c r="VFN122" s="225"/>
      <c r="VFO122" s="225"/>
      <c r="VFP122" s="225"/>
      <c r="VFQ122" s="225"/>
      <c r="VFR122" s="225"/>
      <c r="VFS122" s="225"/>
      <c r="VFT122" s="225"/>
      <c r="VFU122" s="225"/>
      <c r="VFV122" s="225"/>
      <c r="VFW122" s="225"/>
      <c r="VFX122" s="225"/>
      <c r="VFY122" s="225"/>
      <c r="VFZ122" s="225"/>
      <c r="VGA122" s="225"/>
      <c r="VGB122" s="225"/>
      <c r="VGC122" s="225"/>
      <c r="VGD122" s="225"/>
      <c r="VGE122" s="225"/>
      <c r="VGF122" s="225"/>
      <c r="VGG122" s="225"/>
      <c r="VGH122" s="225"/>
      <c r="VGI122" s="225"/>
      <c r="VGJ122" s="225"/>
      <c r="VGK122" s="225"/>
      <c r="VGL122" s="225"/>
      <c r="VGM122" s="225"/>
      <c r="VGN122" s="225"/>
      <c r="VGO122" s="225"/>
      <c r="VGP122" s="225"/>
      <c r="VGQ122" s="225"/>
      <c r="VGR122" s="225"/>
      <c r="VGS122" s="225"/>
      <c r="VGT122" s="225"/>
      <c r="VGU122" s="225"/>
      <c r="VGV122" s="225"/>
      <c r="VGW122" s="225"/>
      <c r="VGX122" s="225"/>
      <c r="VGY122" s="225"/>
      <c r="VGZ122" s="225"/>
      <c r="VHA122" s="225"/>
      <c r="VHB122" s="225"/>
      <c r="VHC122" s="225"/>
      <c r="VHD122" s="225"/>
      <c r="VHE122" s="225"/>
      <c r="VHF122" s="225"/>
      <c r="VHG122" s="225"/>
      <c r="VHH122" s="225"/>
      <c r="VHI122" s="225"/>
      <c r="VHJ122" s="225"/>
      <c r="VHK122" s="225"/>
      <c r="VHL122" s="225"/>
      <c r="VHM122" s="225"/>
      <c r="VHN122" s="225"/>
      <c r="VHO122" s="225"/>
      <c r="VHP122" s="225"/>
      <c r="VHQ122" s="225"/>
      <c r="VHR122" s="225"/>
      <c r="VHS122" s="225"/>
      <c r="VHT122" s="225"/>
      <c r="VHU122" s="225"/>
      <c r="VHV122" s="225"/>
      <c r="VHW122" s="225"/>
      <c r="VHX122" s="225"/>
      <c r="VHY122" s="225"/>
      <c r="VHZ122" s="225"/>
      <c r="VIA122" s="225"/>
      <c r="VIB122" s="225"/>
      <c r="VIC122" s="225"/>
      <c r="VID122" s="225"/>
      <c r="VIE122" s="225"/>
      <c r="VIF122" s="225"/>
      <c r="VIG122" s="225"/>
      <c r="VIH122" s="225"/>
      <c r="VII122" s="225"/>
      <c r="VIJ122" s="225"/>
      <c r="VIK122" s="225"/>
      <c r="VIL122" s="225"/>
      <c r="VIM122" s="225"/>
      <c r="VIN122" s="225"/>
      <c r="VIO122" s="225"/>
      <c r="VIP122" s="225"/>
      <c r="VIQ122" s="225"/>
      <c r="VIR122" s="225"/>
      <c r="VIS122" s="225"/>
      <c r="VIT122" s="225"/>
      <c r="VIU122" s="225"/>
      <c r="VIV122" s="225"/>
      <c r="VIW122" s="225"/>
      <c r="VIX122" s="225"/>
      <c r="VIY122" s="225"/>
      <c r="VIZ122" s="225"/>
      <c r="VJA122" s="225"/>
      <c r="VJB122" s="225"/>
      <c r="VJC122" s="225"/>
      <c r="VJD122" s="225"/>
      <c r="VJE122" s="225"/>
      <c r="VJF122" s="225"/>
      <c r="VJG122" s="225"/>
      <c r="VJH122" s="225"/>
      <c r="VJI122" s="225"/>
      <c r="VJJ122" s="225"/>
      <c r="VJK122" s="225"/>
      <c r="VJL122" s="225"/>
      <c r="VJM122" s="225"/>
      <c r="VJN122" s="225"/>
      <c r="VJO122" s="225"/>
      <c r="VJP122" s="225"/>
      <c r="VJQ122" s="225"/>
      <c r="VJR122" s="225"/>
      <c r="VJS122" s="225"/>
      <c r="VJT122" s="225"/>
      <c r="VJU122" s="225"/>
      <c r="VJV122" s="225"/>
      <c r="VJW122" s="225"/>
      <c r="VJX122" s="225"/>
      <c r="VJY122" s="225"/>
      <c r="VJZ122" s="225"/>
      <c r="VKA122" s="225"/>
      <c r="VKB122" s="225"/>
      <c r="VKC122" s="225"/>
      <c r="VKD122" s="225"/>
      <c r="VKE122" s="225"/>
      <c r="VKF122" s="225"/>
      <c r="VKG122" s="225"/>
      <c r="VKH122" s="225"/>
      <c r="VKI122" s="225"/>
      <c r="VKJ122" s="225"/>
      <c r="VKK122" s="225"/>
      <c r="VKL122" s="225"/>
      <c r="VKM122" s="225"/>
      <c r="VKN122" s="225"/>
      <c r="VKO122" s="225"/>
      <c r="VKP122" s="225"/>
      <c r="VKQ122" s="225"/>
      <c r="VKR122" s="225"/>
      <c r="VKS122" s="225"/>
      <c r="VKT122" s="225"/>
      <c r="VKU122" s="225"/>
      <c r="VKV122" s="225"/>
      <c r="VKW122" s="225"/>
      <c r="VKX122" s="225"/>
      <c r="VKY122" s="225"/>
      <c r="VKZ122" s="225"/>
      <c r="VLA122" s="225"/>
      <c r="VLB122" s="225"/>
      <c r="VLC122" s="225"/>
      <c r="VLD122" s="225"/>
      <c r="VLE122" s="225"/>
      <c r="VLF122" s="225"/>
      <c r="VLG122" s="225"/>
      <c r="VLH122" s="225"/>
      <c r="VLI122" s="225"/>
      <c r="VLJ122" s="225"/>
      <c r="VLK122" s="225"/>
      <c r="VLL122" s="225"/>
      <c r="VLM122" s="225"/>
      <c r="VLN122" s="225"/>
      <c r="VLO122" s="225"/>
      <c r="VLP122" s="225"/>
      <c r="VLQ122" s="225"/>
      <c r="VLR122" s="225"/>
      <c r="VLS122" s="225"/>
      <c r="VLT122" s="225"/>
      <c r="VLU122" s="225"/>
      <c r="VLV122" s="225"/>
      <c r="VLW122" s="225"/>
      <c r="VLX122" s="225"/>
      <c r="VLY122" s="225"/>
      <c r="VLZ122" s="225"/>
      <c r="VMA122" s="225"/>
      <c r="VMB122" s="225"/>
      <c r="VMC122" s="225"/>
      <c r="VMD122" s="225"/>
      <c r="VME122" s="225"/>
      <c r="VMF122" s="225"/>
      <c r="VMG122" s="225"/>
      <c r="VMH122" s="225"/>
      <c r="VMI122" s="225"/>
      <c r="VMJ122" s="225"/>
      <c r="VMK122" s="225"/>
      <c r="VML122" s="225"/>
      <c r="VMM122" s="225"/>
      <c r="VMN122" s="225"/>
      <c r="VMO122" s="225"/>
      <c r="VMP122" s="225"/>
      <c r="VMQ122" s="225"/>
      <c r="VMR122" s="225"/>
      <c r="VMS122" s="225"/>
      <c r="VMT122" s="225"/>
      <c r="VMU122" s="225"/>
      <c r="VMV122" s="225"/>
      <c r="VMW122" s="225"/>
      <c r="VMX122" s="225"/>
      <c r="VMY122" s="225"/>
      <c r="VMZ122" s="225"/>
      <c r="VNA122" s="225"/>
      <c r="VNB122" s="225"/>
      <c r="VNC122" s="225"/>
      <c r="VND122" s="225"/>
      <c r="VNE122" s="225"/>
      <c r="VNF122" s="225"/>
      <c r="VNG122" s="225"/>
      <c r="VNH122" s="225"/>
      <c r="VNI122" s="225"/>
      <c r="VNJ122" s="225"/>
      <c r="VNK122" s="225"/>
      <c r="VNL122" s="225"/>
      <c r="VNM122" s="225"/>
      <c r="VNN122" s="225"/>
      <c r="VNO122" s="225"/>
      <c r="VNP122" s="225"/>
      <c r="VNQ122" s="225"/>
      <c r="VNR122" s="225"/>
      <c r="VNS122" s="225"/>
      <c r="VNT122" s="225"/>
      <c r="VNU122" s="225"/>
      <c r="VNV122" s="225"/>
      <c r="VNW122" s="225"/>
      <c r="VNX122" s="225"/>
      <c r="VNY122" s="225"/>
      <c r="VNZ122" s="225"/>
      <c r="VOA122" s="225"/>
      <c r="VOB122" s="225"/>
      <c r="VOC122" s="225"/>
      <c r="VOD122" s="225"/>
      <c r="VOE122" s="225"/>
      <c r="VOF122" s="225"/>
      <c r="VOG122" s="225"/>
      <c r="VOH122" s="225"/>
      <c r="VOI122" s="225"/>
      <c r="VOJ122" s="225"/>
      <c r="VOK122" s="225"/>
      <c r="VOL122" s="225"/>
      <c r="VOM122" s="225"/>
      <c r="VON122" s="225"/>
      <c r="VOO122" s="225"/>
      <c r="VOP122" s="225"/>
      <c r="VOQ122" s="225"/>
      <c r="VOR122" s="225"/>
      <c r="VOS122" s="225"/>
      <c r="VOT122" s="225"/>
      <c r="VOU122" s="225"/>
      <c r="VOV122" s="225"/>
      <c r="VOW122" s="225"/>
      <c r="VOX122" s="225"/>
      <c r="VOY122" s="225"/>
      <c r="VOZ122" s="225"/>
      <c r="VPA122" s="225"/>
      <c r="VPB122" s="225"/>
      <c r="VPC122" s="225"/>
      <c r="VPD122" s="225"/>
      <c r="VPE122" s="225"/>
      <c r="VPF122" s="225"/>
      <c r="VPG122" s="225"/>
      <c r="VPH122" s="225"/>
      <c r="VPI122" s="225"/>
      <c r="VPJ122" s="225"/>
      <c r="VPK122" s="225"/>
      <c r="VPL122" s="225"/>
      <c r="VPM122" s="225"/>
      <c r="VPN122" s="225"/>
      <c r="VPO122" s="225"/>
      <c r="VPP122" s="225"/>
      <c r="VPQ122" s="225"/>
      <c r="VPR122" s="225"/>
      <c r="VPS122" s="225"/>
      <c r="VPT122" s="225"/>
      <c r="VPU122" s="225"/>
      <c r="VPV122" s="225"/>
      <c r="VPW122" s="225"/>
      <c r="VPX122" s="225"/>
      <c r="VPY122" s="225"/>
      <c r="VPZ122" s="225"/>
      <c r="VQA122" s="225"/>
      <c r="VQB122" s="225"/>
      <c r="VQC122" s="225"/>
      <c r="VQD122" s="225"/>
      <c r="VQE122" s="225"/>
      <c r="VQF122" s="225"/>
      <c r="VQG122" s="225"/>
      <c r="VQH122" s="225"/>
      <c r="VQI122" s="225"/>
      <c r="VQJ122" s="225"/>
      <c r="VQK122" s="225"/>
      <c r="VQL122" s="225"/>
      <c r="VQM122" s="225"/>
      <c r="VQN122" s="225"/>
      <c r="VQO122" s="225"/>
      <c r="VQP122" s="225"/>
      <c r="VQQ122" s="225"/>
      <c r="VQR122" s="225"/>
      <c r="VQS122" s="225"/>
      <c r="VQT122" s="225"/>
      <c r="VQU122" s="225"/>
      <c r="VQV122" s="225"/>
      <c r="VQW122" s="225"/>
      <c r="VQX122" s="225"/>
      <c r="VQY122" s="225"/>
      <c r="VQZ122" s="225"/>
      <c r="VRA122" s="225"/>
      <c r="VRB122" s="225"/>
      <c r="VRC122" s="225"/>
      <c r="VRD122" s="225"/>
      <c r="VRE122" s="225"/>
      <c r="VRF122" s="225"/>
      <c r="VRG122" s="225"/>
      <c r="VRH122" s="225"/>
      <c r="VRI122" s="225"/>
      <c r="VRJ122" s="225"/>
      <c r="VRK122" s="225"/>
      <c r="VRL122" s="225"/>
      <c r="VRM122" s="225"/>
      <c r="VRN122" s="225"/>
      <c r="VRO122" s="225"/>
      <c r="VRP122" s="225"/>
      <c r="VRQ122" s="225"/>
      <c r="VRR122" s="225"/>
      <c r="VRS122" s="225"/>
      <c r="VRT122" s="225"/>
      <c r="VRU122" s="225"/>
      <c r="VRV122" s="225"/>
      <c r="VRW122" s="225"/>
      <c r="VRX122" s="225"/>
      <c r="VRY122" s="225"/>
      <c r="VRZ122" s="225"/>
      <c r="VSA122" s="225"/>
      <c r="VSB122" s="225"/>
      <c r="VSC122" s="225"/>
      <c r="VSD122" s="225"/>
      <c r="VSE122" s="225"/>
      <c r="VSF122" s="225"/>
      <c r="VSG122" s="225"/>
      <c r="VSH122" s="225"/>
      <c r="VSI122" s="225"/>
      <c r="VSJ122" s="225"/>
      <c r="VSK122" s="225"/>
      <c r="VSL122" s="225"/>
      <c r="VSM122" s="225"/>
      <c r="VSN122" s="225"/>
      <c r="VSO122" s="225"/>
      <c r="VSP122" s="225"/>
      <c r="VSQ122" s="225"/>
      <c r="VSR122" s="225"/>
      <c r="VSS122" s="225"/>
      <c r="VST122" s="225"/>
      <c r="VSU122" s="225"/>
      <c r="VSV122" s="225"/>
      <c r="VSW122" s="225"/>
      <c r="VSX122" s="225"/>
      <c r="VSY122" s="225"/>
      <c r="VSZ122" s="225"/>
      <c r="VTA122" s="225"/>
      <c r="VTB122" s="225"/>
      <c r="VTC122" s="225"/>
      <c r="VTD122" s="225"/>
      <c r="VTE122" s="225"/>
      <c r="VTF122" s="225"/>
      <c r="VTG122" s="225"/>
      <c r="VTH122" s="225"/>
      <c r="VTI122" s="225"/>
      <c r="VTJ122" s="225"/>
      <c r="VTK122" s="225"/>
      <c r="VTL122" s="225"/>
      <c r="VTM122" s="225"/>
      <c r="VTN122" s="225"/>
      <c r="VTO122" s="225"/>
      <c r="VTP122" s="225"/>
      <c r="VTQ122" s="225"/>
      <c r="VTR122" s="225"/>
      <c r="VTS122" s="225"/>
      <c r="VTT122" s="225"/>
      <c r="VTU122" s="225"/>
      <c r="VTV122" s="225"/>
      <c r="VTW122" s="225"/>
      <c r="VTX122" s="225"/>
      <c r="VTY122" s="225"/>
      <c r="VTZ122" s="225"/>
      <c r="VUA122" s="225"/>
      <c r="VUB122" s="225"/>
      <c r="VUC122" s="225"/>
      <c r="VUD122" s="225"/>
      <c r="VUE122" s="225"/>
      <c r="VUF122" s="225"/>
      <c r="VUG122" s="225"/>
      <c r="VUH122" s="225"/>
      <c r="VUI122" s="225"/>
      <c r="VUJ122" s="225"/>
      <c r="VUK122" s="225"/>
      <c r="VUL122" s="225"/>
      <c r="VUM122" s="225"/>
      <c r="VUN122" s="225"/>
      <c r="VUO122" s="225"/>
      <c r="VUP122" s="225"/>
      <c r="VUQ122" s="225"/>
      <c r="VUR122" s="225"/>
      <c r="VUS122" s="225"/>
      <c r="VUT122" s="225"/>
      <c r="VUU122" s="225"/>
      <c r="VUV122" s="225"/>
      <c r="VUW122" s="225"/>
      <c r="VUX122" s="225"/>
      <c r="VUY122" s="225"/>
      <c r="VUZ122" s="225"/>
      <c r="VVA122" s="225"/>
      <c r="VVB122" s="225"/>
      <c r="VVC122" s="225"/>
      <c r="VVD122" s="225"/>
      <c r="VVE122" s="225"/>
      <c r="VVF122" s="225"/>
      <c r="VVG122" s="225"/>
      <c r="VVH122" s="225"/>
      <c r="VVI122" s="225"/>
      <c r="VVJ122" s="225"/>
      <c r="VVK122" s="225"/>
      <c r="VVL122" s="225"/>
      <c r="VVM122" s="225"/>
      <c r="VVN122" s="225"/>
      <c r="VVO122" s="225"/>
      <c r="VVP122" s="225"/>
      <c r="VVQ122" s="225"/>
      <c r="VVR122" s="225"/>
      <c r="VVS122" s="225"/>
      <c r="VVT122" s="225"/>
      <c r="VVU122" s="225"/>
      <c r="VVV122" s="225"/>
      <c r="VVW122" s="225"/>
      <c r="VVX122" s="225"/>
      <c r="VVY122" s="225"/>
      <c r="VVZ122" s="225"/>
      <c r="VWA122" s="225"/>
      <c r="VWB122" s="225"/>
      <c r="VWC122" s="225"/>
      <c r="VWD122" s="225"/>
      <c r="VWE122" s="225"/>
      <c r="VWF122" s="225"/>
      <c r="VWG122" s="225"/>
      <c r="VWH122" s="225"/>
      <c r="VWI122" s="225"/>
      <c r="VWJ122" s="225"/>
      <c r="VWK122" s="225"/>
      <c r="VWL122" s="225"/>
      <c r="VWM122" s="225"/>
      <c r="VWN122" s="225"/>
      <c r="VWO122" s="225"/>
      <c r="VWP122" s="225"/>
      <c r="VWQ122" s="225"/>
      <c r="VWR122" s="225"/>
      <c r="VWS122" s="225"/>
      <c r="VWT122" s="225"/>
      <c r="VWU122" s="225"/>
      <c r="VWV122" s="225"/>
      <c r="VWW122" s="225"/>
      <c r="VWX122" s="225"/>
      <c r="VWY122" s="225"/>
      <c r="VWZ122" s="225"/>
      <c r="VXA122" s="225"/>
      <c r="VXB122" s="225"/>
      <c r="VXC122" s="225"/>
      <c r="VXD122" s="225"/>
      <c r="VXE122" s="225"/>
      <c r="VXF122" s="225"/>
      <c r="VXG122" s="225"/>
      <c r="VXH122" s="225"/>
      <c r="VXI122" s="225"/>
      <c r="VXJ122" s="225"/>
      <c r="VXK122" s="225"/>
      <c r="VXL122" s="225"/>
      <c r="VXM122" s="225"/>
      <c r="VXN122" s="225"/>
      <c r="VXO122" s="225"/>
      <c r="VXP122" s="225"/>
      <c r="VXQ122" s="225"/>
      <c r="VXR122" s="225"/>
      <c r="VXS122" s="225"/>
      <c r="VXT122" s="225"/>
      <c r="VXU122" s="225"/>
      <c r="VXV122" s="225"/>
      <c r="VXW122" s="225"/>
      <c r="VXX122" s="225"/>
      <c r="VXY122" s="225"/>
      <c r="VXZ122" s="225"/>
      <c r="VYA122" s="225"/>
      <c r="VYB122" s="225"/>
      <c r="VYC122" s="225"/>
      <c r="VYD122" s="225"/>
      <c r="VYE122" s="225"/>
      <c r="VYF122" s="225"/>
      <c r="VYG122" s="225"/>
      <c r="VYH122" s="225"/>
      <c r="VYI122" s="225"/>
      <c r="VYJ122" s="225"/>
      <c r="VYK122" s="225"/>
      <c r="VYL122" s="225"/>
      <c r="VYM122" s="225"/>
      <c r="VYN122" s="225"/>
      <c r="VYO122" s="225"/>
      <c r="VYP122" s="225"/>
      <c r="VYQ122" s="225"/>
      <c r="VYR122" s="225"/>
      <c r="VYS122" s="225"/>
      <c r="VYT122" s="225"/>
      <c r="VYU122" s="225"/>
      <c r="VYV122" s="225"/>
      <c r="VYW122" s="225"/>
      <c r="VYX122" s="225"/>
      <c r="VYY122" s="225"/>
      <c r="VYZ122" s="225"/>
      <c r="VZA122" s="225"/>
      <c r="VZB122" s="225"/>
      <c r="VZC122" s="225"/>
      <c r="VZD122" s="225"/>
      <c r="VZE122" s="225"/>
      <c r="VZF122" s="225"/>
      <c r="VZG122" s="225"/>
      <c r="VZH122" s="225"/>
      <c r="VZI122" s="225"/>
      <c r="VZJ122" s="225"/>
      <c r="VZK122" s="225"/>
      <c r="VZL122" s="225"/>
      <c r="VZM122" s="225"/>
      <c r="VZN122" s="225"/>
      <c r="VZO122" s="225"/>
      <c r="VZP122" s="225"/>
      <c r="VZQ122" s="225"/>
      <c r="VZR122" s="225"/>
      <c r="VZS122" s="225"/>
      <c r="VZT122" s="225"/>
      <c r="VZU122" s="225"/>
      <c r="VZV122" s="225"/>
      <c r="VZW122" s="225"/>
      <c r="VZX122" s="225"/>
      <c r="VZY122" s="225"/>
      <c r="VZZ122" s="225"/>
      <c r="WAA122" s="225"/>
      <c r="WAB122" s="225"/>
      <c r="WAC122" s="225"/>
      <c r="WAD122" s="225"/>
      <c r="WAE122" s="225"/>
      <c r="WAF122" s="225"/>
      <c r="WAG122" s="225"/>
      <c r="WAH122" s="225"/>
      <c r="WAI122" s="225"/>
      <c r="WAJ122" s="225"/>
      <c r="WAK122" s="225"/>
      <c r="WAL122" s="225"/>
      <c r="WAM122" s="225"/>
      <c r="WAN122" s="225"/>
      <c r="WAO122" s="225"/>
      <c r="WAP122" s="225"/>
      <c r="WAQ122" s="225"/>
      <c r="WAR122" s="225"/>
      <c r="WAS122" s="225"/>
      <c r="WAT122" s="225"/>
      <c r="WAU122" s="225"/>
      <c r="WAV122" s="225"/>
      <c r="WAW122" s="225"/>
      <c r="WAX122" s="225"/>
      <c r="WAY122" s="225"/>
      <c r="WAZ122" s="225"/>
      <c r="WBA122" s="225"/>
      <c r="WBB122" s="225"/>
      <c r="WBC122" s="225"/>
      <c r="WBD122" s="225"/>
      <c r="WBE122" s="225"/>
      <c r="WBF122" s="225"/>
      <c r="WBG122" s="225"/>
      <c r="WBH122" s="225"/>
      <c r="WBI122" s="225"/>
      <c r="WBJ122" s="225"/>
      <c r="WBK122" s="225"/>
      <c r="WBL122" s="225"/>
      <c r="WBM122" s="225"/>
      <c r="WBN122" s="225"/>
      <c r="WBO122" s="225"/>
      <c r="WBP122" s="225"/>
      <c r="WBQ122" s="225"/>
      <c r="WBR122" s="225"/>
      <c r="WBS122" s="225"/>
      <c r="WBT122" s="225"/>
      <c r="WBU122" s="225"/>
      <c r="WBV122" s="225"/>
      <c r="WBW122" s="225"/>
      <c r="WBX122" s="225"/>
      <c r="WBY122" s="225"/>
      <c r="WBZ122" s="225"/>
      <c r="WCA122" s="225"/>
      <c r="WCB122" s="225"/>
      <c r="WCC122" s="225"/>
      <c r="WCD122" s="225"/>
      <c r="WCE122" s="225"/>
      <c r="WCF122" s="225"/>
      <c r="WCG122" s="225"/>
      <c r="WCH122" s="225"/>
      <c r="WCI122" s="225"/>
      <c r="WCJ122" s="225"/>
      <c r="WCK122" s="225"/>
      <c r="WCL122" s="225"/>
      <c r="WCM122" s="225"/>
      <c r="WCN122" s="225"/>
      <c r="WCO122" s="225"/>
      <c r="WCP122" s="225"/>
      <c r="WCQ122" s="225"/>
      <c r="WCR122" s="225"/>
      <c r="WCS122" s="225"/>
      <c r="WCT122" s="225"/>
      <c r="WCU122" s="225"/>
      <c r="WCV122" s="225"/>
      <c r="WCW122" s="225"/>
      <c r="WCX122" s="225"/>
      <c r="WCY122" s="225"/>
      <c r="WCZ122" s="225"/>
      <c r="WDA122" s="225"/>
      <c r="WDB122" s="225"/>
      <c r="WDC122" s="225"/>
      <c r="WDD122" s="225"/>
      <c r="WDE122" s="225"/>
      <c r="WDF122" s="225"/>
      <c r="WDG122" s="225"/>
      <c r="WDH122" s="225"/>
      <c r="WDI122" s="225"/>
      <c r="WDJ122" s="225"/>
      <c r="WDK122" s="225"/>
      <c r="WDL122" s="225"/>
      <c r="WDM122" s="225"/>
      <c r="WDN122" s="225"/>
      <c r="WDO122" s="225"/>
      <c r="WDP122" s="225"/>
      <c r="WDQ122" s="225"/>
      <c r="WDR122" s="225"/>
      <c r="WDS122" s="225"/>
      <c r="WDT122" s="225"/>
      <c r="WDU122" s="225"/>
      <c r="WDV122" s="225"/>
      <c r="WDW122" s="225"/>
      <c r="WDX122" s="225"/>
      <c r="WDY122" s="225"/>
      <c r="WDZ122" s="225"/>
      <c r="WEA122" s="225"/>
      <c r="WEB122" s="225"/>
      <c r="WEC122" s="225"/>
      <c r="WED122" s="225"/>
      <c r="WEE122" s="225"/>
      <c r="WEF122" s="225"/>
      <c r="WEG122" s="225"/>
      <c r="WEH122" s="225"/>
      <c r="WEI122" s="225"/>
      <c r="WEJ122" s="225"/>
      <c r="WEK122" s="225"/>
      <c r="WEL122" s="225"/>
      <c r="WEM122" s="225"/>
      <c r="WEN122" s="225"/>
      <c r="WEO122" s="225"/>
      <c r="WEP122" s="225"/>
      <c r="WEQ122" s="225"/>
      <c r="WER122" s="225"/>
      <c r="WES122" s="225"/>
      <c r="WET122" s="225"/>
      <c r="WEU122" s="225"/>
      <c r="WEV122" s="225"/>
      <c r="WEW122" s="225"/>
      <c r="WEX122" s="225"/>
      <c r="WEY122" s="225"/>
      <c r="WEZ122" s="225"/>
      <c r="WFA122" s="225"/>
      <c r="WFB122" s="225"/>
      <c r="WFC122" s="225"/>
      <c r="WFD122" s="225"/>
      <c r="WFE122" s="225"/>
      <c r="WFF122" s="225"/>
      <c r="WFG122" s="225"/>
      <c r="WFH122" s="225"/>
      <c r="WFI122" s="225"/>
      <c r="WFJ122" s="225"/>
      <c r="WFK122" s="225"/>
      <c r="WFL122" s="225"/>
      <c r="WFM122" s="225"/>
      <c r="WFN122" s="225"/>
      <c r="WFO122" s="225"/>
      <c r="WFP122" s="225"/>
      <c r="WFQ122" s="225"/>
      <c r="WFR122" s="225"/>
      <c r="WFS122" s="225"/>
      <c r="WFT122" s="225"/>
      <c r="WFU122" s="225"/>
      <c r="WFV122" s="225"/>
      <c r="WFW122" s="225"/>
      <c r="WFX122" s="225"/>
      <c r="WFY122" s="225"/>
      <c r="WFZ122" s="225"/>
      <c r="WGA122" s="225"/>
      <c r="WGB122" s="225"/>
      <c r="WGC122" s="225"/>
      <c r="WGD122" s="225"/>
      <c r="WGE122" s="225"/>
      <c r="WGF122" s="225"/>
      <c r="WGG122" s="225"/>
      <c r="WGH122" s="225"/>
      <c r="WGI122" s="225"/>
      <c r="WGJ122" s="225"/>
      <c r="WGK122" s="225"/>
      <c r="WGL122" s="225"/>
      <c r="WGM122" s="225"/>
      <c r="WGN122" s="225"/>
      <c r="WGO122" s="225"/>
      <c r="WGP122" s="225"/>
      <c r="WGQ122" s="225"/>
      <c r="WGR122" s="225"/>
      <c r="WGS122" s="225"/>
      <c r="WGT122" s="225"/>
      <c r="WGU122" s="225"/>
      <c r="WGV122" s="225"/>
      <c r="WGW122" s="225"/>
      <c r="WGX122" s="225"/>
      <c r="WGY122" s="225"/>
      <c r="WGZ122" s="225"/>
      <c r="WHA122" s="225"/>
      <c r="WHB122" s="225"/>
      <c r="WHC122" s="225"/>
      <c r="WHD122" s="225"/>
      <c r="WHE122" s="225"/>
      <c r="WHF122" s="225"/>
      <c r="WHG122" s="225"/>
      <c r="WHH122" s="225"/>
      <c r="WHI122" s="225"/>
      <c r="WHJ122" s="225"/>
      <c r="WHK122" s="225"/>
      <c r="WHL122" s="225"/>
      <c r="WHM122" s="225"/>
      <c r="WHN122" s="225"/>
      <c r="WHO122" s="225"/>
      <c r="WHP122" s="225"/>
      <c r="WHQ122" s="225"/>
      <c r="WHR122" s="225"/>
      <c r="WHS122" s="225"/>
      <c r="WHT122" s="225"/>
      <c r="WHU122" s="225"/>
      <c r="WHV122" s="225"/>
      <c r="WHW122" s="225"/>
      <c r="WHX122" s="225"/>
      <c r="WHY122" s="225"/>
      <c r="WHZ122" s="225"/>
      <c r="WIA122" s="225"/>
      <c r="WIB122" s="225"/>
      <c r="WIC122" s="225"/>
      <c r="WID122" s="225"/>
      <c r="WIE122" s="225"/>
      <c r="WIF122" s="225"/>
      <c r="WIG122" s="225"/>
      <c r="WIH122" s="225"/>
      <c r="WII122" s="225"/>
      <c r="WIJ122" s="225"/>
      <c r="WIK122" s="225"/>
      <c r="WIL122" s="225"/>
      <c r="WIM122" s="225"/>
      <c r="WIN122" s="225"/>
      <c r="WIO122" s="225"/>
      <c r="WIP122" s="225"/>
      <c r="WIQ122" s="225"/>
      <c r="WIR122" s="225"/>
      <c r="WIS122" s="225"/>
      <c r="WIT122" s="225"/>
      <c r="WIU122" s="225"/>
      <c r="WIV122" s="225"/>
      <c r="WIW122" s="225"/>
      <c r="WIX122" s="225"/>
      <c r="WIY122" s="225"/>
      <c r="WIZ122" s="225"/>
      <c r="WJA122" s="225"/>
      <c r="WJB122" s="225"/>
      <c r="WJC122" s="225"/>
      <c r="WJD122" s="225"/>
      <c r="WJE122" s="225"/>
      <c r="WJF122" s="225"/>
      <c r="WJG122" s="225"/>
      <c r="WJH122" s="225"/>
      <c r="WJI122" s="225"/>
      <c r="WJJ122" s="225"/>
      <c r="WJK122" s="225"/>
      <c r="WJL122" s="225"/>
      <c r="WJM122" s="225"/>
      <c r="WJN122" s="225"/>
      <c r="WJO122" s="225"/>
      <c r="WJP122" s="225"/>
      <c r="WJQ122" s="225"/>
      <c r="WJR122" s="225"/>
      <c r="WJS122" s="225"/>
      <c r="WJT122" s="225"/>
      <c r="WJU122" s="225"/>
      <c r="WJV122" s="225"/>
      <c r="WJW122" s="225"/>
      <c r="WJX122" s="225"/>
      <c r="WJY122" s="225"/>
      <c r="WJZ122" s="225"/>
      <c r="WKA122" s="225"/>
      <c r="WKB122" s="225"/>
      <c r="WKC122" s="225"/>
      <c r="WKD122" s="225"/>
      <c r="WKE122" s="225"/>
      <c r="WKF122" s="225"/>
      <c r="WKG122" s="225"/>
      <c r="WKH122" s="225"/>
      <c r="WKI122" s="225"/>
      <c r="WKJ122" s="225"/>
      <c r="WKK122" s="225"/>
      <c r="WKL122" s="225"/>
      <c r="WKM122" s="225"/>
      <c r="WKN122" s="225"/>
      <c r="WKO122" s="225"/>
      <c r="WKP122" s="225"/>
      <c r="WKQ122" s="225"/>
      <c r="WKR122" s="225"/>
      <c r="WKS122" s="225"/>
      <c r="WKT122" s="225"/>
      <c r="WKU122" s="225"/>
      <c r="WKV122" s="225"/>
      <c r="WKW122" s="225"/>
      <c r="WKX122" s="225"/>
      <c r="WKY122" s="225"/>
      <c r="WKZ122" s="225"/>
      <c r="WLA122" s="225"/>
      <c r="WLB122" s="225"/>
      <c r="WLC122" s="225"/>
      <c r="WLD122" s="225"/>
      <c r="WLE122" s="225"/>
      <c r="WLF122" s="225"/>
      <c r="WLG122" s="225"/>
      <c r="WLH122" s="225"/>
      <c r="WLI122" s="225"/>
      <c r="WLJ122" s="225"/>
      <c r="WLK122" s="225"/>
      <c r="WLL122" s="225"/>
      <c r="WLM122" s="225"/>
      <c r="WLN122" s="225"/>
      <c r="WLO122" s="225"/>
      <c r="WLP122" s="225"/>
      <c r="WLQ122" s="225"/>
      <c r="WLR122" s="225"/>
      <c r="WLS122" s="225"/>
      <c r="WLT122" s="225"/>
      <c r="WLU122" s="225"/>
      <c r="WLV122" s="225"/>
      <c r="WLW122" s="225"/>
      <c r="WLX122" s="225"/>
      <c r="WLY122" s="225"/>
      <c r="WLZ122" s="225"/>
      <c r="WMA122" s="225"/>
      <c r="WMB122" s="225"/>
      <c r="WMC122" s="225"/>
      <c r="WMD122" s="225"/>
      <c r="WME122" s="225"/>
      <c r="WMF122" s="225"/>
      <c r="WMG122" s="225"/>
      <c r="WMH122" s="225"/>
      <c r="WMI122" s="225"/>
      <c r="WMJ122" s="225"/>
      <c r="WMK122" s="225"/>
      <c r="WML122" s="225"/>
      <c r="WMM122" s="225"/>
      <c r="WMN122" s="225"/>
      <c r="WMO122" s="225"/>
      <c r="WMP122" s="225"/>
      <c r="WMQ122" s="225"/>
      <c r="WMR122" s="225"/>
      <c r="WMS122" s="225"/>
      <c r="WMT122" s="225"/>
      <c r="WMU122" s="225"/>
      <c r="WMV122" s="225"/>
      <c r="WMW122" s="225"/>
      <c r="WMX122" s="225"/>
      <c r="WMY122" s="225"/>
      <c r="WMZ122" s="225"/>
      <c r="WNA122" s="225"/>
      <c r="WNB122" s="225"/>
      <c r="WNC122" s="225"/>
      <c r="WND122" s="225"/>
      <c r="WNE122" s="225"/>
      <c r="WNF122" s="225"/>
      <c r="WNG122" s="225"/>
      <c r="WNH122" s="225"/>
      <c r="WNI122" s="225"/>
      <c r="WNJ122" s="225"/>
      <c r="WNK122" s="225"/>
      <c r="WNL122" s="225"/>
      <c r="WNM122" s="225"/>
      <c r="WNN122" s="225"/>
      <c r="WNO122" s="225"/>
      <c r="WNP122" s="225"/>
      <c r="WNQ122" s="225"/>
      <c r="WNR122" s="225"/>
      <c r="WNS122" s="225"/>
      <c r="WNT122" s="225"/>
      <c r="WNU122" s="225"/>
      <c r="WNV122" s="225"/>
      <c r="WNW122" s="225"/>
      <c r="WNX122" s="225"/>
      <c r="WNY122" s="225"/>
      <c r="WNZ122" s="225"/>
      <c r="WOA122" s="225"/>
      <c r="WOB122" s="225"/>
      <c r="WOC122" s="225"/>
      <c r="WOD122" s="225"/>
      <c r="WOE122" s="225"/>
      <c r="WOF122" s="225"/>
      <c r="WOG122" s="225"/>
      <c r="WOH122" s="225"/>
      <c r="WOI122" s="225"/>
      <c r="WOJ122" s="225"/>
      <c r="WOK122" s="225"/>
      <c r="WOL122" s="225"/>
      <c r="WOM122" s="225"/>
      <c r="WON122" s="225"/>
      <c r="WOO122" s="225"/>
      <c r="WOP122" s="225"/>
      <c r="WOQ122" s="225"/>
      <c r="WOR122" s="225"/>
      <c r="WOS122" s="225"/>
      <c r="WOT122" s="225"/>
      <c r="WOU122" s="225"/>
      <c r="WOV122" s="225"/>
      <c r="WOW122" s="225"/>
      <c r="WOX122" s="225"/>
      <c r="WOY122" s="225"/>
      <c r="WOZ122" s="225"/>
      <c r="WPA122" s="225"/>
      <c r="WPB122" s="225"/>
      <c r="WPC122" s="225"/>
      <c r="WPD122" s="225"/>
      <c r="WPE122" s="225"/>
      <c r="WPF122" s="225"/>
      <c r="WPG122" s="225"/>
      <c r="WPH122" s="225"/>
      <c r="WPI122" s="225"/>
      <c r="WPJ122" s="225"/>
      <c r="WPK122" s="225"/>
      <c r="WPL122" s="225"/>
      <c r="WPM122" s="225"/>
      <c r="WPN122" s="225"/>
      <c r="WPO122" s="225"/>
      <c r="WPP122" s="225"/>
      <c r="WPQ122" s="225"/>
      <c r="WPR122" s="225"/>
      <c r="WPS122" s="225"/>
      <c r="WPT122" s="225"/>
      <c r="WPU122" s="225"/>
      <c r="WPV122" s="225"/>
      <c r="WPW122" s="225"/>
      <c r="WPX122" s="225"/>
      <c r="WPY122" s="225"/>
      <c r="WPZ122" s="225"/>
      <c r="WQA122" s="225"/>
      <c r="WQB122" s="225"/>
      <c r="WQC122" s="225"/>
      <c r="WQD122" s="225"/>
      <c r="WQE122" s="225"/>
      <c r="WQF122" s="225"/>
      <c r="WQG122" s="225"/>
      <c r="WQH122" s="225"/>
      <c r="WQI122" s="225"/>
      <c r="WQJ122" s="225"/>
      <c r="WQK122" s="225"/>
      <c r="WQL122" s="225"/>
      <c r="WQM122" s="225"/>
      <c r="WQN122" s="225"/>
      <c r="WQO122" s="225"/>
      <c r="WQP122" s="225"/>
      <c r="WQQ122" s="225"/>
      <c r="WQR122" s="225"/>
      <c r="WQS122" s="225"/>
      <c r="WQT122" s="225"/>
      <c r="WQU122" s="225"/>
      <c r="WQV122" s="225"/>
      <c r="WQW122" s="225"/>
      <c r="WQX122" s="225"/>
      <c r="WQY122" s="225"/>
      <c r="WQZ122" s="225"/>
      <c r="WRA122" s="225"/>
      <c r="WRB122" s="225"/>
      <c r="WRC122" s="225"/>
      <c r="WRD122" s="225"/>
      <c r="WRE122" s="225"/>
      <c r="WRF122" s="225"/>
      <c r="WRG122" s="225"/>
      <c r="WRH122" s="225"/>
      <c r="WRI122" s="225"/>
      <c r="WRJ122" s="225"/>
      <c r="WRK122" s="225"/>
      <c r="WRL122" s="225"/>
      <c r="WRM122" s="225"/>
      <c r="WRN122" s="225"/>
      <c r="WRO122" s="225"/>
      <c r="WRP122" s="225"/>
      <c r="WRQ122" s="225"/>
      <c r="WRR122" s="225"/>
      <c r="WRS122" s="225"/>
      <c r="WRT122" s="225"/>
      <c r="WRU122" s="225"/>
      <c r="WRV122" s="225"/>
      <c r="WRW122" s="225"/>
      <c r="WRX122" s="225"/>
      <c r="WRY122" s="225"/>
      <c r="WRZ122" s="225"/>
      <c r="WSA122" s="225"/>
      <c r="WSB122" s="225"/>
      <c r="WSC122" s="225"/>
      <c r="WSD122" s="225"/>
      <c r="WSE122" s="225"/>
      <c r="WSF122" s="225"/>
      <c r="WSG122" s="225"/>
      <c r="WSH122" s="225"/>
      <c r="WSI122" s="225"/>
      <c r="WSJ122" s="225"/>
      <c r="WSK122" s="225"/>
      <c r="WSL122" s="225"/>
      <c r="WSM122" s="225"/>
      <c r="WSN122" s="225"/>
      <c r="WSO122" s="225"/>
      <c r="WSP122" s="225"/>
      <c r="WSQ122" s="225"/>
      <c r="WSR122" s="225"/>
      <c r="WSS122" s="225"/>
      <c r="WST122" s="225"/>
      <c r="WSU122" s="225"/>
      <c r="WSV122" s="225"/>
      <c r="WSW122" s="225"/>
      <c r="WSX122" s="225"/>
      <c r="WSY122" s="225"/>
      <c r="WSZ122" s="225"/>
      <c r="WTA122" s="225"/>
      <c r="WTB122" s="225"/>
      <c r="WTC122" s="225"/>
      <c r="WTD122" s="225"/>
      <c r="WTE122" s="225"/>
      <c r="WTF122" s="225"/>
      <c r="WTG122" s="225"/>
      <c r="WTH122" s="225"/>
      <c r="WTI122" s="225"/>
      <c r="WTJ122" s="225"/>
      <c r="WTK122" s="225"/>
      <c r="WTL122" s="225"/>
      <c r="WTM122" s="225"/>
      <c r="WTN122" s="225"/>
      <c r="WTO122" s="225"/>
      <c r="WTP122" s="225"/>
      <c r="WTQ122" s="225"/>
      <c r="WTR122" s="225"/>
      <c r="WTS122" s="225"/>
      <c r="WTT122" s="225"/>
      <c r="WTU122" s="225"/>
      <c r="WTV122" s="225"/>
      <c r="WTW122" s="225"/>
      <c r="WTX122" s="225"/>
      <c r="WTY122" s="225"/>
      <c r="WTZ122" s="225"/>
      <c r="WUA122" s="225"/>
      <c r="WUB122" s="225"/>
      <c r="WUC122" s="225"/>
      <c r="WUD122" s="225"/>
      <c r="WUE122" s="225"/>
      <c r="WUF122" s="225"/>
      <c r="WUG122" s="225"/>
      <c r="WUH122" s="225"/>
      <c r="WUI122" s="225"/>
      <c r="WUJ122" s="225"/>
      <c r="WUK122" s="225"/>
      <c r="WUL122" s="225"/>
      <c r="WUM122" s="225"/>
      <c r="WUN122" s="225"/>
      <c r="WUO122" s="225"/>
      <c r="WUP122" s="225"/>
      <c r="WUQ122" s="225"/>
      <c r="WUR122" s="225"/>
      <c r="WUS122" s="225"/>
      <c r="WUT122" s="225"/>
      <c r="WUU122" s="225"/>
      <c r="WUV122" s="225"/>
      <c r="WUW122" s="225"/>
      <c r="WUX122" s="225"/>
      <c r="WUY122" s="225"/>
      <c r="WUZ122" s="225"/>
      <c r="WVA122" s="225"/>
      <c r="WVB122" s="225"/>
      <c r="WVC122" s="225"/>
      <c r="WVD122" s="225"/>
      <c r="WVE122" s="225"/>
      <c r="WVF122" s="225"/>
      <c r="WVG122" s="225"/>
      <c r="WVH122" s="225"/>
      <c r="WVI122" s="225"/>
      <c r="WVJ122" s="225"/>
      <c r="WVK122" s="225"/>
      <c r="WVL122" s="225"/>
      <c r="WVM122" s="225"/>
      <c r="WVN122" s="225"/>
      <c r="WVO122" s="225"/>
      <c r="WVP122" s="225"/>
      <c r="WVQ122" s="225"/>
      <c r="WVR122" s="225"/>
      <c r="WVS122" s="225"/>
      <c r="WVT122" s="225"/>
      <c r="WVU122" s="225"/>
      <c r="WVV122" s="225"/>
      <c r="WVW122" s="225"/>
    </row>
    <row r="123" spans="1:16143" s="230" customFormat="1" x14ac:dyDescent="0.2">
      <c r="A123" s="225"/>
      <c r="B123" s="574" t="s">
        <v>481</v>
      </c>
      <c r="C123" s="576" t="str">
        <f t="shared" ref="C123:N123" si="33">+IF(C11&lt;&gt;0,"Ok","")</f>
        <v>Ok</v>
      </c>
      <c r="D123" s="576" t="str">
        <f t="shared" si="33"/>
        <v>Ok</v>
      </c>
      <c r="E123" s="576" t="str">
        <f t="shared" si="33"/>
        <v>Ok</v>
      </c>
      <c r="F123" s="576" t="str">
        <f t="shared" si="33"/>
        <v>Ok</v>
      </c>
      <c r="G123" s="576" t="str">
        <f t="shared" si="33"/>
        <v>Ok</v>
      </c>
      <c r="H123" s="576" t="str">
        <f t="shared" si="33"/>
        <v>Ok</v>
      </c>
      <c r="I123" s="576" t="str">
        <f t="shared" si="33"/>
        <v>Ok</v>
      </c>
      <c r="J123" s="576" t="str">
        <f t="shared" si="33"/>
        <v>Ok</v>
      </c>
      <c r="K123" s="576" t="str">
        <f t="shared" si="33"/>
        <v>Ok</v>
      </c>
      <c r="L123" s="576" t="str">
        <f t="shared" si="33"/>
        <v>Ok</v>
      </c>
      <c r="M123" s="576" t="str">
        <f t="shared" si="33"/>
        <v>Ok</v>
      </c>
      <c r="N123" s="576" t="str">
        <f t="shared" si="33"/>
        <v>Ok</v>
      </c>
      <c r="Q123" s="284"/>
      <c r="R123" s="284"/>
      <c r="S123" s="225"/>
      <c r="T123" s="225"/>
      <c r="U123" s="225"/>
      <c r="V123" s="225"/>
      <c r="W123" s="225"/>
      <c r="X123" s="225"/>
      <c r="Y123" s="225"/>
      <c r="Z123" s="225"/>
      <c r="AA123" s="225"/>
      <c r="AB123" s="225"/>
      <c r="AC123" s="225"/>
      <c r="AD123" s="225"/>
      <c r="AE123" s="225"/>
      <c r="AF123" s="225"/>
      <c r="AG123" s="225"/>
      <c r="AH123" s="225"/>
      <c r="AI123" s="225"/>
      <c r="AJ123" s="225"/>
      <c r="AK123" s="225"/>
      <c r="AL123" s="225"/>
      <c r="AM123" s="225"/>
      <c r="AN123" s="225"/>
      <c r="AO123" s="225"/>
      <c r="AP123" s="225"/>
      <c r="AQ123" s="225"/>
      <c r="AR123" s="225"/>
      <c r="AS123" s="225"/>
      <c r="AT123" s="225"/>
      <c r="AU123" s="225"/>
      <c r="AV123" s="225"/>
      <c r="AW123" s="225"/>
      <c r="AX123" s="225"/>
      <c r="AY123" s="225"/>
      <c r="AZ123" s="225"/>
      <c r="BA123" s="225"/>
      <c r="BB123" s="225"/>
      <c r="BC123" s="225"/>
      <c r="BD123" s="225"/>
      <c r="BE123" s="225"/>
      <c r="BF123" s="225"/>
      <c r="BG123" s="225"/>
      <c r="BH123" s="225"/>
      <c r="BI123" s="225"/>
      <c r="BJ123" s="225"/>
      <c r="BK123" s="225"/>
      <c r="BL123" s="225"/>
      <c r="BM123" s="225"/>
      <c r="BN123" s="225"/>
      <c r="BO123" s="225"/>
      <c r="BP123" s="225"/>
      <c r="BQ123" s="225"/>
      <c r="BR123" s="225"/>
      <c r="BS123" s="225"/>
      <c r="BT123" s="225"/>
      <c r="BU123" s="225"/>
      <c r="BV123" s="225"/>
      <c r="BW123" s="225"/>
      <c r="BX123" s="225"/>
      <c r="BY123" s="225"/>
      <c r="BZ123" s="225"/>
      <c r="CA123" s="225"/>
      <c r="CB123" s="225"/>
      <c r="CC123" s="225"/>
      <c r="CD123" s="225"/>
      <c r="CE123" s="225"/>
      <c r="CF123" s="225"/>
      <c r="CG123" s="225"/>
      <c r="CH123" s="225"/>
      <c r="CI123" s="225"/>
      <c r="CJ123" s="225"/>
      <c r="CK123" s="225"/>
      <c r="CL123" s="225"/>
      <c r="CM123" s="225"/>
      <c r="CN123" s="225"/>
      <c r="CO123" s="225"/>
      <c r="CP123" s="225"/>
      <c r="CQ123" s="225"/>
      <c r="CR123" s="225"/>
      <c r="CS123" s="225"/>
      <c r="CT123" s="225"/>
      <c r="CU123" s="225"/>
      <c r="CV123" s="225"/>
      <c r="CW123" s="225"/>
      <c r="CX123" s="225"/>
      <c r="CY123" s="225"/>
      <c r="CZ123" s="225"/>
      <c r="DA123" s="225"/>
      <c r="DB123" s="225"/>
      <c r="DC123" s="225"/>
      <c r="DD123" s="225"/>
      <c r="DE123" s="225"/>
      <c r="DF123" s="225"/>
      <c r="DG123" s="225"/>
      <c r="DH123" s="225"/>
      <c r="DI123" s="225"/>
      <c r="DJ123" s="225"/>
      <c r="DK123" s="225"/>
      <c r="DL123" s="225"/>
      <c r="DM123" s="225"/>
      <c r="DN123" s="225"/>
      <c r="DO123" s="225"/>
      <c r="DP123" s="225"/>
      <c r="DQ123" s="225"/>
      <c r="DR123" s="225"/>
      <c r="DS123" s="225"/>
      <c r="DT123" s="225"/>
      <c r="DU123" s="225"/>
      <c r="DV123" s="225"/>
      <c r="DW123" s="225"/>
      <c r="DX123" s="225"/>
      <c r="DY123" s="225"/>
      <c r="DZ123" s="225"/>
      <c r="EA123" s="225"/>
      <c r="EB123" s="225"/>
      <c r="EC123" s="225"/>
      <c r="ED123" s="225"/>
      <c r="EE123" s="225"/>
      <c r="EF123" s="225"/>
      <c r="EG123" s="225"/>
      <c r="EH123" s="225"/>
      <c r="EI123" s="225"/>
      <c r="EJ123" s="225"/>
      <c r="EK123" s="225"/>
      <c r="EL123" s="225"/>
      <c r="EM123" s="225"/>
      <c r="EN123" s="225"/>
      <c r="EO123" s="225"/>
      <c r="EP123" s="225"/>
      <c r="EQ123" s="225"/>
      <c r="ER123" s="225"/>
      <c r="ES123" s="225"/>
      <c r="ET123" s="225"/>
      <c r="EU123" s="225"/>
      <c r="EV123" s="225"/>
      <c r="EW123" s="225"/>
      <c r="EX123" s="225"/>
      <c r="EY123" s="225"/>
      <c r="EZ123" s="225"/>
      <c r="FA123" s="225"/>
      <c r="FB123" s="225"/>
      <c r="FC123" s="225"/>
      <c r="FD123" s="225"/>
      <c r="FE123" s="225"/>
      <c r="FF123" s="225"/>
      <c r="FG123" s="225"/>
      <c r="FH123" s="225"/>
      <c r="FI123" s="225"/>
      <c r="FJ123" s="225"/>
      <c r="FK123" s="225"/>
      <c r="FL123" s="225"/>
      <c r="FM123" s="225"/>
      <c r="FN123" s="225"/>
      <c r="FO123" s="225"/>
      <c r="FP123" s="225"/>
      <c r="FQ123" s="225"/>
      <c r="FR123" s="225"/>
      <c r="FS123" s="225"/>
      <c r="FT123" s="225"/>
      <c r="FU123" s="225"/>
      <c r="FV123" s="225"/>
      <c r="FW123" s="225"/>
      <c r="FX123" s="225"/>
      <c r="FY123" s="225"/>
      <c r="FZ123" s="225"/>
      <c r="GA123" s="225"/>
      <c r="GB123" s="225"/>
      <c r="GC123" s="225"/>
      <c r="GD123" s="225"/>
      <c r="GE123" s="225"/>
      <c r="GF123" s="225"/>
      <c r="GG123" s="225"/>
      <c r="GH123" s="225"/>
      <c r="GI123" s="225"/>
      <c r="GJ123" s="225"/>
      <c r="GK123" s="225"/>
      <c r="GL123" s="225"/>
      <c r="GM123" s="225"/>
      <c r="GN123" s="225"/>
      <c r="GO123" s="225"/>
      <c r="GP123" s="225"/>
      <c r="GQ123" s="225"/>
      <c r="GR123" s="225"/>
      <c r="GS123" s="225"/>
      <c r="GT123" s="225"/>
      <c r="GU123" s="225"/>
      <c r="GV123" s="225"/>
      <c r="GW123" s="225"/>
      <c r="GX123" s="225"/>
      <c r="GY123" s="225"/>
      <c r="GZ123" s="225"/>
      <c r="HA123" s="225"/>
      <c r="HB123" s="225"/>
      <c r="HC123" s="225"/>
      <c r="HD123" s="225"/>
      <c r="HE123" s="225"/>
      <c r="HF123" s="225"/>
      <c r="HG123" s="225"/>
      <c r="HH123" s="225"/>
      <c r="HI123" s="225"/>
      <c r="HJ123" s="225"/>
      <c r="HK123" s="225"/>
      <c r="HL123" s="225"/>
      <c r="HM123" s="225"/>
      <c r="HN123" s="225"/>
      <c r="HO123" s="225"/>
      <c r="HP123" s="225"/>
      <c r="HQ123" s="225"/>
      <c r="HR123" s="225"/>
      <c r="HS123" s="225"/>
      <c r="HT123" s="225"/>
      <c r="HU123" s="225"/>
      <c r="HV123" s="225"/>
      <c r="HW123" s="225"/>
      <c r="HX123" s="225"/>
      <c r="HY123" s="225"/>
      <c r="HZ123" s="225"/>
      <c r="IA123" s="225"/>
      <c r="IB123" s="225"/>
      <c r="IC123" s="225"/>
      <c r="ID123" s="225"/>
      <c r="IE123" s="225"/>
      <c r="IF123" s="225"/>
      <c r="IG123" s="225"/>
      <c r="IH123" s="225"/>
      <c r="II123" s="225"/>
      <c r="IJ123" s="225"/>
      <c r="IK123" s="225"/>
      <c r="IL123" s="225"/>
      <c r="IM123" s="225"/>
      <c r="IN123" s="225"/>
      <c r="IO123" s="225"/>
      <c r="IP123" s="225"/>
      <c r="IQ123" s="225"/>
      <c r="IR123" s="225"/>
      <c r="IS123" s="225"/>
      <c r="IT123" s="225"/>
      <c r="IU123" s="225"/>
      <c r="IV123" s="225"/>
      <c r="IW123" s="225"/>
      <c r="IX123" s="225"/>
      <c r="IY123" s="225"/>
      <c r="IZ123" s="225"/>
      <c r="JA123" s="225"/>
      <c r="JB123" s="225"/>
      <c r="JC123" s="225"/>
      <c r="JD123" s="225"/>
      <c r="JE123" s="225"/>
      <c r="JF123" s="225"/>
      <c r="JG123" s="225"/>
      <c r="JH123" s="225"/>
      <c r="JI123" s="225"/>
      <c r="JJ123" s="225"/>
      <c r="JK123" s="225"/>
      <c r="JL123" s="225"/>
      <c r="JM123" s="225"/>
      <c r="JN123" s="225"/>
      <c r="JO123" s="225"/>
      <c r="JP123" s="225"/>
      <c r="JQ123" s="225"/>
      <c r="JR123" s="225"/>
      <c r="JS123" s="225"/>
      <c r="JT123" s="225"/>
      <c r="JU123" s="225"/>
      <c r="JV123" s="225"/>
      <c r="JW123" s="225"/>
      <c r="JX123" s="225"/>
      <c r="JY123" s="225"/>
      <c r="JZ123" s="225"/>
      <c r="KA123" s="225"/>
      <c r="KB123" s="225"/>
      <c r="KC123" s="225"/>
      <c r="KD123" s="225"/>
      <c r="KE123" s="225"/>
      <c r="KF123" s="225"/>
      <c r="KG123" s="225"/>
      <c r="KH123" s="225"/>
      <c r="KI123" s="225"/>
      <c r="KJ123" s="225"/>
      <c r="KK123" s="225"/>
      <c r="KL123" s="225"/>
      <c r="KM123" s="225"/>
      <c r="KN123" s="225"/>
      <c r="KO123" s="225"/>
      <c r="KP123" s="225"/>
      <c r="KQ123" s="225"/>
      <c r="KR123" s="225"/>
      <c r="KS123" s="225"/>
      <c r="KT123" s="225"/>
      <c r="KU123" s="225"/>
      <c r="KV123" s="225"/>
      <c r="KW123" s="225"/>
      <c r="KX123" s="225"/>
      <c r="KY123" s="225"/>
      <c r="KZ123" s="225"/>
      <c r="LA123" s="225"/>
      <c r="LB123" s="225"/>
      <c r="LC123" s="225"/>
      <c r="LD123" s="225"/>
      <c r="LE123" s="225"/>
      <c r="LF123" s="225"/>
      <c r="LG123" s="225"/>
      <c r="LH123" s="225"/>
      <c r="LI123" s="225"/>
      <c r="LJ123" s="225"/>
      <c r="LK123" s="225"/>
      <c r="LL123" s="225"/>
      <c r="LM123" s="225"/>
      <c r="LN123" s="225"/>
      <c r="LO123" s="225"/>
      <c r="LP123" s="225"/>
      <c r="LQ123" s="225"/>
      <c r="LR123" s="225"/>
      <c r="LS123" s="225"/>
      <c r="LT123" s="225"/>
      <c r="LU123" s="225"/>
      <c r="LV123" s="225"/>
      <c r="LW123" s="225"/>
      <c r="LX123" s="225"/>
      <c r="LY123" s="225"/>
      <c r="LZ123" s="225"/>
      <c r="MA123" s="225"/>
      <c r="MB123" s="225"/>
      <c r="MC123" s="225"/>
      <c r="MD123" s="225"/>
      <c r="ME123" s="225"/>
      <c r="MF123" s="225"/>
      <c r="MG123" s="225"/>
      <c r="MH123" s="225"/>
      <c r="MI123" s="225"/>
      <c r="MJ123" s="225"/>
      <c r="MK123" s="225"/>
      <c r="ML123" s="225"/>
      <c r="MM123" s="225"/>
      <c r="MN123" s="225"/>
      <c r="MO123" s="225"/>
      <c r="MP123" s="225"/>
      <c r="MQ123" s="225"/>
      <c r="MR123" s="225"/>
      <c r="MS123" s="225"/>
      <c r="MT123" s="225"/>
      <c r="MU123" s="225"/>
      <c r="MV123" s="225"/>
      <c r="MW123" s="225"/>
      <c r="MX123" s="225"/>
      <c r="MY123" s="225"/>
      <c r="MZ123" s="225"/>
      <c r="NA123" s="225"/>
      <c r="NB123" s="225"/>
      <c r="NC123" s="225"/>
      <c r="ND123" s="225"/>
      <c r="NE123" s="225"/>
      <c r="NF123" s="225"/>
      <c r="NG123" s="225"/>
      <c r="NH123" s="225"/>
      <c r="NI123" s="225"/>
      <c r="NJ123" s="225"/>
      <c r="NK123" s="225"/>
      <c r="NL123" s="225"/>
      <c r="NM123" s="225"/>
      <c r="NN123" s="225"/>
      <c r="NO123" s="225"/>
      <c r="NP123" s="225"/>
      <c r="NQ123" s="225"/>
      <c r="NR123" s="225"/>
      <c r="NS123" s="225"/>
      <c r="NT123" s="225"/>
      <c r="NU123" s="225"/>
      <c r="NV123" s="225"/>
      <c r="NW123" s="225"/>
      <c r="NX123" s="225"/>
      <c r="NY123" s="225"/>
      <c r="NZ123" s="225"/>
      <c r="OA123" s="225"/>
      <c r="OB123" s="225"/>
      <c r="OC123" s="225"/>
      <c r="OD123" s="225"/>
      <c r="OE123" s="225"/>
      <c r="OF123" s="225"/>
      <c r="OG123" s="225"/>
      <c r="OH123" s="225"/>
      <c r="OI123" s="225"/>
      <c r="OJ123" s="225"/>
      <c r="OK123" s="225"/>
      <c r="OL123" s="225"/>
      <c r="OM123" s="225"/>
      <c r="ON123" s="225"/>
      <c r="OO123" s="225"/>
      <c r="OP123" s="225"/>
      <c r="OQ123" s="225"/>
      <c r="OR123" s="225"/>
      <c r="OS123" s="225"/>
      <c r="OT123" s="225"/>
      <c r="OU123" s="225"/>
      <c r="OV123" s="225"/>
      <c r="OW123" s="225"/>
      <c r="OX123" s="225"/>
      <c r="OY123" s="225"/>
      <c r="OZ123" s="225"/>
      <c r="PA123" s="225"/>
      <c r="PB123" s="225"/>
      <c r="PC123" s="225"/>
      <c r="PD123" s="225"/>
      <c r="PE123" s="225"/>
      <c r="PF123" s="225"/>
      <c r="PG123" s="225"/>
      <c r="PH123" s="225"/>
      <c r="PI123" s="225"/>
      <c r="PJ123" s="225"/>
      <c r="PK123" s="225"/>
      <c r="PL123" s="225"/>
      <c r="PM123" s="225"/>
      <c r="PN123" s="225"/>
      <c r="PO123" s="225"/>
      <c r="PP123" s="225"/>
      <c r="PQ123" s="225"/>
      <c r="PR123" s="225"/>
      <c r="PS123" s="225"/>
      <c r="PT123" s="225"/>
      <c r="PU123" s="225"/>
      <c r="PV123" s="225"/>
      <c r="PW123" s="225"/>
      <c r="PX123" s="225"/>
      <c r="PY123" s="225"/>
      <c r="PZ123" s="225"/>
      <c r="QA123" s="225"/>
      <c r="QB123" s="225"/>
      <c r="QC123" s="225"/>
      <c r="QD123" s="225"/>
      <c r="QE123" s="225"/>
      <c r="QF123" s="225"/>
      <c r="QG123" s="225"/>
      <c r="QH123" s="225"/>
      <c r="QI123" s="225"/>
      <c r="QJ123" s="225"/>
      <c r="QK123" s="225"/>
      <c r="QL123" s="225"/>
      <c r="QM123" s="225"/>
      <c r="QN123" s="225"/>
      <c r="QO123" s="225"/>
      <c r="QP123" s="225"/>
      <c r="QQ123" s="225"/>
      <c r="QR123" s="225"/>
      <c r="QS123" s="225"/>
      <c r="QT123" s="225"/>
      <c r="QU123" s="225"/>
      <c r="QV123" s="225"/>
      <c r="QW123" s="225"/>
      <c r="QX123" s="225"/>
      <c r="QY123" s="225"/>
      <c r="QZ123" s="225"/>
      <c r="RA123" s="225"/>
      <c r="RB123" s="225"/>
      <c r="RC123" s="225"/>
      <c r="RD123" s="225"/>
      <c r="RE123" s="225"/>
      <c r="RF123" s="225"/>
      <c r="RG123" s="225"/>
      <c r="RH123" s="225"/>
      <c r="RI123" s="225"/>
      <c r="RJ123" s="225"/>
      <c r="RK123" s="225"/>
      <c r="RL123" s="225"/>
      <c r="RM123" s="225"/>
      <c r="RN123" s="225"/>
      <c r="RO123" s="225"/>
      <c r="RP123" s="225"/>
      <c r="RQ123" s="225"/>
      <c r="RR123" s="225"/>
      <c r="RS123" s="225"/>
      <c r="RT123" s="225"/>
      <c r="RU123" s="225"/>
      <c r="RV123" s="225"/>
      <c r="RW123" s="225"/>
      <c r="RX123" s="225"/>
      <c r="RY123" s="225"/>
      <c r="RZ123" s="225"/>
      <c r="SA123" s="225"/>
      <c r="SB123" s="225"/>
      <c r="SC123" s="225"/>
      <c r="SD123" s="225"/>
      <c r="SE123" s="225"/>
      <c r="SF123" s="225"/>
      <c r="SG123" s="225"/>
      <c r="SH123" s="225"/>
      <c r="SI123" s="225"/>
      <c r="SJ123" s="225"/>
      <c r="SK123" s="225"/>
      <c r="SL123" s="225"/>
      <c r="SM123" s="225"/>
      <c r="SN123" s="225"/>
      <c r="SO123" s="225"/>
      <c r="SP123" s="225"/>
      <c r="SQ123" s="225"/>
      <c r="SR123" s="225"/>
      <c r="SS123" s="225"/>
      <c r="ST123" s="225"/>
      <c r="SU123" s="225"/>
      <c r="SV123" s="225"/>
      <c r="SW123" s="225"/>
      <c r="SX123" s="225"/>
      <c r="SY123" s="225"/>
      <c r="SZ123" s="225"/>
      <c r="TA123" s="225"/>
      <c r="TB123" s="225"/>
      <c r="TC123" s="225"/>
      <c r="TD123" s="225"/>
      <c r="TE123" s="225"/>
      <c r="TF123" s="225"/>
      <c r="TG123" s="225"/>
      <c r="TH123" s="225"/>
      <c r="TI123" s="225"/>
      <c r="TJ123" s="225"/>
      <c r="TK123" s="225"/>
      <c r="TL123" s="225"/>
      <c r="TM123" s="225"/>
      <c r="TN123" s="225"/>
      <c r="TO123" s="225"/>
      <c r="TP123" s="225"/>
      <c r="TQ123" s="225"/>
      <c r="TR123" s="225"/>
      <c r="TS123" s="225"/>
      <c r="TT123" s="225"/>
      <c r="TU123" s="225"/>
      <c r="TV123" s="225"/>
      <c r="TW123" s="225"/>
      <c r="TX123" s="225"/>
      <c r="TY123" s="225"/>
      <c r="TZ123" s="225"/>
      <c r="UA123" s="225"/>
      <c r="UB123" s="225"/>
      <c r="UC123" s="225"/>
      <c r="UD123" s="225"/>
      <c r="UE123" s="225"/>
      <c r="UF123" s="225"/>
      <c r="UG123" s="225"/>
      <c r="UH123" s="225"/>
      <c r="UI123" s="225"/>
      <c r="UJ123" s="225"/>
      <c r="UK123" s="225"/>
      <c r="UL123" s="225"/>
      <c r="UM123" s="225"/>
      <c r="UN123" s="225"/>
      <c r="UO123" s="225"/>
      <c r="UP123" s="225"/>
      <c r="UQ123" s="225"/>
      <c r="UR123" s="225"/>
      <c r="US123" s="225"/>
      <c r="UT123" s="225"/>
      <c r="UU123" s="225"/>
      <c r="UV123" s="225"/>
      <c r="UW123" s="225"/>
      <c r="UX123" s="225"/>
      <c r="UY123" s="225"/>
      <c r="UZ123" s="225"/>
      <c r="VA123" s="225"/>
      <c r="VB123" s="225"/>
      <c r="VC123" s="225"/>
      <c r="VD123" s="225"/>
      <c r="VE123" s="225"/>
      <c r="VF123" s="225"/>
      <c r="VG123" s="225"/>
      <c r="VH123" s="225"/>
      <c r="VI123" s="225"/>
      <c r="VJ123" s="225"/>
      <c r="VK123" s="225"/>
      <c r="VL123" s="225"/>
      <c r="VM123" s="225"/>
      <c r="VN123" s="225"/>
      <c r="VO123" s="225"/>
      <c r="VP123" s="225"/>
      <c r="VQ123" s="225"/>
      <c r="VR123" s="225"/>
      <c r="VS123" s="225"/>
      <c r="VT123" s="225"/>
      <c r="VU123" s="225"/>
      <c r="VV123" s="225"/>
      <c r="VW123" s="225"/>
      <c r="VX123" s="225"/>
      <c r="VY123" s="225"/>
      <c r="VZ123" s="225"/>
      <c r="WA123" s="225"/>
      <c r="WB123" s="225"/>
      <c r="WC123" s="225"/>
      <c r="WD123" s="225"/>
      <c r="WE123" s="225"/>
      <c r="WF123" s="225"/>
      <c r="WG123" s="225"/>
      <c r="WH123" s="225"/>
      <c r="WI123" s="225"/>
      <c r="WJ123" s="225"/>
      <c r="WK123" s="225"/>
      <c r="WL123" s="225"/>
      <c r="WM123" s="225"/>
      <c r="WN123" s="225"/>
      <c r="WO123" s="225"/>
      <c r="WP123" s="225"/>
      <c r="WQ123" s="225"/>
      <c r="WR123" s="225"/>
      <c r="WS123" s="225"/>
      <c r="WT123" s="225"/>
      <c r="WU123" s="225"/>
      <c r="WV123" s="225"/>
      <c r="WW123" s="225"/>
      <c r="WX123" s="225"/>
      <c r="WY123" s="225"/>
      <c r="WZ123" s="225"/>
      <c r="XA123" s="225"/>
      <c r="XB123" s="225"/>
      <c r="XC123" s="225"/>
      <c r="XD123" s="225"/>
      <c r="XE123" s="225"/>
      <c r="XF123" s="225"/>
      <c r="XG123" s="225"/>
      <c r="XH123" s="225"/>
      <c r="XI123" s="225"/>
      <c r="XJ123" s="225"/>
      <c r="XK123" s="225"/>
      <c r="XL123" s="225"/>
      <c r="XM123" s="225"/>
      <c r="XN123" s="225"/>
      <c r="XO123" s="225"/>
      <c r="XP123" s="225"/>
      <c r="XQ123" s="225"/>
      <c r="XR123" s="225"/>
      <c r="XS123" s="225"/>
      <c r="XT123" s="225"/>
      <c r="XU123" s="225"/>
      <c r="XV123" s="225"/>
      <c r="XW123" s="225"/>
      <c r="XX123" s="225"/>
      <c r="XY123" s="225"/>
      <c r="XZ123" s="225"/>
      <c r="YA123" s="225"/>
      <c r="YB123" s="225"/>
      <c r="YC123" s="225"/>
      <c r="YD123" s="225"/>
      <c r="YE123" s="225"/>
      <c r="YF123" s="225"/>
      <c r="YG123" s="225"/>
      <c r="YH123" s="225"/>
      <c r="YI123" s="225"/>
      <c r="YJ123" s="225"/>
      <c r="YK123" s="225"/>
      <c r="YL123" s="225"/>
      <c r="YM123" s="225"/>
      <c r="YN123" s="225"/>
      <c r="YO123" s="225"/>
      <c r="YP123" s="225"/>
      <c r="YQ123" s="225"/>
      <c r="YR123" s="225"/>
      <c r="YS123" s="225"/>
      <c r="YT123" s="225"/>
      <c r="YU123" s="225"/>
      <c r="YV123" s="225"/>
      <c r="YW123" s="225"/>
      <c r="YX123" s="225"/>
      <c r="YY123" s="225"/>
      <c r="YZ123" s="225"/>
      <c r="ZA123" s="225"/>
      <c r="ZB123" s="225"/>
      <c r="ZC123" s="225"/>
      <c r="ZD123" s="225"/>
      <c r="ZE123" s="225"/>
      <c r="ZF123" s="225"/>
      <c r="ZG123" s="225"/>
      <c r="ZH123" s="225"/>
      <c r="ZI123" s="225"/>
      <c r="ZJ123" s="225"/>
      <c r="ZK123" s="225"/>
      <c r="ZL123" s="225"/>
      <c r="ZM123" s="225"/>
      <c r="ZN123" s="225"/>
      <c r="ZO123" s="225"/>
      <c r="ZP123" s="225"/>
      <c r="ZQ123" s="225"/>
      <c r="ZR123" s="225"/>
      <c r="ZS123" s="225"/>
      <c r="ZT123" s="225"/>
      <c r="ZU123" s="225"/>
      <c r="ZV123" s="225"/>
      <c r="ZW123" s="225"/>
      <c r="ZX123" s="225"/>
      <c r="ZY123" s="225"/>
      <c r="ZZ123" s="225"/>
      <c r="AAA123" s="225"/>
      <c r="AAB123" s="225"/>
      <c r="AAC123" s="225"/>
      <c r="AAD123" s="225"/>
      <c r="AAE123" s="225"/>
      <c r="AAF123" s="225"/>
      <c r="AAG123" s="225"/>
      <c r="AAH123" s="225"/>
      <c r="AAI123" s="225"/>
      <c r="AAJ123" s="225"/>
      <c r="AAK123" s="225"/>
      <c r="AAL123" s="225"/>
      <c r="AAM123" s="225"/>
      <c r="AAN123" s="225"/>
      <c r="AAO123" s="225"/>
      <c r="AAP123" s="225"/>
      <c r="AAQ123" s="225"/>
      <c r="AAR123" s="225"/>
      <c r="AAS123" s="225"/>
      <c r="AAT123" s="225"/>
      <c r="AAU123" s="225"/>
      <c r="AAV123" s="225"/>
      <c r="AAW123" s="225"/>
      <c r="AAX123" s="225"/>
      <c r="AAY123" s="225"/>
      <c r="AAZ123" s="225"/>
      <c r="ABA123" s="225"/>
      <c r="ABB123" s="225"/>
      <c r="ABC123" s="225"/>
      <c r="ABD123" s="225"/>
      <c r="ABE123" s="225"/>
      <c r="ABF123" s="225"/>
      <c r="ABG123" s="225"/>
      <c r="ABH123" s="225"/>
      <c r="ABI123" s="225"/>
      <c r="ABJ123" s="225"/>
      <c r="ABK123" s="225"/>
      <c r="ABL123" s="225"/>
      <c r="ABM123" s="225"/>
      <c r="ABN123" s="225"/>
      <c r="ABO123" s="225"/>
      <c r="ABP123" s="225"/>
      <c r="ABQ123" s="225"/>
      <c r="ABR123" s="225"/>
      <c r="ABS123" s="225"/>
      <c r="ABT123" s="225"/>
      <c r="ABU123" s="225"/>
      <c r="ABV123" s="225"/>
      <c r="ABW123" s="225"/>
      <c r="ABX123" s="225"/>
      <c r="ABY123" s="225"/>
      <c r="ABZ123" s="225"/>
      <c r="ACA123" s="225"/>
      <c r="ACB123" s="225"/>
      <c r="ACC123" s="225"/>
      <c r="ACD123" s="225"/>
      <c r="ACE123" s="225"/>
      <c r="ACF123" s="225"/>
      <c r="ACG123" s="225"/>
      <c r="ACH123" s="225"/>
      <c r="ACI123" s="225"/>
      <c r="ACJ123" s="225"/>
      <c r="ACK123" s="225"/>
      <c r="ACL123" s="225"/>
      <c r="ACM123" s="225"/>
      <c r="ACN123" s="225"/>
      <c r="ACO123" s="225"/>
      <c r="ACP123" s="225"/>
      <c r="ACQ123" s="225"/>
      <c r="ACR123" s="225"/>
      <c r="ACS123" s="225"/>
      <c r="ACT123" s="225"/>
      <c r="ACU123" s="225"/>
      <c r="ACV123" s="225"/>
      <c r="ACW123" s="225"/>
      <c r="ACX123" s="225"/>
      <c r="ACY123" s="225"/>
      <c r="ACZ123" s="225"/>
      <c r="ADA123" s="225"/>
      <c r="ADB123" s="225"/>
      <c r="ADC123" s="225"/>
      <c r="ADD123" s="225"/>
      <c r="ADE123" s="225"/>
      <c r="ADF123" s="225"/>
      <c r="ADG123" s="225"/>
      <c r="ADH123" s="225"/>
      <c r="ADI123" s="225"/>
      <c r="ADJ123" s="225"/>
      <c r="ADK123" s="225"/>
      <c r="ADL123" s="225"/>
      <c r="ADM123" s="225"/>
      <c r="ADN123" s="225"/>
      <c r="ADO123" s="225"/>
      <c r="ADP123" s="225"/>
      <c r="ADQ123" s="225"/>
      <c r="ADR123" s="225"/>
      <c r="ADS123" s="225"/>
      <c r="ADT123" s="225"/>
      <c r="ADU123" s="225"/>
      <c r="ADV123" s="225"/>
      <c r="ADW123" s="225"/>
      <c r="ADX123" s="225"/>
      <c r="ADY123" s="225"/>
      <c r="ADZ123" s="225"/>
      <c r="AEA123" s="225"/>
      <c r="AEB123" s="225"/>
      <c r="AEC123" s="225"/>
      <c r="AED123" s="225"/>
      <c r="AEE123" s="225"/>
      <c r="AEF123" s="225"/>
      <c r="AEG123" s="225"/>
      <c r="AEH123" s="225"/>
      <c r="AEI123" s="225"/>
      <c r="AEJ123" s="225"/>
      <c r="AEK123" s="225"/>
      <c r="AEL123" s="225"/>
      <c r="AEM123" s="225"/>
      <c r="AEN123" s="225"/>
      <c r="AEO123" s="225"/>
      <c r="AEP123" s="225"/>
      <c r="AEQ123" s="225"/>
      <c r="AER123" s="225"/>
      <c r="AES123" s="225"/>
      <c r="AET123" s="225"/>
      <c r="AEU123" s="225"/>
      <c r="AEV123" s="225"/>
      <c r="AEW123" s="225"/>
      <c r="AEX123" s="225"/>
      <c r="AEY123" s="225"/>
      <c r="AEZ123" s="225"/>
      <c r="AFA123" s="225"/>
      <c r="AFB123" s="225"/>
      <c r="AFC123" s="225"/>
      <c r="AFD123" s="225"/>
      <c r="AFE123" s="225"/>
      <c r="AFF123" s="225"/>
      <c r="AFG123" s="225"/>
      <c r="AFH123" s="225"/>
      <c r="AFI123" s="225"/>
      <c r="AFJ123" s="225"/>
      <c r="AFK123" s="225"/>
      <c r="AFL123" s="225"/>
      <c r="AFM123" s="225"/>
      <c r="AFN123" s="225"/>
      <c r="AFO123" s="225"/>
      <c r="AFP123" s="225"/>
      <c r="AFQ123" s="225"/>
      <c r="AFR123" s="225"/>
      <c r="AFS123" s="225"/>
      <c r="AFT123" s="225"/>
      <c r="AFU123" s="225"/>
      <c r="AFV123" s="225"/>
      <c r="AFW123" s="225"/>
      <c r="AFX123" s="225"/>
      <c r="AFY123" s="225"/>
      <c r="AFZ123" s="225"/>
      <c r="AGA123" s="225"/>
      <c r="AGB123" s="225"/>
      <c r="AGC123" s="225"/>
      <c r="AGD123" s="225"/>
      <c r="AGE123" s="225"/>
      <c r="AGF123" s="225"/>
      <c r="AGG123" s="225"/>
      <c r="AGH123" s="225"/>
      <c r="AGI123" s="225"/>
      <c r="AGJ123" s="225"/>
      <c r="AGK123" s="225"/>
      <c r="AGL123" s="225"/>
      <c r="AGM123" s="225"/>
      <c r="AGN123" s="225"/>
      <c r="AGO123" s="225"/>
      <c r="AGP123" s="225"/>
      <c r="AGQ123" s="225"/>
      <c r="AGR123" s="225"/>
      <c r="AGS123" s="225"/>
      <c r="AGT123" s="225"/>
      <c r="AGU123" s="225"/>
      <c r="AGV123" s="225"/>
      <c r="AGW123" s="225"/>
      <c r="AGX123" s="225"/>
      <c r="AGY123" s="225"/>
      <c r="AGZ123" s="225"/>
      <c r="AHA123" s="225"/>
      <c r="AHB123" s="225"/>
      <c r="AHC123" s="225"/>
      <c r="AHD123" s="225"/>
      <c r="AHE123" s="225"/>
      <c r="AHF123" s="225"/>
      <c r="AHG123" s="225"/>
      <c r="AHH123" s="225"/>
      <c r="AHI123" s="225"/>
      <c r="AHJ123" s="225"/>
      <c r="AHK123" s="225"/>
      <c r="AHL123" s="225"/>
      <c r="AHM123" s="225"/>
      <c r="AHN123" s="225"/>
      <c r="AHO123" s="225"/>
      <c r="AHP123" s="225"/>
      <c r="AHQ123" s="225"/>
      <c r="AHR123" s="225"/>
      <c r="AHS123" s="225"/>
      <c r="AHT123" s="225"/>
      <c r="AHU123" s="225"/>
      <c r="AHV123" s="225"/>
      <c r="AHW123" s="225"/>
      <c r="AHX123" s="225"/>
      <c r="AHY123" s="225"/>
      <c r="AHZ123" s="225"/>
      <c r="AIA123" s="225"/>
      <c r="AIB123" s="225"/>
      <c r="AIC123" s="225"/>
      <c r="AID123" s="225"/>
      <c r="AIE123" s="225"/>
      <c r="AIF123" s="225"/>
      <c r="AIG123" s="225"/>
      <c r="AIH123" s="225"/>
      <c r="AII123" s="225"/>
      <c r="AIJ123" s="225"/>
      <c r="AIK123" s="225"/>
      <c r="AIL123" s="225"/>
      <c r="AIM123" s="225"/>
      <c r="AIN123" s="225"/>
      <c r="AIO123" s="225"/>
      <c r="AIP123" s="225"/>
      <c r="AIQ123" s="225"/>
      <c r="AIR123" s="225"/>
      <c r="AIS123" s="225"/>
      <c r="AIT123" s="225"/>
      <c r="AIU123" s="225"/>
      <c r="AIV123" s="225"/>
      <c r="AIW123" s="225"/>
      <c r="AIX123" s="225"/>
      <c r="AIY123" s="225"/>
      <c r="AIZ123" s="225"/>
      <c r="AJA123" s="225"/>
      <c r="AJB123" s="225"/>
      <c r="AJC123" s="225"/>
      <c r="AJD123" s="225"/>
      <c r="AJE123" s="225"/>
      <c r="AJF123" s="225"/>
      <c r="AJG123" s="225"/>
      <c r="AJH123" s="225"/>
      <c r="AJI123" s="225"/>
      <c r="AJJ123" s="225"/>
      <c r="AJK123" s="225"/>
      <c r="AJL123" s="225"/>
      <c r="AJM123" s="225"/>
      <c r="AJN123" s="225"/>
      <c r="AJO123" s="225"/>
      <c r="AJP123" s="225"/>
      <c r="AJQ123" s="225"/>
      <c r="AJR123" s="225"/>
      <c r="AJS123" s="225"/>
      <c r="AJT123" s="225"/>
      <c r="AJU123" s="225"/>
      <c r="AJV123" s="225"/>
      <c r="AJW123" s="225"/>
      <c r="AJX123" s="225"/>
      <c r="AJY123" s="225"/>
      <c r="AJZ123" s="225"/>
      <c r="AKA123" s="225"/>
      <c r="AKB123" s="225"/>
      <c r="AKC123" s="225"/>
      <c r="AKD123" s="225"/>
      <c r="AKE123" s="225"/>
      <c r="AKF123" s="225"/>
      <c r="AKG123" s="225"/>
      <c r="AKH123" s="225"/>
      <c r="AKI123" s="225"/>
      <c r="AKJ123" s="225"/>
      <c r="AKK123" s="225"/>
      <c r="AKL123" s="225"/>
      <c r="AKM123" s="225"/>
      <c r="AKN123" s="225"/>
      <c r="AKO123" s="225"/>
      <c r="AKP123" s="225"/>
      <c r="AKQ123" s="225"/>
      <c r="AKR123" s="225"/>
      <c r="AKS123" s="225"/>
      <c r="AKT123" s="225"/>
      <c r="AKU123" s="225"/>
      <c r="AKV123" s="225"/>
      <c r="AKW123" s="225"/>
      <c r="AKX123" s="225"/>
      <c r="AKY123" s="225"/>
      <c r="AKZ123" s="225"/>
      <c r="ALA123" s="225"/>
      <c r="ALB123" s="225"/>
      <c r="ALC123" s="225"/>
      <c r="ALD123" s="225"/>
      <c r="ALE123" s="225"/>
      <c r="ALF123" s="225"/>
      <c r="ALG123" s="225"/>
      <c r="ALH123" s="225"/>
      <c r="ALI123" s="225"/>
      <c r="ALJ123" s="225"/>
      <c r="ALK123" s="225"/>
      <c r="ALL123" s="225"/>
      <c r="ALM123" s="225"/>
      <c r="ALN123" s="225"/>
      <c r="ALO123" s="225"/>
      <c r="ALP123" s="225"/>
      <c r="ALQ123" s="225"/>
      <c r="ALR123" s="225"/>
      <c r="ALS123" s="225"/>
      <c r="ALT123" s="225"/>
      <c r="ALU123" s="225"/>
      <c r="ALV123" s="225"/>
      <c r="ALW123" s="225"/>
      <c r="ALX123" s="225"/>
      <c r="ALY123" s="225"/>
      <c r="ALZ123" s="225"/>
      <c r="AMA123" s="225"/>
      <c r="AMB123" s="225"/>
      <c r="AMC123" s="225"/>
      <c r="AMD123" s="225"/>
      <c r="AME123" s="225"/>
      <c r="AMF123" s="225"/>
      <c r="AMG123" s="225"/>
      <c r="AMH123" s="225"/>
      <c r="AMI123" s="225"/>
      <c r="AMJ123" s="225"/>
      <c r="AMK123" s="225"/>
      <c r="AML123" s="225"/>
      <c r="AMM123" s="225"/>
      <c r="AMN123" s="225"/>
      <c r="AMO123" s="225"/>
      <c r="AMP123" s="225"/>
      <c r="AMQ123" s="225"/>
      <c r="AMR123" s="225"/>
      <c r="AMS123" s="225"/>
      <c r="AMT123" s="225"/>
      <c r="AMU123" s="225"/>
      <c r="AMV123" s="225"/>
      <c r="AMW123" s="225"/>
      <c r="AMX123" s="225"/>
      <c r="AMY123" s="225"/>
      <c r="AMZ123" s="225"/>
      <c r="ANA123" s="225"/>
      <c r="ANB123" s="225"/>
      <c r="ANC123" s="225"/>
      <c r="AND123" s="225"/>
      <c r="ANE123" s="225"/>
      <c r="ANF123" s="225"/>
      <c r="ANG123" s="225"/>
      <c r="ANH123" s="225"/>
      <c r="ANI123" s="225"/>
      <c r="ANJ123" s="225"/>
      <c r="ANK123" s="225"/>
      <c r="ANL123" s="225"/>
      <c r="ANM123" s="225"/>
      <c r="ANN123" s="225"/>
      <c r="ANO123" s="225"/>
      <c r="ANP123" s="225"/>
      <c r="ANQ123" s="225"/>
      <c r="ANR123" s="225"/>
      <c r="ANS123" s="225"/>
      <c r="ANT123" s="225"/>
      <c r="ANU123" s="225"/>
      <c r="ANV123" s="225"/>
      <c r="ANW123" s="225"/>
      <c r="ANX123" s="225"/>
      <c r="ANY123" s="225"/>
      <c r="ANZ123" s="225"/>
      <c r="AOA123" s="225"/>
      <c r="AOB123" s="225"/>
      <c r="AOC123" s="225"/>
      <c r="AOD123" s="225"/>
      <c r="AOE123" s="225"/>
      <c r="AOF123" s="225"/>
      <c r="AOG123" s="225"/>
      <c r="AOH123" s="225"/>
      <c r="AOI123" s="225"/>
      <c r="AOJ123" s="225"/>
      <c r="AOK123" s="225"/>
      <c r="AOL123" s="225"/>
      <c r="AOM123" s="225"/>
      <c r="AON123" s="225"/>
      <c r="AOO123" s="225"/>
      <c r="AOP123" s="225"/>
      <c r="AOQ123" s="225"/>
      <c r="AOR123" s="225"/>
      <c r="AOS123" s="225"/>
      <c r="AOT123" s="225"/>
      <c r="AOU123" s="225"/>
      <c r="AOV123" s="225"/>
      <c r="AOW123" s="225"/>
      <c r="AOX123" s="225"/>
      <c r="AOY123" s="225"/>
      <c r="AOZ123" s="225"/>
      <c r="APA123" s="225"/>
      <c r="APB123" s="225"/>
      <c r="APC123" s="225"/>
      <c r="APD123" s="225"/>
      <c r="APE123" s="225"/>
      <c r="APF123" s="225"/>
      <c r="APG123" s="225"/>
      <c r="APH123" s="225"/>
      <c r="API123" s="225"/>
      <c r="APJ123" s="225"/>
      <c r="APK123" s="225"/>
      <c r="APL123" s="225"/>
      <c r="APM123" s="225"/>
      <c r="APN123" s="225"/>
      <c r="APO123" s="225"/>
      <c r="APP123" s="225"/>
      <c r="APQ123" s="225"/>
      <c r="APR123" s="225"/>
      <c r="APS123" s="225"/>
      <c r="APT123" s="225"/>
      <c r="APU123" s="225"/>
      <c r="APV123" s="225"/>
      <c r="APW123" s="225"/>
      <c r="APX123" s="225"/>
      <c r="APY123" s="225"/>
      <c r="APZ123" s="225"/>
      <c r="AQA123" s="225"/>
      <c r="AQB123" s="225"/>
      <c r="AQC123" s="225"/>
      <c r="AQD123" s="225"/>
      <c r="AQE123" s="225"/>
      <c r="AQF123" s="225"/>
      <c r="AQG123" s="225"/>
      <c r="AQH123" s="225"/>
      <c r="AQI123" s="225"/>
      <c r="AQJ123" s="225"/>
      <c r="AQK123" s="225"/>
      <c r="AQL123" s="225"/>
      <c r="AQM123" s="225"/>
      <c r="AQN123" s="225"/>
      <c r="AQO123" s="225"/>
      <c r="AQP123" s="225"/>
      <c r="AQQ123" s="225"/>
      <c r="AQR123" s="225"/>
      <c r="AQS123" s="225"/>
      <c r="AQT123" s="225"/>
      <c r="AQU123" s="225"/>
      <c r="AQV123" s="225"/>
      <c r="AQW123" s="225"/>
      <c r="AQX123" s="225"/>
      <c r="AQY123" s="225"/>
      <c r="AQZ123" s="225"/>
      <c r="ARA123" s="225"/>
      <c r="ARB123" s="225"/>
      <c r="ARC123" s="225"/>
      <c r="ARD123" s="225"/>
      <c r="ARE123" s="225"/>
      <c r="ARF123" s="225"/>
      <c r="ARG123" s="225"/>
      <c r="ARH123" s="225"/>
      <c r="ARI123" s="225"/>
      <c r="ARJ123" s="225"/>
      <c r="ARK123" s="225"/>
      <c r="ARL123" s="225"/>
      <c r="ARM123" s="225"/>
      <c r="ARN123" s="225"/>
      <c r="ARO123" s="225"/>
      <c r="ARP123" s="225"/>
      <c r="ARQ123" s="225"/>
      <c r="ARR123" s="225"/>
      <c r="ARS123" s="225"/>
      <c r="ART123" s="225"/>
      <c r="ARU123" s="225"/>
      <c r="ARV123" s="225"/>
      <c r="ARW123" s="225"/>
      <c r="ARX123" s="225"/>
      <c r="ARY123" s="225"/>
      <c r="ARZ123" s="225"/>
      <c r="ASA123" s="225"/>
      <c r="ASB123" s="225"/>
      <c r="ASC123" s="225"/>
      <c r="ASD123" s="225"/>
      <c r="ASE123" s="225"/>
      <c r="ASF123" s="225"/>
      <c r="ASG123" s="225"/>
      <c r="ASH123" s="225"/>
      <c r="ASI123" s="225"/>
      <c r="ASJ123" s="225"/>
      <c r="ASK123" s="225"/>
      <c r="ASL123" s="225"/>
      <c r="ASM123" s="225"/>
      <c r="ASN123" s="225"/>
      <c r="ASO123" s="225"/>
      <c r="ASP123" s="225"/>
      <c r="ASQ123" s="225"/>
      <c r="ASR123" s="225"/>
      <c r="ASS123" s="225"/>
      <c r="AST123" s="225"/>
      <c r="ASU123" s="225"/>
      <c r="ASV123" s="225"/>
      <c r="ASW123" s="225"/>
      <c r="ASX123" s="225"/>
      <c r="ASY123" s="225"/>
      <c r="ASZ123" s="225"/>
      <c r="ATA123" s="225"/>
      <c r="ATB123" s="225"/>
      <c r="ATC123" s="225"/>
      <c r="ATD123" s="225"/>
      <c r="ATE123" s="225"/>
      <c r="ATF123" s="225"/>
      <c r="ATG123" s="225"/>
      <c r="ATH123" s="225"/>
      <c r="ATI123" s="225"/>
      <c r="ATJ123" s="225"/>
      <c r="ATK123" s="225"/>
      <c r="ATL123" s="225"/>
      <c r="ATM123" s="225"/>
      <c r="ATN123" s="225"/>
      <c r="ATO123" s="225"/>
      <c r="ATP123" s="225"/>
      <c r="ATQ123" s="225"/>
      <c r="ATR123" s="225"/>
      <c r="ATS123" s="225"/>
      <c r="ATT123" s="225"/>
      <c r="ATU123" s="225"/>
      <c r="ATV123" s="225"/>
      <c r="ATW123" s="225"/>
      <c r="ATX123" s="225"/>
      <c r="ATY123" s="225"/>
      <c r="ATZ123" s="225"/>
      <c r="AUA123" s="225"/>
      <c r="AUB123" s="225"/>
      <c r="AUC123" s="225"/>
      <c r="AUD123" s="225"/>
      <c r="AUE123" s="225"/>
      <c r="AUF123" s="225"/>
      <c r="AUG123" s="225"/>
      <c r="AUH123" s="225"/>
      <c r="AUI123" s="225"/>
      <c r="AUJ123" s="225"/>
      <c r="AUK123" s="225"/>
      <c r="AUL123" s="225"/>
      <c r="AUM123" s="225"/>
      <c r="AUN123" s="225"/>
      <c r="AUO123" s="225"/>
      <c r="AUP123" s="225"/>
      <c r="AUQ123" s="225"/>
      <c r="AUR123" s="225"/>
      <c r="AUS123" s="225"/>
      <c r="AUT123" s="225"/>
      <c r="AUU123" s="225"/>
      <c r="AUV123" s="225"/>
      <c r="AUW123" s="225"/>
      <c r="AUX123" s="225"/>
      <c r="AUY123" s="225"/>
      <c r="AUZ123" s="225"/>
      <c r="AVA123" s="225"/>
      <c r="AVB123" s="225"/>
      <c r="AVC123" s="225"/>
      <c r="AVD123" s="225"/>
      <c r="AVE123" s="225"/>
      <c r="AVF123" s="225"/>
      <c r="AVG123" s="225"/>
      <c r="AVH123" s="225"/>
      <c r="AVI123" s="225"/>
      <c r="AVJ123" s="225"/>
      <c r="AVK123" s="225"/>
      <c r="AVL123" s="225"/>
      <c r="AVM123" s="225"/>
      <c r="AVN123" s="225"/>
      <c r="AVO123" s="225"/>
      <c r="AVP123" s="225"/>
      <c r="AVQ123" s="225"/>
      <c r="AVR123" s="225"/>
      <c r="AVS123" s="225"/>
      <c r="AVT123" s="225"/>
      <c r="AVU123" s="225"/>
      <c r="AVV123" s="225"/>
      <c r="AVW123" s="225"/>
      <c r="AVX123" s="225"/>
      <c r="AVY123" s="225"/>
      <c r="AVZ123" s="225"/>
      <c r="AWA123" s="225"/>
      <c r="AWB123" s="225"/>
      <c r="AWC123" s="225"/>
      <c r="AWD123" s="225"/>
      <c r="AWE123" s="225"/>
      <c r="AWF123" s="225"/>
      <c r="AWG123" s="225"/>
      <c r="AWH123" s="225"/>
      <c r="AWI123" s="225"/>
      <c r="AWJ123" s="225"/>
      <c r="AWK123" s="225"/>
      <c r="AWL123" s="225"/>
      <c r="AWM123" s="225"/>
      <c r="AWN123" s="225"/>
      <c r="AWO123" s="225"/>
      <c r="AWP123" s="225"/>
      <c r="AWQ123" s="225"/>
      <c r="AWR123" s="225"/>
      <c r="AWS123" s="225"/>
      <c r="AWT123" s="225"/>
      <c r="AWU123" s="225"/>
      <c r="AWV123" s="225"/>
      <c r="AWW123" s="225"/>
      <c r="AWX123" s="225"/>
      <c r="AWY123" s="225"/>
      <c r="AWZ123" s="225"/>
      <c r="AXA123" s="225"/>
      <c r="AXB123" s="225"/>
      <c r="AXC123" s="225"/>
      <c r="AXD123" s="225"/>
      <c r="AXE123" s="225"/>
      <c r="AXF123" s="225"/>
      <c r="AXG123" s="225"/>
      <c r="AXH123" s="225"/>
      <c r="AXI123" s="225"/>
      <c r="AXJ123" s="225"/>
      <c r="AXK123" s="225"/>
      <c r="AXL123" s="225"/>
      <c r="AXM123" s="225"/>
      <c r="AXN123" s="225"/>
      <c r="AXO123" s="225"/>
      <c r="AXP123" s="225"/>
      <c r="AXQ123" s="225"/>
      <c r="AXR123" s="225"/>
      <c r="AXS123" s="225"/>
      <c r="AXT123" s="225"/>
      <c r="AXU123" s="225"/>
      <c r="AXV123" s="225"/>
      <c r="AXW123" s="225"/>
      <c r="AXX123" s="225"/>
      <c r="AXY123" s="225"/>
      <c r="AXZ123" s="225"/>
      <c r="AYA123" s="225"/>
      <c r="AYB123" s="225"/>
      <c r="AYC123" s="225"/>
      <c r="AYD123" s="225"/>
      <c r="AYE123" s="225"/>
      <c r="AYF123" s="225"/>
      <c r="AYG123" s="225"/>
      <c r="AYH123" s="225"/>
      <c r="AYI123" s="225"/>
      <c r="AYJ123" s="225"/>
      <c r="AYK123" s="225"/>
      <c r="AYL123" s="225"/>
      <c r="AYM123" s="225"/>
      <c r="AYN123" s="225"/>
      <c r="AYO123" s="225"/>
      <c r="AYP123" s="225"/>
      <c r="AYQ123" s="225"/>
      <c r="AYR123" s="225"/>
      <c r="AYS123" s="225"/>
      <c r="AYT123" s="225"/>
      <c r="AYU123" s="225"/>
      <c r="AYV123" s="225"/>
      <c r="AYW123" s="225"/>
      <c r="AYX123" s="225"/>
      <c r="AYY123" s="225"/>
      <c r="AYZ123" s="225"/>
      <c r="AZA123" s="225"/>
      <c r="AZB123" s="225"/>
      <c r="AZC123" s="225"/>
      <c r="AZD123" s="225"/>
      <c r="AZE123" s="225"/>
      <c r="AZF123" s="225"/>
      <c r="AZG123" s="225"/>
      <c r="AZH123" s="225"/>
      <c r="AZI123" s="225"/>
      <c r="AZJ123" s="225"/>
      <c r="AZK123" s="225"/>
      <c r="AZL123" s="225"/>
      <c r="AZM123" s="225"/>
      <c r="AZN123" s="225"/>
      <c r="AZO123" s="225"/>
      <c r="AZP123" s="225"/>
      <c r="AZQ123" s="225"/>
      <c r="AZR123" s="225"/>
      <c r="AZS123" s="225"/>
      <c r="AZT123" s="225"/>
      <c r="AZU123" s="225"/>
      <c r="AZV123" s="225"/>
      <c r="AZW123" s="225"/>
      <c r="AZX123" s="225"/>
      <c r="AZY123" s="225"/>
      <c r="AZZ123" s="225"/>
      <c r="BAA123" s="225"/>
      <c r="BAB123" s="225"/>
      <c r="BAC123" s="225"/>
      <c r="BAD123" s="225"/>
      <c r="BAE123" s="225"/>
      <c r="BAF123" s="225"/>
      <c r="BAG123" s="225"/>
      <c r="BAH123" s="225"/>
      <c r="BAI123" s="225"/>
      <c r="BAJ123" s="225"/>
      <c r="BAK123" s="225"/>
      <c r="BAL123" s="225"/>
      <c r="BAM123" s="225"/>
      <c r="BAN123" s="225"/>
      <c r="BAO123" s="225"/>
      <c r="BAP123" s="225"/>
      <c r="BAQ123" s="225"/>
      <c r="BAR123" s="225"/>
      <c r="BAS123" s="225"/>
      <c r="BAT123" s="225"/>
      <c r="BAU123" s="225"/>
      <c r="BAV123" s="225"/>
      <c r="BAW123" s="225"/>
      <c r="BAX123" s="225"/>
      <c r="BAY123" s="225"/>
      <c r="BAZ123" s="225"/>
      <c r="BBA123" s="225"/>
      <c r="BBB123" s="225"/>
      <c r="BBC123" s="225"/>
      <c r="BBD123" s="225"/>
      <c r="BBE123" s="225"/>
      <c r="BBF123" s="225"/>
      <c r="BBG123" s="225"/>
      <c r="BBH123" s="225"/>
      <c r="BBI123" s="225"/>
      <c r="BBJ123" s="225"/>
      <c r="BBK123" s="225"/>
      <c r="BBL123" s="225"/>
      <c r="BBM123" s="225"/>
      <c r="BBN123" s="225"/>
      <c r="BBO123" s="225"/>
      <c r="BBP123" s="225"/>
      <c r="BBQ123" s="225"/>
      <c r="BBR123" s="225"/>
      <c r="BBS123" s="225"/>
      <c r="BBT123" s="225"/>
      <c r="BBU123" s="225"/>
      <c r="BBV123" s="225"/>
      <c r="BBW123" s="225"/>
      <c r="BBX123" s="225"/>
      <c r="BBY123" s="225"/>
      <c r="BBZ123" s="225"/>
      <c r="BCA123" s="225"/>
      <c r="BCB123" s="225"/>
      <c r="BCC123" s="225"/>
      <c r="BCD123" s="225"/>
      <c r="BCE123" s="225"/>
      <c r="BCF123" s="225"/>
      <c r="BCG123" s="225"/>
      <c r="BCH123" s="225"/>
      <c r="BCI123" s="225"/>
      <c r="BCJ123" s="225"/>
      <c r="BCK123" s="225"/>
      <c r="BCL123" s="225"/>
      <c r="BCM123" s="225"/>
      <c r="BCN123" s="225"/>
      <c r="BCO123" s="225"/>
      <c r="BCP123" s="225"/>
      <c r="BCQ123" s="225"/>
      <c r="BCR123" s="225"/>
      <c r="BCS123" s="225"/>
      <c r="BCT123" s="225"/>
      <c r="BCU123" s="225"/>
      <c r="BCV123" s="225"/>
      <c r="BCW123" s="225"/>
      <c r="BCX123" s="225"/>
      <c r="BCY123" s="225"/>
      <c r="BCZ123" s="225"/>
      <c r="BDA123" s="225"/>
      <c r="BDB123" s="225"/>
      <c r="BDC123" s="225"/>
      <c r="BDD123" s="225"/>
      <c r="BDE123" s="225"/>
      <c r="BDF123" s="225"/>
      <c r="BDG123" s="225"/>
      <c r="BDH123" s="225"/>
      <c r="BDI123" s="225"/>
      <c r="BDJ123" s="225"/>
      <c r="BDK123" s="225"/>
      <c r="BDL123" s="225"/>
      <c r="BDM123" s="225"/>
      <c r="BDN123" s="225"/>
      <c r="BDO123" s="225"/>
      <c r="BDP123" s="225"/>
      <c r="BDQ123" s="225"/>
      <c r="BDR123" s="225"/>
      <c r="BDS123" s="225"/>
      <c r="BDT123" s="225"/>
      <c r="BDU123" s="225"/>
      <c r="BDV123" s="225"/>
      <c r="BDW123" s="225"/>
      <c r="BDX123" s="225"/>
      <c r="BDY123" s="225"/>
      <c r="BDZ123" s="225"/>
      <c r="BEA123" s="225"/>
      <c r="BEB123" s="225"/>
      <c r="BEC123" s="225"/>
      <c r="BED123" s="225"/>
      <c r="BEE123" s="225"/>
      <c r="BEF123" s="225"/>
      <c r="BEG123" s="225"/>
      <c r="BEH123" s="225"/>
      <c r="BEI123" s="225"/>
      <c r="BEJ123" s="225"/>
      <c r="BEK123" s="225"/>
      <c r="BEL123" s="225"/>
      <c r="BEM123" s="225"/>
      <c r="BEN123" s="225"/>
      <c r="BEO123" s="225"/>
      <c r="BEP123" s="225"/>
      <c r="BEQ123" s="225"/>
      <c r="BER123" s="225"/>
      <c r="BES123" s="225"/>
      <c r="BET123" s="225"/>
      <c r="BEU123" s="225"/>
      <c r="BEV123" s="225"/>
      <c r="BEW123" s="225"/>
      <c r="BEX123" s="225"/>
      <c r="BEY123" s="225"/>
      <c r="BEZ123" s="225"/>
      <c r="BFA123" s="225"/>
      <c r="BFB123" s="225"/>
      <c r="BFC123" s="225"/>
      <c r="BFD123" s="225"/>
      <c r="BFE123" s="225"/>
      <c r="BFF123" s="225"/>
      <c r="BFG123" s="225"/>
      <c r="BFH123" s="225"/>
      <c r="BFI123" s="225"/>
      <c r="BFJ123" s="225"/>
      <c r="BFK123" s="225"/>
      <c r="BFL123" s="225"/>
      <c r="BFM123" s="225"/>
      <c r="BFN123" s="225"/>
      <c r="BFO123" s="225"/>
      <c r="BFP123" s="225"/>
      <c r="BFQ123" s="225"/>
      <c r="BFR123" s="225"/>
      <c r="BFS123" s="225"/>
      <c r="BFT123" s="225"/>
      <c r="BFU123" s="225"/>
      <c r="BFV123" s="225"/>
      <c r="BFW123" s="225"/>
      <c r="BFX123" s="225"/>
      <c r="BFY123" s="225"/>
      <c r="BFZ123" s="225"/>
      <c r="BGA123" s="225"/>
      <c r="BGB123" s="225"/>
      <c r="BGC123" s="225"/>
      <c r="BGD123" s="225"/>
      <c r="BGE123" s="225"/>
      <c r="BGF123" s="225"/>
      <c r="BGG123" s="225"/>
      <c r="BGH123" s="225"/>
      <c r="BGI123" s="225"/>
      <c r="BGJ123" s="225"/>
      <c r="BGK123" s="225"/>
      <c r="BGL123" s="225"/>
      <c r="BGM123" s="225"/>
      <c r="BGN123" s="225"/>
      <c r="BGO123" s="225"/>
      <c r="BGP123" s="225"/>
      <c r="BGQ123" s="225"/>
      <c r="BGR123" s="225"/>
      <c r="BGS123" s="225"/>
      <c r="BGT123" s="225"/>
      <c r="BGU123" s="225"/>
      <c r="BGV123" s="225"/>
      <c r="BGW123" s="225"/>
      <c r="BGX123" s="225"/>
      <c r="BGY123" s="225"/>
      <c r="BGZ123" s="225"/>
      <c r="BHA123" s="225"/>
      <c r="BHB123" s="225"/>
      <c r="BHC123" s="225"/>
      <c r="BHD123" s="225"/>
      <c r="BHE123" s="225"/>
      <c r="BHF123" s="225"/>
      <c r="BHG123" s="225"/>
      <c r="BHH123" s="225"/>
      <c r="BHI123" s="225"/>
      <c r="BHJ123" s="225"/>
      <c r="BHK123" s="225"/>
      <c r="BHL123" s="225"/>
      <c r="BHM123" s="225"/>
      <c r="BHN123" s="225"/>
      <c r="BHO123" s="225"/>
      <c r="BHP123" s="225"/>
      <c r="BHQ123" s="225"/>
      <c r="BHR123" s="225"/>
      <c r="BHS123" s="225"/>
      <c r="BHT123" s="225"/>
      <c r="BHU123" s="225"/>
      <c r="BHV123" s="225"/>
      <c r="BHW123" s="225"/>
      <c r="BHX123" s="225"/>
      <c r="BHY123" s="225"/>
      <c r="BHZ123" s="225"/>
      <c r="BIA123" s="225"/>
      <c r="BIB123" s="225"/>
      <c r="BIC123" s="225"/>
      <c r="BID123" s="225"/>
      <c r="BIE123" s="225"/>
      <c r="BIF123" s="225"/>
      <c r="BIG123" s="225"/>
      <c r="BIH123" s="225"/>
      <c r="BII123" s="225"/>
      <c r="BIJ123" s="225"/>
      <c r="BIK123" s="225"/>
      <c r="BIL123" s="225"/>
      <c r="BIM123" s="225"/>
      <c r="BIN123" s="225"/>
      <c r="BIO123" s="225"/>
      <c r="BIP123" s="225"/>
      <c r="BIQ123" s="225"/>
      <c r="BIR123" s="225"/>
      <c r="BIS123" s="225"/>
      <c r="BIT123" s="225"/>
      <c r="BIU123" s="225"/>
      <c r="BIV123" s="225"/>
      <c r="BIW123" s="225"/>
      <c r="BIX123" s="225"/>
      <c r="BIY123" s="225"/>
      <c r="BIZ123" s="225"/>
      <c r="BJA123" s="225"/>
      <c r="BJB123" s="225"/>
      <c r="BJC123" s="225"/>
      <c r="BJD123" s="225"/>
      <c r="BJE123" s="225"/>
      <c r="BJF123" s="225"/>
      <c r="BJG123" s="225"/>
      <c r="BJH123" s="225"/>
      <c r="BJI123" s="225"/>
      <c r="BJJ123" s="225"/>
      <c r="BJK123" s="225"/>
      <c r="BJL123" s="225"/>
      <c r="BJM123" s="225"/>
      <c r="BJN123" s="225"/>
      <c r="BJO123" s="225"/>
      <c r="BJP123" s="225"/>
      <c r="BJQ123" s="225"/>
      <c r="BJR123" s="225"/>
      <c r="BJS123" s="225"/>
      <c r="BJT123" s="225"/>
      <c r="BJU123" s="225"/>
      <c r="BJV123" s="225"/>
      <c r="BJW123" s="225"/>
      <c r="BJX123" s="225"/>
      <c r="BJY123" s="225"/>
      <c r="BJZ123" s="225"/>
      <c r="BKA123" s="225"/>
      <c r="BKB123" s="225"/>
      <c r="BKC123" s="225"/>
      <c r="BKD123" s="225"/>
      <c r="BKE123" s="225"/>
      <c r="BKF123" s="225"/>
      <c r="BKG123" s="225"/>
      <c r="BKH123" s="225"/>
      <c r="BKI123" s="225"/>
      <c r="BKJ123" s="225"/>
      <c r="BKK123" s="225"/>
      <c r="BKL123" s="225"/>
      <c r="BKM123" s="225"/>
      <c r="BKN123" s="225"/>
      <c r="BKO123" s="225"/>
      <c r="BKP123" s="225"/>
      <c r="BKQ123" s="225"/>
      <c r="BKR123" s="225"/>
      <c r="BKS123" s="225"/>
      <c r="BKT123" s="225"/>
      <c r="BKU123" s="225"/>
      <c r="BKV123" s="225"/>
      <c r="BKW123" s="225"/>
      <c r="BKX123" s="225"/>
      <c r="BKY123" s="225"/>
      <c r="BKZ123" s="225"/>
      <c r="BLA123" s="225"/>
      <c r="BLB123" s="225"/>
      <c r="BLC123" s="225"/>
      <c r="BLD123" s="225"/>
      <c r="BLE123" s="225"/>
      <c r="BLF123" s="225"/>
      <c r="BLG123" s="225"/>
      <c r="BLH123" s="225"/>
      <c r="BLI123" s="225"/>
      <c r="BLJ123" s="225"/>
      <c r="BLK123" s="225"/>
      <c r="BLL123" s="225"/>
      <c r="BLM123" s="225"/>
      <c r="BLN123" s="225"/>
      <c r="BLO123" s="225"/>
      <c r="BLP123" s="225"/>
      <c r="BLQ123" s="225"/>
      <c r="BLR123" s="225"/>
      <c r="BLS123" s="225"/>
      <c r="BLT123" s="225"/>
      <c r="BLU123" s="225"/>
      <c r="BLV123" s="225"/>
      <c r="BLW123" s="225"/>
      <c r="BLX123" s="225"/>
      <c r="BLY123" s="225"/>
      <c r="BLZ123" s="225"/>
      <c r="BMA123" s="225"/>
      <c r="BMB123" s="225"/>
      <c r="BMC123" s="225"/>
      <c r="BMD123" s="225"/>
      <c r="BME123" s="225"/>
      <c r="BMF123" s="225"/>
      <c r="BMG123" s="225"/>
      <c r="BMH123" s="225"/>
      <c r="BMI123" s="225"/>
      <c r="BMJ123" s="225"/>
      <c r="BMK123" s="225"/>
      <c r="BML123" s="225"/>
      <c r="BMM123" s="225"/>
      <c r="BMN123" s="225"/>
      <c r="BMO123" s="225"/>
      <c r="BMP123" s="225"/>
      <c r="BMQ123" s="225"/>
      <c r="BMR123" s="225"/>
      <c r="BMS123" s="225"/>
      <c r="BMT123" s="225"/>
      <c r="BMU123" s="225"/>
      <c r="BMV123" s="225"/>
      <c r="BMW123" s="225"/>
      <c r="BMX123" s="225"/>
      <c r="BMY123" s="225"/>
      <c r="BMZ123" s="225"/>
      <c r="BNA123" s="225"/>
      <c r="BNB123" s="225"/>
      <c r="BNC123" s="225"/>
      <c r="BND123" s="225"/>
      <c r="BNE123" s="225"/>
      <c r="BNF123" s="225"/>
      <c r="BNG123" s="225"/>
      <c r="BNH123" s="225"/>
      <c r="BNI123" s="225"/>
      <c r="BNJ123" s="225"/>
      <c r="BNK123" s="225"/>
      <c r="BNL123" s="225"/>
      <c r="BNM123" s="225"/>
      <c r="BNN123" s="225"/>
      <c r="BNO123" s="225"/>
      <c r="BNP123" s="225"/>
      <c r="BNQ123" s="225"/>
      <c r="BNR123" s="225"/>
      <c r="BNS123" s="225"/>
      <c r="BNT123" s="225"/>
      <c r="BNU123" s="225"/>
      <c r="BNV123" s="225"/>
      <c r="BNW123" s="225"/>
      <c r="BNX123" s="225"/>
      <c r="BNY123" s="225"/>
      <c r="BNZ123" s="225"/>
      <c r="BOA123" s="225"/>
      <c r="BOB123" s="225"/>
      <c r="BOC123" s="225"/>
      <c r="BOD123" s="225"/>
      <c r="BOE123" s="225"/>
      <c r="BOF123" s="225"/>
      <c r="BOG123" s="225"/>
      <c r="BOH123" s="225"/>
      <c r="BOI123" s="225"/>
      <c r="BOJ123" s="225"/>
      <c r="BOK123" s="225"/>
      <c r="BOL123" s="225"/>
      <c r="BOM123" s="225"/>
      <c r="BON123" s="225"/>
      <c r="BOO123" s="225"/>
      <c r="BOP123" s="225"/>
      <c r="BOQ123" s="225"/>
      <c r="BOR123" s="225"/>
      <c r="BOS123" s="225"/>
      <c r="BOT123" s="225"/>
      <c r="BOU123" s="225"/>
      <c r="BOV123" s="225"/>
      <c r="BOW123" s="225"/>
      <c r="BOX123" s="225"/>
      <c r="BOY123" s="225"/>
      <c r="BOZ123" s="225"/>
      <c r="BPA123" s="225"/>
      <c r="BPB123" s="225"/>
      <c r="BPC123" s="225"/>
      <c r="BPD123" s="225"/>
      <c r="BPE123" s="225"/>
      <c r="BPF123" s="225"/>
      <c r="BPG123" s="225"/>
      <c r="BPH123" s="225"/>
      <c r="BPI123" s="225"/>
      <c r="BPJ123" s="225"/>
      <c r="BPK123" s="225"/>
      <c r="BPL123" s="225"/>
      <c r="BPM123" s="225"/>
      <c r="BPN123" s="225"/>
      <c r="BPO123" s="225"/>
      <c r="BPP123" s="225"/>
      <c r="BPQ123" s="225"/>
      <c r="BPR123" s="225"/>
      <c r="BPS123" s="225"/>
      <c r="BPT123" s="225"/>
      <c r="BPU123" s="225"/>
      <c r="BPV123" s="225"/>
      <c r="BPW123" s="225"/>
      <c r="BPX123" s="225"/>
      <c r="BPY123" s="225"/>
      <c r="BPZ123" s="225"/>
      <c r="BQA123" s="225"/>
      <c r="BQB123" s="225"/>
      <c r="BQC123" s="225"/>
      <c r="BQD123" s="225"/>
      <c r="BQE123" s="225"/>
      <c r="BQF123" s="225"/>
      <c r="BQG123" s="225"/>
      <c r="BQH123" s="225"/>
      <c r="BQI123" s="225"/>
      <c r="BQJ123" s="225"/>
      <c r="BQK123" s="225"/>
      <c r="BQL123" s="225"/>
      <c r="BQM123" s="225"/>
      <c r="BQN123" s="225"/>
      <c r="BQO123" s="225"/>
      <c r="BQP123" s="225"/>
      <c r="BQQ123" s="225"/>
      <c r="BQR123" s="225"/>
      <c r="BQS123" s="225"/>
      <c r="BQT123" s="225"/>
      <c r="BQU123" s="225"/>
      <c r="BQV123" s="225"/>
      <c r="BQW123" s="225"/>
      <c r="BQX123" s="225"/>
      <c r="BQY123" s="225"/>
      <c r="BQZ123" s="225"/>
      <c r="BRA123" s="225"/>
      <c r="BRB123" s="225"/>
      <c r="BRC123" s="225"/>
      <c r="BRD123" s="225"/>
      <c r="BRE123" s="225"/>
      <c r="BRF123" s="225"/>
      <c r="BRG123" s="225"/>
      <c r="BRH123" s="225"/>
      <c r="BRI123" s="225"/>
      <c r="BRJ123" s="225"/>
      <c r="BRK123" s="225"/>
      <c r="BRL123" s="225"/>
      <c r="BRM123" s="225"/>
      <c r="BRN123" s="225"/>
      <c r="BRO123" s="225"/>
      <c r="BRP123" s="225"/>
      <c r="BRQ123" s="225"/>
      <c r="BRR123" s="225"/>
      <c r="BRS123" s="225"/>
      <c r="BRT123" s="225"/>
      <c r="BRU123" s="225"/>
      <c r="BRV123" s="225"/>
      <c r="BRW123" s="225"/>
      <c r="BRX123" s="225"/>
      <c r="BRY123" s="225"/>
      <c r="BRZ123" s="225"/>
      <c r="BSA123" s="225"/>
      <c r="BSB123" s="225"/>
      <c r="BSC123" s="225"/>
      <c r="BSD123" s="225"/>
      <c r="BSE123" s="225"/>
      <c r="BSF123" s="225"/>
      <c r="BSG123" s="225"/>
      <c r="BSH123" s="225"/>
      <c r="BSI123" s="225"/>
      <c r="BSJ123" s="225"/>
      <c r="BSK123" s="225"/>
      <c r="BSL123" s="225"/>
      <c r="BSM123" s="225"/>
      <c r="BSN123" s="225"/>
      <c r="BSO123" s="225"/>
      <c r="BSP123" s="225"/>
      <c r="BSQ123" s="225"/>
      <c r="BSR123" s="225"/>
      <c r="BSS123" s="225"/>
      <c r="BST123" s="225"/>
      <c r="BSU123" s="225"/>
      <c r="BSV123" s="225"/>
      <c r="BSW123" s="225"/>
      <c r="BSX123" s="225"/>
      <c r="BSY123" s="225"/>
      <c r="BSZ123" s="225"/>
      <c r="BTA123" s="225"/>
      <c r="BTB123" s="225"/>
      <c r="BTC123" s="225"/>
      <c r="BTD123" s="225"/>
      <c r="BTE123" s="225"/>
      <c r="BTF123" s="225"/>
      <c r="BTG123" s="225"/>
      <c r="BTH123" s="225"/>
      <c r="BTI123" s="225"/>
      <c r="BTJ123" s="225"/>
      <c r="BTK123" s="225"/>
      <c r="BTL123" s="225"/>
      <c r="BTM123" s="225"/>
      <c r="BTN123" s="225"/>
      <c r="BTO123" s="225"/>
      <c r="BTP123" s="225"/>
      <c r="BTQ123" s="225"/>
      <c r="BTR123" s="225"/>
      <c r="BTS123" s="225"/>
      <c r="BTT123" s="225"/>
      <c r="BTU123" s="225"/>
      <c r="BTV123" s="225"/>
      <c r="BTW123" s="225"/>
      <c r="BTX123" s="225"/>
      <c r="BTY123" s="225"/>
      <c r="BTZ123" s="225"/>
      <c r="BUA123" s="225"/>
      <c r="BUB123" s="225"/>
      <c r="BUC123" s="225"/>
      <c r="BUD123" s="225"/>
      <c r="BUE123" s="225"/>
      <c r="BUF123" s="225"/>
      <c r="BUG123" s="225"/>
      <c r="BUH123" s="225"/>
      <c r="BUI123" s="225"/>
      <c r="BUJ123" s="225"/>
      <c r="BUK123" s="225"/>
      <c r="BUL123" s="225"/>
      <c r="BUM123" s="225"/>
      <c r="BUN123" s="225"/>
      <c r="BUO123" s="225"/>
      <c r="BUP123" s="225"/>
      <c r="BUQ123" s="225"/>
      <c r="BUR123" s="225"/>
      <c r="BUS123" s="225"/>
      <c r="BUT123" s="225"/>
      <c r="BUU123" s="225"/>
      <c r="BUV123" s="225"/>
      <c r="BUW123" s="225"/>
      <c r="BUX123" s="225"/>
      <c r="BUY123" s="225"/>
      <c r="BUZ123" s="225"/>
      <c r="BVA123" s="225"/>
      <c r="BVB123" s="225"/>
      <c r="BVC123" s="225"/>
      <c r="BVD123" s="225"/>
      <c r="BVE123" s="225"/>
      <c r="BVF123" s="225"/>
      <c r="BVG123" s="225"/>
      <c r="BVH123" s="225"/>
      <c r="BVI123" s="225"/>
      <c r="BVJ123" s="225"/>
      <c r="BVK123" s="225"/>
      <c r="BVL123" s="225"/>
      <c r="BVM123" s="225"/>
      <c r="BVN123" s="225"/>
      <c r="BVO123" s="225"/>
      <c r="BVP123" s="225"/>
      <c r="BVQ123" s="225"/>
      <c r="BVR123" s="225"/>
      <c r="BVS123" s="225"/>
      <c r="BVT123" s="225"/>
      <c r="BVU123" s="225"/>
      <c r="BVV123" s="225"/>
      <c r="BVW123" s="225"/>
      <c r="BVX123" s="225"/>
      <c r="BVY123" s="225"/>
      <c r="BVZ123" s="225"/>
      <c r="BWA123" s="225"/>
      <c r="BWB123" s="225"/>
      <c r="BWC123" s="225"/>
      <c r="BWD123" s="225"/>
      <c r="BWE123" s="225"/>
      <c r="BWF123" s="225"/>
      <c r="BWG123" s="225"/>
      <c r="BWH123" s="225"/>
      <c r="BWI123" s="225"/>
      <c r="BWJ123" s="225"/>
      <c r="BWK123" s="225"/>
      <c r="BWL123" s="225"/>
      <c r="BWM123" s="225"/>
      <c r="BWN123" s="225"/>
      <c r="BWO123" s="225"/>
      <c r="BWP123" s="225"/>
      <c r="BWQ123" s="225"/>
      <c r="BWR123" s="225"/>
      <c r="BWS123" s="225"/>
      <c r="BWT123" s="225"/>
      <c r="BWU123" s="225"/>
      <c r="BWV123" s="225"/>
      <c r="BWW123" s="225"/>
      <c r="BWX123" s="225"/>
      <c r="BWY123" s="225"/>
      <c r="BWZ123" s="225"/>
      <c r="BXA123" s="225"/>
      <c r="BXB123" s="225"/>
      <c r="BXC123" s="225"/>
      <c r="BXD123" s="225"/>
      <c r="BXE123" s="225"/>
      <c r="BXF123" s="225"/>
      <c r="BXG123" s="225"/>
      <c r="BXH123" s="225"/>
      <c r="BXI123" s="225"/>
      <c r="BXJ123" s="225"/>
      <c r="BXK123" s="225"/>
      <c r="BXL123" s="225"/>
      <c r="BXM123" s="225"/>
      <c r="BXN123" s="225"/>
      <c r="BXO123" s="225"/>
      <c r="BXP123" s="225"/>
      <c r="BXQ123" s="225"/>
      <c r="BXR123" s="225"/>
      <c r="BXS123" s="225"/>
      <c r="BXT123" s="225"/>
      <c r="BXU123" s="225"/>
      <c r="BXV123" s="225"/>
      <c r="BXW123" s="225"/>
      <c r="BXX123" s="225"/>
      <c r="BXY123" s="225"/>
      <c r="BXZ123" s="225"/>
      <c r="BYA123" s="225"/>
      <c r="BYB123" s="225"/>
      <c r="BYC123" s="225"/>
      <c r="BYD123" s="225"/>
      <c r="BYE123" s="225"/>
      <c r="BYF123" s="225"/>
      <c r="BYG123" s="225"/>
      <c r="BYH123" s="225"/>
      <c r="BYI123" s="225"/>
      <c r="BYJ123" s="225"/>
      <c r="BYK123" s="225"/>
      <c r="BYL123" s="225"/>
      <c r="BYM123" s="225"/>
      <c r="BYN123" s="225"/>
      <c r="BYO123" s="225"/>
      <c r="BYP123" s="225"/>
      <c r="BYQ123" s="225"/>
      <c r="BYR123" s="225"/>
      <c r="BYS123" s="225"/>
      <c r="BYT123" s="225"/>
      <c r="BYU123" s="225"/>
      <c r="BYV123" s="225"/>
      <c r="BYW123" s="225"/>
      <c r="BYX123" s="225"/>
      <c r="BYY123" s="225"/>
      <c r="BYZ123" s="225"/>
      <c r="BZA123" s="225"/>
      <c r="BZB123" s="225"/>
      <c r="BZC123" s="225"/>
      <c r="BZD123" s="225"/>
      <c r="BZE123" s="225"/>
      <c r="BZF123" s="225"/>
      <c r="BZG123" s="225"/>
      <c r="BZH123" s="225"/>
      <c r="BZI123" s="225"/>
      <c r="BZJ123" s="225"/>
      <c r="BZK123" s="225"/>
      <c r="BZL123" s="225"/>
      <c r="BZM123" s="225"/>
      <c r="BZN123" s="225"/>
      <c r="BZO123" s="225"/>
      <c r="BZP123" s="225"/>
      <c r="BZQ123" s="225"/>
      <c r="BZR123" s="225"/>
      <c r="BZS123" s="225"/>
      <c r="BZT123" s="225"/>
      <c r="BZU123" s="225"/>
      <c r="BZV123" s="225"/>
      <c r="BZW123" s="225"/>
      <c r="BZX123" s="225"/>
      <c r="BZY123" s="225"/>
      <c r="BZZ123" s="225"/>
      <c r="CAA123" s="225"/>
      <c r="CAB123" s="225"/>
      <c r="CAC123" s="225"/>
      <c r="CAD123" s="225"/>
      <c r="CAE123" s="225"/>
      <c r="CAF123" s="225"/>
      <c r="CAG123" s="225"/>
      <c r="CAH123" s="225"/>
      <c r="CAI123" s="225"/>
      <c r="CAJ123" s="225"/>
      <c r="CAK123" s="225"/>
      <c r="CAL123" s="225"/>
      <c r="CAM123" s="225"/>
      <c r="CAN123" s="225"/>
      <c r="CAO123" s="225"/>
      <c r="CAP123" s="225"/>
      <c r="CAQ123" s="225"/>
      <c r="CAR123" s="225"/>
      <c r="CAS123" s="225"/>
      <c r="CAT123" s="225"/>
      <c r="CAU123" s="225"/>
      <c r="CAV123" s="225"/>
      <c r="CAW123" s="225"/>
      <c r="CAX123" s="225"/>
      <c r="CAY123" s="225"/>
      <c r="CAZ123" s="225"/>
      <c r="CBA123" s="225"/>
      <c r="CBB123" s="225"/>
      <c r="CBC123" s="225"/>
      <c r="CBD123" s="225"/>
      <c r="CBE123" s="225"/>
      <c r="CBF123" s="225"/>
      <c r="CBG123" s="225"/>
      <c r="CBH123" s="225"/>
      <c r="CBI123" s="225"/>
      <c r="CBJ123" s="225"/>
      <c r="CBK123" s="225"/>
      <c r="CBL123" s="225"/>
      <c r="CBM123" s="225"/>
      <c r="CBN123" s="225"/>
      <c r="CBO123" s="225"/>
      <c r="CBP123" s="225"/>
      <c r="CBQ123" s="225"/>
      <c r="CBR123" s="225"/>
      <c r="CBS123" s="225"/>
      <c r="CBT123" s="225"/>
      <c r="CBU123" s="225"/>
      <c r="CBV123" s="225"/>
      <c r="CBW123" s="225"/>
      <c r="CBX123" s="225"/>
      <c r="CBY123" s="225"/>
      <c r="CBZ123" s="225"/>
      <c r="CCA123" s="225"/>
      <c r="CCB123" s="225"/>
      <c r="CCC123" s="225"/>
      <c r="CCD123" s="225"/>
      <c r="CCE123" s="225"/>
      <c r="CCF123" s="225"/>
      <c r="CCG123" s="225"/>
      <c r="CCH123" s="225"/>
      <c r="CCI123" s="225"/>
      <c r="CCJ123" s="225"/>
      <c r="CCK123" s="225"/>
      <c r="CCL123" s="225"/>
      <c r="CCM123" s="225"/>
      <c r="CCN123" s="225"/>
      <c r="CCO123" s="225"/>
      <c r="CCP123" s="225"/>
      <c r="CCQ123" s="225"/>
      <c r="CCR123" s="225"/>
      <c r="CCS123" s="225"/>
      <c r="CCT123" s="225"/>
      <c r="CCU123" s="225"/>
      <c r="CCV123" s="225"/>
      <c r="CCW123" s="225"/>
      <c r="CCX123" s="225"/>
      <c r="CCY123" s="225"/>
      <c r="CCZ123" s="225"/>
      <c r="CDA123" s="225"/>
      <c r="CDB123" s="225"/>
      <c r="CDC123" s="225"/>
      <c r="CDD123" s="225"/>
      <c r="CDE123" s="225"/>
      <c r="CDF123" s="225"/>
      <c r="CDG123" s="225"/>
      <c r="CDH123" s="225"/>
      <c r="CDI123" s="225"/>
      <c r="CDJ123" s="225"/>
      <c r="CDK123" s="225"/>
      <c r="CDL123" s="225"/>
      <c r="CDM123" s="225"/>
      <c r="CDN123" s="225"/>
      <c r="CDO123" s="225"/>
      <c r="CDP123" s="225"/>
      <c r="CDQ123" s="225"/>
      <c r="CDR123" s="225"/>
      <c r="CDS123" s="225"/>
      <c r="CDT123" s="225"/>
      <c r="CDU123" s="225"/>
      <c r="CDV123" s="225"/>
      <c r="CDW123" s="225"/>
      <c r="CDX123" s="225"/>
      <c r="CDY123" s="225"/>
      <c r="CDZ123" s="225"/>
      <c r="CEA123" s="225"/>
      <c r="CEB123" s="225"/>
      <c r="CEC123" s="225"/>
      <c r="CED123" s="225"/>
      <c r="CEE123" s="225"/>
      <c r="CEF123" s="225"/>
      <c r="CEG123" s="225"/>
      <c r="CEH123" s="225"/>
      <c r="CEI123" s="225"/>
      <c r="CEJ123" s="225"/>
      <c r="CEK123" s="225"/>
      <c r="CEL123" s="225"/>
      <c r="CEM123" s="225"/>
      <c r="CEN123" s="225"/>
      <c r="CEO123" s="225"/>
      <c r="CEP123" s="225"/>
      <c r="CEQ123" s="225"/>
      <c r="CER123" s="225"/>
      <c r="CES123" s="225"/>
      <c r="CET123" s="225"/>
      <c r="CEU123" s="225"/>
      <c r="CEV123" s="225"/>
      <c r="CEW123" s="225"/>
      <c r="CEX123" s="225"/>
      <c r="CEY123" s="225"/>
      <c r="CEZ123" s="225"/>
      <c r="CFA123" s="225"/>
      <c r="CFB123" s="225"/>
      <c r="CFC123" s="225"/>
      <c r="CFD123" s="225"/>
      <c r="CFE123" s="225"/>
      <c r="CFF123" s="225"/>
      <c r="CFG123" s="225"/>
      <c r="CFH123" s="225"/>
      <c r="CFI123" s="225"/>
      <c r="CFJ123" s="225"/>
      <c r="CFK123" s="225"/>
      <c r="CFL123" s="225"/>
      <c r="CFM123" s="225"/>
      <c r="CFN123" s="225"/>
      <c r="CFO123" s="225"/>
      <c r="CFP123" s="225"/>
      <c r="CFQ123" s="225"/>
      <c r="CFR123" s="225"/>
      <c r="CFS123" s="225"/>
      <c r="CFT123" s="225"/>
      <c r="CFU123" s="225"/>
      <c r="CFV123" s="225"/>
      <c r="CFW123" s="225"/>
      <c r="CFX123" s="225"/>
      <c r="CFY123" s="225"/>
      <c r="CFZ123" s="225"/>
      <c r="CGA123" s="225"/>
      <c r="CGB123" s="225"/>
      <c r="CGC123" s="225"/>
      <c r="CGD123" s="225"/>
      <c r="CGE123" s="225"/>
      <c r="CGF123" s="225"/>
      <c r="CGG123" s="225"/>
      <c r="CGH123" s="225"/>
      <c r="CGI123" s="225"/>
      <c r="CGJ123" s="225"/>
      <c r="CGK123" s="225"/>
      <c r="CGL123" s="225"/>
      <c r="CGM123" s="225"/>
      <c r="CGN123" s="225"/>
      <c r="CGO123" s="225"/>
      <c r="CGP123" s="225"/>
      <c r="CGQ123" s="225"/>
      <c r="CGR123" s="225"/>
      <c r="CGS123" s="225"/>
      <c r="CGT123" s="225"/>
      <c r="CGU123" s="225"/>
      <c r="CGV123" s="225"/>
      <c r="CGW123" s="225"/>
      <c r="CGX123" s="225"/>
      <c r="CGY123" s="225"/>
      <c r="CGZ123" s="225"/>
      <c r="CHA123" s="225"/>
      <c r="CHB123" s="225"/>
      <c r="CHC123" s="225"/>
      <c r="CHD123" s="225"/>
      <c r="CHE123" s="225"/>
      <c r="CHF123" s="225"/>
      <c r="CHG123" s="225"/>
      <c r="CHH123" s="225"/>
      <c r="CHI123" s="225"/>
      <c r="CHJ123" s="225"/>
      <c r="CHK123" s="225"/>
      <c r="CHL123" s="225"/>
      <c r="CHM123" s="225"/>
      <c r="CHN123" s="225"/>
      <c r="CHO123" s="225"/>
      <c r="CHP123" s="225"/>
      <c r="CHQ123" s="225"/>
      <c r="CHR123" s="225"/>
      <c r="CHS123" s="225"/>
      <c r="CHT123" s="225"/>
      <c r="CHU123" s="225"/>
      <c r="CHV123" s="225"/>
      <c r="CHW123" s="225"/>
      <c r="CHX123" s="225"/>
      <c r="CHY123" s="225"/>
      <c r="CHZ123" s="225"/>
      <c r="CIA123" s="225"/>
      <c r="CIB123" s="225"/>
      <c r="CIC123" s="225"/>
      <c r="CID123" s="225"/>
      <c r="CIE123" s="225"/>
      <c r="CIF123" s="225"/>
      <c r="CIG123" s="225"/>
      <c r="CIH123" s="225"/>
      <c r="CII123" s="225"/>
      <c r="CIJ123" s="225"/>
      <c r="CIK123" s="225"/>
      <c r="CIL123" s="225"/>
      <c r="CIM123" s="225"/>
      <c r="CIN123" s="225"/>
      <c r="CIO123" s="225"/>
      <c r="CIP123" s="225"/>
      <c r="CIQ123" s="225"/>
      <c r="CIR123" s="225"/>
      <c r="CIS123" s="225"/>
      <c r="CIT123" s="225"/>
      <c r="CIU123" s="225"/>
      <c r="CIV123" s="225"/>
      <c r="CIW123" s="225"/>
      <c r="CIX123" s="225"/>
      <c r="CIY123" s="225"/>
      <c r="CIZ123" s="225"/>
      <c r="CJA123" s="225"/>
      <c r="CJB123" s="225"/>
      <c r="CJC123" s="225"/>
      <c r="CJD123" s="225"/>
      <c r="CJE123" s="225"/>
      <c r="CJF123" s="225"/>
      <c r="CJG123" s="225"/>
      <c r="CJH123" s="225"/>
      <c r="CJI123" s="225"/>
      <c r="CJJ123" s="225"/>
      <c r="CJK123" s="225"/>
      <c r="CJL123" s="225"/>
      <c r="CJM123" s="225"/>
      <c r="CJN123" s="225"/>
      <c r="CJO123" s="225"/>
      <c r="CJP123" s="225"/>
      <c r="CJQ123" s="225"/>
      <c r="CJR123" s="225"/>
      <c r="CJS123" s="225"/>
      <c r="CJT123" s="225"/>
      <c r="CJU123" s="225"/>
      <c r="CJV123" s="225"/>
      <c r="CJW123" s="225"/>
      <c r="CJX123" s="225"/>
      <c r="CJY123" s="225"/>
      <c r="CJZ123" s="225"/>
      <c r="CKA123" s="225"/>
      <c r="CKB123" s="225"/>
      <c r="CKC123" s="225"/>
      <c r="CKD123" s="225"/>
      <c r="CKE123" s="225"/>
      <c r="CKF123" s="225"/>
      <c r="CKG123" s="225"/>
      <c r="CKH123" s="225"/>
      <c r="CKI123" s="225"/>
      <c r="CKJ123" s="225"/>
      <c r="CKK123" s="225"/>
      <c r="CKL123" s="225"/>
      <c r="CKM123" s="225"/>
      <c r="CKN123" s="225"/>
      <c r="CKO123" s="225"/>
      <c r="CKP123" s="225"/>
      <c r="CKQ123" s="225"/>
      <c r="CKR123" s="225"/>
      <c r="CKS123" s="225"/>
      <c r="CKT123" s="225"/>
      <c r="CKU123" s="225"/>
      <c r="CKV123" s="225"/>
      <c r="CKW123" s="225"/>
      <c r="CKX123" s="225"/>
      <c r="CKY123" s="225"/>
      <c r="CKZ123" s="225"/>
      <c r="CLA123" s="225"/>
      <c r="CLB123" s="225"/>
      <c r="CLC123" s="225"/>
      <c r="CLD123" s="225"/>
      <c r="CLE123" s="225"/>
      <c r="CLF123" s="225"/>
      <c r="CLG123" s="225"/>
      <c r="CLH123" s="225"/>
      <c r="CLI123" s="225"/>
      <c r="CLJ123" s="225"/>
      <c r="CLK123" s="225"/>
      <c r="CLL123" s="225"/>
      <c r="CLM123" s="225"/>
      <c r="CLN123" s="225"/>
      <c r="CLO123" s="225"/>
      <c r="CLP123" s="225"/>
      <c r="CLQ123" s="225"/>
      <c r="CLR123" s="225"/>
      <c r="CLS123" s="225"/>
      <c r="CLT123" s="225"/>
      <c r="CLU123" s="225"/>
      <c r="CLV123" s="225"/>
      <c r="CLW123" s="225"/>
      <c r="CLX123" s="225"/>
      <c r="CLY123" s="225"/>
      <c r="CLZ123" s="225"/>
      <c r="CMA123" s="225"/>
      <c r="CMB123" s="225"/>
      <c r="CMC123" s="225"/>
      <c r="CMD123" s="225"/>
      <c r="CME123" s="225"/>
      <c r="CMF123" s="225"/>
      <c r="CMG123" s="225"/>
      <c r="CMH123" s="225"/>
      <c r="CMI123" s="225"/>
      <c r="CMJ123" s="225"/>
      <c r="CMK123" s="225"/>
      <c r="CML123" s="225"/>
      <c r="CMM123" s="225"/>
      <c r="CMN123" s="225"/>
      <c r="CMO123" s="225"/>
      <c r="CMP123" s="225"/>
      <c r="CMQ123" s="225"/>
      <c r="CMR123" s="225"/>
      <c r="CMS123" s="225"/>
      <c r="CMT123" s="225"/>
      <c r="CMU123" s="225"/>
      <c r="CMV123" s="225"/>
      <c r="CMW123" s="225"/>
      <c r="CMX123" s="225"/>
      <c r="CMY123" s="225"/>
      <c r="CMZ123" s="225"/>
      <c r="CNA123" s="225"/>
      <c r="CNB123" s="225"/>
      <c r="CNC123" s="225"/>
      <c r="CND123" s="225"/>
      <c r="CNE123" s="225"/>
      <c r="CNF123" s="225"/>
      <c r="CNG123" s="225"/>
      <c r="CNH123" s="225"/>
      <c r="CNI123" s="225"/>
      <c r="CNJ123" s="225"/>
      <c r="CNK123" s="225"/>
      <c r="CNL123" s="225"/>
      <c r="CNM123" s="225"/>
      <c r="CNN123" s="225"/>
      <c r="CNO123" s="225"/>
      <c r="CNP123" s="225"/>
      <c r="CNQ123" s="225"/>
      <c r="CNR123" s="225"/>
      <c r="CNS123" s="225"/>
      <c r="CNT123" s="225"/>
      <c r="CNU123" s="225"/>
      <c r="CNV123" s="225"/>
      <c r="CNW123" s="225"/>
      <c r="CNX123" s="225"/>
      <c r="CNY123" s="225"/>
      <c r="CNZ123" s="225"/>
      <c r="COA123" s="225"/>
      <c r="COB123" s="225"/>
      <c r="COC123" s="225"/>
      <c r="COD123" s="225"/>
      <c r="COE123" s="225"/>
      <c r="COF123" s="225"/>
      <c r="COG123" s="225"/>
      <c r="COH123" s="225"/>
      <c r="COI123" s="225"/>
      <c r="COJ123" s="225"/>
      <c r="COK123" s="225"/>
      <c r="COL123" s="225"/>
      <c r="COM123" s="225"/>
      <c r="CON123" s="225"/>
      <c r="COO123" s="225"/>
      <c r="COP123" s="225"/>
      <c r="COQ123" s="225"/>
      <c r="COR123" s="225"/>
      <c r="COS123" s="225"/>
      <c r="COT123" s="225"/>
      <c r="COU123" s="225"/>
      <c r="COV123" s="225"/>
      <c r="COW123" s="225"/>
      <c r="COX123" s="225"/>
      <c r="COY123" s="225"/>
      <c r="COZ123" s="225"/>
      <c r="CPA123" s="225"/>
      <c r="CPB123" s="225"/>
      <c r="CPC123" s="225"/>
      <c r="CPD123" s="225"/>
      <c r="CPE123" s="225"/>
      <c r="CPF123" s="225"/>
      <c r="CPG123" s="225"/>
      <c r="CPH123" s="225"/>
      <c r="CPI123" s="225"/>
      <c r="CPJ123" s="225"/>
      <c r="CPK123" s="225"/>
      <c r="CPL123" s="225"/>
      <c r="CPM123" s="225"/>
      <c r="CPN123" s="225"/>
      <c r="CPO123" s="225"/>
      <c r="CPP123" s="225"/>
      <c r="CPQ123" s="225"/>
      <c r="CPR123" s="225"/>
      <c r="CPS123" s="225"/>
      <c r="CPT123" s="225"/>
      <c r="CPU123" s="225"/>
      <c r="CPV123" s="225"/>
      <c r="CPW123" s="225"/>
      <c r="CPX123" s="225"/>
      <c r="CPY123" s="225"/>
      <c r="CPZ123" s="225"/>
      <c r="CQA123" s="225"/>
      <c r="CQB123" s="225"/>
      <c r="CQC123" s="225"/>
      <c r="CQD123" s="225"/>
      <c r="CQE123" s="225"/>
      <c r="CQF123" s="225"/>
      <c r="CQG123" s="225"/>
      <c r="CQH123" s="225"/>
      <c r="CQI123" s="225"/>
      <c r="CQJ123" s="225"/>
      <c r="CQK123" s="225"/>
      <c r="CQL123" s="225"/>
      <c r="CQM123" s="225"/>
      <c r="CQN123" s="225"/>
      <c r="CQO123" s="225"/>
      <c r="CQP123" s="225"/>
      <c r="CQQ123" s="225"/>
      <c r="CQR123" s="225"/>
      <c r="CQS123" s="225"/>
      <c r="CQT123" s="225"/>
      <c r="CQU123" s="225"/>
      <c r="CQV123" s="225"/>
      <c r="CQW123" s="225"/>
      <c r="CQX123" s="225"/>
      <c r="CQY123" s="225"/>
      <c r="CQZ123" s="225"/>
      <c r="CRA123" s="225"/>
      <c r="CRB123" s="225"/>
      <c r="CRC123" s="225"/>
      <c r="CRD123" s="225"/>
      <c r="CRE123" s="225"/>
      <c r="CRF123" s="225"/>
      <c r="CRG123" s="225"/>
      <c r="CRH123" s="225"/>
      <c r="CRI123" s="225"/>
      <c r="CRJ123" s="225"/>
      <c r="CRK123" s="225"/>
      <c r="CRL123" s="225"/>
      <c r="CRM123" s="225"/>
      <c r="CRN123" s="225"/>
      <c r="CRO123" s="225"/>
      <c r="CRP123" s="225"/>
      <c r="CRQ123" s="225"/>
      <c r="CRR123" s="225"/>
      <c r="CRS123" s="225"/>
      <c r="CRT123" s="225"/>
      <c r="CRU123" s="225"/>
      <c r="CRV123" s="225"/>
      <c r="CRW123" s="225"/>
      <c r="CRX123" s="225"/>
      <c r="CRY123" s="225"/>
      <c r="CRZ123" s="225"/>
      <c r="CSA123" s="225"/>
      <c r="CSB123" s="225"/>
      <c r="CSC123" s="225"/>
      <c r="CSD123" s="225"/>
      <c r="CSE123" s="225"/>
      <c r="CSF123" s="225"/>
      <c r="CSG123" s="225"/>
      <c r="CSH123" s="225"/>
      <c r="CSI123" s="225"/>
      <c r="CSJ123" s="225"/>
      <c r="CSK123" s="225"/>
      <c r="CSL123" s="225"/>
      <c r="CSM123" s="225"/>
      <c r="CSN123" s="225"/>
      <c r="CSO123" s="225"/>
      <c r="CSP123" s="225"/>
      <c r="CSQ123" s="225"/>
      <c r="CSR123" s="225"/>
      <c r="CSS123" s="225"/>
      <c r="CST123" s="225"/>
      <c r="CSU123" s="225"/>
      <c r="CSV123" s="225"/>
      <c r="CSW123" s="225"/>
      <c r="CSX123" s="225"/>
      <c r="CSY123" s="225"/>
      <c r="CSZ123" s="225"/>
      <c r="CTA123" s="225"/>
      <c r="CTB123" s="225"/>
      <c r="CTC123" s="225"/>
      <c r="CTD123" s="225"/>
      <c r="CTE123" s="225"/>
      <c r="CTF123" s="225"/>
      <c r="CTG123" s="225"/>
      <c r="CTH123" s="225"/>
      <c r="CTI123" s="225"/>
      <c r="CTJ123" s="225"/>
      <c r="CTK123" s="225"/>
      <c r="CTL123" s="225"/>
      <c r="CTM123" s="225"/>
      <c r="CTN123" s="225"/>
      <c r="CTO123" s="225"/>
      <c r="CTP123" s="225"/>
      <c r="CTQ123" s="225"/>
      <c r="CTR123" s="225"/>
      <c r="CTS123" s="225"/>
      <c r="CTT123" s="225"/>
      <c r="CTU123" s="225"/>
      <c r="CTV123" s="225"/>
      <c r="CTW123" s="225"/>
      <c r="CTX123" s="225"/>
      <c r="CTY123" s="225"/>
      <c r="CTZ123" s="225"/>
      <c r="CUA123" s="225"/>
      <c r="CUB123" s="225"/>
      <c r="CUC123" s="225"/>
      <c r="CUD123" s="225"/>
      <c r="CUE123" s="225"/>
      <c r="CUF123" s="225"/>
      <c r="CUG123" s="225"/>
      <c r="CUH123" s="225"/>
      <c r="CUI123" s="225"/>
      <c r="CUJ123" s="225"/>
      <c r="CUK123" s="225"/>
      <c r="CUL123" s="225"/>
      <c r="CUM123" s="225"/>
      <c r="CUN123" s="225"/>
      <c r="CUO123" s="225"/>
      <c r="CUP123" s="225"/>
      <c r="CUQ123" s="225"/>
      <c r="CUR123" s="225"/>
      <c r="CUS123" s="225"/>
      <c r="CUT123" s="225"/>
      <c r="CUU123" s="225"/>
      <c r="CUV123" s="225"/>
      <c r="CUW123" s="225"/>
      <c r="CUX123" s="225"/>
      <c r="CUY123" s="225"/>
      <c r="CUZ123" s="225"/>
      <c r="CVA123" s="225"/>
      <c r="CVB123" s="225"/>
      <c r="CVC123" s="225"/>
      <c r="CVD123" s="225"/>
      <c r="CVE123" s="225"/>
      <c r="CVF123" s="225"/>
      <c r="CVG123" s="225"/>
      <c r="CVH123" s="225"/>
      <c r="CVI123" s="225"/>
      <c r="CVJ123" s="225"/>
      <c r="CVK123" s="225"/>
      <c r="CVL123" s="225"/>
      <c r="CVM123" s="225"/>
      <c r="CVN123" s="225"/>
      <c r="CVO123" s="225"/>
      <c r="CVP123" s="225"/>
      <c r="CVQ123" s="225"/>
      <c r="CVR123" s="225"/>
      <c r="CVS123" s="225"/>
      <c r="CVT123" s="225"/>
      <c r="CVU123" s="225"/>
      <c r="CVV123" s="225"/>
      <c r="CVW123" s="225"/>
      <c r="CVX123" s="225"/>
      <c r="CVY123" s="225"/>
      <c r="CVZ123" s="225"/>
      <c r="CWA123" s="225"/>
      <c r="CWB123" s="225"/>
      <c r="CWC123" s="225"/>
      <c r="CWD123" s="225"/>
      <c r="CWE123" s="225"/>
      <c r="CWF123" s="225"/>
      <c r="CWG123" s="225"/>
      <c r="CWH123" s="225"/>
      <c r="CWI123" s="225"/>
      <c r="CWJ123" s="225"/>
      <c r="CWK123" s="225"/>
      <c r="CWL123" s="225"/>
      <c r="CWM123" s="225"/>
      <c r="CWN123" s="225"/>
      <c r="CWO123" s="225"/>
      <c r="CWP123" s="225"/>
      <c r="CWQ123" s="225"/>
      <c r="CWR123" s="225"/>
      <c r="CWS123" s="225"/>
      <c r="CWT123" s="225"/>
      <c r="CWU123" s="225"/>
      <c r="CWV123" s="225"/>
      <c r="CWW123" s="225"/>
      <c r="CWX123" s="225"/>
      <c r="CWY123" s="225"/>
      <c r="CWZ123" s="225"/>
      <c r="CXA123" s="225"/>
      <c r="CXB123" s="225"/>
      <c r="CXC123" s="225"/>
      <c r="CXD123" s="225"/>
      <c r="CXE123" s="225"/>
      <c r="CXF123" s="225"/>
      <c r="CXG123" s="225"/>
      <c r="CXH123" s="225"/>
      <c r="CXI123" s="225"/>
      <c r="CXJ123" s="225"/>
      <c r="CXK123" s="225"/>
      <c r="CXL123" s="225"/>
      <c r="CXM123" s="225"/>
      <c r="CXN123" s="225"/>
      <c r="CXO123" s="225"/>
      <c r="CXP123" s="225"/>
      <c r="CXQ123" s="225"/>
      <c r="CXR123" s="225"/>
      <c r="CXS123" s="225"/>
      <c r="CXT123" s="225"/>
      <c r="CXU123" s="225"/>
      <c r="CXV123" s="225"/>
      <c r="CXW123" s="225"/>
      <c r="CXX123" s="225"/>
      <c r="CXY123" s="225"/>
      <c r="CXZ123" s="225"/>
      <c r="CYA123" s="225"/>
      <c r="CYB123" s="225"/>
      <c r="CYC123" s="225"/>
      <c r="CYD123" s="225"/>
      <c r="CYE123" s="225"/>
      <c r="CYF123" s="225"/>
      <c r="CYG123" s="225"/>
      <c r="CYH123" s="225"/>
      <c r="CYI123" s="225"/>
      <c r="CYJ123" s="225"/>
      <c r="CYK123" s="225"/>
      <c r="CYL123" s="225"/>
      <c r="CYM123" s="225"/>
      <c r="CYN123" s="225"/>
      <c r="CYO123" s="225"/>
      <c r="CYP123" s="225"/>
      <c r="CYQ123" s="225"/>
      <c r="CYR123" s="225"/>
      <c r="CYS123" s="225"/>
      <c r="CYT123" s="225"/>
      <c r="CYU123" s="225"/>
      <c r="CYV123" s="225"/>
      <c r="CYW123" s="225"/>
      <c r="CYX123" s="225"/>
      <c r="CYY123" s="225"/>
      <c r="CYZ123" s="225"/>
      <c r="CZA123" s="225"/>
      <c r="CZB123" s="225"/>
      <c r="CZC123" s="225"/>
      <c r="CZD123" s="225"/>
      <c r="CZE123" s="225"/>
      <c r="CZF123" s="225"/>
      <c r="CZG123" s="225"/>
      <c r="CZH123" s="225"/>
      <c r="CZI123" s="225"/>
      <c r="CZJ123" s="225"/>
      <c r="CZK123" s="225"/>
      <c r="CZL123" s="225"/>
      <c r="CZM123" s="225"/>
      <c r="CZN123" s="225"/>
      <c r="CZO123" s="225"/>
      <c r="CZP123" s="225"/>
      <c r="CZQ123" s="225"/>
      <c r="CZR123" s="225"/>
      <c r="CZS123" s="225"/>
      <c r="CZT123" s="225"/>
      <c r="CZU123" s="225"/>
      <c r="CZV123" s="225"/>
      <c r="CZW123" s="225"/>
      <c r="CZX123" s="225"/>
      <c r="CZY123" s="225"/>
      <c r="CZZ123" s="225"/>
      <c r="DAA123" s="225"/>
      <c r="DAB123" s="225"/>
      <c r="DAC123" s="225"/>
      <c r="DAD123" s="225"/>
      <c r="DAE123" s="225"/>
      <c r="DAF123" s="225"/>
      <c r="DAG123" s="225"/>
      <c r="DAH123" s="225"/>
      <c r="DAI123" s="225"/>
      <c r="DAJ123" s="225"/>
      <c r="DAK123" s="225"/>
      <c r="DAL123" s="225"/>
      <c r="DAM123" s="225"/>
      <c r="DAN123" s="225"/>
      <c r="DAO123" s="225"/>
      <c r="DAP123" s="225"/>
      <c r="DAQ123" s="225"/>
      <c r="DAR123" s="225"/>
      <c r="DAS123" s="225"/>
      <c r="DAT123" s="225"/>
      <c r="DAU123" s="225"/>
      <c r="DAV123" s="225"/>
      <c r="DAW123" s="225"/>
      <c r="DAX123" s="225"/>
      <c r="DAY123" s="225"/>
      <c r="DAZ123" s="225"/>
      <c r="DBA123" s="225"/>
      <c r="DBB123" s="225"/>
      <c r="DBC123" s="225"/>
      <c r="DBD123" s="225"/>
      <c r="DBE123" s="225"/>
      <c r="DBF123" s="225"/>
      <c r="DBG123" s="225"/>
      <c r="DBH123" s="225"/>
      <c r="DBI123" s="225"/>
      <c r="DBJ123" s="225"/>
      <c r="DBK123" s="225"/>
      <c r="DBL123" s="225"/>
      <c r="DBM123" s="225"/>
      <c r="DBN123" s="225"/>
      <c r="DBO123" s="225"/>
      <c r="DBP123" s="225"/>
      <c r="DBQ123" s="225"/>
      <c r="DBR123" s="225"/>
      <c r="DBS123" s="225"/>
      <c r="DBT123" s="225"/>
      <c r="DBU123" s="225"/>
      <c r="DBV123" s="225"/>
      <c r="DBW123" s="225"/>
      <c r="DBX123" s="225"/>
      <c r="DBY123" s="225"/>
      <c r="DBZ123" s="225"/>
      <c r="DCA123" s="225"/>
      <c r="DCB123" s="225"/>
      <c r="DCC123" s="225"/>
      <c r="DCD123" s="225"/>
      <c r="DCE123" s="225"/>
      <c r="DCF123" s="225"/>
      <c r="DCG123" s="225"/>
      <c r="DCH123" s="225"/>
      <c r="DCI123" s="225"/>
      <c r="DCJ123" s="225"/>
      <c r="DCK123" s="225"/>
      <c r="DCL123" s="225"/>
      <c r="DCM123" s="225"/>
      <c r="DCN123" s="225"/>
      <c r="DCO123" s="225"/>
      <c r="DCP123" s="225"/>
      <c r="DCQ123" s="225"/>
      <c r="DCR123" s="225"/>
      <c r="DCS123" s="225"/>
      <c r="DCT123" s="225"/>
      <c r="DCU123" s="225"/>
      <c r="DCV123" s="225"/>
      <c r="DCW123" s="225"/>
      <c r="DCX123" s="225"/>
      <c r="DCY123" s="225"/>
      <c r="DCZ123" s="225"/>
      <c r="DDA123" s="225"/>
      <c r="DDB123" s="225"/>
      <c r="DDC123" s="225"/>
      <c r="DDD123" s="225"/>
      <c r="DDE123" s="225"/>
      <c r="DDF123" s="225"/>
      <c r="DDG123" s="225"/>
      <c r="DDH123" s="225"/>
      <c r="DDI123" s="225"/>
      <c r="DDJ123" s="225"/>
      <c r="DDK123" s="225"/>
      <c r="DDL123" s="225"/>
      <c r="DDM123" s="225"/>
      <c r="DDN123" s="225"/>
      <c r="DDO123" s="225"/>
      <c r="DDP123" s="225"/>
      <c r="DDQ123" s="225"/>
      <c r="DDR123" s="225"/>
      <c r="DDS123" s="225"/>
      <c r="DDT123" s="225"/>
      <c r="DDU123" s="225"/>
      <c r="DDV123" s="225"/>
      <c r="DDW123" s="225"/>
      <c r="DDX123" s="225"/>
      <c r="DDY123" s="225"/>
      <c r="DDZ123" s="225"/>
      <c r="DEA123" s="225"/>
      <c r="DEB123" s="225"/>
      <c r="DEC123" s="225"/>
      <c r="DED123" s="225"/>
      <c r="DEE123" s="225"/>
      <c r="DEF123" s="225"/>
      <c r="DEG123" s="225"/>
      <c r="DEH123" s="225"/>
      <c r="DEI123" s="225"/>
      <c r="DEJ123" s="225"/>
      <c r="DEK123" s="225"/>
      <c r="DEL123" s="225"/>
      <c r="DEM123" s="225"/>
      <c r="DEN123" s="225"/>
      <c r="DEO123" s="225"/>
      <c r="DEP123" s="225"/>
      <c r="DEQ123" s="225"/>
      <c r="DER123" s="225"/>
      <c r="DES123" s="225"/>
      <c r="DET123" s="225"/>
      <c r="DEU123" s="225"/>
      <c r="DEV123" s="225"/>
      <c r="DEW123" s="225"/>
      <c r="DEX123" s="225"/>
      <c r="DEY123" s="225"/>
      <c r="DEZ123" s="225"/>
      <c r="DFA123" s="225"/>
      <c r="DFB123" s="225"/>
      <c r="DFC123" s="225"/>
      <c r="DFD123" s="225"/>
      <c r="DFE123" s="225"/>
      <c r="DFF123" s="225"/>
      <c r="DFG123" s="225"/>
      <c r="DFH123" s="225"/>
      <c r="DFI123" s="225"/>
      <c r="DFJ123" s="225"/>
      <c r="DFK123" s="225"/>
      <c r="DFL123" s="225"/>
      <c r="DFM123" s="225"/>
      <c r="DFN123" s="225"/>
      <c r="DFO123" s="225"/>
      <c r="DFP123" s="225"/>
      <c r="DFQ123" s="225"/>
      <c r="DFR123" s="225"/>
      <c r="DFS123" s="225"/>
      <c r="DFT123" s="225"/>
      <c r="DFU123" s="225"/>
      <c r="DFV123" s="225"/>
      <c r="DFW123" s="225"/>
      <c r="DFX123" s="225"/>
      <c r="DFY123" s="225"/>
      <c r="DFZ123" s="225"/>
      <c r="DGA123" s="225"/>
      <c r="DGB123" s="225"/>
      <c r="DGC123" s="225"/>
      <c r="DGD123" s="225"/>
      <c r="DGE123" s="225"/>
      <c r="DGF123" s="225"/>
      <c r="DGG123" s="225"/>
      <c r="DGH123" s="225"/>
      <c r="DGI123" s="225"/>
      <c r="DGJ123" s="225"/>
      <c r="DGK123" s="225"/>
      <c r="DGL123" s="225"/>
      <c r="DGM123" s="225"/>
      <c r="DGN123" s="225"/>
      <c r="DGO123" s="225"/>
      <c r="DGP123" s="225"/>
      <c r="DGQ123" s="225"/>
      <c r="DGR123" s="225"/>
      <c r="DGS123" s="225"/>
      <c r="DGT123" s="225"/>
      <c r="DGU123" s="225"/>
      <c r="DGV123" s="225"/>
      <c r="DGW123" s="225"/>
      <c r="DGX123" s="225"/>
      <c r="DGY123" s="225"/>
      <c r="DGZ123" s="225"/>
      <c r="DHA123" s="225"/>
      <c r="DHB123" s="225"/>
      <c r="DHC123" s="225"/>
      <c r="DHD123" s="225"/>
      <c r="DHE123" s="225"/>
      <c r="DHF123" s="225"/>
      <c r="DHG123" s="225"/>
      <c r="DHH123" s="225"/>
      <c r="DHI123" s="225"/>
      <c r="DHJ123" s="225"/>
      <c r="DHK123" s="225"/>
      <c r="DHL123" s="225"/>
      <c r="DHM123" s="225"/>
      <c r="DHN123" s="225"/>
      <c r="DHO123" s="225"/>
      <c r="DHP123" s="225"/>
      <c r="DHQ123" s="225"/>
      <c r="DHR123" s="225"/>
      <c r="DHS123" s="225"/>
      <c r="DHT123" s="225"/>
      <c r="DHU123" s="225"/>
      <c r="DHV123" s="225"/>
      <c r="DHW123" s="225"/>
      <c r="DHX123" s="225"/>
      <c r="DHY123" s="225"/>
      <c r="DHZ123" s="225"/>
      <c r="DIA123" s="225"/>
      <c r="DIB123" s="225"/>
      <c r="DIC123" s="225"/>
      <c r="DID123" s="225"/>
      <c r="DIE123" s="225"/>
      <c r="DIF123" s="225"/>
      <c r="DIG123" s="225"/>
      <c r="DIH123" s="225"/>
      <c r="DII123" s="225"/>
      <c r="DIJ123" s="225"/>
      <c r="DIK123" s="225"/>
      <c r="DIL123" s="225"/>
      <c r="DIM123" s="225"/>
      <c r="DIN123" s="225"/>
      <c r="DIO123" s="225"/>
      <c r="DIP123" s="225"/>
      <c r="DIQ123" s="225"/>
      <c r="DIR123" s="225"/>
      <c r="DIS123" s="225"/>
      <c r="DIT123" s="225"/>
      <c r="DIU123" s="225"/>
      <c r="DIV123" s="225"/>
      <c r="DIW123" s="225"/>
      <c r="DIX123" s="225"/>
      <c r="DIY123" s="225"/>
      <c r="DIZ123" s="225"/>
      <c r="DJA123" s="225"/>
      <c r="DJB123" s="225"/>
      <c r="DJC123" s="225"/>
      <c r="DJD123" s="225"/>
      <c r="DJE123" s="225"/>
      <c r="DJF123" s="225"/>
      <c r="DJG123" s="225"/>
      <c r="DJH123" s="225"/>
      <c r="DJI123" s="225"/>
      <c r="DJJ123" s="225"/>
      <c r="DJK123" s="225"/>
      <c r="DJL123" s="225"/>
      <c r="DJM123" s="225"/>
      <c r="DJN123" s="225"/>
      <c r="DJO123" s="225"/>
      <c r="DJP123" s="225"/>
      <c r="DJQ123" s="225"/>
      <c r="DJR123" s="225"/>
      <c r="DJS123" s="225"/>
      <c r="DJT123" s="225"/>
      <c r="DJU123" s="225"/>
      <c r="DJV123" s="225"/>
      <c r="DJW123" s="225"/>
      <c r="DJX123" s="225"/>
      <c r="DJY123" s="225"/>
      <c r="DJZ123" s="225"/>
      <c r="DKA123" s="225"/>
      <c r="DKB123" s="225"/>
      <c r="DKC123" s="225"/>
      <c r="DKD123" s="225"/>
      <c r="DKE123" s="225"/>
      <c r="DKF123" s="225"/>
      <c r="DKG123" s="225"/>
      <c r="DKH123" s="225"/>
      <c r="DKI123" s="225"/>
      <c r="DKJ123" s="225"/>
      <c r="DKK123" s="225"/>
      <c r="DKL123" s="225"/>
      <c r="DKM123" s="225"/>
      <c r="DKN123" s="225"/>
      <c r="DKO123" s="225"/>
      <c r="DKP123" s="225"/>
      <c r="DKQ123" s="225"/>
      <c r="DKR123" s="225"/>
      <c r="DKS123" s="225"/>
      <c r="DKT123" s="225"/>
      <c r="DKU123" s="225"/>
      <c r="DKV123" s="225"/>
      <c r="DKW123" s="225"/>
      <c r="DKX123" s="225"/>
      <c r="DKY123" s="225"/>
      <c r="DKZ123" s="225"/>
      <c r="DLA123" s="225"/>
      <c r="DLB123" s="225"/>
      <c r="DLC123" s="225"/>
      <c r="DLD123" s="225"/>
      <c r="DLE123" s="225"/>
      <c r="DLF123" s="225"/>
      <c r="DLG123" s="225"/>
      <c r="DLH123" s="225"/>
      <c r="DLI123" s="225"/>
      <c r="DLJ123" s="225"/>
      <c r="DLK123" s="225"/>
      <c r="DLL123" s="225"/>
      <c r="DLM123" s="225"/>
      <c r="DLN123" s="225"/>
      <c r="DLO123" s="225"/>
      <c r="DLP123" s="225"/>
      <c r="DLQ123" s="225"/>
      <c r="DLR123" s="225"/>
      <c r="DLS123" s="225"/>
      <c r="DLT123" s="225"/>
      <c r="DLU123" s="225"/>
      <c r="DLV123" s="225"/>
      <c r="DLW123" s="225"/>
      <c r="DLX123" s="225"/>
      <c r="DLY123" s="225"/>
      <c r="DLZ123" s="225"/>
      <c r="DMA123" s="225"/>
      <c r="DMB123" s="225"/>
      <c r="DMC123" s="225"/>
      <c r="DMD123" s="225"/>
      <c r="DME123" s="225"/>
      <c r="DMF123" s="225"/>
      <c r="DMG123" s="225"/>
      <c r="DMH123" s="225"/>
      <c r="DMI123" s="225"/>
      <c r="DMJ123" s="225"/>
      <c r="DMK123" s="225"/>
      <c r="DML123" s="225"/>
      <c r="DMM123" s="225"/>
      <c r="DMN123" s="225"/>
      <c r="DMO123" s="225"/>
      <c r="DMP123" s="225"/>
      <c r="DMQ123" s="225"/>
      <c r="DMR123" s="225"/>
      <c r="DMS123" s="225"/>
      <c r="DMT123" s="225"/>
      <c r="DMU123" s="225"/>
      <c r="DMV123" s="225"/>
      <c r="DMW123" s="225"/>
      <c r="DMX123" s="225"/>
      <c r="DMY123" s="225"/>
      <c r="DMZ123" s="225"/>
      <c r="DNA123" s="225"/>
      <c r="DNB123" s="225"/>
      <c r="DNC123" s="225"/>
      <c r="DND123" s="225"/>
      <c r="DNE123" s="225"/>
      <c r="DNF123" s="225"/>
      <c r="DNG123" s="225"/>
      <c r="DNH123" s="225"/>
      <c r="DNI123" s="225"/>
      <c r="DNJ123" s="225"/>
      <c r="DNK123" s="225"/>
      <c r="DNL123" s="225"/>
      <c r="DNM123" s="225"/>
      <c r="DNN123" s="225"/>
      <c r="DNO123" s="225"/>
      <c r="DNP123" s="225"/>
      <c r="DNQ123" s="225"/>
      <c r="DNR123" s="225"/>
      <c r="DNS123" s="225"/>
      <c r="DNT123" s="225"/>
      <c r="DNU123" s="225"/>
      <c r="DNV123" s="225"/>
      <c r="DNW123" s="225"/>
      <c r="DNX123" s="225"/>
      <c r="DNY123" s="225"/>
      <c r="DNZ123" s="225"/>
      <c r="DOA123" s="225"/>
      <c r="DOB123" s="225"/>
      <c r="DOC123" s="225"/>
      <c r="DOD123" s="225"/>
      <c r="DOE123" s="225"/>
      <c r="DOF123" s="225"/>
      <c r="DOG123" s="225"/>
      <c r="DOH123" s="225"/>
      <c r="DOI123" s="225"/>
      <c r="DOJ123" s="225"/>
      <c r="DOK123" s="225"/>
      <c r="DOL123" s="225"/>
      <c r="DOM123" s="225"/>
      <c r="DON123" s="225"/>
      <c r="DOO123" s="225"/>
      <c r="DOP123" s="225"/>
      <c r="DOQ123" s="225"/>
      <c r="DOR123" s="225"/>
      <c r="DOS123" s="225"/>
      <c r="DOT123" s="225"/>
      <c r="DOU123" s="225"/>
      <c r="DOV123" s="225"/>
      <c r="DOW123" s="225"/>
      <c r="DOX123" s="225"/>
      <c r="DOY123" s="225"/>
      <c r="DOZ123" s="225"/>
      <c r="DPA123" s="225"/>
      <c r="DPB123" s="225"/>
      <c r="DPC123" s="225"/>
      <c r="DPD123" s="225"/>
      <c r="DPE123" s="225"/>
      <c r="DPF123" s="225"/>
      <c r="DPG123" s="225"/>
      <c r="DPH123" s="225"/>
      <c r="DPI123" s="225"/>
      <c r="DPJ123" s="225"/>
      <c r="DPK123" s="225"/>
      <c r="DPL123" s="225"/>
      <c r="DPM123" s="225"/>
      <c r="DPN123" s="225"/>
      <c r="DPO123" s="225"/>
      <c r="DPP123" s="225"/>
      <c r="DPQ123" s="225"/>
      <c r="DPR123" s="225"/>
      <c r="DPS123" s="225"/>
      <c r="DPT123" s="225"/>
      <c r="DPU123" s="225"/>
      <c r="DPV123" s="225"/>
      <c r="DPW123" s="225"/>
      <c r="DPX123" s="225"/>
      <c r="DPY123" s="225"/>
      <c r="DPZ123" s="225"/>
      <c r="DQA123" s="225"/>
      <c r="DQB123" s="225"/>
      <c r="DQC123" s="225"/>
      <c r="DQD123" s="225"/>
      <c r="DQE123" s="225"/>
      <c r="DQF123" s="225"/>
      <c r="DQG123" s="225"/>
      <c r="DQH123" s="225"/>
      <c r="DQI123" s="225"/>
      <c r="DQJ123" s="225"/>
      <c r="DQK123" s="225"/>
      <c r="DQL123" s="225"/>
      <c r="DQM123" s="225"/>
      <c r="DQN123" s="225"/>
      <c r="DQO123" s="225"/>
      <c r="DQP123" s="225"/>
      <c r="DQQ123" s="225"/>
      <c r="DQR123" s="225"/>
      <c r="DQS123" s="225"/>
      <c r="DQT123" s="225"/>
      <c r="DQU123" s="225"/>
      <c r="DQV123" s="225"/>
      <c r="DQW123" s="225"/>
      <c r="DQX123" s="225"/>
      <c r="DQY123" s="225"/>
      <c r="DQZ123" s="225"/>
      <c r="DRA123" s="225"/>
      <c r="DRB123" s="225"/>
      <c r="DRC123" s="225"/>
      <c r="DRD123" s="225"/>
      <c r="DRE123" s="225"/>
      <c r="DRF123" s="225"/>
      <c r="DRG123" s="225"/>
      <c r="DRH123" s="225"/>
      <c r="DRI123" s="225"/>
      <c r="DRJ123" s="225"/>
      <c r="DRK123" s="225"/>
      <c r="DRL123" s="225"/>
      <c r="DRM123" s="225"/>
      <c r="DRN123" s="225"/>
      <c r="DRO123" s="225"/>
      <c r="DRP123" s="225"/>
      <c r="DRQ123" s="225"/>
      <c r="DRR123" s="225"/>
      <c r="DRS123" s="225"/>
      <c r="DRT123" s="225"/>
      <c r="DRU123" s="225"/>
      <c r="DRV123" s="225"/>
      <c r="DRW123" s="225"/>
      <c r="DRX123" s="225"/>
      <c r="DRY123" s="225"/>
      <c r="DRZ123" s="225"/>
      <c r="DSA123" s="225"/>
      <c r="DSB123" s="225"/>
      <c r="DSC123" s="225"/>
      <c r="DSD123" s="225"/>
      <c r="DSE123" s="225"/>
      <c r="DSF123" s="225"/>
      <c r="DSG123" s="225"/>
      <c r="DSH123" s="225"/>
      <c r="DSI123" s="225"/>
      <c r="DSJ123" s="225"/>
      <c r="DSK123" s="225"/>
      <c r="DSL123" s="225"/>
      <c r="DSM123" s="225"/>
      <c r="DSN123" s="225"/>
      <c r="DSO123" s="225"/>
      <c r="DSP123" s="225"/>
      <c r="DSQ123" s="225"/>
      <c r="DSR123" s="225"/>
      <c r="DSS123" s="225"/>
      <c r="DST123" s="225"/>
      <c r="DSU123" s="225"/>
      <c r="DSV123" s="225"/>
      <c r="DSW123" s="225"/>
      <c r="DSX123" s="225"/>
      <c r="DSY123" s="225"/>
      <c r="DSZ123" s="225"/>
      <c r="DTA123" s="225"/>
      <c r="DTB123" s="225"/>
      <c r="DTC123" s="225"/>
      <c r="DTD123" s="225"/>
      <c r="DTE123" s="225"/>
      <c r="DTF123" s="225"/>
      <c r="DTG123" s="225"/>
      <c r="DTH123" s="225"/>
      <c r="DTI123" s="225"/>
      <c r="DTJ123" s="225"/>
      <c r="DTK123" s="225"/>
      <c r="DTL123" s="225"/>
      <c r="DTM123" s="225"/>
      <c r="DTN123" s="225"/>
      <c r="DTO123" s="225"/>
      <c r="DTP123" s="225"/>
      <c r="DTQ123" s="225"/>
      <c r="DTR123" s="225"/>
      <c r="DTS123" s="225"/>
      <c r="DTT123" s="225"/>
      <c r="DTU123" s="225"/>
      <c r="DTV123" s="225"/>
      <c r="DTW123" s="225"/>
      <c r="DTX123" s="225"/>
      <c r="DTY123" s="225"/>
      <c r="DTZ123" s="225"/>
      <c r="DUA123" s="225"/>
      <c r="DUB123" s="225"/>
      <c r="DUC123" s="225"/>
      <c r="DUD123" s="225"/>
      <c r="DUE123" s="225"/>
      <c r="DUF123" s="225"/>
      <c r="DUG123" s="225"/>
      <c r="DUH123" s="225"/>
      <c r="DUI123" s="225"/>
      <c r="DUJ123" s="225"/>
      <c r="DUK123" s="225"/>
      <c r="DUL123" s="225"/>
      <c r="DUM123" s="225"/>
      <c r="DUN123" s="225"/>
      <c r="DUO123" s="225"/>
      <c r="DUP123" s="225"/>
      <c r="DUQ123" s="225"/>
      <c r="DUR123" s="225"/>
      <c r="DUS123" s="225"/>
      <c r="DUT123" s="225"/>
      <c r="DUU123" s="225"/>
      <c r="DUV123" s="225"/>
      <c r="DUW123" s="225"/>
      <c r="DUX123" s="225"/>
      <c r="DUY123" s="225"/>
      <c r="DUZ123" s="225"/>
      <c r="DVA123" s="225"/>
      <c r="DVB123" s="225"/>
      <c r="DVC123" s="225"/>
      <c r="DVD123" s="225"/>
      <c r="DVE123" s="225"/>
      <c r="DVF123" s="225"/>
      <c r="DVG123" s="225"/>
      <c r="DVH123" s="225"/>
      <c r="DVI123" s="225"/>
      <c r="DVJ123" s="225"/>
      <c r="DVK123" s="225"/>
      <c r="DVL123" s="225"/>
      <c r="DVM123" s="225"/>
      <c r="DVN123" s="225"/>
      <c r="DVO123" s="225"/>
      <c r="DVP123" s="225"/>
      <c r="DVQ123" s="225"/>
      <c r="DVR123" s="225"/>
      <c r="DVS123" s="225"/>
      <c r="DVT123" s="225"/>
      <c r="DVU123" s="225"/>
      <c r="DVV123" s="225"/>
      <c r="DVW123" s="225"/>
      <c r="DVX123" s="225"/>
      <c r="DVY123" s="225"/>
      <c r="DVZ123" s="225"/>
      <c r="DWA123" s="225"/>
      <c r="DWB123" s="225"/>
      <c r="DWC123" s="225"/>
      <c r="DWD123" s="225"/>
      <c r="DWE123" s="225"/>
      <c r="DWF123" s="225"/>
      <c r="DWG123" s="225"/>
      <c r="DWH123" s="225"/>
      <c r="DWI123" s="225"/>
      <c r="DWJ123" s="225"/>
      <c r="DWK123" s="225"/>
      <c r="DWL123" s="225"/>
      <c r="DWM123" s="225"/>
      <c r="DWN123" s="225"/>
      <c r="DWO123" s="225"/>
      <c r="DWP123" s="225"/>
      <c r="DWQ123" s="225"/>
      <c r="DWR123" s="225"/>
      <c r="DWS123" s="225"/>
      <c r="DWT123" s="225"/>
      <c r="DWU123" s="225"/>
      <c r="DWV123" s="225"/>
      <c r="DWW123" s="225"/>
      <c r="DWX123" s="225"/>
      <c r="DWY123" s="225"/>
      <c r="DWZ123" s="225"/>
      <c r="DXA123" s="225"/>
      <c r="DXB123" s="225"/>
      <c r="DXC123" s="225"/>
      <c r="DXD123" s="225"/>
      <c r="DXE123" s="225"/>
      <c r="DXF123" s="225"/>
      <c r="DXG123" s="225"/>
      <c r="DXH123" s="225"/>
      <c r="DXI123" s="225"/>
      <c r="DXJ123" s="225"/>
      <c r="DXK123" s="225"/>
      <c r="DXL123" s="225"/>
      <c r="DXM123" s="225"/>
      <c r="DXN123" s="225"/>
      <c r="DXO123" s="225"/>
      <c r="DXP123" s="225"/>
      <c r="DXQ123" s="225"/>
      <c r="DXR123" s="225"/>
      <c r="DXS123" s="225"/>
      <c r="DXT123" s="225"/>
      <c r="DXU123" s="225"/>
      <c r="DXV123" s="225"/>
      <c r="DXW123" s="225"/>
      <c r="DXX123" s="225"/>
      <c r="DXY123" s="225"/>
      <c r="DXZ123" s="225"/>
      <c r="DYA123" s="225"/>
      <c r="DYB123" s="225"/>
      <c r="DYC123" s="225"/>
      <c r="DYD123" s="225"/>
      <c r="DYE123" s="225"/>
      <c r="DYF123" s="225"/>
      <c r="DYG123" s="225"/>
      <c r="DYH123" s="225"/>
      <c r="DYI123" s="225"/>
      <c r="DYJ123" s="225"/>
      <c r="DYK123" s="225"/>
      <c r="DYL123" s="225"/>
      <c r="DYM123" s="225"/>
      <c r="DYN123" s="225"/>
      <c r="DYO123" s="225"/>
      <c r="DYP123" s="225"/>
      <c r="DYQ123" s="225"/>
      <c r="DYR123" s="225"/>
      <c r="DYS123" s="225"/>
      <c r="DYT123" s="225"/>
      <c r="DYU123" s="225"/>
      <c r="DYV123" s="225"/>
      <c r="DYW123" s="225"/>
      <c r="DYX123" s="225"/>
      <c r="DYY123" s="225"/>
      <c r="DYZ123" s="225"/>
      <c r="DZA123" s="225"/>
      <c r="DZB123" s="225"/>
      <c r="DZC123" s="225"/>
      <c r="DZD123" s="225"/>
      <c r="DZE123" s="225"/>
      <c r="DZF123" s="225"/>
      <c r="DZG123" s="225"/>
      <c r="DZH123" s="225"/>
      <c r="DZI123" s="225"/>
      <c r="DZJ123" s="225"/>
      <c r="DZK123" s="225"/>
      <c r="DZL123" s="225"/>
      <c r="DZM123" s="225"/>
      <c r="DZN123" s="225"/>
      <c r="DZO123" s="225"/>
      <c r="DZP123" s="225"/>
      <c r="DZQ123" s="225"/>
      <c r="DZR123" s="225"/>
      <c r="DZS123" s="225"/>
      <c r="DZT123" s="225"/>
      <c r="DZU123" s="225"/>
      <c r="DZV123" s="225"/>
      <c r="DZW123" s="225"/>
      <c r="DZX123" s="225"/>
      <c r="DZY123" s="225"/>
      <c r="DZZ123" s="225"/>
      <c r="EAA123" s="225"/>
      <c r="EAB123" s="225"/>
      <c r="EAC123" s="225"/>
      <c r="EAD123" s="225"/>
      <c r="EAE123" s="225"/>
      <c r="EAF123" s="225"/>
      <c r="EAG123" s="225"/>
      <c r="EAH123" s="225"/>
      <c r="EAI123" s="225"/>
      <c r="EAJ123" s="225"/>
      <c r="EAK123" s="225"/>
      <c r="EAL123" s="225"/>
      <c r="EAM123" s="225"/>
      <c r="EAN123" s="225"/>
      <c r="EAO123" s="225"/>
      <c r="EAP123" s="225"/>
      <c r="EAQ123" s="225"/>
      <c r="EAR123" s="225"/>
      <c r="EAS123" s="225"/>
      <c r="EAT123" s="225"/>
      <c r="EAU123" s="225"/>
      <c r="EAV123" s="225"/>
      <c r="EAW123" s="225"/>
      <c r="EAX123" s="225"/>
      <c r="EAY123" s="225"/>
      <c r="EAZ123" s="225"/>
      <c r="EBA123" s="225"/>
      <c r="EBB123" s="225"/>
      <c r="EBC123" s="225"/>
      <c r="EBD123" s="225"/>
      <c r="EBE123" s="225"/>
      <c r="EBF123" s="225"/>
      <c r="EBG123" s="225"/>
      <c r="EBH123" s="225"/>
      <c r="EBI123" s="225"/>
      <c r="EBJ123" s="225"/>
      <c r="EBK123" s="225"/>
      <c r="EBL123" s="225"/>
      <c r="EBM123" s="225"/>
      <c r="EBN123" s="225"/>
      <c r="EBO123" s="225"/>
      <c r="EBP123" s="225"/>
      <c r="EBQ123" s="225"/>
      <c r="EBR123" s="225"/>
      <c r="EBS123" s="225"/>
      <c r="EBT123" s="225"/>
      <c r="EBU123" s="225"/>
      <c r="EBV123" s="225"/>
      <c r="EBW123" s="225"/>
      <c r="EBX123" s="225"/>
      <c r="EBY123" s="225"/>
      <c r="EBZ123" s="225"/>
      <c r="ECA123" s="225"/>
      <c r="ECB123" s="225"/>
      <c r="ECC123" s="225"/>
      <c r="ECD123" s="225"/>
      <c r="ECE123" s="225"/>
      <c r="ECF123" s="225"/>
      <c r="ECG123" s="225"/>
      <c r="ECH123" s="225"/>
      <c r="ECI123" s="225"/>
      <c r="ECJ123" s="225"/>
      <c r="ECK123" s="225"/>
      <c r="ECL123" s="225"/>
      <c r="ECM123" s="225"/>
      <c r="ECN123" s="225"/>
      <c r="ECO123" s="225"/>
      <c r="ECP123" s="225"/>
      <c r="ECQ123" s="225"/>
      <c r="ECR123" s="225"/>
      <c r="ECS123" s="225"/>
      <c r="ECT123" s="225"/>
      <c r="ECU123" s="225"/>
      <c r="ECV123" s="225"/>
      <c r="ECW123" s="225"/>
      <c r="ECX123" s="225"/>
      <c r="ECY123" s="225"/>
      <c r="ECZ123" s="225"/>
      <c r="EDA123" s="225"/>
      <c r="EDB123" s="225"/>
      <c r="EDC123" s="225"/>
      <c r="EDD123" s="225"/>
      <c r="EDE123" s="225"/>
      <c r="EDF123" s="225"/>
      <c r="EDG123" s="225"/>
      <c r="EDH123" s="225"/>
      <c r="EDI123" s="225"/>
      <c r="EDJ123" s="225"/>
      <c r="EDK123" s="225"/>
      <c r="EDL123" s="225"/>
      <c r="EDM123" s="225"/>
      <c r="EDN123" s="225"/>
      <c r="EDO123" s="225"/>
      <c r="EDP123" s="225"/>
      <c r="EDQ123" s="225"/>
      <c r="EDR123" s="225"/>
      <c r="EDS123" s="225"/>
      <c r="EDT123" s="225"/>
      <c r="EDU123" s="225"/>
      <c r="EDV123" s="225"/>
      <c r="EDW123" s="225"/>
      <c r="EDX123" s="225"/>
      <c r="EDY123" s="225"/>
      <c r="EDZ123" s="225"/>
      <c r="EEA123" s="225"/>
      <c r="EEB123" s="225"/>
      <c r="EEC123" s="225"/>
      <c r="EED123" s="225"/>
      <c r="EEE123" s="225"/>
      <c r="EEF123" s="225"/>
      <c r="EEG123" s="225"/>
      <c r="EEH123" s="225"/>
      <c r="EEI123" s="225"/>
      <c r="EEJ123" s="225"/>
      <c r="EEK123" s="225"/>
      <c r="EEL123" s="225"/>
      <c r="EEM123" s="225"/>
      <c r="EEN123" s="225"/>
      <c r="EEO123" s="225"/>
      <c r="EEP123" s="225"/>
      <c r="EEQ123" s="225"/>
      <c r="EER123" s="225"/>
      <c r="EES123" s="225"/>
      <c r="EET123" s="225"/>
      <c r="EEU123" s="225"/>
      <c r="EEV123" s="225"/>
      <c r="EEW123" s="225"/>
      <c r="EEX123" s="225"/>
      <c r="EEY123" s="225"/>
      <c r="EEZ123" s="225"/>
      <c r="EFA123" s="225"/>
      <c r="EFB123" s="225"/>
      <c r="EFC123" s="225"/>
      <c r="EFD123" s="225"/>
      <c r="EFE123" s="225"/>
      <c r="EFF123" s="225"/>
      <c r="EFG123" s="225"/>
      <c r="EFH123" s="225"/>
      <c r="EFI123" s="225"/>
      <c r="EFJ123" s="225"/>
      <c r="EFK123" s="225"/>
      <c r="EFL123" s="225"/>
      <c r="EFM123" s="225"/>
      <c r="EFN123" s="225"/>
      <c r="EFO123" s="225"/>
      <c r="EFP123" s="225"/>
      <c r="EFQ123" s="225"/>
      <c r="EFR123" s="225"/>
      <c r="EFS123" s="225"/>
      <c r="EFT123" s="225"/>
      <c r="EFU123" s="225"/>
      <c r="EFV123" s="225"/>
      <c r="EFW123" s="225"/>
      <c r="EFX123" s="225"/>
      <c r="EFY123" s="225"/>
      <c r="EFZ123" s="225"/>
      <c r="EGA123" s="225"/>
      <c r="EGB123" s="225"/>
      <c r="EGC123" s="225"/>
      <c r="EGD123" s="225"/>
      <c r="EGE123" s="225"/>
      <c r="EGF123" s="225"/>
      <c r="EGG123" s="225"/>
      <c r="EGH123" s="225"/>
      <c r="EGI123" s="225"/>
      <c r="EGJ123" s="225"/>
      <c r="EGK123" s="225"/>
      <c r="EGL123" s="225"/>
      <c r="EGM123" s="225"/>
      <c r="EGN123" s="225"/>
      <c r="EGO123" s="225"/>
      <c r="EGP123" s="225"/>
      <c r="EGQ123" s="225"/>
      <c r="EGR123" s="225"/>
      <c r="EGS123" s="225"/>
      <c r="EGT123" s="225"/>
      <c r="EGU123" s="225"/>
      <c r="EGV123" s="225"/>
      <c r="EGW123" s="225"/>
      <c r="EGX123" s="225"/>
      <c r="EGY123" s="225"/>
      <c r="EGZ123" s="225"/>
      <c r="EHA123" s="225"/>
      <c r="EHB123" s="225"/>
      <c r="EHC123" s="225"/>
      <c r="EHD123" s="225"/>
      <c r="EHE123" s="225"/>
      <c r="EHF123" s="225"/>
      <c r="EHG123" s="225"/>
      <c r="EHH123" s="225"/>
      <c r="EHI123" s="225"/>
      <c r="EHJ123" s="225"/>
      <c r="EHK123" s="225"/>
      <c r="EHL123" s="225"/>
      <c r="EHM123" s="225"/>
      <c r="EHN123" s="225"/>
      <c r="EHO123" s="225"/>
      <c r="EHP123" s="225"/>
      <c r="EHQ123" s="225"/>
      <c r="EHR123" s="225"/>
      <c r="EHS123" s="225"/>
      <c r="EHT123" s="225"/>
      <c r="EHU123" s="225"/>
      <c r="EHV123" s="225"/>
      <c r="EHW123" s="225"/>
      <c r="EHX123" s="225"/>
      <c r="EHY123" s="225"/>
      <c r="EHZ123" s="225"/>
      <c r="EIA123" s="225"/>
      <c r="EIB123" s="225"/>
      <c r="EIC123" s="225"/>
      <c r="EID123" s="225"/>
      <c r="EIE123" s="225"/>
      <c r="EIF123" s="225"/>
      <c r="EIG123" s="225"/>
      <c r="EIH123" s="225"/>
      <c r="EII123" s="225"/>
      <c r="EIJ123" s="225"/>
      <c r="EIK123" s="225"/>
      <c r="EIL123" s="225"/>
      <c r="EIM123" s="225"/>
      <c r="EIN123" s="225"/>
      <c r="EIO123" s="225"/>
      <c r="EIP123" s="225"/>
      <c r="EIQ123" s="225"/>
      <c r="EIR123" s="225"/>
      <c r="EIS123" s="225"/>
      <c r="EIT123" s="225"/>
      <c r="EIU123" s="225"/>
      <c r="EIV123" s="225"/>
      <c r="EIW123" s="225"/>
      <c r="EIX123" s="225"/>
      <c r="EIY123" s="225"/>
      <c r="EIZ123" s="225"/>
      <c r="EJA123" s="225"/>
      <c r="EJB123" s="225"/>
      <c r="EJC123" s="225"/>
      <c r="EJD123" s="225"/>
      <c r="EJE123" s="225"/>
      <c r="EJF123" s="225"/>
      <c r="EJG123" s="225"/>
      <c r="EJH123" s="225"/>
      <c r="EJI123" s="225"/>
      <c r="EJJ123" s="225"/>
      <c r="EJK123" s="225"/>
      <c r="EJL123" s="225"/>
      <c r="EJM123" s="225"/>
      <c r="EJN123" s="225"/>
      <c r="EJO123" s="225"/>
      <c r="EJP123" s="225"/>
      <c r="EJQ123" s="225"/>
      <c r="EJR123" s="225"/>
      <c r="EJS123" s="225"/>
      <c r="EJT123" s="225"/>
      <c r="EJU123" s="225"/>
      <c r="EJV123" s="225"/>
      <c r="EJW123" s="225"/>
      <c r="EJX123" s="225"/>
      <c r="EJY123" s="225"/>
      <c r="EJZ123" s="225"/>
      <c r="EKA123" s="225"/>
      <c r="EKB123" s="225"/>
      <c r="EKC123" s="225"/>
      <c r="EKD123" s="225"/>
      <c r="EKE123" s="225"/>
      <c r="EKF123" s="225"/>
      <c r="EKG123" s="225"/>
      <c r="EKH123" s="225"/>
      <c r="EKI123" s="225"/>
      <c r="EKJ123" s="225"/>
      <c r="EKK123" s="225"/>
      <c r="EKL123" s="225"/>
      <c r="EKM123" s="225"/>
      <c r="EKN123" s="225"/>
      <c r="EKO123" s="225"/>
      <c r="EKP123" s="225"/>
      <c r="EKQ123" s="225"/>
      <c r="EKR123" s="225"/>
      <c r="EKS123" s="225"/>
      <c r="EKT123" s="225"/>
      <c r="EKU123" s="225"/>
      <c r="EKV123" s="225"/>
      <c r="EKW123" s="225"/>
      <c r="EKX123" s="225"/>
      <c r="EKY123" s="225"/>
      <c r="EKZ123" s="225"/>
      <c r="ELA123" s="225"/>
      <c r="ELB123" s="225"/>
      <c r="ELC123" s="225"/>
      <c r="ELD123" s="225"/>
      <c r="ELE123" s="225"/>
      <c r="ELF123" s="225"/>
      <c r="ELG123" s="225"/>
      <c r="ELH123" s="225"/>
      <c r="ELI123" s="225"/>
      <c r="ELJ123" s="225"/>
      <c r="ELK123" s="225"/>
      <c r="ELL123" s="225"/>
      <c r="ELM123" s="225"/>
      <c r="ELN123" s="225"/>
      <c r="ELO123" s="225"/>
      <c r="ELP123" s="225"/>
      <c r="ELQ123" s="225"/>
      <c r="ELR123" s="225"/>
      <c r="ELS123" s="225"/>
      <c r="ELT123" s="225"/>
      <c r="ELU123" s="225"/>
      <c r="ELV123" s="225"/>
      <c r="ELW123" s="225"/>
      <c r="ELX123" s="225"/>
      <c r="ELY123" s="225"/>
      <c r="ELZ123" s="225"/>
      <c r="EMA123" s="225"/>
      <c r="EMB123" s="225"/>
      <c r="EMC123" s="225"/>
      <c r="EMD123" s="225"/>
      <c r="EME123" s="225"/>
      <c r="EMF123" s="225"/>
      <c r="EMG123" s="225"/>
      <c r="EMH123" s="225"/>
      <c r="EMI123" s="225"/>
      <c r="EMJ123" s="225"/>
      <c r="EMK123" s="225"/>
      <c r="EML123" s="225"/>
      <c r="EMM123" s="225"/>
      <c r="EMN123" s="225"/>
      <c r="EMO123" s="225"/>
      <c r="EMP123" s="225"/>
      <c r="EMQ123" s="225"/>
      <c r="EMR123" s="225"/>
      <c r="EMS123" s="225"/>
      <c r="EMT123" s="225"/>
      <c r="EMU123" s="225"/>
      <c r="EMV123" s="225"/>
      <c r="EMW123" s="225"/>
      <c r="EMX123" s="225"/>
      <c r="EMY123" s="225"/>
      <c r="EMZ123" s="225"/>
      <c r="ENA123" s="225"/>
      <c r="ENB123" s="225"/>
      <c r="ENC123" s="225"/>
      <c r="END123" s="225"/>
      <c r="ENE123" s="225"/>
      <c r="ENF123" s="225"/>
      <c r="ENG123" s="225"/>
      <c r="ENH123" s="225"/>
      <c r="ENI123" s="225"/>
      <c r="ENJ123" s="225"/>
      <c r="ENK123" s="225"/>
      <c r="ENL123" s="225"/>
      <c r="ENM123" s="225"/>
      <c r="ENN123" s="225"/>
      <c r="ENO123" s="225"/>
      <c r="ENP123" s="225"/>
      <c r="ENQ123" s="225"/>
      <c r="ENR123" s="225"/>
      <c r="ENS123" s="225"/>
      <c r="ENT123" s="225"/>
      <c r="ENU123" s="225"/>
      <c r="ENV123" s="225"/>
      <c r="ENW123" s="225"/>
      <c r="ENX123" s="225"/>
      <c r="ENY123" s="225"/>
      <c r="ENZ123" s="225"/>
      <c r="EOA123" s="225"/>
      <c r="EOB123" s="225"/>
      <c r="EOC123" s="225"/>
      <c r="EOD123" s="225"/>
      <c r="EOE123" s="225"/>
      <c r="EOF123" s="225"/>
      <c r="EOG123" s="225"/>
      <c r="EOH123" s="225"/>
      <c r="EOI123" s="225"/>
      <c r="EOJ123" s="225"/>
      <c r="EOK123" s="225"/>
      <c r="EOL123" s="225"/>
      <c r="EOM123" s="225"/>
      <c r="EON123" s="225"/>
      <c r="EOO123" s="225"/>
      <c r="EOP123" s="225"/>
      <c r="EOQ123" s="225"/>
      <c r="EOR123" s="225"/>
      <c r="EOS123" s="225"/>
      <c r="EOT123" s="225"/>
      <c r="EOU123" s="225"/>
      <c r="EOV123" s="225"/>
      <c r="EOW123" s="225"/>
      <c r="EOX123" s="225"/>
      <c r="EOY123" s="225"/>
      <c r="EOZ123" s="225"/>
      <c r="EPA123" s="225"/>
      <c r="EPB123" s="225"/>
      <c r="EPC123" s="225"/>
      <c r="EPD123" s="225"/>
      <c r="EPE123" s="225"/>
      <c r="EPF123" s="225"/>
      <c r="EPG123" s="225"/>
      <c r="EPH123" s="225"/>
      <c r="EPI123" s="225"/>
      <c r="EPJ123" s="225"/>
      <c r="EPK123" s="225"/>
      <c r="EPL123" s="225"/>
      <c r="EPM123" s="225"/>
      <c r="EPN123" s="225"/>
      <c r="EPO123" s="225"/>
      <c r="EPP123" s="225"/>
      <c r="EPQ123" s="225"/>
      <c r="EPR123" s="225"/>
      <c r="EPS123" s="225"/>
      <c r="EPT123" s="225"/>
      <c r="EPU123" s="225"/>
      <c r="EPV123" s="225"/>
      <c r="EPW123" s="225"/>
      <c r="EPX123" s="225"/>
      <c r="EPY123" s="225"/>
      <c r="EPZ123" s="225"/>
      <c r="EQA123" s="225"/>
      <c r="EQB123" s="225"/>
      <c r="EQC123" s="225"/>
      <c r="EQD123" s="225"/>
      <c r="EQE123" s="225"/>
      <c r="EQF123" s="225"/>
      <c r="EQG123" s="225"/>
      <c r="EQH123" s="225"/>
      <c r="EQI123" s="225"/>
      <c r="EQJ123" s="225"/>
      <c r="EQK123" s="225"/>
      <c r="EQL123" s="225"/>
      <c r="EQM123" s="225"/>
      <c r="EQN123" s="225"/>
      <c r="EQO123" s="225"/>
      <c r="EQP123" s="225"/>
      <c r="EQQ123" s="225"/>
      <c r="EQR123" s="225"/>
      <c r="EQS123" s="225"/>
      <c r="EQT123" s="225"/>
      <c r="EQU123" s="225"/>
      <c r="EQV123" s="225"/>
      <c r="EQW123" s="225"/>
      <c r="EQX123" s="225"/>
      <c r="EQY123" s="225"/>
      <c r="EQZ123" s="225"/>
      <c r="ERA123" s="225"/>
      <c r="ERB123" s="225"/>
      <c r="ERC123" s="225"/>
      <c r="ERD123" s="225"/>
      <c r="ERE123" s="225"/>
      <c r="ERF123" s="225"/>
      <c r="ERG123" s="225"/>
      <c r="ERH123" s="225"/>
      <c r="ERI123" s="225"/>
      <c r="ERJ123" s="225"/>
      <c r="ERK123" s="225"/>
      <c r="ERL123" s="225"/>
      <c r="ERM123" s="225"/>
      <c r="ERN123" s="225"/>
      <c r="ERO123" s="225"/>
      <c r="ERP123" s="225"/>
      <c r="ERQ123" s="225"/>
      <c r="ERR123" s="225"/>
      <c r="ERS123" s="225"/>
      <c r="ERT123" s="225"/>
      <c r="ERU123" s="225"/>
      <c r="ERV123" s="225"/>
      <c r="ERW123" s="225"/>
      <c r="ERX123" s="225"/>
      <c r="ERY123" s="225"/>
      <c r="ERZ123" s="225"/>
      <c r="ESA123" s="225"/>
      <c r="ESB123" s="225"/>
      <c r="ESC123" s="225"/>
      <c r="ESD123" s="225"/>
      <c r="ESE123" s="225"/>
      <c r="ESF123" s="225"/>
      <c r="ESG123" s="225"/>
      <c r="ESH123" s="225"/>
      <c r="ESI123" s="225"/>
      <c r="ESJ123" s="225"/>
      <c r="ESK123" s="225"/>
      <c r="ESL123" s="225"/>
      <c r="ESM123" s="225"/>
      <c r="ESN123" s="225"/>
      <c r="ESO123" s="225"/>
      <c r="ESP123" s="225"/>
      <c r="ESQ123" s="225"/>
      <c r="ESR123" s="225"/>
      <c r="ESS123" s="225"/>
      <c r="EST123" s="225"/>
      <c r="ESU123" s="225"/>
      <c r="ESV123" s="225"/>
      <c r="ESW123" s="225"/>
      <c r="ESX123" s="225"/>
      <c r="ESY123" s="225"/>
      <c r="ESZ123" s="225"/>
      <c r="ETA123" s="225"/>
      <c r="ETB123" s="225"/>
      <c r="ETC123" s="225"/>
      <c r="ETD123" s="225"/>
      <c r="ETE123" s="225"/>
      <c r="ETF123" s="225"/>
      <c r="ETG123" s="225"/>
      <c r="ETH123" s="225"/>
      <c r="ETI123" s="225"/>
      <c r="ETJ123" s="225"/>
      <c r="ETK123" s="225"/>
      <c r="ETL123" s="225"/>
      <c r="ETM123" s="225"/>
      <c r="ETN123" s="225"/>
      <c r="ETO123" s="225"/>
      <c r="ETP123" s="225"/>
      <c r="ETQ123" s="225"/>
      <c r="ETR123" s="225"/>
      <c r="ETS123" s="225"/>
      <c r="ETT123" s="225"/>
      <c r="ETU123" s="225"/>
      <c r="ETV123" s="225"/>
      <c r="ETW123" s="225"/>
      <c r="ETX123" s="225"/>
      <c r="ETY123" s="225"/>
      <c r="ETZ123" s="225"/>
      <c r="EUA123" s="225"/>
      <c r="EUB123" s="225"/>
      <c r="EUC123" s="225"/>
      <c r="EUD123" s="225"/>
      <c r="EUE123" s="225"/>
      <c r="EUF123" s="225"/>
      <c r="EUG123" s="225"/>
      <c r="EUH123" s="225"/>
      <c r="EUI123" s="225"/>
      <c r="EUJ123" s="225"/>
      <c r="EUK123" s="225"/>
      <c r="EUL123" s="225"/>
      <c r="EUM123" s="225"/>
      <c r="EUN123" s="225"/>
      <c r="EUO123" s="225"/>
      <c r="EUP123" s="225"/>
      <c r="EUQ123" s="225"/>
      <c r="EUR123" s="225"/>
      <c r="EUS123" s="225"/>
      <c r="EUT123" s="225"/>
      <c r="EUU123" s="225"/>
      <c r="EUV123" s="225"/>
      <c r="EUW123" s="225"/>
      <c r="EUX123" s="225"/>
      <c r="EUY123" s="225"/>
      <c r="EUZ123" s="225"/>
      <c r="EVA123" s="225"/>
      <c r="EVB123" s="225"/>
      <c r="EVC123" s="225"/>
      <c r="EVD123" s="225"/>
      <c r="EVE123" s="225"/>
      <c r="EVF123" s="225"/>
      <c r="EVG123" s="225"/>
      <c r="EVH123" s="225"/>
      <c r="EVI123" s="225"/>
      <c r="EVJ123" s="225"/>
      <c r="EVK123" s="225"/>
      <c r="EVL123" s="225"/>
      <c r="EVM123" s="225"/>
      <c r="EVN123" s="225"/>
      <c r="EVO123" s="225"/>
      <c r="EVP123" s="225"/>
      <c r="EVQ123" s="225"/>
      <c r="EVR123" s="225"/>
      <c r="EVS123" s="225"/>
      <c r="EVT123" s="225"/>
      <c r="EVU123" s="225"/>
      <c r="EVV123" s="225"/>
      <c r="EVW123" s="225"/>
      <c r="EVX123" s="225"/>
      <c r="EVY123" s="225"/>
      <c r="EVZ123" s="225"/>
      <c r="EWA123" s="225"/>
      <c r="EWB123" s="225"/>
      <c r="EWC123" s="225"/>
      <c r="EWD123" s="225"/>
      <c r="EWE123" s="225"/>
      <c r="EWF123" s="225"/>
      <c r="EWG123" s="225"/>
      <c r="EWH123" s="225"/>
      <c r="EWI123" s="225"/>
      <c r="EWJ123" s="225"/>
      <c r="EWK123" s="225"/>
      <c r="EWL123" s="225"/>
      <c r="EWM123" s="225"/>
      <c r="EWN123" s="225"/>
      <c r="EWO123" s="225"/>
      <c r="EWP123" s="225"/>
      <c r="EWQ123" s="225"/>
      <c r="EWR123" s="225"/>
      <c r="EWS123" s="225"/>
      <c r="EWT123" s="225"/>
      <c r="EWU123" s="225"/>
      <c r="EWV123" s="225"/>
      <c r="EWW123" s="225"/>
      <c r="EWX123" s="225"/>
      <c r="EWY123" s="225"/>
      <c r="EWZ123" s="225"/>
      <c r="EXA123" s="225"/>
      <c r="EXB123" s="225"/>
      <c r="EXC123" s="225"/>
      <c r="EXD123" s="225"/>
      <c r="EXE123" s="225"/>
      <c r="EXF123" s="225"/>
      <c r="EXG123" s="225"/>
      <c r="EXH123" s="225"/>
      <c r="EXI123" s="225"/>
      <c r="EXJ123" s="225"/>
      <c r="EXK123" s="225"/>
      <c r="EXL123" s="225"/>
      <c r="EXM123" s="225"/>
      <c r="EXN123" s="225"/>
      <c r="EXO123" s="225"/>
      <c r="EXP123" s="225"/>
      <c r="EXQ123" s="225"/>
      <c r="EXR123" s="225"/>
      <c r="EXS123" s="225"/>
      <c r="EXT123" s="225"/>
      <c r="EXU123" s="225"/>
      <c r="EXV123" s="225"/>
      <c r="EXW123" s="225"/>
      <c r="EXX123" s="225"/>
      <c r="EXY123" s="225"/>
      <c r="EXZ123" s="225"/>
      <c r="EYA123" s="225"/>
      <c r="EYB123" s="225"/>
      <c r="EYC123" s="225"/>
      <c r="EYD123" s="225"/>
      <c r="EYE123" s="225"/>
      <c r="EYF123" s="225"/>
      <c r="EYG123" s="225"/>
      <c r="EYH123" s="225"/>
      <c r="EYI123" s="225"/>
      <c r="EYJ123" s="225"/>
      <c r="EYK123" s="225"/>
      <c r="EYL123" s="225"/>
      <c r="EYM123" s="225"/>
      <c r="EYN123" s="225"/>
      <c r="EYO123" s="225"/>
      <c r="EYP123" s="225"/>
      <c r="EYQ123" s="225"/>
      <c r="EYR123" s="225"/>
      <c r="EYS123" s="225"/>
      <c r="EYT123" s="225"/>
      <c r="EYU123" s="225"/>
      <c r="EYV123" s="225"/>
      <c r="EYW123" s="225"/>
      <c r="EYX123" s="225"/>
      <c r="EYY123" s="225"/>
      <c r="EYZ123" s="225"/>
      <c r="EZA123" s="225"/>
      <c r="EZB123" s="225"/>
      <c r="EZC123" s="225"/>
      <c r="EZD123" s="225"/>
      <c r="EZE123" s="225"/>
      <c r="EZF123" s="225"/>
      <c r="EZG123" s="225"/>
      <c r="EZH123" s="225"/>
      <c r="EZI123" s="225"/>
      <c r="EZJ123" s="225"/>
      <c r="EZK123" s="225"/>
      <c r="EZL123" s="225"/>
      <c r="EZM123" s="225"/>
      <c r="EZN123" s="225"/>
      <c r="EZO123" s="225"/>
      <c r="EZP123" s="225"/>
      <c r="EZQ123" s="225"/>
      <c r="EZR123" s="225"/>
      <c r="EZS123" s="225"/>
      <c r="EZT123" s="225"/>
      <c r="EZU123" s="225"/>
      <c r="EZV123" s="225"/>
      <c r="EZW123" s="225"/>
      <c r="EZX123" s="225"/>
      <c r="EZY123" s="225"/>
      <c r="EZZ123" s="225"/>
      <c r="FAA123" s="225"/>
      <c r="FAB123" s="225"/>
      <c r="FAC123" s="225"/>
      <c r="FAD123" s="225"/>
      <c r="FAE123" s="225"/>
      <c r="FAF123" s="225"/>
      <c r="FAG123" s="225"/>
      <c r="FAH123" s="225"/>
      <c r="FAI123" s="225"/>
      <c r="FAJ123" s="225"/>
      <c r="FAK123" s="225"/>
      <c r="FAL123" s="225"/>
      <c r="FAM123" s="225"/>
      <c r="FAN123" s="225"/>
      <c r="FAO123" s="225"/>
      <c r="FAP123" s="225"/>
      <c r="FAQ123" s="225"/>
      <c r="FAR123" s="225"/>
      <c r="FAS123" s="225"/>
      <c r="FAT123" s="225"/>
      <c r="FAU123" s="225"/>
      <c r="FAV123" s="225"/>
      <c r="FAW123" s="225"/>
      <c r="FAX123" s="225"/>
      <c r="FAY123" s="225"/>
      <c r="FAZ123" s="225"/>
      <c r="FBA123" s="225"/>
      <c r="FBB123" s="225"/>
      <c r="FBC123" s="225"/>
      <c r="FBD123" s="225"/>
      <c r="FBE123" s="225"/>
      <c r="FBF123" s="225"/>
      <c r="FBG123" s="225"/>
      <c r="FBH123" s="225"/>
      <c r="FBI123" s="225"/>
      <c r="FBJ123" s="225"/>
      <c r="FBK123" s="225"/>
      <c r="FBL123" s="225"/>
      <c r="FBM123" s="225"/>
      <c r="FBN123" s="225"/>
      <c r="FBO123" s="225"/>
      <c r="FBP123" s="225"/>
      <c r="FBQ123" s="225"/>
      <c r="FBR123" s="225"/>
      <c r="FBS123" s="225"/>
      <c r="FBT123" s="225"/>
      <c r="FBU123" s="225"/>
      <c r="FBV123" s="225"/>
      <c r="FBW123" s="225"/>
      <c r="FBX123" s="225"/>
      <c r="FBY123" s="225"/>
      <c r="FBZ123" s="225"/>
      <c r="FCA123" s="225"/>
      <c r="FCB123" s="225"/>
      <c r="FCC123" s="225"/>
      <c r="FCD123" s="225"/>
      <c r="FCE123" s="225"/>
      <c r="FCF123" s="225"/>
      <c r="FCG123" s="225"/>
      <c r="FCH123" s="225"/>
      <c r="FCI123" s="225"/>
      <c r="FCJ123" s="225"/>
      <c r="FCK123" s="225"/>
      <c r="FCL123" s="225"/>
      <c r="FCM123" s="225"/>
      <c r="FCN123" s="225"/>
      <c r="FCO123" s="225"/>
      <c r="FCP123" s="225"/>
      <c r="FCQ123" s="225"/>
      <c r="FCR123" s="225"/>
      <c r="FCS123" s="225"/>
      <c r="FCT123" s="225"/>
      <c r="FCU123" s="225"/>
      <c r="FCV123" s="225"/>
      <c r="FCW123" s="225"/>
      <c r="FCX123" s="225"/>
      <c r="FCY123" s="225"/>
      <c r="FCZ123" s="225"/>
      <c r="FDA123" s="225"/>
      <c r="FDB123" s="225"/>
      <c r="FDC123" s="225"/>
      <c r="FDD123" s="225"/>
      <c r="FDE123" s="225"/>
      <c r="FDF123" s="225"/>
      <c r="FDG123" s="225"/>
      <c r="FDH123" s="225"/>
      <c r="FDI123" s="225"/>
      <c r="FDJ123" s="225"/>
      <c r="FDK123" s="225"/>
      <c r="FDL123" s="225"/>
      <c r="FDM123" s="225"/>
      <c r="FDN123" s="225"/>
      <c r="FDO123" s="225"/>
      <c r="FDP123" s="225"/>
      <c r="FDQ123" s="225"/>
      <c r="FDR123" s="225"/>
      <c r="FDS123" s="225"/>
      <c r="FDT123" s="225"/>
      <c r="FDU123" s="225"/>
      <c r="FDV123" s="225"/>
      <c r="FDW123" s="225"/>
      <c r="FDX123" s="225"/>
      <c r="FDY123" s="225"/>
      <c r="FDZ123" s="225"/>
      <c r="FEA123" s="225"/>
      <c r="FEB123" s="225"/>
      <c r="FEC123" s="225"/>
      <c r="FED123" s="225"/>
      <c r="FEE123" s="225"/>
      <c r="FEF123" s="225"/>
      <c r="FEG123" s="225"/>
      <c r="FEH123" s="225"/>
      <c r="FEI123" s="225"/>
      <c r="FEJ123" s="225"/>
      <c r="FEK123" s="225"/>
      <c r="FEL123" s="225"/>
      <c r="FEM123" s="225"/>
      <c r="FEN123" s="225"/>
      <c r="FEO123" s="225"/>
      <c r="FEP123" s="225"/>
      <c r="FEQ123" s="225"/>
      <c r="FER123" s="225"/>
      <c r="FES123" s="225"/>
      <c r="FET123" s="225"/>
      <c r="FEU123" s="225"/>
      <c r="FEV123" s="225"/>
      <c r="FEW123" s="225"/>
      <c r="FEX123" s="225"/>
      <c r="FEY123" s="225"/>
      <c r="FEZ123" s="225"/>
      <c r="FFA123" s="225"/>
      <c r="FFB123" s="225"/>
      <c r="FFC123" s="225"/>
      <c r="FFD123" s="225"/>
      <c r="FFE123" s="225"/>
      <c r="FFF123" s="225"/>
      <c r="FFG123" s="225"/>
      <c r="FFH123" s="225"/>
      <c r="FFI123" s="225"/>
      <c r="FFJ123" s="225"/>
      <c r="FFK123" s="225"/>
      <c r="FFL123" s="225"/>
      <c r="FFM123" s="225"/>
      <c r="FFN123" s="225"/>
      <c r="FFO123" s="225"/>
      <c r="FFP123" s="225"/>
      <c r="FFQ123" s="225"/>
      <c r="FFR123" s="225"/>
      <c r="FFS123" s="225"/>
      <c r="FFT123" s="225"/>
      <c r="FFU123" s="225"/>
      <c r="FFV123" s="225"/>
      <c r="FFW123" s="225"/>
      <c r="FFX123" s="225"/>
      <c r="FFY123" s="225"/>
      <c r="FFZ123" s="225"/>
      <c r="FGA123" s="225"/>
      <c r="FGB123" s="225"/>
      <c r="FGC123" s="225"/>
      <c r="FGD123" s="225"/>
      <c r="FGE123" s="225"/>
      <c r="FGF123" s="225"/>
      <c r="FGG123" s="225"/>
      <c r="FGH123" s="225"/>
      <c r="FGI123" s="225"/>
      <c r="FGJ123" s="225"/>
      <c r="FGK123" s="225"/>
      <c r="FGL123" s="225"/>
      <c r="FGM123" s="225"/>
      <c r="FGN123" s="225"/>
      <c r="FGO123" s="225"/>
      <c r="FGP123" s="225"/>
      <c r="FGQ123" s="225"/>
      <c r="FGR123" s="225"/>
      <c r="FGS123" s="225"/>
      <c r="FGT123" s="225"/>
      <c r="FGU123" s="225"/>
      <c r="FGV123" s="225"/>
      <c r="FGW123" s="225"/>
      <c r="FGX123" s="225"/>
      <c r="FGY123" s="225"/>
      <c r="FGZ123" s="225"/>
      <c r="FHA123" s="225"/>
      <c r="FHB123" s="225"/>
      <c r="FHC123" s="225"/>
      <c r="FHD123" s="225"/>
      <c r="FHE123" s="225"/>
      <c r="FHF123" s="225"/>
      <c r="FHG123" s="225"/>
      <c r="FHH123" s="225"/>
      <c r="FHI123" s="225"/>
      <c r="FHJ123" s="225"/>
      <c r="FHK123" s="225"/>
      <c r="FHL123" s="225"/>
      <c r="FHM123" s="225"/>
      <c r="FHN123" s="225"/>
      <c r="FHO123" s="225"/>
      <c r="FHP123" s="225"/>
      <c r="FHQ123" s="225"/>
      <c r="FHR123" s="225"/>
      <c r="FHS123" s="225"/>
      <c r="FHT123" s="225"/>
      <c r="FHU123" s="225"/>
      <c r="FHV123" s="225"/>
      <c r="FHW123" s="225"/>
      <c r="FHX123" s="225"/>
      <c r="FHY123" s="225"/>
      <c r="FHZ123" s="225"/>
      <c r="FIA123" s="225"/>
      <c r="FIB123" s="225"/>
      <c r="FIC123" s="225"/>
      <c r="FID123" s="225"/>
      <c r="FIE123" s="225"/>
      <c r="FIF123" s="225"/>
      <c r="FIG123" s="225"/>
      <c r="FIH123" s="225"/>
      <c r="FII123" s="225"/>
      <c r="FIJ123" s="225"/>
      <c r="FIK123" s="225"/>
      <c r="FIL123" s="225"/>
      <c r="FIM123" s="225"/>
      <c r="FIN123" s="225"/>
      <c r="FIO123" s="225"/>
      <c r="FIP123" s="225"/>
      <c r="FIQ123" s="225"/>
      <c r="FIR123" s="225"/>
      <c r="FIS123" s="225"/>
      <c r="FIT123" s="225"/>
      <c r="FIU123" s="225"/>
      <c r="FIV123" s="225"/>
      <c r="FIW123" s="225"/>
      <c r="FIX123" s="225"/>
      <c r="FIY123" s="225"/>
      <c r="FIZ123" s="225"/>
      <c r="FJA123" s="225"/>
      <c r="FJB123" s="225"/>
      <c r="FJC123" s="225"/>
      <c r="FJD123" s="225"/>
      <c r="FJE123" s="225"/>
      <c r="FJF123" s="225"/>
      <c r="FJG123" s="225"/>
      <c r="FJH123" s="225"/>
      <c r="FJI123" s="225"/>
      <c r="FJJ123" s="225"/>
      <c r="FJK123" s="225"/>
      <c r="FJL123" s="225"/>
      <c r="FJM123" s="225"/>
      <c r="FJN123" s="225"/>
      <c r="FJO123" s="225"/>
      <c r="FJP123" s="225"/>
      <c r="FJQ123" s="225"/>
      <c r="FJR123" s="225"/>
      <c r="FJS123" s="225"/>
      <c r="FJT123" s="225"/>
      <c r="FJU123" s="225"/>
      <c r="FJV123" s="225"/>
      <c r="FJW123" s="225"/>
      <c r="FJX123" s="225"/>
      <c r="FJY123" s="225"/>
      <c r="FJZ123" s="225"/>
      <c r="FKA123" s="225"/>
      <c r="FKB123" s="225"/>
      <c r="FKC123" s="225"/>
      <c r="FKD123" s="225"/>
      <c r="FKE123" s="225"/>
      <c r="FKF123" s="225"/>
      <c r="FKG123" s="225"/>
      <c r="FKH123" s="225"/>
      <c r="FKI123" s="225"/>
      <c r="FKJ123" s="225"/>
      <c r="FKK123" s="225"/>
      <c r="FKL123" s="225"/>
      <c r="FKM123" s="225"/>
      <c r="FKN123" s="225"/>
      <c r="FKO123" s="225"/>
      <c r="FKP123" s="225"/>
      <c r="FKQ123" s="225"/>
      <c r="FKR123" s="225"/>
      <c r="FKS123" s="225"/>
      <c r="FKT123" s="225"/>
      <c r="FKU123" s="225"/>
      <c r="FKV123" s="225"/>
      <c r="FKW123" s="225"/>
      <c r="FKX123" s="225"/>
      <c r="FKY123" s="225"/>
      <c r="FKZ123" s="225"/>
      <c r="FLA123" s="225"/>
      <c r="FLB123" s="225"/>
      <c r="FLC123" s="225"/>
      <c r="FLD123" s="225"/>
      <c r="FLE123" s="225"/>
      <c r="FLF123" s="225"/>
      <c r="FLG123" s="225"/>
      <c r="FLH123" s="225"/>
      <c r="FLI123" s="225"/>
      <c r="FLJ123" s="225"/>
      <c r="FLK123" s="225"/>
      <c r="FLL123" s="225"/>
      <c r="FLM123" s="225"/>
      <c r="FLN123" s="225"/>
      <c r="FLO123" s="225"/>
      <c r="FLP123" s="225"/>
      <c r="FLQ123" s="225"/>
      <c r="FLR123" s="225"/>
      <c r="FLS123" s="225"/>
      <c r="FLT123" s="225"/>
      <c r="FLU123" s="225"/>
      <c r="FLV123" s="225"/>
      <c r="FLW123" s="225"/>
      <c r="FLX123" s="225"/>
      <c r="FLY123" s="225"/>
      <c r="FLZ123" s="225"/>
      <c r="FMA123" s="225"/>
      <c r="FMB123" s="225"/>
      <c r="FMC123" s="225"/>
      <c r="FMD123" s="225"/>
      <c r="FME123" s="225"/>
      <c r="FMF123" s="225"/>
      <c r="FMG123" s="225"/>
      <c r="FMH123" s="225"/>
      <c r="FMI123" s="225"/>
      <c r="FMJ123" s="225"/>
      <c r="FMK123" s="225"/>
      <c r="FML123" s="225"/>
      <c r="FMM123" s="225"/>
      <c r="FMN123" s="225"/>
      <c r="FMO123" s="225"/>
      <c r="FMP123" s="225"/>
      <c r="FMQ123" s="225"/>
      <c r="FMR123" s="225"/>
      <c r="FMS123" s="225"/>
      <c r="FMT123" s="225"/>
      <c r="FMU123" s="225"/>
      <c r="FMV123" s="225"/>
      <c r="FMW123" s="225"/>
      <c r="FMX123" s="225"/>
      <c r="FMY123" s="225"/>
      <c r="FMZ123" s="225"/>
      <c r="FNA123" s="225"/>
      <c r="FNB123" s="225"/>
      <c r="FNC123" s="225"/>
      <c r="FND123" s="225"/>
      <c r="FNE123" s="225"/>
      <c r="FNF123" s="225"/>
      <c r="FNG123" s="225"/>
      <c r="FNH123" s="225"/>
      <c r="FNI123" s="225"/>
      <c r="FNJ123" s="225"/>
      <c r="FNK123" s="225"/>
      <c r="FNL123" s="225"/>
      <c r="FNM123" s="225"/>
      <c r="FNN123" s="225"/>
      <c r="FNO123" s="225"/>
      <c r="FNP123" s="225"/>
      <c r="FNQ123" s="225"/>
      <c r="FNR123" s="225"/>
      <c r="FNS123" s="225"/>
      <c r="FNT123" s="225"/>
      <c r="FNU123" s="225"/>
      <c r="FNV123" s="225"/>
      <c r="FNW123" s="225"/>
      <c r="FNX123" s="225"/>
      <c r="FNY123" s="225"/>
      <c r="FNZ123" s="225"/>
      <c r="FOA123" s="225"/>
      <c r="FOB123" s="225"/>
      <c r="FOC123" s="225"/>
      <c r="FOD123" s="225"/>
      <c r="FOE123" s="225"/>
      <c r="FOF123" s="225"/>
      <c r="FOG123" s="225"/>
      <c r="FOH123" s="225"/>
      <c r="FOI123" s="225"/>
      <c r="FOJ123" s="225"/>
      <c r="FOK123" s="225"/>
      <c r="FOL123" s="225"/>
      <c r="FOM123" s="225"/>
      <c r="FON123" s="225"/>
      <c r="FOO123" s="225"/>
      <c r="FOP123" s="225"/>
      <c r="FOQ123" s="225"/>
      <c r="FOR123" s="225"/>
      <c r="FOS123" s="225"/>
      <c r="FOT123" s="225"/>
      <c r="FOU123" s="225"/>
      <c r="FOV123" s="225"/>
      <c r="FOW123" s="225"/>
      <c r="FOX123" s="225"/>
      <c r="FOY123" s="225"/>
      <c r="FOZ123" s="225"/>
      <c r="FPA123" s="225"/>
      <c r="FPB123" s="225"/>
      <c r="FPC123" s="225"/>
      <c r="FPD123" s="225"/>
      <c r="FPE123" s="225"/>
      <c r="FPF123" s="225"/>
      <c r="FPG123" s="225"/>
      <c r="FPH123" s="225"/>
      <c r="FPI123" s="225"/>
      <c r="FPJ123" s="225"/>
      <c r="FPK123" s="225"/>
      <c r="FPL123" s="225"/>
      <c r="FPM123" s="225"/>
      <c r="FPN123" s="225"/>
      <c r="FPO123" s="225"/>
      <c r="FPP123" s="225"/>
      <c r="FPQ123" s="225"/>
      <c r="FPR123" s="225"/>
      <c r="FPS123" s="225"/>
      <c r="FPT123" s="225"/>
      <c r="FPU123" s="225"/>
      <c r="FPV123" s="225"/>
      <c r="FPW123" s="225"/>
      <c r="FPX123" s="225"/>
      <c r="FPY123" s="225"/>
      <c r="FPZ123" s="225"/>
      <c r="FQA123" s="225"/>
      <c r="FQB123" s="225"/>
      <c r="FQC123" s="225"/>
      <c r="FQD123" s="225"/>
      <c r="FQE123" s="225"/>
      <c r="FQF123" s="225"/>
      <c r="FQG123" s="225"/>
      <c r="FQH123" s="225"/>
      <c r="FQI123" s="225"/>
      <c r="FQJ123" s="225"/>
      <c r="FQK123" s="225"/>
      <c r="FQL123" s="225"/>
      <c r="FQM123" s="225"/>
      <c r="FQN123" s="225"/>
      <c r="FQO123" s="225"/>
      <c r="FQP123" s="225"/>
      <c r="FQQ123" s="225"/>
      <c r="FQR123" s="225"/>
      <c r="FQS123" s="225"/>
      <c r="FQT123" s="225"/>
      <c r="FQU123" s="225"/>
      <c r="FQV123" s="225"/>
      <c r="FQW123" s="225"/>
      <c r="FQX123" s="225"/>
      <c r="FQY123" s="225"/>
      <c r="FQZ123" s="225"/>
      <c r="FRA123" s="225"/>
      <c r="FRB123" s="225"/>
      <c r="FRC123" s="225"/>
      <c r="FRD123" s="225"/>
      <c r="FRE123" s="225"/>
      <c r="FRF123" s="225"/>
      <c r="FRG123" s="225"/>
      <c r="FRH123" s="225"/>
      <c r="FRI123" s="225"/>
      <c r="FRJ123" s="225"/>
      <c r="FRK123" s="225"/>
      <c r="FRL123" s="225"/>
      <c r="FRM123" s="225"/>
      <c r="FRN123" s="225"/>
      <c r="FRO123" s="225"/>
      <c r="FRP123" s="225"/>
      <c r="FRQ123" s="225"/>
      <c r="FRR123" s="225"/>
      <c r="FRS123" s="225"/>
      <c r="FRT123" s="225"/>
      <c r="FRU123" s="225"/>
      <c r="FRV123" s="225"/>
      <c r="FRW123" s="225"/>
      <c r="FRX123" s="225"/>
      <c r="FRY123" s="225"/>
      <c r="FRZ123" s="225"/>
      <c r="FSA123" s="225"/>
      <c r="FSB123" s="225"/>
      <c r="FSC123" s="225"/>
      <c r="FSD123" s="225"/>
      <c r="FSE123" s="225"/>
      <c r="FSF123" s="225"/>
      <c r="FSG123" s="225"/>
      <c r="FSH123" s="225"/>
      <c r="FSI123" s="225"/>
      <c r="FSJ123" s="225"/>
      <c r="FSK123" s="225"/>
      <c r="FSL123" s="225"/>
      <c r="FSM123" s="225"/>
      <c r="FSN123" s="225"/>
      <c r="FSO123" s="225"/>
      <c r="FSP123" s="225"/>
      <c r="FSQ123" s="225"/>
      <c r="FSR123" s="225"/>
      <c r="FSS123" s="225"/>
      <c r="FST123" s="225"/>
      <c r="FSU123" s="225"/>
      <c r="FSV123" s="225"/>
      <c r="FSW123" s="225"/>
      <c r="FSX123" s="225"/>
      <c r="FSY123" s="225"/>
      <c r="FSZ123" s="225"/>
      <c r="FTA123" s="225"/>
      <c r="FTB123" s="225"/>
      <c r="FTC123" s="225"/>
      <c r="FTD123" s="225"/>
      <c r="FTE123" s="225"/>
      <c r="FTF123" s="225"/>
      <c r="FTG123" s="225"/>
      <c r="FTH123" s="225"/>
      <c r="FTI123" s="225"/>
      <c r="FTJ123" s="225"/>
      <c r="FTK123" s="225"/>
      <c r="FTL123" s="225"/>
      <c r="FTM123" s="225"/>
      <c r="FTN123" s="225"/>
      <c r="FTO123" s="225"/>
      <c r="FTP123" s="225"/>
      <c r="FTQ123" s="225"/>
      <c r="FTR123" s="225"/>
      <c r="FTS123" s="225"/>
      <c r="FTT123" s="225"/>
      <c r="FTU123" s="225"/>
      <c r="FTV123" s="225"/>
      <c r="FTW123" s="225"/>
      <c r="FTX123" s="225"/>
      <c r="FTY123" s="225"/>
      <c r="FTZ123" s="225"/>
      <c r="FUA123" s="225"/>
      <c r="FUB123" s="225"/>
      <c r="FUC123" s="225"/>
      <c r="FUD123" s="225"/>
      <c r="FUE123" s="225"/>
      <c r="FUF123" s="225"/>
      <c r="FUG123" s="225"/>
      <c r="FUH123" s="225"/>
      <c r="FUI123" s="225"/>
      <c r="FUJ123" s="225"/>
      <c r="FUK123" s="225"/>
      <c r="FUL123" s="225"/>
      <c r="FUM123" s="225"/>
      <c r="FUN123" s="225"/>
      <c r="FUO123" s="225"/>
      <c r="FUP123" s="225"/>
      <c r="FUQ123" s="225"/>
      <c r="FUR123" s="225"/>
      <c r="FUS123" s="225"/>
      <c r="FUT123" s="225"/>
      <c r="FUU123" s="225"/>
      <c r="FUV123" s="225"/>
      <c r="FUW123" s="225"/>
      <c r="FUX123" s="225"/>
      <c r="FUY123" s="225"/>
      <c r="FUZ123" s="225"/>
      <c r="FVA123" s="225"/>
      <c r="FVB123" s="225"/>
      <c r="FVC123" s="225"/>
      <c r="FVD123" s="225"/>
      <c r="FVE123" s="225"/>
      <c r="FVF123" s="225"/>
      <c r="FVG123" s="225"/>
      <c r="FVH123" s="225"/>
      <c r="FVI123" s="225"/>
      <c r="FVJ123" s="225"/>
      <c r="FVK123" s="225"/>
      <c r="FVL123" s="225"/>
      <c r="FVM123" s="225"/>
      <c r="FVN123" s="225"/>
      <c r="FVO123" s="225"/>
      <c r="FVP123" s="225"/>
      <c r="FVQ123" s="225"/>
      <c r="FVR123" s="225"/>
      <c r="FVS123" s="225"/>
      <c r="FVT123" s="225"/>
      <c r="FVU123" s="225"/>
      <c r="FVV123" s="225"/>
      <c r="FVW123" s="225"/>
      <c r="FVX123" s="225"/>
      <c r="FVY123" s="225"/>
      <c r="FVZ123" s="225"/>
      <c r="FWA123" s="225"/>
      <c r="FWB123" s="225"/>
      <c r="FWC123" s="225"/>
      <c r="FWD123" s="225"/>
      <c r="FWE123" s="225"/>
      <c r="FWF123" s="225"/>
      <c r="FWG123" s="225"/>
      <c r="FWH123" s="225"/>
      <c r="FWI123" s="225"/>
      <c r="FWJ123" s="225"/>
      <c r="FWK123" s="225"/>
      <c r="FWL123" s="225"/>
      <c r="FWM123" s="225"/>
      <c r="FWN123" s="225"/>
      <c r="FWO123" s="225"/>
      <c r="FWP123" s="225"/>
      <c r="FWQ123" s="225"/>
      <c r="FWR123" s="225"/>
      <c r="FWS123" s="225"/>
      <c r="FWT123" s="225"/>
      <c r="FWU123" s="225"/>
      <c r="FWV123" s="225"/>
      <c r="FWW123" s="225"/>
      <c r="FWX123" s="225"/>
      <c r="FWY123" s="225"/>
      <c r="FWZ123" s="225"/>
      <c r="FXA123" s="225"/>
      <c r="FXB123" s="225"/>
      <c r="FXC123" s="225"/>
      <c r="FXD123" s="225"/>
      <c r="FXE123" s="225"/>
      <c r="FXF123" s="225"/>
      <c r="FXG123" s="225"/>
      <c r="FXH123" s="225"/>
      <c r="FXI123" s="225"/>
      <c r="FXJ123" s="225"/>
      <c r="FXK123" s="225"/>
      <c r="FXL123" s="225"/>
      <c r="FXM123" s="225"/>
      <c r="FXN123" s="225"/>
      <c r="FXO123" s="225"/>
      <c r="FXP123" s="225"/>
      <c r="FXQ123" s="225"/>
      <c r="FXR123" s="225"/>
      <c r="FXS123" s="225"/>
      <c r="FXT123" s="225"/>
      <c r="FXU123" s="225"/>
      <c r="FXV123" s="225"/>
      <c r="FXW123" s="225"/>
      <c r="FXX123" s="225"/>
      <c r="FXY123" s="225"/>
      <c r="FXZ123" s="225"/>
      <c r="FYA123" s="225"/>
      <c r="FYB123" s="225"/>
      <c r="FYC123" s="225"/>
      <c r="FYD123" s="225"/>
      <c r="FYE123" s="225"/>
      <c r="FYF123" s="225"/>
      <c r="FYG123" s="225"/>
      <c r="FYH123" s="225"/>
      <c r="FYI123" s="225"/>
      <c r="FYJ123" s="225"/>
      <c r="FYK123" s="225"/>
      <c r="FYL123" s="225"/>
      <c r="FYM123" s="225"/>
      <c r="FYN123" s="225"/>
      <c r="FYO123" s="225"/>
      <c r="FYP123" s="225"/>
      <c r="FYQ123" s="225"/>
      <c r="FYR123" s="225"/>
      <c r="FYS123" s="225"/>
      <c r="FYT123" s="225"/>
      <c r="FYU123" s="225"/>
      <c r="FYV123" s="225"/>
      <c r="FYW123" s="225"/>
      <c r="FYX123" s="225"/>
      <c r="FYY123" s="225"/>
      <c r="FYZ123" s="225"/>
      <c r="FZA123" s="225"/>
      <c r="FZB123" s="225"/>
      <c r="FZC123" s="225"/>
      <c r="FZD123" s="225"/>
      <c r="FZE123" s="225"/>
      <c r="FZF123" s="225"/>
      <c r="FZG123" s="225"/>
      <c r="FZH123" s="225"/>
      <c r="FZI123" s="225"/>
      <c r="FZJ123" s="225"/>
      <c r="FZK123" s="225"/>
      <c r="FZL123" s="225"/>
      <c r="FZM123" s="225"/>
      <c r="FZN123" s="225"/>
      <c r="FZO123" s="225"/>
      <c r="FZP123" s="225"/>
      <c r="FZQ123" s="225"/>
      <c r="FZR123" s="225"/>
      <c r="FZS123" s="225"/>
      <c r="FZT123" s="225"/>
      <c r="FZU123" s="225"/>
      <c r="FZV123" s="225"/>
      <c r="FZW123" s="225"/>
      <c r="FZX123" s="225"/>
      <c r="FZY123" s="225"/>
      <c r="FZZ123" s="225"/>
      <c r="GAA123" s="225"/>
      <c r="GAB123" s="225"/>
      <c r="GAC123" s="225"/>
      <c r="GAD123" s="225"/>
      <c r="GAE123" s="225"/>
      <c r="GAF123" s="225"/>
      <c r="GAG123" s="225"/>
      <c r="GAH123" s="225"/>
      <c r="GAI123" s="225"/>
      <c r="GAJ123" s="225"/>
      <c r="GAK123" s="225"/>
      <c r="GAL123" s="225"/>
      <c r="GAM123" s="225"/>
      <c r="GAN123" s="225"/>
      <c r="GAO123" s="225"/>
      <c r="GAP123" s="225"/>
      <c r="GAQ123" s="225"/>
      <c r="GAR123" s="225"/>
      <c r="GAS123" s="225"/>
      <c r="GAT123" s="225"/>
      <c r="GAU123" s="225"/>
      <c r="GAV123" s="225"/>
      <c r="GAW123" s="225"/>
      <c r="GAX123" s="225"/>
      <c r="GAY123" s="225"/>
      <c r="GAZ123" s="225"/>
      <c r="GBA123" s="225"/>
      <c r="GBB123" s="225"/>
      <c r="GBC123" s="225"/>
      <c r="GBD123" s="225"/>
      <c r="GBE123" s="225"/>
      <c r="GBF123" s="225"/>
      <c r="GBG123" s="225"/>
      <c r="GBH123" s="225"/>
      <c r="GBI123" s="225"/>
      <c r="GBJ123" s="225"/>
      <c r="GBK123" s="225"/>
      <c r="GBL123" s="225"/>
      <c r="GBM123" s="225"/>
      <c r="GBN123" s="225"/>
      <c r="GBO123" s="225"/>
      <c r="GBP123" s="225"/>
      <c r="GBQ123" s="225"/>
      <c r="GBR123" s="225"/>
      <c r="GBS123" s="225"/>
      <c r="GBT123" s="225"/>
      <c r="GBU123" s="225"/>
      <c r="GBV123" s="225"/>
      <c r="GBW123" s="225"/>
      <c r="GBX123" s="225"/>
      <c r="GBY123" s="225"/>
      <c r="GBZ123" s="225"/>
      <c r="GCA123" s="225"/>
      <c r="GCB123" s="225"/>
      <c r="GCC123" s="225"/>
      <c r="GCD123" s="225"/>
      <c r="GCE123" s="225"/>
      <c r="GCF123" s="225"/>
      <c r="GCG123" s="225"/>
      <c r="GCH123" s="225"/>
      <c r="GCI123" s="225"/>
      <c r="GCJ123" s="225"/>
      <c r="GCK123" s="225"/>
      <c r="GCL123" s="225"/>
      <c r="GCM123" s="225"/>
      <c r="GCN123" s="225"/>
      <c r="GCO123" s="225"/>
      <c r="GCP123" s="225"/>
      <c r="GCQ123" s="225"/>
      <c r="GCR123" s="225"/>
      <c r="GCS123" s="225"/>
      <c r="GCT123" s="225"/>
      <c r="GCU123" s="225"/>
      <c r="GCV123" s="225"/>
      <c r="GCW123" s="225"/>
      <c r="GCX123" s="225"/>
      <c r="GCY123" s="225"/>
      <c r="GCZ123" s="225"/>
      <c r="GDA123" s="225"/>
      <c r="GDB123" s="225"/>
      <c r="GDC123" s="225"/>
      <c r="GDD123" s="225"/>
      <c r="GDE123" s="225"/>
      <c r="GDF123" s="225"/>
      <c r="GDG123" s="225"/>
      <c r="GDH123" s="225"/>
      <c r="GDI123" s="225"/>
      <c r="GDJ123" s="225"/>
      <c r="GDK123" s="225"/>
      <c r="GDL123" s="225"/>
      <c r="GDM123" s="225"/>
      <c r="GDN123" s="225"/>
      <c r="GDO123" s="225"/>
      <c r="GDP123" s="225"/>
      <c r="GDQ123" s="225"/>
      <c r="GDR123" s="225"/>
      <c r="GDS123" s="225"/>
      <c r="GDT123" s="225"/>
      <c r="GDU123" s="225"/>
      <c r="GDV123" s="225"/>
      <c r="GDW123" s="225"/>
      <c r="GDX123" s="225"/>
      <c r="GDY123" s="225"/>
      <c r="GDZ123" s="225"/>
      <c r="GEA123" s="225"/>
      <c r="GEB123" s="225"/>
      <c r="GEC123" s="225"/>
      <c r="GED123" s="225"/>
      <c r="GEE123" s="225"/>
      <c r="GEF123" s="225"/>
      <c r="GEG123" s="225"/>
      <c r="GEH123" s="225"/>
      <c r="GEI123" s="225"/>
      <c r="GEJ123" s="225"/>
      <c r="GEK123" s="225"/>
      <c r="GEL123" s="225"/>
      <c r="GEM123" s="225"/>
      <c r="GEN123" s="225"/>
      <c r="GEO123" s="225"/>
      <c r="GEP123" s="225"/>
      <c r="GEQ123" s="225"/>
      <c r="GER123" s="225"/>
      <c r="GES123" s="225"/>
      <c r="GET123" s="225"/>
      <c r="GEU123" s="225"/>
      <c r="GEV123" s="225"/>
      <c r="GEW123" s="225"/>
      <c r="GEX123" s="225"/>
      <c r="GEY123" s="225"/>
      <c r="GEZ123" s="225"/>
      <c r="GFA123" s="225"/>
      <c r="GFB123" s="225"/>
      <c r="GFC123" s="225"/>
      <c r="GFD123" s="225"/>
      <c r="GFE123" s="225"/>
      <c r="GFF123" s="225"/>
      <c r="GFG123" s="225"/>
      <c r="GFH123" s="225"/>
      <c r="GFI123" s="225"/>
      <c r="GFJ123" s="225"/>
      <c r="GFK123" s="225"/>
      <c r="GFL123" s="225"/>
      <c r="GFM123" s="225"/>
      <c r="GFN123" s="225"/>
      <c r="GFO123" s="225"/>
      <c r="GFP123" s="225"/>
      <c r="GFQ123" s="225"/>
      <c r="GFR123" s="225"/>
      <c r="GFS123" s="225"/>
      <c r="GFT123" s="225"/>
      <c r="GFU123" s="225"/>
      <c r="GFV123" s="225"/>
      <c r="GFW123" s="225"/>
      <c r="GFX123" s="225"/>
      <c r="GFY123" s="225"/>
      <c r="GFZ123" s="225"/>
      <c r="GGA123" s="225"/>
      <c r="GGB123" s="225"/>
      <c r="GGC123" s="225"/>
      <c r="GGD123" s="225"/>
      <c r="GGE123" s="225"/>
      <c r="GGF123" s="225"/>
      <c r="GGG123" s="225"/>
      <c r="GGH123" s="225"/>
      <c r="GGI123" s="225"/>
      <c r="GGJ123" s="225"/>
      <c r="GGK123" s="225"/>
      <c r="GGL123" s="225"/>
      <c r="GGM123" s="225"/>
      <c r="GGN123" s="225"/>
      <c r="GGO123" s="225"/>
      <c r="GGP123" s="225"/>
      <c r="GGQ123" s="225"/>
      <c r="GGR123" s="225"/>
      <c r="GGS123" s="225"/>
      <c r="GGT123" s="225"/>
      <c r="GGU123" s="225"/>
      <c r="GGV123" s="225"/>
      <c r="GGW123" s="225"/>
      <c r="GGX123" s="225"/>
      <c r="GGY123" s="225"/>
      <c r="GGZ123" s="225"/>
      <c r="GHA123" s="225"/>
      <c r="GHB123" s="225"/>
      <c r="GHC123" s="225"/>
      <c r="GHD123" s="225"/>
      <c r="GHE123" s="225"/>
      <c r="GHF123" s="225"/>
      <c r="GHG123" s="225"/>
      <c r="GHH123" s="225"/>
      <c r="GHI123" s="225"/>
      <c r="GHJ123" s="225"/>
      <c r="GHK123" s="225"/>
      <c r="GHL123" s="225"/>
      <c r="GHM123" s="225"/>
      <c r="GHN123" s="225"/>
      <c r="GHO123" s="225"/>
      <c r="GHP123" s="225"/>
      <c r="GHQ123" s="225"/>
      <c r="GHR123" s="225"/>
      <c r="GHS123" s="225"/>
      <c r="GHT123" s="225"/>
      <c r="GHU123" s="225"/>
      <c r="GHV123" s="225"/>
      <c r="GHW123" s="225"/>
      <c r="GHX123" s="225"/>
      <c r="GHY123" s="225"/>
      <c r="GHZ123" s="225"/>
      <c r="GIA123" s="225"/>
      <c r="GIB123" s="225"/>
      <c r="GIC123" s="225"/>
      <c r="GID123" s="225"/>
      <c r="GIE123" s="225"/>
      <c r="GIF123" s="225"/>
      <c r="GIG123" s="225"/>
      <c r="GIH123" s="225"/>
      <c r="GII123" s="225"/>
      <c r="GIJ123" s="225"/>
      <c r="GIK123" s="225"/>
      <c r="GIL123" s="225"/>
      <c r="GIM123" s="225"/>
      <c r="GIN123" s="225"/>
      <c r="GIO123" s="225"/>
      <c r="GIP123" s="225"/>
      <c r="GIQ123" s="225"/>
      <c r="GIR123" s="225"/>
      <c r="GIS123" s="225"/>
      <c r="GIT123" s="225"/>
      <c r="GIU123" s="225"/>
      <c r="GIV123" s="225"/>
      <c r="GIW123" s="225"/>
      <c r="GIX123" s="225"/>
      <c r="GIY123" s="225"/>
      <c r="GIZ123" s="225"/>
      <c r="GJA123" s="225"/>
      <c r="GJB123" s="225"/>
      <c r="GJC123" s="225"/>
      <c r="GJD123" s="225"/>
      <c r="GJE123" s="225"/>
      <c r="GJF123" s="225"/>
      <c r="GJG123" s="225"/>
      <c r="GJH123" s="225"/>
      <c r="GJI123" s="225"/>
      <c r="GJJ123" s="225"/>
      <c r="GJK123" s="225"/>
      <c r="GJL123" s="225"/>
      <c r="GJM123" s="225"/>
      <c r="GJN123" s="225"/>
      <c r="GJO123" s="225"/>
      <c r="GJP123" s="225"/>
      <c r="GJQ123" s="225"/>
      <c r="GJR123" s="225"/>
      <c r="GJS123" s="225"/>
      <c r="GJT123" s="225"/>
      <c r="GJU123" s="225"/>
      <c r="GJV123" s="225"/>
      <c r="GJW123" s="225"/>
      <c r="GJX123" s="225"/>
      <c r="GJY123" s="225"/>
      <c r="GJZ123" s="225"/>
      <c r="GKA123" s="225"/>
      <c r="GKB123" s="225"/>
      <c r="GKC123" s="225"/>
      <c r="GKD123" s="225"/>
      <c r="GKE123" s="225"/>
      <c r="GKF123" s="225"/>
      <c r="GKG123" s="225"/>
      <c r="GKH123" s="225"/>
      <c r="GKI123" s="225"/>
      <c r="GKJ123" s="225"/>
      <c r="GKK123" s="225"/>
      <c r="GKL123" s="225"/>
      <c r="GKM123" s="225"/>
      <c r="GKN123" s="225"/>
      <c r="GKO123" s="225"/>
      <c r="GKP123" s="225"/>
      <c r="GKQ123" s="225"/>
      <c r="GKR123" s="225"/>
      <c r="GKS123" s="225"/>
      <c r="GKT123" s="225"/>
      <c r="GKU123" s="225"/>
      <c r="GKV123" s="225"/>
      <c r="GKW123" s="225"/>
      <c r="GKX123" s="225"/>
      <c r="GKY123" s="225"/>
      <c r="GKZ123" s="225"/>
      <c r="GLA123" s="225"/>
      <c r="GLB123" s="225"/>
      <c r="GLC123" s="225"/>
      <c r="GLD123" s="225"/>
      <c r="GLE123" s="225"/>
      <c r="GLF123" s="225"/>
      <c r="GLG123" s="225"/>
      <c r="GLH123" s="225"/>
      <c r="GLI123" s="225"/>
      <c r="GLJ123" s="225"/>
      <c r="GLK123" s="225"/>
      <c r="GLL123" s="225"/>
      <c r="GLM123" s="225"/>
      <c r="GLN123" s="225"/>
      <c r="GLO123" s="225"/>
      <c r="GLP123" s="225"/>
      <c r="GLQ123" s="225"/>
      <c r="GLR123" s="225"/>
      <c r="GLS123" s="225"/>
      <c r="GLT123" s="225"/>
      <c r="GLU123" s="225"/>
      <c r="GLV123" s="225"/>
      <c r="GLW123" s="225"/>
      <c r="GLX123" s="225"/>
      <c r="GLY123" s="225"/>
      <c r="GLZ123" s="225"/>
      <c r="GMA123" s="225"/>
      <c r="GMB123" s="225"/>
      <c r="GMC123" s="225"/>
      <c r="GMD123" s="225"/>
      <c r="GME123" s="225"/>
      <c r="GMF123" s="225"/>
      <c r="GMG123" s="225"/>
      <c r="GMH123" s="225"/>
      <c r="GMI123" s="225"/>
      <c r="GMJ123" s="225"/>
      <c r="GMK123" s="225"/>
      <c r="GML123" s="225"/>
      <c r="GMM123" s="225"/>
      <c r="GMN123" s="225"/>
      <c r="GMO123" s="225"/>
      <c r="GMP123" s="225"/>
      <c r="GMQ123" s="225"/>
      <c r="GMR123" s="225"/>
      <c r="GMS123" s="225"/>
      <c r="GMT123" s="225"/>
      <c r="GMU123" s="225"/>
      <c r="GMV123" s="225"/>
      <c r="GMW123" s="225"/>
      <c r="GMX123" s="225"/>
      <c r="GMY123" s="225"/>
      <c r="GMZ123" s="225"/>
      <c r="GNA123" s="225"/>
      <c r="GNB123" s="225"/>
      <c r="GNC123" s="225"/>
      <c r="GND123" s="225"/>
      <c r="GNE123" s="225"/>
      <c r="GNF123" s="225"/>
      <c r="GNG123" s="225"/>
      <c r="GNH123" s="225"/>
      <c r="GNI123" s="225"/>
      <c r="GNJ123" s="225"/>
      <c r="GNK123" s="225"/>
      <c r="GNL123" s="225"/>
      <c r="GNM123" s="225"/>
      <c r="GNN123" s="225"/>
      <c r="GNO123" s="225"/>
      <c r="GNP123" s="225"/>
      <c r="GNQ123" s="225"/>
      <c r="GNR123" s="225"/>
      <c r="GNS123" s="225"/>
      <c r="GNT123" s="225"/>
      <c r="GNU123" s="225"/>
      <c r="GNV123" s="225"/>
      <c r="GNW123" s="225"/>
      <c r="GNX123" s="225"/>
      <c r="GNY123" s="225"/>
      <c r="GNZ123" s="225"/>
      <c r="GOA123" s="225"/>
      <c r="GOB123" s="225"/>
      <c r="GOC123" s="225"/>
      <c r="GOD123" s="225"/>
      <c r="GOE123" s="225"/>
      <c r="GOF123" s="225"/>
      <c r="GOG123" s="225"/>
      <c r="GOH123" s="225"/>
      <c r="GOI123" s="225"/>
      <c r="GOJ123" s="225"/>
      <c r="GOK123" s="225"/>
      <c r="GOL123" s="225"/>
      <c r="GOM123" s="225"/>
      <c r="GON123" s="225"/>
      <c r="GOO123" s="225"/>
      <c r="GOP123" s="225"/>
      <c r="GOQ123" s="225"/>
      <c r="GOR123" s="225"/>
      <c r="GOS123" s="225"/>
      <c r="GOT123" s="225"/>
      <c r="GOU123" s="225"/>
      <c r="GOV123" s="225"/>
      <c r="GOW123" s="225"/>
      <c r="GOX123" s="225"/>
      <c r="GOY123" s="225"/>
      <c r="GOZ123" s="225"/>
      <c r="GPA123" s="225"/>
      <c r="GPB123" s="225"/>
      <c r="GPC123" s="225"/>
      <c r="GPD123" s="225"/>
      <c r="GPE123" s="225"/>
      <c r="GPF123" s="225"/>
      <c r="GPG123" s="225"/>
      <c r="GPH123" s="225"/>
      <c r="GPI123" s="225"/>
      <c r="GPJ123" s="225"/>
      <c r="GPK123" s="225"/>
      <c r="GPL123" s="225"/>
      <c r="GPM123" s="225"/>
      <c r="GPN123" s="225"/>
      <c r="GPO123" s="225"/>
      <c r="GPP123" s="225"/>
      <c r="GPQ123" s="225"/>
      <c r="GPR123" s="225"/>
      <c r="GPS123" s="225"/>
      <c r="GPT123" s="225"/>
      <c r="GPU123" s="225"/>
      <c r="GPV123" s="225"/>
      <c r="GPW123" s="225"/>
      <c r="GPX123" s="225"/>
      <c r="GPY123" s="225"/>
      <c r="GPZ123" s="225"/>
      <c r="GQA123" s="225"/>
      <c r="GQB123" s="225"/>
      <c r="GQC123" s="225"/>
      <c r="GQD123" s="225"/>
      <c r="GQE123" s="225"/>
      <c r="GQF123" s="225"/>
      <c r="GQG123" s="225"/>
      <c r="GQH123" s="225"/>
      <c r="GQI123" s="225"/>
      <c r="GQJ123" s="225"/>
      <c r="GQK123" s="225"/>
      <c r="GQL123" s="225"/>
      <c r="GQM123" s="225"/>
      <c r="GQN123" s="225"/>
      <c r="GQO123" s="225"/>
      <c r="GQP123" s="225"/>
      <c r="GQQ123" s="225"/>
      <c r="GQR123" s="225"/>
      <c r="GQS123" s="225"/>
      <c r="GQT123" s="225"/>
      <c r="GQU123" s="225"/>
      <c r="GQV123" s="225"/>
      <c r="GQW123" s="225"/>
      <c r="GQX123" s="225"/>
      <c r="GQY123" s="225"/>
      <c r="GQZ123" s="225"/>
      <c r="GRA123" s="225"/>
      <c r="GRB123" s="225"/>
      <c r="GRC123" s="225"/>
      <c r="GRD123" s="225"/>
      <c r="GRE123" s="225"/>
      <c r="GRF123" s="225"/>
      <c r="GRG123" s="225"/>
      <c r="GRH123" s="225"/>
      <c r="GRI123" s="225"/>
      <c r="GRJ123" s="225"/>
      <c r="GRK123" s="225"/>
      <c r="GRL123" s="225"/>
      <c r="GRM123" s="225"/>
      <c r="GRN123" s="225"/>
      <c r="GRO123" s="225"/>
      <c r="GRP123" s="225"/>
      <c r="GRQ123" s="225"/>
      <c r="GRR123" s="225"/>
      <c r="GRS123" s="225"/>
      <c r="GRT123" s="225"/>
      <c r="GRU123" s="225"/>
      <c r="GRV123" s="225"/>
      <c r="GRW123" s="225"/>
      <c r="GRX123" s="225"/>
      <c r="GRY123" s="225"/>
      <c r="GRZ123" s="225"/>
      <c r="GSA123" s="225"/>
      <c r="GSB123" s="225"/>
      <c r="GSC123" s="225"/>
      <c r="GSD123" s="225"/>
      <c r="GSE123" s="225"/>
      <c r="GSF123" s="225"/>
      <c r="GSG123" s="225"/>
      <c r="GSH123" s="225"/>
      <c r="GSI123" s="225"/>
      <c r="GSJ123" s="225"/>
      <c r="GSK123" s="225"/>
      <c r="GSL123" s="225"/>
      <c r="GSM123" s="225"/>
      <c r="GSN123" s="225"/>
      <c r="GSO123" s="225"/>
      <c r="GSP123" s="225"/>
      <c r="GSQ123" s="225"/>
      <c r="GSR123" s="225"/>
      <c r="GSS123" s="225"/>
      <c r="GST123" s="225"/>
      <c r="GSU123" s="225"/>
      <c r="GSV123" s="225"/>
      <c r="GSW123" s="225"/>
      <c r="GSX123" s="225"/>
      <c r="GSY123" s="225"/>
      <c r="GSZ123" s="225"/>
      <c r="GTA123" s="225"/>
      <c r="GTB123" s="225"/>
      <c r="GTC123" s="225"/>
      <c r="GTD123" s="225"/>
      <c r="GTE123" s="225"/>
      <c r="GTF123" s="225"/>
      <c r="GTG123" s="225"/>
      <c r="GTH123" s="225"/>
      <c r="GTI123" s="225"/>
      <c r="GTJ123" s="225"/>
      <c r="GTK123" s="225"/>
      <c r="GTL123" s="225"/>
      <c r="GTM123" s="225"/>
      <c r="GTN123" s="225"/>
      <c r="GTO123" s="225"/>
      <c r="GTP123" s="225"/>
      <c r="GTQ123" s="225"/>
      <c r="GTR123" s="225"/>
      <c r="GTS123" s="225"/>
      <c r="GTT123" s="225"/>
      <c r="GTU123" s="225"/>
      <c r="GTV123" s="225"/>
      <c r="GTW123" s="225"/>
      <c r="GTX123" s="225"/>
      <c r="GTY123" s="225"/>
      <c r="GTZ123" s="225"/>
      <c r="GUA123" s="225"/>
      <c r="GUB123" s="225"/>
      <c r="GUC123" s="225"/>
      <c r="GUD123" s="225"/>
      <c r="GUE123" s="225"/>
      <c r="GUF123" s="225"/>
      <c r="GUG123" s="225"/>
      <c r="GUH123" s="225"/>
      <c r="GUI123" s="225"/>
      <c r="GUJ123" s="225"/>
      <c r="GUK123" s="225"/>
      <c r="GUL123" s="225"/>
      <c r="GUM123" s="225"/>
      <c r="GUN123" s="225"/>
      <c r="GUO123" s="225"/>
      <c r="GUP123" s="225"/>
      <c r="GUQ123" s="225"/>
      <c r="GUR123" s="225"/>
      <c r="GUS123" s="225"/>
      <c r="GUT123" s="225"/>
      <c r="GUU123" s="225"/>
      <c r="GUV123" s="225"/>
      <c r="GUW123" s="225"/>
      <c r="GUX123" s="225"/>
      <c r="GUY123" s="225"/>
      <c r="GUZ123" s="225"/>
      <c r="GVA123" s="225"/>
      <c r="GVB123" s="225"/>
      <c r="GVC123" s="225"/>
      <c r="GVD123" s="225"/>
      <c r="GVE123" s="225"/>
      <c r="GVF123" s="225"/>
      <c r="GVG123" s="225"/>
      <c r="GVH123" s="225"/>
      <c r="GVI123" s="225"/>
      <c r="GVJ123" s="225"/>
      <c r="GVK123" s="225"/>
      <c r="GVL123" s="225"/>
      <c r="GVM123" s="225"/>
      <c r="GVN123" s="225"/>
      <c r="GVO123" s="225"/>
      <c r="GVP123" s="225"/>
      <c r="GVQ123" s="225"/>
      <c r="GVR123" s="225"/>
      <c r="GVS123" s="225"/>
      <c r="GVT123" s="225"/>
      <c r="GVU123" s="225"/>
      <c r="GVV123" s="225"/>
      <c r="GVW123" s="225"/>
      <c r="GVX123" s="225"/>
      <c r="GVY123" s="225"/>
      <c r="GVZ123" s="225"/>
      <c r="GWA123" s="225"/>
      <c r="GWB123" s="225"/>
      <c r="GWC123" s="225"/>
      <c r="GWD123" s="225"/>
      <c r="GWE123" s="225"/>
      <c r="GWF123" s="225"/>
      <c r="GWG123" s="225"/>
      <c r="GWH123" s="225"/>
      <c r="GWI123" s="225"/>
      <c r="GWJ123" s="225"/>
      <c r="GWK123" s="225"/>
      <c r="GWL123" s="225"/>
      <c r="GWM123" s="225"/>
      <c r="GWN123" s="225"/>
      <c r="GWO123" s="225"/>
      <c r="GWP123" s="225"/>
      <c r="GWQ123" s="225"/>
      <c r="GWR123" s="225"/>
      <c r="GWS123" s="225"/>
      <c r="GWT123" s="225"/>
      <c r="GWU123" s="225"/>
      <c r="GWV123" s="225"/>
      <c r="GWW123" s="225"/>
      <c r="GWX123" s="225"/>
      <c r="GWY123" s="225"/>
      <c r="GWZ123" s="225"/>
      <c r="GXA123" s="225"/>
      <c r="GXB123" s="225"/>
      <c r="GXC123" s="225"/>
      <c r="GXD123" s="225"/>
      <c r="GXE123" s="225"/>
      <c r="GXF123" s="225"/>
      <c r="GXG123" s="225"/>
      <c r="GXH123" s="225"/>
      <c r="GXI123" s="225"/>
      <c r="GXJ123" s="225"/>
      <c r="GXK123" s="225"/>
      <c r="GXL123" s="225"/>
      <c r="GXM123" s="225"/>
      <c r="GXN123" s="225"/>
      <c r="GXO123" s="225"/>
      <c r="GXP123" s="225"/>
      <c r="GXQ123" s="225"/>
      <c r="GXR123" s="225"/>
      <c r="GXS123" s="225"/>
      <c r="GXT123" s="225"/>
      <c r="GXU123" s="225"/>
      <c r="GXV123" s="225"/>
      <c r="GXW123" s="225"/>
      <c r="GXX123" s="225"/>
      <c r="GXY123" s="225"/>
      <c r="GXZ123" s="225"/>
      <c r="GYA123" s="225"/>
      <c r="GYB123" s="225"/>
      <c r="GYC123" s="225"/>
      <c r="GYD123" s="225"/>
      <c r="GYE123" s="225"/>
      <c r="GYF123" s="225"/>
      <c r="GYG123" s="225"/>
      <c r="GYH123" s="225"/>
      <c r="GYI123" s="225"/>
      <c r="GYJ123" s="225"/>
      <c r="GYK123" s="225"/>
      <c r="GYL123" s="225"/>
      <c r="GYM123" s="225"/>
      <c r="GYN123" s="225"/>
      <c r="GYO123" s="225"/>
      <c r="GYP123" s="225"/>
      <c r="GYQ123" s="225"/>
      <c r="GYR123" s="225"/>
      <c r="GYS123" s="225"/>
      <c r="GYT123" s="225"/>
      <c r="GYU123" s="225"/>
      <c r="GYV123" s="225"/>
      <c r="GYW123" s="225"/>
      <c r="GYX123" s="225"/>
      <c r="GYY123" s="225"/>
      <c r="GYZ123" s="225"/>
      <c r="GZA123" s="225"/>
      <c r="GZB123" s="225"/>
      <c r="GZC123" s="225"/>
      <c r="GZD123" s="225"/>
      <c r="GZE123" s="225"/>
      <c r="GZF123" s="225"/>
      <c r="GZG123" s="225"/>
      <c r="GZH123" s="225"/>
      <c r="GZI123" s="225"/>
      <c r="GZJ123" s="225"/>
      <c r="GZK123" s="225"/>
      <c r="GZL123" s="225"/>
      <c r="GZM123" s="225"/>
      <c r="GZN123" s="225"/>
      <c r="GZO123" s="225"/>
      <c r="GZP123" s="225"/>
      <c r="GZQ123" s="225"/>
      <c r="GZR123" s="225"/>
      <c r="GZS123" s="225"/>
      <c r="GZT123" s="225"/>
      <c r="GZU123" s="225"/>
      <c r="GZV123" s="225"/>
      <c r="GZW123" s="225"/>
      <c r="GZX123" s="225"/>
      <c r="GZY123" s="225"/>
      <c r="GZZ123" s="225"/>
      <c r="HAA123" s="225"/>
      <c r="HAB123" s="225"/>
      <c r="HAC123" s="225"/>
      <c r="HAD123" s="225"/>
      <c r="HAE123" s="225"/>
      <c r="HAF123" s="225"/>
      <c r="HAG123" s="225"/>
      <c r="HAH123" s="225"/>
      <c r="HAI123" s="225"/>
      <c r="HAJ123" s="225"/>
      <c r="HAK123" s="225"/>
      <c r="HAL123" s="225"/>
      <c r="HAM123" s="225"/>
      <c r="HAN123" s="225"/>
      <c r="HAO123" s="225"/>
      <c r="HAP123" s="225"/>
      <c r="HAQ123" s="225"/>
      <c r="HAR123" s="225"/>
      <c r="HAS123" s="225"/>
      <c r="HAT123" s="225"/>
      <c r="HAU123" s="225"/>
      <c r="HAV123" s="225"/>
      <c r="HAW123" s="225"/>
      <c r="HAX123" s="225"/>
      <c r="HAY123" s="225"/>
      <c r="HAZ123" s="225"/>
      <c r="HBA123" s="225"/>
      <c r="HBB123" s="225"/>
      <c r="HBC123" s="225"/>
      <c r="HBD123" s="225"/>
      <c r="HBE123" s="225"/>
      <c r="HBF123" s="225"/>
      <c r="HBG123" s="225"/>
      <c r="HBH123" s="225"/>
      <c r="HBI123" s="225"/>
      <c r="HBJ123" s="225"/>
      <c r="HBK123" s="225"/>
      <c r="HBL123" s="225"/>
      <c r="HBM123" s="225"/>
      <c r="HBN123" s="225"/>
      <c r="HBO123" s="225"/>
      <c r="HBP123" s="225"/>
      <c r="HBQ123" s="225"/>
      <c r="HBR123" s="225"/>
      <c r="HBS123" s="225"/>
      <c r="HBT123" s="225"/>
      <c r="HBU123" s="225"/>
      <c r="HBV123" s="225"/>
      <c r="HBW123" s="225"/>
      <c r="HBX123" s="225"/>
      <c r="HBY123" s="225"/>
      <c r="HBZ123" s="225"/>
      <c r="HCA123" s="225"/>
      <c r="HCB123" s="225"/>
      <c r="HCC123" s="225"/>
      <c r="HCD123" s="225"/>
      <c r="HCE123" s="225"/>
      <c r="HCF123" s="225"/>
      <c r="HCG123" s="225"/>
      <c r="HCH123" s="225"/>
      <c r="HCI123" s="225"/>
      <c r="HCJ123" s="225"/>
      <c r="HCK123" s="225"/>
      <c r="HCL123" s="225"/>
      <c r="HCM123" s="225"/>
      <c r="HCN123" s="225"/>
      <c r="HCO123" s="225"/>
      <c r="HCP123" s="225"/>
      <c r="HCQ123" s="225"/>
      <c r="HCR123" s="225"/>
      <c r="HCS123" s="225"/>
      <c r="HCT123" s="225"/>
      <c r="HCU123" s="225"/>
      <c r="HCV123" s="225"/>
      <c r="HCW123" s="225"/>
      <c r="HCX123" s="225"/>
      <c r="HCY123" s="225"/>
      <c r="HCZ123" s="225"/>
      <c r="HDA123" s="225"/>
      <c r="HDB123" s="225"/>
      <c r="HDC123" s="225"/>
      <c r="HDD123" s="225"/>
      <c r="HDE123" s="225"/>
      <c r="HDF123" s="225"/>
      <c r="HDG123" s="225"/>
      <c r="HDH123" s="225"/>
      <c r="HDI123" s="225"/>
      <c r="HDJ123" s="225"/>
      <c r="HDK123" s="225"/>
      <c r="HDL123" s="225"/>
      <c r="HDM123" s="225"/>
      <c r="HDN123" s="225"/>
      <c r="HDO123" s="225"/>
      <c r="HDP123" s="225"/>
      <c r="HDQ123" s="225"/>
      <c r="HDR123" s="225"/>
      <c r="HDS123" s="225"/>
      <c r="HDT123" s="225"/>
      <c r="HDU123" s="225"/>
      <c r="HDV123" s="225"/>
      <c r="HDW123" s="225"/>
      <c r="HDX123" s="225"/>
      <c r="HDY123" s="225"/>
      <c r="HDZ123" s="225"/>
      <c r="HEA123" s="225"/>
      <c r="HEB123" s="225"/>
      <c r="HEC123" s="225"/>
      <c r="HED123" s="225"/>
      <c r="HEE123" s="225"/>
      <c r="HEF123" s="225"/>
      <c r="HEG123" s="225"/>
      <c r="HEH123" s="225"/>
      <c r="HEI123" s="225"/>
      <c r="HEJ123" s="225"/>
      <c r="HEK123" s="225"/>
      <c r="HEL123" s="225"/>
      <c r="HEM123" s="225"/>
      <c r="HEN123" s="225"/>
      <c r="HEO123" s="225"/>
      <c r="HEP123" s="225"/>
      <c r="HEQ123" s="225"/>
      <c r="HER123" s="225"/>
      <c r="HES123" s="225"/>
      <c r="HET123" s="225"/>
      <c r="HEU123" s="225"/>
      <c r="HEV123" s="225"/>
      <c r="HEW123" s="225"/>
      <c r="HEX123" s="225"/>
      <c r="HEY123" s="225"/>
      <c r="HEZ123" s="225"/>
      <c r="HFA123" s="225"/>
      <c r="HFB123" s="225"/>
      <c r="HFC123" s="225"/>
      <c r="HFD123" s="225"/>
      <c r="HFE123" s="225"/>
      <c r="HFF123" s="225"/>
      <c r="HFG123" s="225"/>
      <c r="HFH123" s="225"/>
      <c r="HFI123" s="225"/>
      <c r="HFJ123" s="225"/>
      <c r="HFK123" s="225"/>
      <c r="HFL123" s="225"/>
      <c r="HFM123" s="225"/>
      <c r="HFN123" s="225"/>
      <c r="HFO123" s="225"/>
      <c r="HFP123" s="225"/>
      <c r="HFQ123" s="225"/>
      <c r="HFR123" s="225"/>
      <c r="HFS123" s="225"/>
      <c r="HFT123" s="225"/>
      <c r="HFU123" s="225"/>
      <c r="HFV123" s="225"/>
      <c r="HFW123" s="225"/>
      <c r="HFX123" s="225"/>
      <c r="HFY123" s="225"/>
      <c r="HFZ123" s="225"/>
      <c r="HGA123" s="225"/>
      <c r="HGB123" s="225"/>
      <c r="HGC123" s="225"/>
      <c r="HGD123" s="225"/>
      <c r="HGE123" s="225"/>
      <c r="HGF123" s="225"/>
      <c r="HGG123" s="225"/>
      <c r="HGH123" s="225"/>
      <c r="HGI123" s="225"/>
      <c r="HGJ123" s="225"/>
      <c r="HGK123" s="225"/>
      <c r="HGL123" s="225"/>
      <c r="HGM123" s="225"/>
      <c r="HGN123" s="225"/>
      <c r="HGO123" s="225"/>
      <c r="HGP123" s="225"/>
      <c r="HGQ123" s="225"/>
      <c r="HGR123" s="225"/>
      <c r="HGS123" s="225"/>
      <c r="HGT123" s="225"/>
      <c r="HGU123" s="225"/>
      <c r="HGV123" s="225"/>
      <c r="HGW123" s="225"/>
      <c r="HGX123" s="225"/>
      <c r="HGY123" s="225"/>
      <c r="HGZ123" s="225"/>
      <c r="HHA123" s="225"/>
      <c r="HHB123" s="225"/>
      <c r="HHC123" s="225"/>
      <c r="HHD123" s="225"/>
      <c r="HHE123" s="225"/>
      <c r="HHF123" s="225"/>
      <c r="HHG123" s="225"/>
      <c r="HHH123" s="225"/>
      <c r="HHI123" s="225"/>
      <c r="HHJ123" s="225"/>
      <c r="HHK123" s="225"/>
      <c r="HHL123" s="225"/>
      <c r="HHM123" s="225"/>
      <c r="HHN123" s="225"/>
      <c r="HHO123" s="225"/>
      <c r="HHP123" s="225"/>
      <c r="HHQ123" s="225"/>
      <c r="HHR123" s="225"/>
      <c r="HHS123" s="225"/>
      <c r="HHT123" s="225"/>
      <c r="HHU123" s="225"/>
      <c r="HHV123" s="225"/>
      <c r="HHW123" s="225"/>
      <c r="HHX123" s="225"/>
      <c r="HHY123" s="225"/>
      <c r="HHZ123" s="225"/>
      <c r="HIA123" s="225"/>
      <c r="HIB123" s="225"/>
      <c r="HIC123" s="225"/>
      <c r="HID123" s="225"/>
      <c r="HIE123" s="225"/>
      <c r="HIF123" s="225"/>
      <c r="HIG123" s="225"/>
      <c r="HIH123" s="225"/>
      <c r="HII123" s="225"/>
      <c r="HIJ123" s="225"/>
      <c r="HIK123" s="225"/>
      <c r="HIL123" s="225"/>
      <c r="HIM123" s="225"/>
      <c r="HIN123" s="225"/>
      <c r="HIO123" s="225"/>
      <c r="HIP123" s="225"/>
      <c r="HIQ123" s="225"/>
      <c r="HIR123" s="225"/>
      <c r="HIS123" s="225"/>
      <c r="HIT123" s="225"/>
      <c r="HIU123" s="225"/>
      <c r="HIV123" s="225"/>
      <c r="HIW123" s="225"/>
      <c r="HIX123" s="225"/>
      <c r="HIY123" s="225"/>
      <c r="HIZ123" s="225"/>
      <c r="HJA123" s="225"/>
      <c r="HJB123" s="225"/>
      <c r="HJC123" s="225"/>
      <c r="HJD123" s="225"/>
      <c r="HJE123" s="225"/>
      <c r="HJF123" s="225"/>
      <c r="HJG123" s="225"/>
      <c r="HJH123" s="225"/>
      <c r="HJI123" s="225"/>
      <c r="HJJ123" s="225"/>
      <c r="HJK123" s="225"/>
      <c r="HJL123" s="225"/>
      <c r="HJM123" s="225"/>
      <c r="HJN123" s="225"/>
      <c r="HJO123" s="225"/>
      <c r="HJP123" s="225"/>
      <c r="HJQ123" s="225"/>
      <c r="HJR123" s="225"/>
      <c r="HJS123" s="225"/>
      <c r="HJT123" s="225"/>
      <c r="HJU123" s="225"/>
      <c r="HJV123" s="225"/>
      <c r="HJW123" s="225"/>
      <c r="HJX123" s="225"/>
      <c r="HJY123" s="225"/>
      <c r="HJZ123" s="225"/>
      <c r="HKA123" s="225"/>
      <c r="HKB123" s="225"/>
      <c r="HKC123" s="225"/>
      <c r="HKD123" s="225"/>
      <c r="HKE123" s="225"/>
      <c r="HKF123" s="225"/>
      <c r="HKG123" s="225"/>
      <c r="HKH123" s="225"/>
      <c r="HKI123" s="225"/>
      <c r="HKJ123" s="225"/>
      <c r="HKK123" s="225"/>
      <c r="HKL123" s="225"/>
      <c r="HKM123" s="225"/>
      <c r="HKN123" s="225"/>
      <c r="HKO123" s="225"/>
      <c r="HKP123" s="225"/>
      <c r="HKQ123" s="225"/>
      <c r="HKR123" s="225"/>
      <c r="HKS123" s="225"/>
      <c r="HKT123" s="225"/>
      <c r="HKU123" s="225"/>
      <c r="HKV123" s="225"/>
      <c r="HKW123" s="225"/>
      <c r="HKX123" s="225"/>
      <c r="HKY123" s="225"/>
      <c r="HKZ123" s="225"/>
      <c r="HLA123" s="225"/>
      <c r="HLB123" s="225"/>
      <c r="HLC123" s="225"/>
      <c r="HLD123" s="225"/>
      <c r="HLE123" s="225"/>
      <c r="HLF123" s="225"/>
      <c r="HLG123" s="225"/>
      <c r="HLH123" s="225"/>
      <c r="HLI123" s="225"/>
      <c r="HLJ123" s="225"/>
      <c r="HLK123" s="225"/>
      <c r="HLL123" s="225"/>
      <c r="HLM123" s="225"/>
      <c r="HLN123" s="225"/>
      <c r="HLO123" s="225"/>
      <c r="HLP123" s="225"/>
      <c r="HLQ123" s="225"/>
      <c r="HLR123" s="225"/>
      <c r="HLS123" s="225"/>
      <c r="HLT123" s="225"/>
      <c r="HLU123" s="225"/>
      <c r="HLV123" s="225"/>
      <c r="HLW123" s="225"/>
      <c r="HLX123" s="225"/>
      <c r="HLY123" s="225"/>
      <c r="HLZ123" s="225"/>
      <c r="HMA123" s="225"/>
      <c r="HMB123" s="225"/>
      <c r="HMC123" s="225"/>
      <c r="HMD123" s="225"/>
      <c r="HME123" s="225"/>
      <c r="HMF123" s="225"/>
      <c r="HMG123" s="225"/>
      <c r="HMH123" s="225"/>
      <c r="HMI123" s="225"/>
      <c r="HMJ123" s="225"/>
      <c r="HMK123" s="225"/>
      <c r="HML123" s="225"/>
      <c r="HMM123" s="225"/>
      <c r="HMN123" s="225"/>
      <c r="HMO123" s="225"/>
      <c r="HMP123" s="225"/>
      <c r="HMQ123" s="225"/>
      <c r="HMR123" s="225"/>
      <c r="HMS123" s="225"/>
      <c r="HMT123" s="225"/>
      <c r="HMU123" s="225"/>
      <c r="HMV123" s="225"/>
      <c r="HMW123" s="225"/>
      <c r="HMX123" s="225"/>
      <c r="HMY123" s="225"/>
      <c r="HMZ123" s="225"/>
      <c r="HNA123" s="225"/>
      <c r="HNB123" s="225"/>
      <c r="HNC123" s="225"/>
      <c r="HND123" s="225"/>
      <c r="HNE123" s="225"/>
      <c r="HNF123" s="225"/>
      <c r="HNG123" s="225"/>
      <c r="HNH123" s="225"/>
      <c r="HNI123" s="225"/>
      <c r="HNJ123" s="225"/>
      <c r="HNK123" s="225"/>
      <c r="HNL123" s="225"/>
      <c r="HNM123" s="225"/>
      <c r="HNN123" s="225"/>
      <c r="HNO123" s="225"/>
      <c r="HNP123" s="225"/>
      <c r="HNQ123" s="225"/>
      <c r="HNR123" s="225"/>
      <c r="HNS123" s="225"/>
      <c r="HNT123" s="225"/>
      <c r="HNU123" s="225"/>
      <c r="HNV123" s="225"/>
      <c r="HNW123" s="225"/>
      <c r="HNX123" s="225"/>
      <c r="HNY123" s="225"/>
      <c r="HNZ123" s="225"/>
      <c r="HOA123" s="225"/>
      <c r="HOB123" s="225"/>
      <c r="HOC123" s="225"/>
      <c r="HOD123" s="225"/>
      <c r="HOE123" s="225"/>
      <c r="HOF123" s="225"/>
      <c r="HOG123" s="225"/>
      <c r="HOH123" s="225"/>
      <c r="HOI123" s="225"/>
      <c r="HOJ123" s="225"/>
      <c r="HOK123" s="225"/>
      <c r="HOL123" s="225"/>
      <c r="HOM123" s="225"/>
      <c r="HON123" s="225"/>
      <c r="HOO123" s="225"/>
      <c r="HOP123" s="225"/>
      <c r="HOQ123" s="225"/>
      <c r="HOR123" s="225"/>
      <c r="HOS123" s="225"/>
      <c r="HOT123" s="225"/>
      <c r="HOU123" s="225"/>
      <c r="HOV123" s="225"/>
      <c r="HOW123" s="225"/>
      <c r="HOX123" s="225"/>
      <c r="HOY123" s="225"/>
      <c r="HOZ123" s="225"/>
      <c r="HPA123" s="225"/>
      <c r="HPB123" s="225"/>
      <c r="HPC123" s="225"/>
      <c r="HPD123" s="225"/>
      <c r="HPE123" s="225"/>
      <c r="HPF123" s="225"/>
      <c r="HPG123" s="225"/>
      <c r="HPH123" s="225"/>
      <c r="HPI123" s="225"/>
      <c r="HPJ123" s="225"/>
      <c r="HPK123" s="225"/>
      <c r="HPL123" s="225"/>
      <c r="HPM123" s="225"/>
      <c r="HPN123" s="225"/>
      <c r="HPO123" s="225"/>
      <c r="HPP123" s="225"/>
      <c r="HPQ123" s="225"/>
      <c r="HPR123" s="225"/>
      <c r="HPS123" s="225"/>
      <c r="HPT123" s="225"/>
      <c r="HPU123" s="225"/>
      <c r="HPV123" s="225"/>
      <c r="HPW123" s="225"/>
      <c r="HPX123" s="225"/>
      <c r="HPY123" s="225"/>
      <c r="HPZ123" s="225"/>
      <c r="HQA123" s="225"/>
      <c r="HQB123" s="225"/>
      <c r="HQC123" s="225"/>
      <c r="HQD123" s="225"/>
      <c r="HQE123" s="225"/>
      <c r="HQF123" s="225"/>
      <c r="HQG123" s="225"/>
      <c r="HQH123" s="225"/>
      <c r="HQI123" s="225"/>
      <c r="HQJ123" s="225"/>
      <c r="HQK123" s="225"/>
      <c r="HQL123" s="225"/>
      <c r="HQM123" s="225"/>
      <c r="HQN123" s="225"/>
      <c r="HQO123" s="225"/>
      <c r="HQP123" s="225"/>
      <c r="HQQ123" s="225"/>
      <c r="HQR123" s="225"/>
      <c r="HQS123" s="225"/>
      <c r="HQT123" s="225"/>
      <c r="HQU123" s="225"/>
      <c r="HQV123" s="225"/>
      <c r="HQW123" s="225"/>
      <c r="HQX123" s="225"/>
      <c r="HQY123" s="225"/>
      <c r="HQZ123" s="225"/>
      <c r="HRA123" s="225"/>
      <c r="HRB123" s="225"/>
      <c r="HRC123" s="225"/>
      <c r="HRD123" s="225"/>
      <c r="HRE123" s="225"/>
      <c r="HRF123" s="225"/>
      <c r="HRG123" s="225"/>
      <c r="HRH123" s="225"/>
      <c r="HRI123" s="225"/>
      <c r="HRJ123" s="225"/>
      <c r="HRK123" s="225"/>
      <c r="HRL123" s="225"/>
      <c r="HRM123" s="225"/>
      <c r="HRN123" s="225"/>
      <c r="HRO123" s="225"/>
      <c r="HRP123" s="225"/>
      <c r="HRQ123" s="225"/>
      <c r="HRR123" s="225"/>
      <c r="HRS123" s="225"/>
      <c r="HRT123" s="225"/>
      <c r="HRU123" s="225"/>
      <c r="HRV123" s="225"/>
      <c r="HRW123" s="225"/>
      <c r="HRX123" s="225"/>
      <c r="HRY123" s="225"/>
      <c r="HRZ123" s="225"/>
      <c r="HSA123" s="225"/>
      <c r="HSB123" s="225"/>
      <c r="HSC123" s="225"/>
      <c r="HSD123" s="225"/>
      <c r="HSE123" s="225"/>
      <c r="HSF123" s="225"/>
      <c r="HSG123" s="225"/>
      <c r="HSH123" s="225"/>
      <c r="HSI123" s="225"/>
      <c r="HSJ123" s="225"/>
      <c r="HSK123" s="225"/>
      <c r="HSL123" s="225"/>
      <c r="HSM123" s="225"/>
      <c r="HSN123" s="225"/>
      <c r="HSO123" s="225"/>
      <c r="HSP123" s="225"/>
      <c r="HSQ123" s="225"/>
      <c r="HSR123" s="225"/>
      <c r="HSS123" s="225"/>
      <c r="HST123" s="225"/>
      <c r="HSU123" s="225"/>
      <c r="HSV123" s="225"/>
      <c r="HSW123" s="225"/>
      <c r="HSX123" s="225"/>
      <c r="HSY123" s="225"/>
      <c r="HSZ123" s="225"/>
      <c r="HTA123" s="225"/>
      <c r="HTB123" s="225"/>
      <c r="HTC123" s="225"/>
      <c r="HTD123" s="225"/>
      <c r="HTE123" s="225"/>
      <c r="HTF123" s="225"/>
      <c r="HTG123" s="225"/>
      <c r="HTH123" s="225"/>
      <c r="HTI123" s="225"/>
      <c r="HTJ123" s="225"/>
      <c r="HTK123" s="225"/>
      <c r="HTL123" s="225"/>
      <c r="HTM123" s="225"/>
      <c r="HTN123" s="225"/>
      <c r="HTO123" s="225"/>
      <c r="HTP123" s="225"/>
      <c r="HTQ123" s="225"/>
      <c r="HTR123" s="225"/>
      <c r="HTS123" s="225"/>
      <c r="HTT123" s="225"/>
      <c r="HTU123" s="225"/>
      <c r="HTV123" s="225"/>
      <c r="HTW123" s="225"/>
      <c r="HTX123" s="225"/>
      <c r="HTY123" s="225"/>
      <c r="HTZ123" s="225"/>
      <c r="HUA123" s="225"/>
      <c r="HUB123" s="225"/>
      <c r="HUC123" s="225"/>
      <c r="HUD123" s="225"/>
      <c r="HUE123" s="225"/>
      <c r="HUF123" s="225"/>
      <c r="HUG123" s="225"/>
      <c r="HUH123" s="225"/>
      <c r="HUI123" s="225"/>
      <c r="HUJ123" s="225"/>
      <c r="HUK123" s="225"/>
      <c r="HUL123" s="225"/>
      <c r="HUM123" s="225"/>
      <c r="HUN123" s="225"/>
      <c r="HUO123" s="225"/>
      <c r="HUP123" s="225"/>
      <c r="HUQ123" s="225"/>
      <c r="HUR123" s="225"/>
      <c r="HUS123" s="225"/>
      <c r="HUT123" s="225"/>
      <c r="HUU123" s="225"/>
      <c r="HUV123" s="225"/>
      <c r="HUW123" s="225"/>
      <c r="HUX123" s="225"/>
      <c r="HUY123" s="225"/>
      <c r="HUZ123" s="225"/>
      <c r="HVA123" s="225"/>
      <c r="HVB123" s="225"/>
      <c r="HVC123" s="225"/>
      <c r="HVD123" s="225"/>
      <c r="HVE123" s="225"/>
      <c r="HVF123" s="225"/>
      <c r="HVG123" s="225"/>
      <c r="HVH123" s="225"/>
      <c r="HVI123" s="225"/>
      <c r="HVJ123" s="225"/>
      <c r="HVK123" s="225"/>
      <c r="HVL123" s="225"/>
      <c r="HVM123" s="225"/>
      <c r="HVN123" s="225"/>
      <c r="HVO123" s="225"/>
      <c r="HVP123" s="225"/>
      <c r="HVQ123" s="225"/>
      <c r="HVR123" s="225"/>
      <c r="HVS123" s="225"/>
      <c r="HVT123" s="225"/>
      <c r="HVU123" s="225"/>
      <c r="HVV123" s="225"/>
      <c r="HVW123" s="225"/>
      <c r="HVX123" s="225"/>
      <c r="HVY123" s="225"/>
      <c r="HVZ123" s="225"/>
      <c r="HWA123" s="225"/>
      <c r="HWB123" s="225"/>
      <c r="HWC123" s="225"/>
      <c r="HWD123" s="225"/>
      <c r="HWE123" s="225"/>
      <c r="HWF123" s="225"/>
      <c r="HWG123" s="225"/>
      <c r="HWH123" s="225"/>
      <c r="HWI123" s="225"/>
      <c r="HWJ123" s="225"/>
      <c r="HWK123" s="225"/>
      <c r="HWL123" s="225"/>
      <c r="HWM123" s="225"/>
      <c r="HWN123" s="225"/>
      <c r="HWO123" s="225"/>
      <c r="HWP123" s="225"/>
      <c r="HWQ123" s="225"/>
      <c r="HWR123" s="225"/>
      <c r="HWS123" s="225"/>
      <c r="HWT123" s="225"/>
      <c r="HWU123" s="225"/>
      <c r="HWV123" s="225"/>
      <c r="HWW123" s="225"/>
      <c r="HWX123" s="225"/>
      <c r="HWY123" s="225"/>
      <c r="HWZ123" s="225"/>
      <c r="HXA123" s="225"/>
      <c r="HXB123" s="225"/>
      <c r="HXC123" s="225"/>
      <c r="HXD123" s="225"/>
      <c r="HXE123" s="225"/>
      <c r="HXF123" s="225"/>
      <c r="HXG123" s="225"/>
      <c r="HXH123" s="225"/>
      <c r="HXI123" s="225"/>
      <c r="HXJ123" s="225"/>
      <c r="HXK123" s="225"/>
      <c r="HXL123" s="225"/>
      <c r="HXM123" s="225"/>
      <c r="HXN123" s="225"/>
      <c r="HXO123" s="225"/>
      <c r="HXP123" s="225"/>
      <c r="HXQ123" s="225"/>
      <c r="HXR123" s="225"/>
      <c r="HXS123" s="225"/>
      <c r="HXT123" s="225"/>
      <c r="HXU123" s="225"/>
      <c r="HXV123" s="225"/>
      <c r="HXW123" s="225"/>
      <c r="HXX123" s="225"/>
      <c r="HXY123" s="225"/>
      <c r="HXZ123" s="225"/>
      <c r="HYA123" s="225"/>
      <c r="HYB123" s="225"/>
      <c r="HYC123" s="225"/>
      <c r="HYD123" s="225"/>
      <c r="HYE123" s="225"/>
      <c r="HYF123" s="225"/>
      <c r="HYG123" s="225"/>
      <c r="HYH123" s="225"/>
      <c r="HYI123" s="225"/>
      <c r="HYJ123" s="225"/>
      <c r="HYK123" s="225"/>
      <c r="HYL123" s="225"/>
      <c r="HYM123" s="225"/>
      <c r="HYN123" s="225"/>
      <c r="HYO123" s="225"/>
      <c r="HYP123" s="225"/>
      <c r="HYQ123" s="225"/>
      <c r="HYR123" s="225"/>
      <c r="HYS123" s="225"/>
      <c r="HYT123" s="225"/>
      <c r="HYU123" s="225"/>
      <c r="HYV123" s="225"/>
      <c r="HYW123" s="225"/>
      <c r="HYX123" s="225"/>
      <c r="HYY123" s="225"/>
      <c r="HYZ123" s="225"/>
      <c r="HZA123" s="225"/>
      <c r="HZB123" s="225"/>
      <c r="HZC123" s="225"/>
      <c r="HZD123" s="225"/>
      <c r="HZE123" s="225"/>
      <c r="HZF123" s="225"/>
      <c r="HZG123" s="225"/>
      <c r="HZH123" s="225"/>
      <c r="HZI123" s="225"/>
      <c r="HZJ123" s="225"/>
      <c r="HZK123" s="225"/>
      <c r="HZL123" s="225"/>
      <c r="HZM123" s="225"/>
      <c r="HZN123" s="225"/>
      <c r="HZO123" s="225"/>
      <c r="HZP123" s="225"/>
      <c r="HZQ123" s="225"/>
      <c r="HZR123" s="225"/>
      <c r="HZS123" s="225"/>
      <c r="HZT123" s="225"/>
      <c r="HZU123" s="225"/>
      <c r="HZV123" s="225"/>
      <c r="HZW123" s="225"/>
      <c r="HZX123" s="225"/>
      <c r="HZY123" s="225"/>
      <c r="HZZ123" s="225"/>
      <c r="IAA123" s="225"/>
      <c r="IAB123" s="225"/>
      <c r="IAC123" s="225"/>
      <c r="IAD123" s="225"/>
      <c r="IAE123" s="225"/>
      <c r="IAF123" s="225"/>
      <c r="IAG123" s="225"/>
      <c r="IAH123" s="225"/>
      <c r="IAI123" s="225"/>
      <c r="IAJ123" s="225"/>
      <c r="IAK123" s="225"/>
      <c r="IAL123" s="225"/>
      <c r="IAM123" s="225"/>
      <c r="IAN123" s="225"/>
      <c r="IAO123" s="225"/>
      <c r="IAP123" s="225"/>
      <c r="IAQ123" s="225"/>
      <c r="IAR123" s="225"/>
      <c r="IAS123" s="225"/>
      <c r="IAT123" s="225"/>
      <c r="IAU123" s="225"/>
      <c r="IAV123" s="225"/>
      <c r="IAW123" s="225"/>
      <c r="IAX123" s="225"/>
      <c r="IAY123" s="225"/>
      <c r="IAZ123" s="225"/>
      <c r="IBA123" s="225"/>
      <c r="IBB123" s="225"/>
      <c r="IBC123" s="225"/>
      <c r="IBD123" s="225"/>
      <c r="IBE123" s="225"/>
      <c r="IBF123" s="225"/>
      <c r="IBG123" s="225"/>
      <c r="IBH123" s="225"/>
      <c r="IBI123" s="225"/>
      <c r="IBJ123" s="225"/>
      <c r="IBK123" s="225"/>
      <c r="IBL123" s="225"/>
      <c r="IBM123" s="225"/>
      <c r="IBN123" s="225"/>
      <c r="IBO123" s="225"/>
      <c r="IBP123" s="225"/>
      <c r="IBQ123" s="225"/>
      <c r="IBR123" s="225"/>
      <c r="IBS123" s="225"/>
      <c r="IBT123" s="225"/>
      <c r="IBU123" s="225"/>
      <c r="IBV123" s="225"/>
      <c r="IBW123" s="225"/>
      <c r="IBX123" s="225"/>
      <c r="IBY123" s="225"/>
      <c r="IBZ123" s="225"/>
      <c r="ICA123" s="225"/>
      <c r="ICB123" s="225"/>
      <c r="ICC123" s="225"/>
      <c r="ICD123" s="225"/>
      <c r="ICE123" s="225"/>
      <c r="ICF123" s="225"/>
      <c r="ICG123" s="225"/>
      <c r="ICH123" s="225"/>
      <c r="ICI123" s="225"/>
      <c r="ICJ123" s="225"/>
      <c r="ICK123" s="225"/>
      <c r="ICL123" s="225"/>
      <c r="ICM123" s="225"/>
      <c r="ICN123" s="225"/>
      <c r="ICO123" s="225"/>
      <c r="ICP123" s="225"/>
      <c r="ICQ123" s="225"/>
      <c r="ICR123" s="225"/>
      <c r="ICS123" s="225"/>
      <c r="ICT123" s="225"/>
      <c r="ICU123" s="225"/>
      <c r="ICV123" s="225"/>
      <c r="ICW123" s="225"/>
      <c r="ICX123" s="225"/>
      <c r="ICY123" s="225"/>
      <c r="ICZ123" s="225"/>
      <c r="IDA123" s="225"/>
      <c r="IDB123" s="225"/>
      <c r="IDC123" s="225"/>
      <c r="IDD123" s="225"/>
      <c r="IDE123" s="225"/>
      <c r="IDF123" s="225"/>
      <c r="IDG123" s="225"/>
      <c r="IDH123" s="225"/>
      <c r="IDI123" s="225"/>
      <c r="IDJ123" s="225"/>
      <c r="IDK123" s="225"/>
      <c r="IDL123" s="225"/>
      <c r="IDM123" s="225"/>
      <c r="IDN123" s="225"/>
      <c r="IDO123" s="225"/>
      <c r="IDP123" s="225"/>
      <c r="IDQ123" s="225"/>
      <c r="IDR123" s="225"/>
      <c r="IDS123" s="225"/>
      <c r="IDT123" s="225"/>
      <c r="IDU123" s="225"/>
      <c r="IDV123" s="225"/>
      <c r="IDW123" s="225"/>
      <c r="IDX123" s="225"/>
      <c r="IDY123" s="225"/>
      <c r="IDZ123" s="225"/>
      <c r="IEA123" s="225"/>
      <c r="IEB123" s="225"/>
      <c r="IEC123" s="225"/>
      <c r="IED123" s="225"/>
      <c r="IEE123" s="225"/>
      <c r="IEF123" s="225"/>
      <c r="IEG123" s="225"/>
      <c r="IEH123" s="225"/>
      <c r="IEI123" s="225"/>
      <c r="IEJ123" s="225"/>
      <c r="IEK123" s="225"/>
      <c r="IEL123" s="225"/>
      <c r="IEM123" s="225"/>
      <c r="IEN123" s="225"/>
      <c r="IEO123" s="225"/>
      <c r="IEP123" s="225"/>
      <c r="IEQ123" s="225"/>
      <c r="IER123" s="225"/>
      <c r="IES123" s="225"/>
      <c r="IET123" s="225"/>
      <c r="IEU123" s="225"/>
      <c r="IEV123" s="225"/>
      <c r="IEW123" s="225"/>
      <c r="IEX123" s="225"/>
      <c r="IEY123" s="225"/>
      <c r="IEZ123" s="225"/>
      <c r="IFA123" s="225"/>
      <c r="IFB123" s="225"/>
      <c r="IFC123" s="225"/>
      <c r="IFD123" s="225"/>
      <c r="IFE123" s="225"/>
      <c r="IFF123" s="225"/>
      <c r="IFG123" s="225"/>
      <c r="IFH123" s="225"/>
      <c r="IFI123" s="225"/>
      <c r="IFJ123" s="225"/>
      <c r="IFK123" s="225"/>
      <c r="IFL123" s="225"/>
      <c r="IFM123" s="225"/>
      <c r="IFN123" s="225"/>
      <c r="IFO123" s="225"/>
      <c r="IFP123" s="225"/>
      <c r="IFQ123" s="225"/>
      <c r="IFR123" s="225"/>
      <c r="IFS123" s="225"/>
      <c r="IFT123" s="225"/>
      <c r="IFU123" s="225"/>
      <c r="IFV123" s="225"/>
      <c r="IFW123" s="225"/>
      <c r="IFX123" s="225"/>
      <c r="IFY123" s="225"/>
      <c r="IFZ123" s="225"/>
      <c r="IGA123" s="225"/>
      <c r="IGB123" s="225"/>
      <c r="IGC123" s="225"/>
      <c r="IGD123" s="225"/>
      <c r="IGE123" s="225"/>
      <c r="IGF123" s="225"/>
      <c r="IGG123" s="225"/>
      <c r="IGH123" s="225"/>
      <c r="IGI123" s="225"/>
      <c r="IGJ123" s="225"/>
      <c r="IGK123" s="225"/>
      <c r="IGL123" s="225"/>
      <c r="IGM123" s="225"/>
      <c r="IGN123" s="225"/>
      <c r="IGO123" s="225"/>
      <c r="IGP123" s="225"/>
      <c r="IGQ123" s="225"/>
      <c r="IGR123" s="225"/>
      <c r="IGS123" s="225"/>
      <c r="IGT123" s="225"/>
      <c r="IGU123" s="225"/>
      <c r="IGV123" s="225"/>
      <c r="IGW123" s="225"/>
      <c r="IGX123" s="225"/>
      <c r="IGY123" s="225"/>
      <c r="IGZ123" s="225"/>
      <c r="IHA123" s="225"/>
      <c r="IHB123" s="225"/>
      <c r="IHC123" s="225"/>
      <c r="IHD123" s="225"/>
      <c r="IHE123" s="225"/>
      <c r="IHF123" s="225"/>
      <c r="IHG123" s="225"/>
      <c r="IHH123" s="225"/>
      <c r="IHI123" s="225"/>
      <c r="IHJ123" s="225"/>
      <c r="IHK123" s="225"/>
      <c r="IHL123" s="225"/>
      <c r="IHM123" s="225"/>
      <c r="IHN123" s="225"/>
      <c r="IHO123" s="225"/>
      <c r="IHP123" s="225"/>
      <c r="IHQ123" s="225"/>
      <c r="IHR123" s="225"/>
      <c r="IHS123" s="225"/>
      <c r="IHT123" s="225"/>
      <c r="IHU123" s="225"/>
      <c r="IHV123" s="225"/>
      <c r="IHW123" s="225"/>
      <c r="IHX123" s="225"/>
      <c r="IHY123" s="225"/>
      <c r="IHZ123" s="225"/>
      <c r="IIA123" s="225"/>
      <c r="IIB123" s="225"/>
      <c r="IIC123" s="225"/>
      <c r="IID123" s="225"/>
      <c r="IIE123" s="225"/>
      <c r="IIF123" s="225"/>
      <c r="IIG123" s="225"/>
      <c r="IIH123" s="225"/>
      <c r="III123" s="225"/>
      <c r="IIJ123" s="225"/>
      <c r="IIK123" s="225"/>
      <c r="IIL123" s="225"/>
      <c r="IIM123" s="225"/>
      <c r="IIN123" s="225"/>
      <c r="IIO123" s="225"/>
      <c r="IIP123" s="225"/>
      <c r="IIQ123" s="225"/>
      <c r="IIR123" s="225"/>
      <c r="IIS123" s="225"/>
      <c r="IIT123" s="225"/>
      <c r="IIU123" s="225"/>
      <c r="IIV123" s="225"/>
      <c r="IIW123" s="225"/>
      <c r="IIX123" s="225"/>
      <c r="IIY123" s="225"/>
      <c r="IIZ123" s="225"/>
      <c r="IJA123" s="225"/>
      <c r="IJB123" s="225"/>
      <c r="IJC123" s="225"/>
      <c r="IJD123" s="225"/>
      <c r="IJE123" s="225"/>
      <c r="IJF123" s="225"/>
      <c r="IJG123" s="225"/>
      <c r="IJH123" s="225"/>
      <c r="IJI123" s="225"/>
      <c r="IJJ123" s="225"/>
      <c r="IJK123" s="225"/>
      <c r="IJL123" s="225"/>
      <c r="IJM123" s="225"/>
      <c r="IJN123" s="225"/>
      <c r="IJO123" s="225"/>
      <c r="IJP123" s="225"/>
      <c r="IJQ123" s="225"/>
      <c r="IJR123" s="225"/>
      <c r="IJS123" s="225"/>
      <c r="IJT123" s="225"/>
      <c r="IJU123" s="225"/>
      <c r="IJV123" s="225"/>
      <c r="IJW123" s="225"/>
      <c r="IJX123" s="225"/>
      <c r="IJY123" s="225"/>
      <c r="IJZ123" s="225"/>
      <c r="IKA123" s="225"/>
      <c r="IKB123" s="225"/>
      <c r="IKC123" s="225"/>
      <c r="IKD123" s="225"/>
      <c r="IKE123" s="225"/>
      <c r="IKF123" s="225"/>
      <c r="IKG123" s="225"/>
      <c r="IKH123" s="225"/>
      <c r="IKI123" s="225"/>
      <c r="IKJ123" s="225"/>
      <c r="IKK123" s="225"/>
      <c r="IKL123" s="225"/>
      <c r="IKM123" s="225"/>
      <c r="IKN123" s="225"/>
      <c r="IKO123" s="225"/>
      <c r="IKP123" s="225"/>
      <c r="IKQ123" s="225"/>
      <c r="IKR123" s="225"/>
      <c r="IKS123" s="225"/>
      <c r="IKT123" s="225"/>
      <c r="IKU123" s="225"/>
      <c r="IKV123" s="225"/>
      <c r="IKW123" s="225"/>
      <c r="IKX123" s="225"/>
      <c r="IKY123" s="225"/>
      <c r="IKZ123" s="225"/>
      <c r="ILA123" s="225"/>
      <c r="ILB123" s="225"/>
      <c r="ILC123" s="225"/>
      <c r="ILD123" s="225"/>
      <c r="ILE123" s="225"/>
      <c r="ILF123" s="225"/>
      <c r="ILG123" s="225"/>
      <c r="ILH123" s="225"/>
      <c r="ILI123" s="225"/>
      <c r="ILJ123" s="225"/>
      <c r="ILK123" s="225"/>
      <c r="ILL123" s="225"/>
      <c r="ILM123" s="225"/>
      <c r="ILN123" s="225"/>
      <c r="ILO123" s="225"/>
      <c r="ILP123" s="225"/>
      <c r="ILQ123" s="225"/>
      <c r="ILR123" s="225"/>
      <c r="ILS123" s="225"/>
      <c r="ILT123" s="225"/>
      <c r="ILU123" s="225"/>
      <c r="ILV123" s="225"/>
      <c r="ILW123" s="225"/>
      <c r="ILX123" s="225"/>
      <c r="ILY123" s="225"/>
      <c r="ILZ123" s="225"/>
      <c r="IMA123" s="225"/>
      <c r="IMB123" s="225"/>
      <c r="IMC123" s="225"/>
      <c r="IMD123" s="225"/>
      <c r="IME123" s="225"/>
      <c r="IMF123" s="225"/>
      <c r="IMG123" s="225"/>
      <c r="IMH123" s="225"/>
      <c r="IMI123" s="225"/>
      <c r="IMJ123" s="225"/>
      <c r="IMK123" s="225"/>
      <c r="IML123" s="225"/>
      <c r="IMM123" s="225"/>
      <c r="IMN123" s="225"/>
      <c r="IMO123" s="225"/>
      <c r="IMP123" s="225"/>
      <c r="IMQ123" s="225"/>
      <c r="IMR123" s="225"/>
      <c r="IMS123" s="225"/>
      <c r="IMT123" s="225"/>
      <c r="IMU123" s="225"/>
      <c r="IMV123" s="225"/>
      <c r="IMW123" s="225"/>
      <c r="IMX123" s="225"/>
      <c r="IMY123" s="225"/>
      <c r="IMZ123" s="225"/>
      <c r="INA123" s="225"/>
      <c r="INB123" s="225"/>
      <c r="INC123" s="225"/>
      <c r="IND123" s="225"/>
      <c r="INE123" s="225"/>
      <c r="INF123" s="225"/>
      <c r="ING123" s="225"/>
      <c r="INH123" s="225"/>
      <c r="INI123" s="225"/>
      <c r="INJ123" s="225"/>
      <c r="INK123" s="225"/>
      <c r="INL123" s="225"/>
      <c r="INM123" s="225"/>
      <c r="INN123" s="225"/>
      <c r="INO123" s="225"/>
      <c r="INP123" s="225"/>
      <c r="INQ123" s="225"/>
      <c r="INR123" s="225"/>
      <c r="INS123" s="225"/>
      <c r="INT123" s="225"/>
      <c r="INU123" s="225"/>
      <c r="INV123" s="225"/>
      <c r="INW123" s="225"/>
      <c r="INX123" s="225"/>
      <c r="INY123" s="225"/>
      <c r="INZ123" s="225"/>
      <c r="IOA123" s="225"/>
      <c r="IOB123" s="225"/>
      <c r="IOC123" s="225"/>
      <c r="IOD123" s="225"/>
      <c r="IOE123" s="225"/>
      <c r="IOF123" s="225"/>
      <c r="IOG123" s="225"/>
      <c r="IOH123" s="225"/>
      <c r="IOI123" s="225"/>
      <c r="IOJ123" s="225"/>
      <c r="IOK123" s="225"/>
      <c r="IOL123" s="225"/>
      <c r="IOM123" s="225"/>
      <c r="ION123" s="225"/>
      <c r="IOO123" s="225"/>
      <c r="IOP123" s="225"/>
      <c r="IOQ123" s="225"/>
      <c r="IOR123" s="225"/>
      <c r="IOS123" s="225"/>
      <c r="IOT123" s="225"/>
      <c r="IOU123" s="225"/>
      <c r="IOV123" s="225"/>
      <c r="IOW123" s="225"/>
      <c r="IOX123" s="225"/>
      <c r="IOY123" s="225"/>
      <c r="IOZ123" s="225"/>
      <c r="IPA123" s="225"/>
      <c r="IPB123" s="225"/>
      <c r="IPC123" s="225"/>
      <c r="IPD123" s="225"/>
      <c r="IPE123" s="225"/>
      <c r="IPF123" s="225"/>
      <c r="IPG123" s="225"/>
      <c r="IPH123" s="225"/>
      <c r="IPI123" s="225"/>
      <c r="IPJ123" s="225"/>
      <c r="IPK123" s="225"/>
      <c r="IPL123" s="225"/>
      <c r="IPM123" s="225"/>
      <c r="IPN123" s="225"/>
      <c r="IPO123" s="225"/>
      <c r="IPP123" s="225"/>
      <c r="IPQ123" s="225"/>
      <c r="IPR123" s="225"/>
      <c r="IPS123" s="225"/>
      <c r="IPT123" s="225"/>
      <c r="IPU123" s="225"/>
      <c r="IPV123" s="225"/>
      <c r="IPW123" s="225"/>
      <c r="IPX123" s="225"/>
      <c r="IPY123" s="225"/>
      <c r="IPZ123" s="225"/>
      <c r="IQA123" s="225"/>
      <c r="IQB123" s="225"/>
      <c r="IQC123" s="225"/>
      <c r="IQD123" s="225"/>
      <c r="IQE123" s="225"/>
      <c r="IQF123" s="225"/>
      <c r="IQG123" s="225"/>
      <c r="IQH123" s="225"/>
      <c r="IQI123" s="225"/>
      <c r="IQJ123" s="225"/>
      <c r="IQK123" s="225"/>
      <c r="IQL123" s="225"/>
      <c r="IQM123" s="225"/>
      <c r="IQN123" s="225"/>
      <c r="IQO123" s="225"/>
      <c r="IQP123" s="225"/>
      <c r="IQQ123" s="225"/>
      <c r="IQR123" s="225"/>
      <c r="IQS123" s="225"/>
      <c r="IQT123" s="225"/>
      <c r="IQU123" s="225"/>
      <c r="IQV123" s="225"/>
      <c r="IQW123" s="225"/>
      <c r="IQX123" s="225"/>
      <c r="IQY123" s="225"/>
      <c r="IQZ123" s="225"/>
      <c r="IRA123" s="225"/>
      <c r="IRB123" s="225"/>
      <c r="IRC123" s="225"/>
      <c r="IRD123" s="225"/>
      <c r="IRE123" s="225"/>
      <c r="IRF123" s="225"/>
      <c r="IRG123" s="225"/>
      <c r="IRH123" s="225"/>
      <c r="IRI123" s="225"/>
      <c r="IRJ123" s="225"/>
      <c r="IRK123" s="225"/>
      <c r="IRL123" s="225"/>
      <c r="IRM123" s="225"/>
      <c r="IRN123" s="225"/>
      <c r="IRO123" s="225"/>
      <c r="IRP123" s="225"/>
      <c r="IRQ123" s="225"/>
      <c r="IRR123" s="225"/>
      <c r="IRS123" s="225"/>
      <c r="IRT123" s="225"/>
      <c r="IRU123" s="225"/>
      <c r="IRV123" s="225"/>
      <c r="IRW123" s="225"/>
      <c r="IRX123" s="225"/>
      <c r="IRY123" s="225"/>
      <c r="IRZ123" s="225"/>
      <c r="ISA123" s="225"/>
      <c r="ISB123" s="225"/>
      <c r="ISC123" s="225"/>
      <c r="ISD123" s="225"/>
      <c r="ISE123" s="225"/>
      <c r="ISF123" s="225"/>
      <c r="ISG123" s="225"/>
      <c r="ISH123" s="225"/>
      <c r="ISI123" s="225"/>
      <c r="ISJ123" s="225"/>
      <c r="ISK123" s="225"/>
      <c r="ISL123" s="225"/>
      <c r="ISM123" s="225"/>
      <c r="ISN123" s="225"/>
      <c r="ISO123" s="225"/>
      <c r="ISP123" s="225"/>
      <c r="ISQ123" s="225"/>
      <c r="ISR123" s="225"/>
      <c r="ISS123" s="225"/>
      <c r="IST123" s="225"/>
      <c r="ISU123" s="225"/>
      <c r="ISV123" s="225"/>
      <c r="ISW123" s="225"/>
      <c r="ISX123" s="225"/>
      <c r="ISY123" s="225"/>
      <c r="ISZ123" s="225"/>
      <c r="ITA123" s="225"/>
      <c r="ITB123" s="225"/>
      <c r="ITC123" s="225"/>
      <c r="ITD123" s="225"/>
      <c r="ITE123" s="225"/>
      <c r="ITF123" s="225"/>
      <c r="ITG123" s="225"/>
      <c r="ITH123" s="225"/>
      <c r="ITI123" s="225"/>
      <c r="ITJ123" s="225"/>
      <c r="ITK123" s="225"/>
      <c r="ITL123" s="225"/>
      <c r="ITM123" s="225"/>
      <c r="ITN123" s="225"/>
      <c r="ITO123" s="225"/>
      <c r="ITP123" s="225"/>
      <c r="ITQ123" s="225"/>
      <c r="ITR123" s="225"/>
      <c r="ITS123" s="225"/>
      <c r="ITT123" s="225"/>
      <c r="ITU123" s="225"/>
      <c r="ITV123" s="225"/>
      <c r="ITW123" s="225"/>
      <c r="ITX123" s="225"/>
      <c r="ITY123" s="225"/>
      <c r="ITZ123" s="225"/>
      <c r="IUA123" s="225"/>
      <c r="IUB123" s="225"/>
      <c r="IUC123" s="225"/>
      <c r="IUD123" s="225"/>
      <c r="IUE123" s="225"/>
      <c r="IUF123" s="225"/>
      <c r="IUG123" s="225"/>
      <c r="IUH123" s="225"/>
      <c r="IUI123" s="225"/>
      <c r="IUJ123" s="225"/>
      <c r="IUK123" s="225"/>
      <c r="IUL123" s="225"/>
      <c r="IUM123" s="225"/>
      <c r="IUN123" s="225"/>
      <c r="IUO123" s="225"/>
      <c r="IUP123" s="225"/>
      <c r="IUQ123" s="225"/>
      <c r="IUR123" s="225"/>
      <c r="IUS123" s="225"/>
      <c r="IUT123" s="225"/>
      <c r="IUU123" s="225"/>
      <c r="IUV123" s="225"/>
      <c r="IUW123" s="225"/>
      <c r="IUX123" s="225"/>
      <c r="IUY123" s="225"/>
      <c r="IUZ123" s="225"/>
      <c r="IVA123" s="225"/>
      <c r="IVB123" s="225"/>
      <c r="IVC123" s="225"/>
      <c r="IVD123" s="225"/>
      <c r="IVE123" s="225"/>
      <c r="IVF123" s="225"/>
      <c r="IVG123" s="225"/>
      <c r="IVH123" s="225"/>
      <c r="IVI123" s="225"/>
      <c r="IVJ123" s="225"/>
      <c r="IVK123" s="225"/>
      <c r="IVL123" s="225"/>
      <c r="IVM123" s="225"/>
      <c r="IVN123" s="225"/>
      <c r="IVO123" s="225"/>
      <c r="IVP123" s="225"/>
      <c r="IVQ123" s="225"/>
      <c r="IVR123" s="225"/>
      <c r="IVS123" s="225"/>
      <c r="IVT123" s="225"/>
      <c r="IVU123" s="225"/>
      <c r="IVV123" s="225"/>
      <c r="IVW123" s="225"/>
      <c r="IVX123" s="225"/>
      <c r="IVY123" s="225"/>
      <c r="IVZ123" s="225"/>
      <c r="IWA123" s="225"/>
      <c r="IWB123" s="225"/>
      <c r="IWC123" s="225"/>
      <c r="IWD123" s="225"/>
      <c r="IWE123" s="225"/>
      <c r="IWF123" s="225"/>
      <c r="IWG123" s="225"/>
      <c r="IWH123" s="225"/>
      <c r="IWI123" s="225"/>
      <c r="IWJ123" s="225"/>
      <c r="IWK123" s="225"/>
      <c r="IWL123" s="225"/>
      <c r="IWM123" s="225"/>
      <c r="IWN123" s="225"/>
      <c r="IWO123" s="225"/>
      <c r="IWP123" s="225"/>
      <c r="IWQ123" s="225"/>
      <c r="IWR123" s="225"/>
      <c r="IWS123" s="225"/>
      <c r="IWT123" s="225"/>
      <c r="IWU123" s="225"/>
      <c r="IWV123" s="225"/>
      <c r="IWW123" s="225"/>
      <c r="IWX123" s="225"/>
      <c r="IWY123" s="225"/>
      <c r="IWZ123" s="225"/>
      <c r="IXA123" s="225"/>
      <c r="IXB123" s="225"/>
      <c r="IXC123" s="225"/>
      <c r="IXD123" s="225"/>
      <c r="IXE123" s="225"/>
      <c r="IXF123" s="225"/>
      <c r="IXG123" s="225"/>
      <c r="IXH123" s="225"/>
      <c r="IXI123" s="225"/>
      <c r="IXJ123" s="225"/>
      <c r="IXK123" s="225"/>
      <c r="IXL123" s="225"/>
      <c r="IXM123" s="225"/>
      <c r="IXN123" s="225"/>
      <c r="IXO123" s="225"/>
      <c r="IXP123" s="225"/>
      <c r="IXQ123" s="225"/>
      <c r="IXR123" s="225"/>
      <c r="IXS123" s="225"/>
      <c r="IXT123" s="225"/>
      <c r="IXU123" s="225"/>
      <c r="IXV123" s="225"/>
      <c r="IXW123" s="225"/>
      <c r="IXX123" s="225"/>
      <c r="IXY123" s="225"/>
      <c r="IXZ123" s="225"/>
      <c r="IYA123" s="225"/>
      <c r="IYB123" s="225"/>
      <c r="IYC123" s="225"/>
      <c r="IYD123" s="225"/>
      <c r="IYE123" s="225"/>
      <c r="IYF123" s="225"/>
      <c r="IYG123" s="225"/>
      <c r="IYH123" s="225"/>
      <c r="IYI123" s="225"/>
      <c r="IYJ123" s="225"/>
      <c r="IYK123" s="225"/>
      <c r="IYL123" s="225"/>
      <c r="IYM123" s="225"/>
      <c r="IYN123" s="225"/>
      <c r="IYO123" s="225"/>
      <c r="IYP123" s="225"/>
      <c r="IYQ123" s="225"/>
      <c r="IYR123" s="225"/>
      <c r="IYS123" s="225"/>
      <c r="IYT123" s="225"/>
      <c r="IYU123" s="225"/>
      <c r="IYV123" s="225"/>
      <c r="IYW123" s="225"/>
      <c r="IYX123" s="225"/>
      <c r="IYY123" s="225"/>
      <c r="IYZ123" s="225"/>
      <c r="IZA123" s="225"/>
      <c r="IZB123" s="225"/>
      <c r="IZC123" s="225"/>
      <c r="IZD123" s="225"/>
      <c r="IZE123" s="225"/>
      <c r="IZF123" s="225"/>
      <c r="IZG123" s="225"/>
      <c r="IZH123" s="225"/>
      <c r="IZI123" s="225"/>
      <c r="IZJ123" s="225"/>
      <c r="IZK123" s="225"/>
      <c r="IZL123" s="225"/>
      <c r="IZM123" s="225"/>
      <c r="IZN123" s="225"/>
      <c r="IZO123" s="225"/>
      <c r="IZP123" s="225"/>
      <c r="IZQ123" s="225"/>
      <c r="IZR123" s="225"/>
      <c r="IZS123" s="225"/>
      <c r="IZT123" s="225"/>
      <c r="IZU123" s="225"/>
      <c r="IZV123" s="225"/>
      <c r="IZW123" s="225"/>
      <c r="IZX123" s="225"/>
      <c r="IZY123" s="225"/>
      <c r="IZZ123" s="225"/>
      <c r="JAA123" s="225"/>
      <c r="JAB123" s="225"/>
      <c r="JAC123" s="225"/>
      <c r="JAD123" s="225"/>
      <c r="JAE123" s="225"/>
      <c r="JAF123" s="225"/>
      <c r="JAG123" s="225"/>
      <c r="JAH123" s="225"/>
      <c r="JAI123" s="225"/>
      <c r="JAJ123" s="225"/>
      <c r="JAK123" s="225"/>
      <c r="JAL123" s="225"/>
      <c r="JAM123" s="225"/>
      <c r="JAN123" s="225"/>
      <c r="JAO123" s="225"/>
      <c r="JAP123" s="225"/>
      <c r="JAQ123" s="225"/>
      <c r="JAR123" s="225"/>
      <c r="JAS123" s="225"/>
      <c r="JAT123" s="225"/>
      <c r="JAU123" s="225"/>
      <c r="JAV123" s="225"/>
      <c r="JAW123" s="225"/>
      <c r="JAX123" s="225"/>
      <c r="JAY123" s="225"/>
      <c r="JAZ123" s="225"/>
      <c r="JBA123" s="225"/>
      <c r="JBB123" s="225"/>
      <c r="JBC123" s="225"/>
      <c r="JBD123" s="225"/>
      <c r="JBE123" s="225"/>
      <c r="JBF123" s="225"/>
      <c r="JBG123" s="225"/>
      <c r="JBH123" s="225"/>
      <c r="JBI123" s="225"/>
      <c r="JBJ123" s="225"/>
      <c r="JBK123" s="225"/>
      <c r="JBL123" s="225"/>
      <c r="JBM123" s="225"/>
      <c r="JBN123" s="225"/>
      <c r="JBO123" s="225"/>
      <c r="JBP123" s="225"/>
      <c r="JBQ123" s="225"/>
      <c r="JBR123" s="225"/>
      <c r="JBS123" s="225"/>
      <c r="JBT123" s="225"/>
      <c r="JBU123" s="225"/>
      <c r="JBV123" s="225"/>
      <c r="JBW123" s="225"/>
      <c r="JBX123" s="225"/>
      <c r="JBY123" s="225"/>
      <c r="JBZ123" s="225"/>
      <c r="JCA123" s="225"/>
      <c r="JCB123" s="225"/>
      <c r="JCC123" s="225"/>
      <c r="JCD123" s="225"/>
      <c r="JCE123" s="225"/>
      <c r="JCF123" s="225"/>
      <c r="JCG123" s="225"/>
      <c r="JCH123" s="225"/>
      <c r="JCI123" s="225"/>
      <c r="JCJ123" s="225"/>
      <c r="JCK123" s="225"/>
      <c r="JCL123" s="225"/>
      <c r="JCM123" s="225"/>
      <c r="JCN123" s="225"/>
      <c r="JCO123" s="225"/>
      <c r="JCP123" s="225"/>
      <c r="JCQ123" s="225"/>
      <c r="JCR123" s="225"/>
      <c r="JCS123" s="225"/>
      <c r="JCT123" s="225"/>
      <c r="JCU123" s="225"/>
      <c r="JCV123" s="225"/>
      <c r="JCW123" s="225"/>
      <c r="JCX123" s="225"/>
      <c r="JCY123" s="225"/>
      <c r="JCZ123" s="225"/>
      <c r="JDA123" s="225"/>
      <c r="JDB123" s="225"/>
      <c r="JDC123" s="225"/>
      <c r="JDD123" s="225"/>
      <c r="JDE123" s="225"/>
      <c r="JDF123" s="225"/>
      <c r="JDG123" s="225"/>
      <c r="JDH123" s="225"/>
      <c r="JDI123" s="225"/>
      <c r="JDJ123" s="225"/>
      <c r="JDK123" s="225"/>
      <c r="JDL123" s="225"/>
      <c r="JDM123" s="225"/>
      <c r="JDN123" s="225"/>
      <c r="JDO123" s="225"/>
      <c r="JDP123" s="225"/>
      <c r="JDQ123" s="225"/>
      <c r="JDR123" s="225"/>
      <c r="JDS123" s="225"/>
      <c r="JDT123" s="225"/>
      <c r="JDU123" s="225"/>
      <c r="JDV123" s="225"/>
      <c r="JDW123" s="225"/>
      <c r="JDX123" s="225"/>
      <c r="JDY123" s="225"/>
      <c r="JDZ123" s="225"/>
      <c r="JEA123" s="225"/>
      <c r="JEB123" s="225"/>
      <c r="JEC123" s="225"/>
      <c r="JED123" s="225"/>
      <c r="JEE123" s="225"/>
      <c r="JEF123" s="225"/>
      <c r="JEG123" s="225"/>
      <c r="JEH123" s="225"/>
      <c r="JEI123" s="225"/>
      <c r="JEJ123" s="225"/>
      <c r="JEK123" s="225"/>
      <c r="JEL123" s="225"/>
      <c r="JEM123" s="225"/>
      <c r="JEN123" s="225"/>
      <c r="JEO123" s="225"/>
      <c r="JEP123" s="225"/>
      <c r="JEQ123" s="225"/>
      <c r="JER123" s="225"/>
      <c r="JES123" s="225"/>
      <c r="JET123" s="225"/>
      <c r="JEU123" s="225"/>
      <c r="JEV123" s="225"/>
      <c r="JEW123" s="225"/>
      <c r="JEX123" s="225"/>
      <c r="JEY123" s="225"/>
      <c r="JEZ123" s="225"/>
      <c r="JFA123" s="225"/>
      <c r="JFB123" s="225"/>
      <c r="JFC123" s="225"/>
      <c r="JFD123" s="225"/>
      <c r="JFE123" s="225"/>
      <c r="JFF123" s="225"/>
      <c r="JFG123" s="225"/>
      <c r="JFH123" s="225"/>
      <c r="JFI123" s="225"/>
      <c r="JFJ123" s="225"/>
      <c r="JFK123" s="225"/>
      <c r="JFL123" s="225"/>
      <c r="JFM123" s="225"/>
      <c r="JFN123" s="225"/>
      <c r="JFO123" s="225"/>
      <c r="JFP123" s="225"/>
      <c r="JFQ123" s="225"/>
      <c r="JFR123" s="225"/>
      <c r="JFS123" s="225"/>
      <c r="JFT123" s="225"/>
      <c r="JFU123" s="225"/>
      <c r="JFV123" s="225"/>
      <c r="JFW123" s="225"/>
      <c r="JFX123" s="225"/>
      <c r="JFY123" s="225"/>
      <c r="JFZ123" s="225"/>
      <c r="JGA123" s="225"/>
      <c r="JGB123" s="225"/>
      <c r="JGC123" s="225"/>
      <c r="JGD123" s="225"/>
      <c r="JGE123" s="225"/>
      <c r="JGF123" s="225"/>
      <c r="JGG123" s="225"/>
      <c r="JGH123" s="225"/>
      <c r="JGI123" s="225"/>
      <c r="JGJ123" s="225"/>
      <c r="JGK123" s="225"/>
      <c r="JGL123" s="225"/>
      <c r="JGM123" s="225"/>
      <c r="JGN123" s="225"/>
      <c r="JGO123" s="225"/>
      <c r="JGP123" s="225"/>
      <c r="JGQ123" s="225"/>
      <c r="JGR123" s="225"/>
      <c r="JGS123" s="225"/>
      <c r="JGT123" s="225"/>
      <c r="JGU123" s="225"/>
      <c r="JGV123" s="225"/>
      <c r="JGW123" s="225"/>
      <c r="JGX123" s="225"/>
      <c r="JGY123" s="225"/>
      <c r="JGZ123" s="225"/>
      <c r="JHA123" s="225"/>
      <c r="JHB123" s="225"/>
      <c r="JHC123" s="225"/>
      <c r="JHD123" s="225"/>
      <c r="JHE123" s="225"/>
      <c r="JHF123" s="225"/>
      <c r="JHG123" s="225"/>
      <c r="JHH123" s="225"/>
      <c r="JHI123" s="225"/>
      <c r="JHJ123" s="225"/>
      <c r="JHK123" s="225"/>
      <c r="JHL123" s="225"/>
      <c r="JHM123" s="225"/>
      <c r="JHN123" s="225"/>
      <c r="JHO123" s="225"/>
      <c r="JHP123" s="225"/>
      <c r="JHQ123" s="225"/>
      <c r="JHR123" s="225"/>
      <c r="JHS123" s="225"/>
      <c r="JHT123" s="225"/>
      <c r="JHU123" s="225"/>
      <c r="JHV123" s="225"/>
      <c r="JHW123" s="225"/>
      <c r="JHX123" s="225"/>
      <c r="JHY123" s="225"/>
      <c r="JHZ123" s="225"/>
      <c r="JIA123" s="225"/>
      <c r="JIB123" s="225"/>
      <c r="JIC123" s="225"/>
      <c r="JID123" s="225"/>
      <c r="JIE123" s="225"/>
      <c r="JIF123" s="225"/>
      <c r="JIG123" s="225"/>
      <c r="JIH123" s="225"/>
      <c r="JII123" s="225"/>
      <c r="JIJ123" s="225"/>
      <c r="JIK123" s="225"/>
      <c r="JIL123" s="225"/>
      <c r="JIM123" s="225"/>
      <c r="JIN123" s="225"/>
      <c r="JIO123" s="225"/>
      <c r="JIP123" s="225"/>
      <c r="JIQ123" s="225"/>
      <c r="JIR123" s="225"/>
      <c r="JIS123" s="225"/>
      <c r="JIT123" s="225"/>
      <c r="JIU123" s="225"/>
      <c r="JIV123" s="225"/>
      <c r="JIW123" s="225"/>
      <c r="JIX123" s="225"/>
      <c r="JIY123" s="225"/>
      <c r="JIZ123" s="225"/>
      <c r="JJA123" s="225"/>
      <c r="JJB123" s="225"/>
      <c r="JJC123" s="225"/>
      <c r="JJD123" s="225"/>
      <c r="JJE123" s="225"/>
      <c r="JJF123" s="225"/>
      <c r="JJG123" s="225"/>
      <c r="JJH123" s="225"/>
      <c r="JJI123" s="225"/>
      <c r="JJJ123" s="225"/>
      <c r="JJK123" s="225"/>
      <c r="JJL123" s="225"/>
      <c r="JJM123" s="225"/>
      <c r="JJN123" s="225"/>
      <c r="JJO123" s="225"/>
      <c r="JJP123" s="225"/>
      <c r="JJQ123" s="225"/>
      <c r="JJR123" s="225"/>
      <c r="JJS123" s="225"/>
      <c r="JJT123" s="225"/>
      <c r="JJU123" s="225"/>
      <c r="JJV123" s="225"/>
      <c r="JJW123" s="225"/>
      <c r="JJX123" s="225"/>
      <c r="JJY123" s="225"/>
      <c r="JJZ123" s="225"/>
      <c r="JKA123" s="225"/>
      <c r="JKB123" s="225"/>
      <c r="JKC123" s="225"/>
      <c r="JKD123" s="225"/>
      <c r="JKE123" s="225"/>
      <c r="JKF123" s="225"/>
      <c r="JKG123" s="225"/>
      <c r="JKH123" s="225"/>
      <c r="JKI123" s="225"/>
      <c r="JKJ123" s="225"/>
      <c r="JKK123" s="225"/>
      <c r="JKL123" s="225"/>
      <c r="JKM123" s="225"/>
      <c r="JKN123" s="225"/>
      <c r="JKO123" s="225"/>
      <c r="JKP123" s="225"/>
      <c r="JKQ123" s="225"/>
      <c r="JKR123" s="225"/>
      <c r="JKS123" s="225"/>
      <c r="JKT123" s="225"/>
      <c r="JKU123" s="225"/>
      <c r="JKV123" s="225"/>
      <c r="JKW123" s="225"/>
      <c r="JKX123" s="225"/>
      <c r="JKY123" s="225"/>
      <c r="JKZ123" s="225"/>
      <c r="JLA123" s="225"/>
      <c r="JLB123" s="225"/>
      <c r="JLC123" s="225"/>
      <c r="JLD123" s="225"/>
      <c r="JLE123" s="225"/>
      <c r="JLF123" s="225"/>
      <c r="JLG123" s="225"/>
      <c r="JLH123" s="225"/>
      <c r="JLI123" s="225"/>
      <c r="JLJ123" s="225"/>
      <c r="JLK123" s="225"/>
      <c r="JLL123" s="225"/>
      <c r="JLM123" s="225"/>
      <c r="JLN123" s="225"/>
      <c r="JLO123" s="225"/>
      <c r="JLP123" s="225"/>
      <c r="JLQ123" s="225"/>
      <c r="JLR123" s="225"/>
      <c r="JLS123" s="225"/>
      <c r="JLT123" s="225"/>
      <c r="JLU123" s="225"/>
      <c r="JLV123" s="225"/>
      <c r="JLW123" s="225"/>
      <c r="JLX123" s="225"/>
      <c r="JLY123" s="225"/>
      <c r="JLZ123" s="225"/>
      <c r="JMA123" s="225"/>
      <c r="JMB123" s="225"/>
      <c r="JMC123" s="225"/>
      <c r="JMD123" s="225"/>
      <c r="JME123" s="225"/>
      <c r="JMF123" s="225"/>
      <c r="JMG123" s="225"/>
      <c r="JMH123" s="225"/>
      <c r="JMI123" s="225"/>
      <c r="JMJ123" s="225"/>
      <c r="JMK123" s="225"/>
      <c r="JML123" s="225"/>
      <c r="JMM123" s="225"/>
      <c r="JMN123" s="225"/>
      <c r="JMO123" s="225"/>
      <c r="JMP123" s="225"/>
      <c r="JMQ123" s="225"/>
      <c r="JMR123" s="225"/>
      <c r="JMS123" s="225"/>
      <c r="JMT123" s="225"/>
      <c r="JMU123" s="225"/>
      <c r="JMV123" s="225"/>
      <c r="JMW123" s="225"/>
      <c r="JMX123" s="225"/>
      <c r="JMY123" s="225"/>
      <c r="JMZ123" s="225"/>
      <c r="JNA123" s="225"/>
      <c r="JNB123" s="225"/>
      <c r="JNC123" s="225"/>
      <c r="JND123" s="225"/>
      <c r="JNE123" s="225"/>
      <c r="JNF123" s="225"/>
      <c r="JNG123" s="225"/>
      <c r="JNH123" s="225"/>
      <c r="JNI123" s="225"/>
      <c r="JNJ123" s="225"/>
      <c r="JNK123" s="225"/>
      <c r="JNL123" s="225"/>
      <c r="JNM123" s="225"/>
      <c r="JNN123" s="225"/>
      <c r="JNO123" s="225"/>
      <c r="JNP123" s="225"/>
      <c r="JNQ123" s="225"/>
      <c r="JNR123" s="225"/>
      <c r="JNS123" s="225"/>
      <c r="JNT123" s="225"/>
      <c r="JNU123" s="225"/>
      <c r="JNV123" s="225"/>
      <c r="JNW123" s="225"/>
      <c r="JNX123" s="225"/>
      <c r="JNY123" s="225"/>
      <c r="JNZ123" s="225"/>
      <c r="JOA123" s="225"/>
      <c r="JOB123" s="225"/>
      <c r="JOC123" s="225"/>
      <c r="JOD123" s="225"/>
      <c r="JOE123" s="225"/>
      <c r="JOF123" s="225"/>
      <c r="JOG123" s="225"/>
      <c r="JOH123" s="225"/>
      <c r="JOI123" s="225"/>
      <c r="JOJ123" s="225"/>
      <c r="JOK123" s="225"/>
      <c r="JOL123" s="225"/>
      <c r="JOM123" s="225"/>
      <c r="JON123" s="225"/>
      <c r="JOO123" s="225"/>
      <c r="JOP123" s="225"/>
      <c r="JOQ123" s="225"/>
      <c r="JOR123" s="225"/>
      <c r="JOS123" s="225"/>
      <c r="JOT123" s="225"/>
      <c r="JOU123" s="225"/>
      <c r="JOV123" s="225"/>
      <c r="JOW123" s="225"/>
      <c r="JOX123" s="225"/>
      <c r="JOY123" s="225"/>
      <c r="JOZ123" s="225"/>
      <c r="JPA123" s="225"/>
      <c r="JPB123" s="225"/>
      <c r="JPC123" s="225"/>
      <c r="JPD123" s="225"/>
      <c r="JPE123" s="225"/>
      <c r="JPF123" s="225"/>
      <c r="JPG123" s="225"/>
      <c r="JPH123" s="225"/>
      <c r="JPI123" s="225"/>
      <c r="JPJ123" s="225"/>
      <c r="JPK123" s="225"/>
      <c r="JPL123" s="225"/>
      <c r="JPM123" s="225"/>
      <c r="JPN123" s="225"/>
      <c r="JPO123" s="225"/>
      <c r="JPP123" s="225"/>
      <c r="JPQ123" s="225"/>
      <c r="JPR123" s="225"/>
      <c r="JPS123" s="225"/>
      <c r="JPT123" s="225"/>
      <c r="JPU123" s="225"/>
      <c r="JPV123" s="225"/>
      <c r="JPW123" s="225"/>
      <c r="JPX123" s="225"/>
      <c r="JPY123" s="225"/>
      <c r="JPZ123" s="225"/>
      <c r="JQA123" s="225"/>
      <c r="JQB123" s="225"/>
      <c r="JQC123" s="225"/>
      <c r="JQD123" s="225"/>
      <c r="JQE123" s="225"/>
      <c r="JQF123" s="225"/>
      <c r="JQG123" s="225"/>
      <c r="JQH123" s="225"/>
      <c r="JQI123" s="225"/>
      <c r="JQJ123" s="225"/>
      <c r="JQK123" s="225"/>
      <c r="JQL123" s="225"/>
      <c r="JQM123" s="225"/>
      <c r="JQN123" s="225"/>
      <c r="JQO123" s="225"/>
      <c r="JQP123" s="225"/>
      <c r="JQQ123" s="225"/>
      <c r="JQR123" s="225"/>
      <c r="JQS123" s="225"/>
      <c r="JQT123" s="225"/>
      <c r="JQU123" s="225"/>
      <c r="JQV123" s="225"/>
      <c r="JQW123" s="225"/>
      <c r="JQX123" s="225"/>
      <c r="JQY123" s="225"/>
      <c r="JQZ123" s="225"/>
      <c r="JRA123" s="225"/>
      <c r="JRB123" s="225"/>
      <c r="JRC123" s="225"/>
      <c r="JRD123" s="225"/>
      <c r="JRE123" s="225"/>
      <c r="JRF123" s="225"/>
      <c r="JRG123" s="225"/>
      <c r="JRH123" s="225"/>
      <c r="JRI123" s="225"/>
      <c r="JRJ123" s="225"/>
      <c r="JRK123" s="225"/>
      <c r="JRL123" s="225"/>
      <c r="JRM123" s="225"/>
      <c r="JRN123" s="225"/>
      <c r="JRO123" s="225"/>
      <c r="JRP123" s="225"/>
      <c r="JRQ123" s="225"/>
      <c r="JRR123" s="225"/>
      <c r="JRS123" s="225"/>
      <c r="JRT123" s="225"/>
      <c r="JRU123" s="225"/>
      <c r="JRV123" s="225"/>
      <c r="JRW123" s="225"/>
      <c r="JRX123" s="225"/>
      <c r="JRY123" s="225"/>
      <c r="JRZ123" s="225"/>
      <c r="JSA123" s="225"/>
      <c r="JSB123" s="225"/>
      <c r="JSC123" s="225"/>
      <c r="JSD123" s="225"/>
      <c r="JSE123" s="225"/>
      <c r="JSF123" s="225"/>
      <c r="JSG123" s="225"/>
      <c r="JSH123" s="225"/>
      <c r="JSI123" s="225"/>
      <c r="JSJ123" s="225"/>
      <c r="JSK123" s="225"/>
      <c r="JSL123" s="225"/>
      <c r="JSM123" s="225"/>
      <c r="JSN123" s="225"/>
      <c r="JSO123" s="225"/>
      <c r="JSP123" s="225"/>
      <c r="JSQ123" s="225"/>
      <c r="JSR123" s="225"/>
      <c r="JSS123" s="225"/>
      <c r="JST123" s="225"/>
      <c r="JSU123" s="225"/>
      <c r="JSV123" s="225"/>
      <c r="JSW123" s="225"/>
      <c r="JSX123" s="225"/>
      <c r="JSY123" s="225"/>
      <c r="JSZ123" s="225"/>
      <c r="JTA123" s="225"/>
      <c r="JTB123" s="225"/>
      <c r="JTC123" s="225"/>
      <c r="JTD123" s="225"/>
      <c r="JTE123" s="225"/>
      <c r="JTF123" s="225"/>
      <c r="JTG123" s="225"/>
      <c r="JTH123" s="225"/>
      <c r="JTI123" s="225"/>
      <c r="JTJ123" s="225"/>
      <c r="JTK123" s="225"/>
      <c r="JTL123" s="225"/>
      <c r="JTM123" s="225"/>
      <c r="JTN123" s="225"/>
      <c r="JTO123" s="225"/>
      <c r="JTP123" s="225"/>
      <c r="JTQ123" s="225"/>
      <c r="JTR123" s="225"/>
      <c r="JTS123" s="225"/>
      <c r="JTT123" s="225"/>
      <c r="JTU123" s="225"/>
      <c r="JTV123" s="225"/>
      <c r="JTW123" s="225"/>
      <c r="JTX123" s="225"/>
      <c r="JTY123" s="225"/>
      <c r="JTZ123" s="225"/>
      <c r="JUA123" s="225"/>
      <c r="JUB123" s="225"/>
      <c r="JUC123" s="225"/>
      <c r="JUD123" s="225"/>
      <c r="JUE123" s="225"/>
      <c r="JUF123" s="225"/>
      <c r="JUG123" s="225"/>
      <c r="JUH123" s="225"/>
      <c r="JUI123" s="225"/>
      <c r="JUJ123" s="225"/>
      <c r="JUK123" s="225"/>
      <c r="JUL123" s="225"/>
      <c r="JUM123" s="225"/>
      <c r="JUN123" s="225"/>
      <c r="JUO123" s="225"/>
      <c r="JUP123" s="225"/>
      <c r="JUQ123" s="225"/>
      <c r="JUR123" s="225"/>
      <c r="JUS123" s="225"/>
      <c r="JUT123" s="225"/>
      <c r="JUU123" s="225"/>
      <c r="JUV123" s="225"/>
      <c r="JUW123" s="225"/>
      <c r="JUX123" s="225"/>
      <c r="JUY123" s="225"/>
      <c r="JUZ123" s="225"/>
      <c r="JVA123" s="225"/>
      <c r="JVB123" s="225"/>
      <c r="JVC123" s="225"/>
      <c r="JVD123" s="225"/>
      <c r="JVE123" s="225"/>
      <c r="JVF123" s="225"/>
      <c r="JVG123" s="225"/>
      <c r="JVH123" s="225"/>
      <c r="JVI123" s="225"/>
      <c r="JVJ123" s="225"/>
      <c r="JVK123" s="225"/>
      <c r="JVL123" s="225"/>
      <c r="JVM123" s="225"/>
      <c r="JVN123" s="225"/>
      <c r="JVO123" s="225"/>
      <c r="JVP123" s="225"/>
      <c r="JVQ123" s="225"/>
      <c r="JVR123" s="225"/>
      <c r="JVS123" s="225"/>
      <c r="JVT123" s="225"/>
      <c r="JVU123" s="225"/>
      <c r="JVV123" s="225"/>
      <c r="JVW123" s="225"/>
      <c r="JVX123" s="225"/>
      <c r="JVY123" s="225"/>
      <c r="JVZ123" s="225"/>
      <c r="JWA123" s="225"/>
      <c r="JWB123" s="225"/>
      <c r="JWC123" s="225"/>
      <c r="JWD123" s="225"/>
      <c r="JWE123" s="225"/>
      <c r="JWF123" s="225"/>
      <c r="JWG123" s="225"/>
      <c r="JWH123" s="225"/>
      <c r="JWI123" s="225"/>
      <c r="JWJ123" s="225"/>
      <c r="JWK123" s="225"/>
      <c r="JWL123" s="225"/>
      <c r="JWM123" s="225"/>
      <c r="JWN123" s="225"/>
      <c r="JWO123" s="225"/>
      <c r="JWP123" s="225"/>
      <c r="JWQ123" s="225"/>
      <c r="JWR123" s="225"/>
      <c r="JWS123" s="225"/>
      <c r="JWT123" s="225"/>
      <c r="JWU123" s="225"/>
      <c r="JWV123" s="225"/>
      <c r="JWW123" s="225"/>
      <c r="JWX123" s="225"/>
      <c r="JWY123" s="225"/>
      <c r="JWZ123" s="225"/>
      <c r="JXA123" s="225"/>
      <c r="JXB123" s="225"/>
      <c r="JXC123" s="225"/>
      <c r="JXD123" s="225"/>
      <c r="JXE123" s="225"/>
      <c r="JXF123" s="225"/>
      <c r="JXG123" s="225"/>
      <c r="JXH123" s="225"/>
      <c r="JXI123" s="225"/>
      <c r="JXJ123" s="225"/>
      <c r="JXK123" s="225"/>
      <c r="JXL123" s="225"/>
      <c r="JXM123" s="225"/>
      <c r="JXN123" s="225"/>
      <c r="JXO123" s="225"/>
      <c r="JXP123" s="225"/>
      <c r="JXQ123" s="225"/>
      <c r="JXR123" s="225"/>
      <c r="JXS123" s="225"/>
      <c r="JXT123" s="225"/>
      <c r="JXU123" s="225"/>
      <c r="JXV123" s="225"/>
      <c r="JXW123" s="225"/>
      <c r="JXX123" s="225"/>
      <c r="JXY123" s="225"/>
      <c r="JXZ123" s="225"/>
      <c r="JYA123" s="225"/>
      <c r="JYB123" s="225"/>
      <c r="JYC123" s="225"/>
      <c r="JYD123" s="225"/>
      <c r="JYE123" s="225"/>
      <c r="JYF123" s="225"/>
      <c r="JYG123" s="225"/>
      <c r="JYH123" s="225"/>
      <c r="JYI123" s="225"/>
      <c r="JYJ123" s="225"/>
      <c r="JYK123" s="225"/>
      <c r="JYL123" s="225"/>
      <c r="JYM123" s="225"/>
      <c r="JYN123" s="225"/>
      <c r="JYO123" s="225"/>
      <c r="JYP123" s="225"/>
      <c r="JYQ123" s="225"/>
      <c r="JYR123" s="225"/>
      <c r="JYS123" s="225"/>
      <c r="JYT123" s="225"/>
      <c r="JYU123" s="225"/>
      <c r="JYV123" s="225"/>
      <c r="JYW123" s="225"/>
      <c r="JYX123" s="225"/>
      <c r="JYY123" s="225"/>
      <c r="JYZ123" s="225"/>
      <c r="JZA123" s="225"/>
      <c r="JZB123" s="225"/>
      <c r="JZC123" s="225"/>
      <c r="JZD123" s="225"/>
      <c r="JZE123" s="225"/>
      <c r="JZF123" s="225"/>
      <c r="JZG123" s="225"/>
      <c r="JZH123" s="225"/>
      <c r="JZI123" s="225"/>
      <c r="JZJ123" s="225"/>
      <c r="JZK123" s="225"/>
      <c r="JZL123" s="225"/>
      <c r="JZM123" s="225"/>
      <c r="JZN123" s="225"/>
      <c r="JZO123" s="225"/>
      <c r="JZP123" s="225"/>
      <c r="JZQ123" s="225"/>
      <c r="JZR123" s="225"/>
      <c r="JZS123" s="225"/>
      <c r="JZT123" s="225"/>
      <c r="JZU123" s="225"/>
      <c r="JZV123" s="225"/>
      <c r="JZW123" s="225"/>
      <c r="JZX123" s="225"/>
      <c r="JZY123" s="225"/>
      <c r="JZZ123" s="225"/>
      <c r="KAA123" s="225"/>
      <c r="KAB123" s="225"/>
      <c r="KAC123" s="225"/>
      <c r="KAD123" s="225"/>
      <c r="KAE123" s="225"/>
      <c r="KAF123" s="225"/>
      <c r="KAG123" s="225"/>
      <c r="KAH123" s="225"/>
      <c r="KAI123" s="225"/>
      <c r="KAJ123" s="225"/>
      <c r="KAK123" s="225"/>
      <c r="KAL123" s="225"/>
      <c r="KAM123" s="225"/>
      <c r="KAN123" s="225"/>
      <c r="KAO123" s="225"/>
      <c r="KAP123" s="225"/>
      <c r="KAQ123" s="225"/>
      <c r="KAR123" s="225"/>
      <c r="KAS123" s="225"/>
      <c r="KAT123" s="225"/>
      <c r="KAU123" s="225"/>
      <c r="KAV123" s="225"/>
      <c r="KAW123" s="225"/>
      <c r="KAX123" s="225"/>
      <c r="KAY123" s="225"/>
      <c r="KAZ123" s="225"/>
      <c r="KBA123" s="225"/>
      <c r="KBB123" s="225"/>
      <c r="KBC123" s="225"/>
      <c r="KBD123" s="225"/>
      <c r="KBE123" s="225"/>
      <c r="KBF123" s="225"/>
      <c r="KBG123" s="225"/>
      <c r="KBH123" s="225"/>
      <c r="KBI123" s="225"/>
      <c r="KBJ123" s="225"/>
      <c r="KBK123" s="225"/>
      <c r="KBL123" s="225"/>
      <c r="KBM123" s="225"/>
      <c r="KBN123" s="225"/>
      <c r="KBO123" s="225"/>
      <c r="KBP123" s="225"/>
      <c r="KBQ123" s="225"/>
      <c r="KBR123" s="225"/>
      <c r="KBS123" s="225"/>
      <c r="KBT123" s="225"/>
      <c r="KBU123" s="225"/>
      <c r="KBV123" s="225"/>
      <c r="KBW123" s="225"/>
      <c r="KBX123" s="225"/>
      <c r="KBY123" s="225"/>
      <c r="KBZ123" s="225"/>
      <c r="KCA123" s="225"/>
      <c r="KCB123" s="225"/>
      <c r="KCC123" s="225"/>
      <c r="KCD123" s="225"/>
      <c r="KCE123" s="225"/>
      <c r="KCF123" s="225"/>
      <c r="KCG123" s="225"/>
      <c r="KCH123" s="225"/>
      <c r="KCI123" s="225"/>
      <c r="KCJ123" s="225"/>
      <c r="KCK123" s="225"/>
      <c r="KCL123" s="225"/>
      <c r="KCM123" s="225"/>
      <c r="KCN123" s="225"/>
      <c r="KCO123" s="225"/>
      <c r="KCP123" s="225"/>
      <c r="KCQ123" s="225"/>
      <c r="KCR123" s="225"/>
      <c r="KCS123" s="225"/>
      <c r="KCT123" s="225"/>
      <c r="KCU123" s="225"/>
      <c r="KCV123" s="225"/>
      <c r="KCW123" s="225"/>
      <c r="KCX123" s="225"/>
      <c r="KCY123" s="225"/>
      <c r="KCZ123" s="225"/>
      <c r="KDA123" s="225"/>
      <c r="KDB123" s="225"/>
      <c r="KDC123" s="225"/>
      <c r="KDD123" s="225"/>
      <c r="KDE123" s="225"/>
      <c r="KDF123" s="225"/>
      <c r="KDG123" s="225"/>
      <c r="KDH123" s="225"/>
      <c r="KDI123" s="225"/>
      <c r="KDJ123" s="225"/>
      <c r="KDK123" s="225"/>
      <c r="KDL123" s="225"/>
      <c r="KDM123" s="225"/>
      <c r="KDN123" s="225"/>
      <c r="KDO123" s="225"/>
      <c r="KDP123" s="225"/>
      <c r="KDQ123" s="225"/>
      <c r="KDR123" s="225"/>
      <c r="KDS123" s="225"/>
      <c r="KDT123" s="225"/>
      <c r="KDU123" s="225"/>
      <c r="KDV123" s="225"/>
      <c r="KDW123" s="225"/>
      <c r="KDX123" s="225"/>
      <c r="KDY123" s="225"/>
      <c r="KDZ123" s="225"/>
      <c r="KEA123" s="225"/>
      <c r="KEB123" s="225"/>
      <c r="KEC123" s="225"/>
      <c r="KED123" s="225"/>
      <c r="KEE123" s="225"/>
      <c r="KEF123" s="225"/>
      <c r="KEG123" s="225"/>
      <c r="KEH123" s="225"/>
      <c r="KEI123" s="225"/>
      <c r="KEJ123" s="225"/>
      <c r="KEK123" s="225"/>
      <c r="KEL123" s="225"/>
      <c r="KEM123" s="225"/>
      <c r="KEN123" s="225"/>
      <c r="KEO123" s="225"/>
      <c r="KEP123" s="225"/>
      <c r="KEQ123" s="225"/>
      <c r="KER123" s="225"/>
      <c r="KES123" s="225"/>
      <c r="KET123" s="225"/>
      <c r="KEU123" s="225"/>
      <c r="KEV123" s="225"/>
      <c r="KEW123" s="225"/>
      <c r="KEX123" s="225"/>
      <c r="KEY123" s="225"/>
      <c r="KEZ123" s="225"/>
      <c r="KFA123" s="225"/>
      <c r="KFB123" s="225"/>
      <c r="KFC123" s="225"/>
      <c r="KFD123" s="225"/>
      <c r="KFE123" s="225"/>
      <c r="KFF123" s="225"/>
      <c r="KFG123" s="225"/>
      <c r="KFH123" s="225"/>
      <c r="KFI123" s="225"/>
      <c r="KFJ123" s="225"/>
      <c r="KFK123" s="225"/>
      <c r="KFL123" s="225"/>
      <c r="KFM123" s="225"/>
      <c r="KFN123" s="225"/>
      <c r="KFO123" s="225"/>
      <c r="KFP123" s="225"/>
      <c r="KFQ123" s="225"/>
      <c r="KFR123" s="225"/>
      <c r="KFS123" s="225"/>
      <c r="KFT123" s="225"/>
      <c r="KFU123" s="225"/>
      <c r="KFV123" s="225"/>
      <c r="KFW123" s="225"/>
      <c r="KFX123" s="225"/>
      <c r="KFY123" s="225"/>
      <c r="KFZ123" s="225"/>
      <c r="KGA123" s="225"/>
      <c r="KGB123" s="225"/>
      <c r="KGC123" s="225"/>
      <c r="KGD123" s="225"/>
      <c r="KGE123" s="225"/>
      <c r="KGF123" s="225"/>
      <c r="KGG123" s="225"/>
      <c r="KGH123" s="225"/>
      <c r="KGI123" s="225"/>
      <c r="KGJ123" s="225"/>
      <c r="KGK123" s="225"/>
      <c r="KGL123" s="225"/>
      <c r="KGM123" s="225"/>
      <c r="KGN123" s="225"/>
      <c r="KGO123" s="225"/>
      <c r="KGP123" s="225"/>
      <c r="KGQ123" s="225"/>
      <c r="KGR123" s="225"/>
      <c r="KGS123" s="225"/>
      <c r="KGT123" s="225"/>
      <c r="KGU123" s="225"/>
      <c r="KGV123" s="225"/>
      <c r="KGW123" s="225"/>
      <c r="KGX123" s="225"/>
      <c r="KGY123" s="225"/>
      <c r="KGZ123" s="225"/>
      <c r="KHA123" s="225"/>
      <c r="KHB123" s="225"/>
      <c r="KHC123" s="225"/>
      <c r="KHD123" s="225"/>
      <c r="KHE123" s="225"/>
      <c r="KHF123" s="225"/>
      <c r="KHG123" s="225"/>
      <c r="KHH123" s="225"/>
      <c r="KHI123" s="225"/>
      <c r="KHJ123" s="225"/>
      <c r="KHK123" s="225"/>
      <c r="KHL123" s="225"/>
      <c r="KHM123" s="225"/>
      <c r="KHN123" s="225"/>
      <c r="KHO123" s="225"/>
      <c r="KHP123" s="225"/>
      <c r="KHQ123" s="225"/>
      <c r="KHR123" s="225"/>
      <c r="KHS123" s="225"/>
      <c r="KHT123" s="225"/>
      <c r="KHU123" s="225"/>
      <c r="KHV123" s="225"/>
      <c r="KHW123" s="225"/>
      <c r="KHX123" s="225"/>
      <c r="KHY123" s="225"/>
      <c r="KHZ123" s="225"/>
      <c r="KIA123" s="225"/>
      <c r="KIB123" s="225"/>
      <c r="KIC123" s="225"/>
      <c r="KID123" s="225"/>
      <c r="KIE123" s="225"/>
      <c r="KIF123" s="225"/>
      <c r="KIG123" s="225"/>
      <c r="KIH123" s="225"/>
      <c r="KII123" s="225"/>
      <c r="KIJ123" s="225"/>
      <c r="KIK123" s="225"/>
      <c r="KIL123" s="225"/>
      <c r="KIM123" s="225"/>
      <c r="KIN123" s="225"/>
      <c r="KIO123" s="225"/>
      <c r="KIP123" s="225"/>
      <c r="KIQ123" s="225"/>
      <c r="KIR123" s="225"/>
      <c r="KIS123" s="225"/>
      <c r="KIT123" s="225"/>
      <c r="KIU123" s="225"/>
      <c r="KIV123" s="225"/>
      <c r="KIW123" s="225"/>
      <c r="KIX123" s="225"/>
      <c r="KIY123" s="225"/>
      <c r="KIZ123" s="225"/>
      <c r="KJA123" s="225"/>
      <c r="KJB123" s="225"/>
      <c r="KJC123" s="225"/>
      <c r="KJD123" s="225"/>
      <c r="KJE123" s="225"/>
      <c r="KJF123" s="225"/>
      <c r="KJG123" s="225"/>
      <c r="KJH123" s="225"/>
      <c r="KJI123" s="225"/>
      <c r="KJJ123" s="225"/>
      <c r="KJK123" s="225"/>
      <c r="KJL123" s="225"/>
      <c r="KJM123" s="225"/>
      <c r="KJN123" s="225"/>
      <c r="KJO123" s="225"/>
      <c r="KJP123" s="225"/>
      <c r="KJQ123" s="225"/>
      <c r="KJR123" s="225"/>
      <c r="KJS123" s="225"/>
      <c r="KJT123" s="225"/>
      <c r="KJU123" s="225"/>
      <c r="KJV123" s="225"/>
      <c r="KJW123" s="225"/>
      <c r="KJX123" s="225"/>
      <c r="KJY123" s="225"/>
      <c r="KJZ123" s="225"/>
      <c r="KKA123" s="225"/>
      <c r="KKB123" s="225"/>
      <c r="KKC123" s="225"/>
      <c r="KKD123" s="225"/>
      <c r="KKE123" s="225"/>
      <c r="KKF123" s="225"/>
      <c r="KKG123" s="225"/>
      <c r="KKH123" s="225"/>
      <c r="KKI123" s="225"/>
      <c r="KKJ123" s="225"/>
      <c r="KKK123" s="225"/>
      <c r="KKL123" s="225"/>
      <c r="KKM123" s="225"/>
      <c r="KKN123" s="225"/>
      <c r="KKO123" s="225"/>
      <c r="KKP123" s="225"/>
      <c r="KKQ123" s="225"/>
      <c r="KKR123" s="225"/>
      <c r="KKS123" s="225"/>
      <c r="KKT123" s="225"/>
      <c r="KKU123" s="225"/>
      <c r="KKV123" s="225"/>
      <c r="KKW123" s="225"/>
      <c r="KKX123" s="225"/>
      <c r="KKY123" s="225"/>
      <c r="KKZ123" s="225"/>
      <c r="KLA123" s="225"/>
      <c r="KLB123" s="225"/>
      <c r="KLC123" s="225"/>
      <c r="KLD123" s="225"/>
      <c r="KLE123" s="225"/>
      <c r="KLF123" s="225"/>
      <c r="KLG123" s="225"/>
      <c r="KLH123" s="225"/>
      <c r="KLI123" s="225"/>
      <c r="KLJ123" s="225"/>
      <c r="KLK123" s="225"/>
      <c r="KLL123" s="225"/>
      <c r="KLM123" s="225"/>
      <c r="KLN123" s="225"/>
      <c r="KLO123" s="225"/>
      <c r="KLP123" s="225"/>
      <c r="KLQ123" s="225"/>
      <c r="KLR123" s="225"/>
      <c r="KLS123" s="225"/>
      <c r="KLT123" s="225"/>
      <c r="KLU123" s="225"/>
      <c r="KLV123" s="225"/>
      <c r="KLW123" s="225"/>
      <c r="KLX123" s="225"/>
      <c r="KLY123" s="225"/>
      <c r="KLZ123" s="225"/>
      <c r="KMA123" s="225"/>
      <c r="KMB123" s="225"/>
      <c r="KMC123" s="225"/>
      <c r="KMD123" s="225"/>
      <c r="KME123" s="225"/>
      <c r="KMF123" s="225"/>
      <c r="KMG123" s="225"/>
      <c r="KMH123" s="225"/>
      <c r="KMI123" s="225"/>
      <c r="KMJ123" s="225"/>
      <c r="KMK123" s="225"/>
      <c r="KML123" s="225"/>
      <c r="KMM123" s="225"/>
      <c r="KMN123" s="225"/>
      <c r="KMO123" s="225"/>
      <c r="KMP123" s="225"/>
      <c r="KMQ123" s="225"/>
      <c r="KMR123" s="225"/>
      <c r="KMS123" s="225"/>
      <c r="KMT123" s="225"/>
      <c r="KMU123" s="225"/>
      <c r="KMV123" s="225"/>
      <c r="KMW123" s="225"/>
      <c r="KMX123" s="225"/>
      <c r="KMY123" s="225"/>
      <c r="KMZ123" s="225"/>
      <c r="KNA123" s="225"/>
      <c r="KNB123" s="225"/>
      <c r="KNC123" s="225"/>
      <c r="KND123" s="225"/>
      <c r="KNE123" s="225"/>
      <c r="KNF123" s="225"/>
      <c r="KNG123" s="225"/>
      <c r="KNH123" s="225"/>
      <c r="KNI123" s="225"/>
      <c r="KNJ123" s="225"/>
      <c r="KNK123" s="225"/>
      <c r="KNL123" s="225"/>
      <c r="KNM123" s="225"/>
      <c r="KNN123" s="225"/>
      <c r="KNO123" s="225"/>
      <c r="KNP123" s="225"/>
      <c r="KNQ123" s="225"/>
      <c r="KNR123" s="225"/>
      <c r="KNS123" s="225"/>
      <c r="KNT123" s="225"/>
      <c r="KNU123" s="225"/>
      <c r="KNV123" s="225"/>
      <c r="KNW123" s="225"/>
      <c r="KNX123" s="225"/>
      <c r="KNY123" s="225"/>
      <c r="KNZ123" s="225"/>
      <c r="KOA123" s="225"/>
      <c r="KOB123" s="225"/>
      <c r="KOC123" s="225"/>
      <c r="KOD123" s="225"/>
      <c r="KOE123" s="225"/>
      <c r="KOF123" s="225"/>
      <c r="KOG123" s="225"/>
      <c r="KOH123" s="225"/>
      <c r="KOI123" s="225"/>
      <c r="KOJ123" s="225"/>
      <c r="KOK123" s="225"/>
      <c r="KOL123" s="225"/>
      <c r="KOM123" s="225"/>
      <c r="KON123" s="225"/>
      <c r="KOO123" s="225"/>
      <c r="KOP123" s="225"/>
      <c r="KOQ123" s="225"/>
      <c r="KOR123" s="225"/>
      <c r="KOS123" s="225"/>
      <c r="KOT123" s="225"/>
      <c r="KOU123" s="225"/>
      <c r="KOV123" s="225"/>
      <c r="KOW123" s="225"/>
      <c r="KOX123" s="225"/>
      <c r="KOY123" s="225"/>
      <c r="KOZ123" s="225"/>
      <c r="KPA123" s="225"/>
      <c r="KPB123" s="225"/>
      <c r="KPC123" s="225"/>
      <c r="KPD123" s="225"/>
      <c r="KPE123" s="225"/>
      <c r="KPF123" s="225"/>
      <c r="KPG123" s="225"/>
      <c r="KPH123" s="225"/>
      <c r="KPI123" s="225"/>
      <c r="KPJ123" s="225"/>
      <c r="KPK123" s="225"/>
      <c r="KPL123" s="225"/>
      <c r="KPM123" s="225"/>
      <c r="KPN123" s="225"/>
      <c r="KPO123" s="225"/>
      <c r="KPP123" s="225"/>
      <c r="KPQ123" s="225"/>
      <c r="KPR123" s="225"/>
      <c r="KPS123" s="225"/>
      <c r="KPT123" s="225"/>
      <c r="KPU123" s="225"/>
      <c r="KPV123" s="225"/>
      <c r="KPW123" s="225"/>
      <c r="KPX123" s="225"/>
      <c r="KPY123" s="225"/>
      <c r="KPZ123" s="225"/>
      <c r="KQA123" s="225"/>
      <c r="KQB123" s="225"/>
      <c r="KQC123" s="225"/>
      <c r="KQD123" s="225"/>
      <c r="KQE123" s="225"/>
      <c r="KQF123" s="225"/>
      <c r="KQG123" s="225"/>
      <c r="KQH123" s="225"/>
      <c r="KQI123" s="225"/>
      <c r="KQJ123" s="225"/>
      <c r="KQK123" s="225"/>
      <c r="KQL123" s="225"/>
      <c r="KQM123" s="225"/>
      <c r="KQN123" s="225"/>
      <c r="KQO123" s="225"/>
      <c r="KQP123" s="225"/>
      <c r="KQQ123" s="225"/>
      <c r="KQR123" s="225"/>
      <c r="KQS123" s="225"/>
      <c r="KQT123" s="225"/>
      <c r="KQU123" s="225"/>
      <c r="KQV123" s="225"/>
      <c r="KQW123" s="225"/>
      <c r="KQX123" s="225"/>
      <c r="KQY123" s="225"/>
      <c r="KQZ123" s="225"/>
      <c r="KRA123" s="225"/>
      <c r="KRB123" s="225"/>
      <c r="KRC123" s="225"/>
      <c r="KRD123" s="225"/>
      <c r="KRE123" s="225"/>
      <c r="KRF123" s="225"/>
      <c r="KRG123" s="225"/>
      <c r="KRH123" s="225"/>
      <c r="KRI123" s="225"/>
      <c r="KRJ123" s="225"/>
      <c r="KRK123" s="225"/>
      <c r="KRL123" s="225"/>
      <c r="KRM123" s="225"/>
      <c r="KRN123" s="225"/>
      <c r="KRO123" s="225"/>
      <c r="KRP123" s="225"/>
      <c r="KRQ123" s="225"/>
      <c r="KRR123" s="225"/>
      <c r="KRS123" s="225"/>
      <c r="KRT123" s="225"/>
      <c r="KRU123" s="225"/>
      <c r="KRV123" s="225"/>
      <c r="KRW123" s="225"/>
      <c r="KRX123" s="225"/>
      <c r="KRY123" s="225"/>
      <c r="KRZ123" s="225"/>
      <c r="KSA123" s="225"/>
      <c r="KSB123" s="225"/>
      <c r="KSC123" s="225"/>
      <c r="KSD123" s="225"/>
      <c r="KSE123" s="225"/>
      <c r="KSF123" s="225"/>
      <c r="KSG123" s="225"/>
      <c r="KSH123" s="225"/>
      <c r="KSI123" s="225"/>
      <c r="KSJ123" s="225"/>
      <c r="KSK123" s="225"/>
      <c r="KSL123" s="225"/>
      <c r="KSM123" s="225"/>
      <c r="KSN123" s="225"/>
      <c r="KSO123" s="225"/>
      <c r="KSP123" s="225"/>
      <c r="KSQ123" s="225"/>
      <c r="KSR123" s="225"/>
      <c r="KSS123" s="225"/>
      <c r="KST123" s="225"/>
      <c r="KSU123" s="225"/>
      <c r="KSV123" s="225"/>
      <c r="KSW123" s="225"/>
      <c r="KSX123" s="225"/>
      <c r="KSY123" s="225"/>
      <c r="KSZ123" s="225"/>
      <c r="KTA123" s="225"/>
      <c r="KTB123" s="225"/>
      <c r="KTC123" s="225"/>
      <c r="KTD123" s="225"/>
      <c r="KTE123" s="225"/>
      <c r="KTF123" s="225"/>
      <c r="KTG123" s="225"/>
      <c r="KTH123" s="225"/>
      <c r="KTI123" s="225"/>
      <c r="KTJ123" s="225"/>
      <c r="KTK123" s="225"/>
      <c r="KTL123" s="225"/>
      <c r="KTM123" s="225"/>
      <c r="KTN123" s="225"/>
      <c r="KTO123" s="225"/>
      <c r="KTP123" s="225"/>
      <c r="KTQ123" s="225"/>
      <c r="KTR123" s="225"/>
      <c r="KTS123" s="225"/>
      <c r="KTT123" s="225"/>
      <c r="KTU123" s="225"/>
      <c r="KTV123" s="225"/>
      <c r="KTW123" s="225"/>
      <c r="KTX123" s="225"/>
      <c r="KTY123" s="225"/>
      <c r="KTZ123" s="225"/>
      <c r="KUA123" s="225"/>
      <c r="KUB123" s="225"/>
      <c r="KUC123" s="225"/>
      <c r="KUD123" s="225"/>
      <c r="KUE123" s="225"/>
      <c r="KUF123" s="225"/>
      <c r="KUG123" s="225"/>
      <c r="KUH123" s="225"/>
      <c r="KUI123" s="225"/>
      <c r="KUJ123" s="225"/>
      <c r="KUK123" s="225"/>
      <c r="KUL123" s="225"/>
      <c r="KUM123" s="225"/>
      <c r="KUN123" s="225"/>
      <c r="KUO123" s="225"/>
      <c r="KUP123" s="225"/>
      <c r="KUQ123" s="225"/>
      <c r="KUR123" s="225"/>
      <c r="KUS123" s="225"/>
      <c r="KUT123" s="225"/>
      <c r="KUU123" s="225"/>
      <c r="KUV123" s="225"/>
      <c r="KUW123" s="225"/>
      <c r="KUX123" s="225"/>
      <c r="KUY123" s="225"/>
      <c r="KUZ123" s="225"/>
      <c r="KVA123" s="225"/>
      <c r="KVB123" s="225"/>
      <c r="KVC123" s="225"/>
      <c r="KVD123" s="225"/>
      <c r="KVE123" s="225"/>
      <c r="KVF123" s="225"/>
      <c r="KVG123" s="225"/>
      <c r="KVH123" s="225"/>
      <c r="KVI123" s="225"/>
      <c r="KVJ123" s="225"/>
      <c r="KVK123" s="225"/>
      <c r="KVL123" s="225"/>
      <c r="KVM123" s="225"/>
      <c r="KVN123" s="225"/>
      <c r="KVO123" s="225"/>
      <c r="KVP123" s="225"/>
      <c r="KVQ123" s="225"/>
      <c r="KVR123" s="225"/>
      <c r="KVS123" s="225"/>
      <c r="KVT123" s="225"/>
      <c r="KVU123" s="225"/>
      <c r="KVV123" s="225"/>
      <c r="KVW123" s="225"/>
      <c r="KVX123" s="225"/>
      <c r="KVY123" s="225"/>
      <c r="KVZ123" s="225"/>
      <c r="KWA123" s="225"/>
      <c r="KWB123" s="225"/>
      <c r="KWC123" s="225"/>
      <c r="KWD123" s="225"/>
      <c r="KWE123" s="225"/>
      <c r="KWF123" s="225"/>
      <c r="KWG123" s="225"/>
      <c r="KWH123" s="225"/>
      <c r="KWI123" s="225"/>
      <c r="KWJ123" s="225"/>
      <c r="KWK123" s="225"/>
      <c r="KWL123" s="225"/>
      <c r="KWM123" s="225"/>
      <c r="KWN123" s="225"/>
      <c r="KWO123" s="225"/>
      <c r="KWP123" s="225"/>
      <c r="KWQ123" s="225"/>
      <c r="KWR123" s="225"/>
      <c r="KWS123" s="225"/>
      <c r="KWT123" s="225"/>
      <c r="KWU123" s="225"/>
      <c r="KWV123" s="225"/>
      <c r="KWW123" s="225"/>
      <c r="KWX123" s="225"/>
      <c r="KWY123" s="225"/>
      <c r="KWZ123" s="225"/>
      <c r="KXA123" s="225"/>
      <c r="KXB123" s="225"/>
      <c r="KXC123" s="225"/>
      <c r="KXD123" s="225"/>
      <c r="KXE123" s="225"/>
      <c r="KXF123" s="225"/>
      <c r="KXG123" s="225"/>
      <c r="KXH123" s="225"/>
      <c r="KXI123" s="225"/>
      <c r="KXJ123" s="225"/>
      <c r="KXK123" s="225"/>
      <c r="KXL123" s="225"/>
      <c r="KXM123" s="225"/>
      <c r="KXN123" s="225"/>
      <c r="KXO123" s="225"/>
      <c r="KXP123" s="225"/>
      <c r="KXQ123" s="225"/>
      <c r="KXR123" s="225"/>
      <c r="KXS123" s="225"/>
      <c r="KXT123" s="225"/>
      <c r="KXU123" s="225"/>
      <c r="KXV123" s="225"/>
      <c r="KXW123" s="225"/>
      <c r="KXX123" s="225"/>
      <c r="KXY123" s="225"/>
      <c r="KXZ123" s="225"/>
      <c r="KYA123" s="225"/>
      <c r="KYB123" s="225"/>
      <c r="KYC123" s="225"/>
      <c r="KYD123" s="225"/>
      <c r="KYE123" s="225"/>
      <c r="KYF123" s="225"/>
      <c r="KYG123" s="225"/>
      <c r="KYH123" s="225"/>
      <c r="KYI123" s="225"/>
      <c r="KYJ123" s="225"/>
      <c r="KYK123" s="225"/>
      <c r="KYL123" s="225"/>
      <c r="KYM123" s="225"/>
      <c r="KYN123" s="225"/>
      <c r="KYO123" s="225"/>
      <c r="KYP123" s="225"/>
      <c r="KYQ123" s="225"/>
      <c r="KYR123" s="225"/>
      <c r="KYS123" s="225"/>
      <c r="KYT123" s="225"/>
      <c r="KYU123" s="225"/>
      <c r="KYV123" s="225"/>
      <c r="KYW123" s="225"/>
      <c r="KYX123" s="225"/>
      <c r="KYY123" s="225"/>
      <c r="KYZ123" s="225"/>
      <c r="KZA123" s="225"/>
      <c r="KZB123" s="225"/>
      <c r="KZC123" s="225"/>
      <c r="KZD123" s="225"/>
      <c r="KZE123" s="225"/>
      <c r="KZF123" s="225"/>
      <c r="KZG123" s="225"/>
      <c r="KZH123" s="225"/>
      <c r="KZI123" s="225"/>
      <c r="KZJ123" s="225"/>
      <c r="KZK123" s="225"/>
      <c r="KZL123" s="225"/>
      <c r="KZM123" s="225"/>
      <c r="KZN123" s="225"/>
      <c r="KZO123" s="225"/>
      <c r="KZP123" s="225"/>
      <c r="KZQ123" s="225"/>
      <c r="KZR123" s="225"/>
      <c r="KZS123" s="225"/>
      <c r="KZT123" s="225"/>
      <c r="KZU123" s="225"/>
      <c r="KZV123" s="225"/>
      <c r="KZW123" s="225"/>
      <c r="KZX123" s="225"/>
      <c r="KZY123" s="225"/>
      <c r="KZZ123" s="225"/>
      <c r="LAA123" s="225"/>
      <c r="LAB123" s="225"/>
      <c r="LAC123" s="225"/>
      <c r="LAD123" s="225"/>
      <c r="LAE123" s="225"/>
      <c r="LAF123" s="225"/>
      <c r="LAG123" s="225"/>
      <c r="LAH123" s="225"/>
      <c r="LAI123" s="225"/>
      <c r="LAJ123" s="225"/>
      <c r="LAK123" s="225"/>
      <c r="LAL123" s="225"/>
      <c r="LAM123" s="225"/>
      <c r="LAN123" s="225"/>
      <c r="LAO123" s="225"/>
      <c r="LAP123" s="225"/>
      <c r="LAQ123" s="225"/>
      <c r="LAR123" s="225"/>
      <c r="LAS123" s="225"/>
      <c r="LAT123" s="225"/>
      <c r="LAU123" s="225"/>
      <c r="LAV123" s="225"/>
      <c r="LAW123" s="225"/>
      <c r="LAX123" s="225"/>
      <c r="LAY123" s="225"/>
      <c r="LAZ123" s="225"/>
      <c r="LBA123" s="225"/>
      <c r="LBB123" s="225"/>
      <c r="LBC123" s="225"/>
      <c r="LBD123" s="225"/>
      <c r="LBE123" s="225"/>
      <c r="LBF123" s="225"/>
      <c r="LBG123" s="225"/>
      <c r="LBH123" s="225"/>
      <c r="LBI123" s="225"/>
      <c r="LBJ123" s="225"/>
      <c r="LBK123" s="225"/>
      <c r="LBL123" s="225"/>
      <c r="LBM123" s="225"/>
      <c r="LBN123" s="225"/>
      <c r="LBO123" s="225"/>
      <c r="LBP123" s="225"/>
      <c r="LBQ123" s="225"/>
      <c r="LBR123" s="225"/>
      <c r="LBS123" s="225"/>
      <c r="LBT123" s="225"/>
      <c r="LBU123" s="225"/>
      <c r="LBV123" s="225"/>
      <c r="LBW123" s="225"/>
      <c r="LBX123" s="225"/>
      <c r="LBY123" s="225"/>
      <c r="LBZ123" s="225"/>
      <c r="LCA123" s="225"/>
      <c r="LCB123" s="225"/>
      <c r="LCC123" s="225"/>
      <c r="LCD123" s="225"/>
      <c r="LCE123" s="225"/>
      <c r="LCF123" s="225"/>
      <c r="LCG123" s="225"/>
      <c r="LCH123" s="225"/>
      <c r="LCI123" s="225"/>
      <c r="LCJ123" s="225"/>
      <c r="LCK123" s="225"/>
      <c r="LCL123" s="225"/>
      <c r="LCM123" s="225"/>
      <c r="LCN123" s="225"/>
      <c r="LCO123" s="225"/>
      <c r="LCP123" s="225"/>
      <c r="LCQ123" s="225"/>
      <c r="LCR123" s="225"/>
      <c r="LCS123" s="225"/>
      <c r="LCT123" s="225"/>
      <c r="LCU123" s="225"/>
      <c r="LCV123" s="225"/>
      <c r="LCW123" s="225"/>
      <c r="LCX123" s="225"/>
      <c r="LCY123" s="225"/>
      <c r="LCZ123" s="225"/>
      <c r="LDA123" s="225"/>
      <c r="LDB123" s="225"/>
      <c r="LDC123" s="225"/>
      <c r="LDD123" s="225"/>
      <c r="LDE123" s="225"/>
      <c r="LDF123" s="225"/>
      <c r="LDG123" s="225"/>
      <c r="LDH123" s="225"/>
      <c r="LDI123" s="225"/>
      <c r="LDJ123" s="225"/>
      <c r="LDK123" s="225"/>
      <c r="LDL123" s="225"/>
      <c r="LDM123" s="225"/>
      <c r="LDN123" s="225"/>
      <c r="LDO123" s="225"/>
      <c r="LDP123" s="225"/>
      <c r="LDQ123" s="225"/>
      <c r="LDR123" s="225"/>
      <c r="LDS123" s="225"/>
      <c r="LDT123" s="225"/>
      <c r="LDU123" s="225"/>
      <c r="LDV123" s="225"/>
      <c r="LDW123" s="225"/>
      <c r="LDX123" s="225"/>
      <c r="LDY123" s="225"/>
      <c r="LDZ123" s="225"/>
      <c r="LEA123" s="225"/>
      <c r="LEB123" s="225"/>
      <c r="LEC123" s="225"/>
      <c r="LED123" s="225"/>
      <c r="LEE123" s="225"/>
      <c r="LEF123" s="225"/>
      <c r="LEG123" s="225"/>
      <c r="LEH123" s="225"/>
      <c r="LEI123" s="225"/>
      <c r="LEJ123" s="225"/>
      <c r="LEK123" s="225"/>
      <c r="LEL123" s="225"/>
      <c r="LEM123" s="225"/>
      <c r="LEN123" s="225"/>
      <c r="LEO123" s="225"/>
      <c r="LEP123" s="225"/>
      <c r="LEQ123" s="225"/>
      <c r="LER123" s="225"/>
      <c r="LES123" s="225"/>
      <c r="LET123" s="225"/>
      <c r="LEU123" s="225"/>
      <c r="LEV123" s="225"/>
      <c r="LEW123" s="225"/>
      <c r="LEX123" s="225"/>
      <c r="LEY123" s="225"/>
      <c r="LEZ123" s="225"/>
      <c r="LFA123" s="225"/>
      <c r="LFB123" s="225"/>
      <c r="LFC123" s="225"/>
      <c r="LFD123" s="225"/>
      <c r="LFE123" s="225"/>
      <c r="LFF123" s="225"/>
      <c r="LFG123" s="225"/>
      <c r="LFH123" s="225"/>
      <c r="LFI123" s="225"/>
      <c r="LFJ123" s="225"/>
      <c r="LFK123" s="225"/>
      <c r="LFL123" s="225"/>
      <c r="LFM123" s="225"/>
      <c r="LFN123" s="225"/>
      <c r="LFO123" s="225"/>
      <c r="LFP123" s="225"/>
      <c r="LFQ123" s="225"/>
      <c r="LFR123" s="225"/>
      <c r="LFS123" s="225"/>
      <c r="LFT123" s="225"/>
      <c r="LFU123" s="225"/>
      <c r="LFV123" s="225"/>
      <c r="LFW123" s="225"/>
      <c r="LFX123" s="225"/>
      <c r="LFY123" s="225"/>
      <c r="LFZ123" s="225"/>
      <c r="LGA123" s="225"/>
      <c r="LGB123" s="225"/>
      <c r="LGC123" s="225"/>
      <c r="LGD123" s="225"/>
      <c r="LGE123" s="225"/>
      <c r="LGF123" s="225"/>
      <c r="LGG123" s="225"/>
      <c r="LGH123" s="225"/>
      <c r="LGI123" s="225"/>
      <c r="LGJ123" s="225"/>
      <c r="LGK123" s="225"/>
      <c r="LGL123" s="225"/>
      <c r="LGM123" s="225"/>
      <c r="LGN123" s="225"/>
      <c r="LGO123" s="225"/>
      <c r="LGP123" s="225"/>
      <c r="LGQ123" s="225"/>
      <c r="LGR123" s="225"/>
      <c r="LGS123" s="225"/>
      <c r="LGT123" s="225"/>
      <c r="LGU123" s="225"/>
      <c r="LGV123" s="225"/>
      <c r="LGW123" s="225"/>
      <c r="LGX123" s="225"/>
      <c r="LGY123" s="225"/>
      <c r="LGZ123" s="225"/>
      <c r="LHA123" s="225"/>
      <c r="LHB123" s="225"/>
      <c r="LHC123" s="225"/>
      <c r="LHD123" s="225"/>
      <c r="LHE123" s="225"/>
      <c r="LHF123" s="225"/>
      <c r="LHG123" s="225"/>
      <c r="LHH123" s="225"/>
      <c r="LHI123" s="225"/>
      <c r="LHJ123" s="225"/>
      <c r="LHK123" s="225"/>
      <c r="LHL123" s="225"/>
      <c r="LHM123" s="225"/>
      <c r="LHN123" s="225"/>
      <c r="LHO123" s="225"/>
      <c r="LHP123" s="225"/>
      <c r="LHQ123" s="225"/>
      <c r="LHR123" s="225"/>
      <c r="LHS123" s="225"/>
      <c r="LHT123" s="225"/>
      <c r="LHU123" s="225"/>
      <c r="LHV123" s="225"/>
      <c r="LHW123" s="225"/>
      <c r="LHX123" s="225"/>
      <c r="LHY123" s="225"/>
      <c r="LHZ123" s="225"/>
      <c r="LIA123" s="225"/>
      <c r="LIB123" s="225"/>
      <c r="LIC123" s="225"/>
      <c r="LID123" s="225"/>
      <c r="LIE123" s="225"/>
      <c r="LIF123" s="225"/>
      <c r="LIG123" s="225"/>
      <c r="LIH123" s="225"/>
      <c r="LII123" s="225"/>
      <c r="LIJ123" s="225"/>
      <c r="LIK123" s="225"/>
      <c r="LIL123" s="225"/>
      <c r="LIM123" s="225"/>
      <c r="LIN123" s="225"/>
      <c r="LIO123" s="225"/>
      <c r="LIP123" s="225"/>
      <c r="LIQ123" s="225"/>
      <c r="LIR123" s="225"/>
      <c r="LIS123" s="225"/>
      <c r="LIT123" s="225"/>
      <c r="LIU123" s="225"/>
      <c r="LIV123" s="225"/>
      <c r="LIW123" s="225"/>
      <c r="LIX123" s="225"/>
      <c r="LIY123" s="225"/>
      <c r="LIZ123" s="225"/>
      <c r="LJA123" s="225"/>
      <c r="LJB123" s="225"/>
      <c r="LJC123" s="225"/>
      <c r="LJD123" s="225"/>
      <c r="LJE123" s="225"/>
      <c r="LJF123" s="225"/>
      <c r="LJG123" s="225"/>
      <c r="LJH123" s="225"/>
      <c r="LJI123" s="225"/>
      <c r="LJJ123" s="225"/>
      <c r="LJK123" s="225"/>
      <c r="LJL123" s="225"/>
      <c r="LJM123" s="225"/>
      <c r="LJN123" s="225"/>
      <c r="LJO123" s="225"/>
      <c r="LJP123" s="225"/>
      <c r="LJQ123" s="225"/>
      <c r="LJR123" s="225"/>
      <c r="LJS123" s="225"/>
      <c r="LJT123" s="225"/>
      <c r="LJU123" s="225"/>
      <c r="LJV123" s="225"/>
      <c r="LJW123" s="225"/>
      <c r="LJX123" s="225"/>
      <c r="LJY123" s="225"/>
      <c r="LJZ123" s="225"/>
      <c r="LKA123" s="225"/>
      <c r="LKB123" s="225"/>
      <c r="LKC123" s="225"/>
      <c r="LKD123" s="225"/>
      <c r="LKE123" s="225"/>
      <c r="LKF123" s="225"/>
      <c r="LKG123" s="225"/>
      <c r="LKH123" s="225"/>
      <c r="LKI123" s="225"/>
      <c r="LKJ123" s="225"/>
      <c r="LKK123" s="225"/>
      <c r="LKL123" s="225"/>
      <c r="LKM123" s="225"/>
      <c r="LKN123" s="225"/>
      <c r="LKO123" s="225"/>
      <c r="LKP123" s="225"/>
      <c r="LKQ123" s="225"/>
      <c r="LKR123" s="225"/>
      <c r="LKS123" s="225"/>
      <c r="LKT123" s="225"/>
      <c r="LKU123" s="225"/>
      <c r="LKV123" s="225"/>
      <c r="LKW123" s="225"/>
      <c r="LKX123" s="225"/>
      <c r="LKY123" s="225"/>
      <c r="LKZ123" s="225"/>
      <c r="LLA123" s="225"/>
      <c r="LLB123" s="225"/>
      <c r="LLC123" s="225"/>
      <c r="LLD123" s="225"/>
      <c r="LLE123" s="225"/>
      <c r="LLF123" s="225"/>
      <c r="LLG123" s="225"/>
      <c r="LLH123" s="225"/>
      <c r="LLI123" s="225"/>
      <c r="LLJ123" s="225"/>
      <c r="LLK123" s="225"/>
      <c r="LLL123" s="225"/>
      <c r="LLM123" s="225"/>
      <c r="LLN123" s="225"/>
      <c r="LLO123" s="225"/>
      <c r="LLP123" s="225"/>
      <c r="LLQ123" s="225"/>
      <c r="LLR123" s="225"/>
      <c r="LLS123" s="225"/>
      <c r="LLT123" s="225"/>
      <c r="LLU123" s="225"/>
      <c r="LLV123" s="225"/>
      <c r="LLW123" s="225"/>
      <c r="LLX123" s="225"/>
      <c r="LLY123" s="225"/>
      <c r="LLZ123" s="225"/>
      <c r="LMA123" s="225"/>
      <c r="LMB123" s="225"/>
      <c r="LMC123" s="225"/>
      <c r="LMD123" s="225"/>
      <c r="LME123" s="225"/>
      <c r="LMF123" s="225"/>
      <c r="LMG123" s="225"/>
      <c r="LMH123" s="225"/>
      <c r="LMI123" s="225"/>
      <c r="LMJ123" s="225"/>
      <c r="LMK123" s="225"/>
      <c r="LML123" s="225"/>
      <c r="LMM123" s="225"/>
      <c r="LMN123" s="225"/>
      <c r="LMO123" s="225"/>
      <c r="LMP123" s="225"/>
      <c r="LMQ123" s="225"/>
      <c r="LMR123" s="225"/>
      <c r="LMS123" s="225"/>
      <c r="LMT123" s="225"/>
      <c r="LMU123" s="225"/>
      <c r="LMV123" s="225"/>
      <c r="LMW123" s="225"/>
      <c r="LMX123" s="225"/>
      <c r="LMY123" s="225"/>
      <c r="LMZ123" s="225"/>
      <c r="LNA123" s="225"/>
      <c r="LNB123" s="225"/>
      <c r="LNC123" s="225"/>
      <c r="LND123" s="225"/>
      <c r="LNE123" s="225"/>
      <c r="LNF123" s="225"/>
      <c r="LNG123" s="225"/>
      <c r="LNH123" s="225"/>
      <c r="LNI123" s="225"/>
      <c r="LNJ123" s="225"/>
      <c r="LNK123" s="225"/>
      <c r="LNL123" s="225"/>
      <c r="LNM123" s="225"/>
      <c r="LNN123" s="225"/>
      <c r="LNO123" s="225"/>
      <c r="LNP123" s="225"/>
      <c r="LNQ123" s="225"/>
      <c r="LNR123" s="225"/>
      <c r="LNS123" s="225"/>
      <c r="LNT123" s="225"/>
      <c r="LNU123" s="225"/>
      <c r="LNV123" s="225"/>
      <c r="LNW123" s="225"/>
      <c r="LNX123" s="225"/>
      <c r="LNY123" s="225"/>
      <c r="LNZ123" s="225"/>
      <c r="LOA123" s="225"/>
      <c r="LOB123" s="225"/>
      <c r="LOC123" s="225"/>
      <c r="LOD123" s="225"/>
      <c r="LOE123" s="225"/>
      <c r="LOF123" s="225"/>
      <c r="LOG123" s="225"/>
      <c r="LOH123" s="225"/>
      <c r="LOI123" s="225"/>
      <c r="LOJ123" s="225"/>
      <c r="LOK123" s="225"/>
      <c r="LOL123" s="225"/>
      <c r="LOM123" s="225"/>
      <c r="LON123" s="225"/>
      <c r="LOO123" s="225"/>
      <c r="LOP123" s="225"/>
      <c r="LOQ123" s="225"/>
      <c r="LOR123" s="225"/>
      <c r="LOS123" s="225"/>
      <c r="LOT123" s="225"/>
      <c r="LOU123" s="225"/>
      <c r="LOV123" s="225"/>
      <c r="LOW123" s="225"/>
      <c r="LOX123" s="225"/>
      <c r="LOY123" s="225"/>
      <c r="LOZ123" s="225"/>
      <c r="LPA123" s="225"/>
      <c r="LPB123" s="225"/>
      <c r="LPC123" s="225"/>
      <c r="LPD123" s="225"/>
      <c r="LPE123" s="225"/>
      <c r="LPF123" s="225"/>
      <c r="LPG123" s="225"/>
      <c r="LPH123" s="225"/>
      <c r="LPI123" s="225"/>
      <c r="LPJ123" s="225"/>
      <c r="LPK123" s="225"/>
      <c r="LPL123" s="225"/>
      <c r="LPM123" s="225"/>
      <c r="LPN123" s="225"/>
      <c r="LPO123" s="225"/>
      <c r="LPP123" s="225"/>
      <c r="LPQ123" s="225"/>
      <c r="LPR123" s="225"/>
      <c r="LPS123" s="225"/>
      <c r="LPT123" s="225"/>
      <c r="LPU123" s="225"/>
      <c r="LPV123" s="225"/>
      <c r="LPW123" s="225"/>
      <c r="LPX123" s="225"/>
      <c r="LPY123" s="225"/>
      <c r="LPZ123" s="225"/>
      <c r="LQA123" s="225"/>
      <c r="LQB123" s="225"/>
      <c r="LQC123" s="225"/>
      <c r="LQD123" s="225"/>
      <c r="LQE123" s="225"/>
      <c r="LQF123" s="225"/>
      <c r="LQG123" s="225"/>
      <c r="LQH123" s="225"/>
      <c r="LQI123" s="225"/>
      <c r="LQJ123" s="225"/>
      <c r="LQK123" s="225"/>
      <c r="LQL123" s="225"/>
      <c r="LQM123" s="225"/>
      <c r="LQN123" s="225"/>
      <c r="LQO123" s="225"/>
      <c r="LQP123" s="225"/>
      <c r="LQQ123" s="225"/>
      <c r="LQR123" s="225"/>
      <c r="LQS123" s="225"/>
      <c r="LQT123" s="225"/>
      <c r="LQU123" s="225"/>
      <c r="LQV123" s="225"/>
      <c r="LQW123" s="225"/>
      <c r="LQX123" s="225"/>
      <c r="LQY123" s="225"/>
      <c r="LQZ123" s="225"/>
      <c r="LRA123" s="225"/>
      <c r="LRB123" s="225"/>
      <c r="LRC123" s="225"/>
      <c r="LRD123" s="225"/>
      <c r="LRE123" s="225"/>
      <c r="LRF123" s="225"/>
      <c r="LRG123" s="225"/>
      <c r="LRH123" s="225"/>
      <c r="LRI123" s="225"/>
      <c r="LRJ123" s="225"/>
      <c r="LRK123" s="225"/>
      <c r="LRL123" s="225"/>
      <c r="LRM123" s="225"/>
      <c r="LRN123" s="225"/>
      <c r="LRO123" s="225"/>
      <c r="LRP123" s="225"/>
      <c r="LRQ123" s="225"/>
      <c r="LRR123" s="225"/>
      <c r="LRS123" s="225"/>
      <c r="LRT123" s="225"/>
      <c r="LRU123" s="225"/>
      <c r="LRV123" s="225"/>
      <c r="LRW123" s="225"/>
      <c r="LRX123" s="225"/>
      <c r="LRY123" s="225"/>
      <c r="LRZ123" s="225"/>
      <c r="LSA123" s="225"/>
      <c r="LSB123" s="225"/>
      <c r="LSC123" s="225"/>
      <c r="LSD123" s="225"/>
      <c r="LSE123" s="225"/>
      <c r="LSF123" s="225"/>
      <c r="LSG123" s="225"/>
      <c r="LSH123" s="225"/>
      <c r="LSI123" s="225"/>
      <c r="LSJ123" s="225"/>
      <c r="LSK123" s="225"/>
      <c r="LSL123" s="225"/>
      <c r="LSM123" s="225"/>
      <c r="LSN123" s="225"/>
      <c r="LSO123" s="225"/>
      <c r="LSP123" s="225"/>
      <c r="LSQ123" s="225"/>
      <c r="LSR123" s="225"/>
      <c r="LSS123" s="225"/>
      <c r="LST123" s="225"/>
      <c r="LSU123" s="225"/>
      <c r="LSV123" s="225"/>
      <c r="LSW123" s="225"/>
      <c r="LSX123" s="225"/>
      <c r="LSY123" s="225"/>
      <c r="LSZ123" s="225"/>
      <c r="LTA123" s="225"/>
      <c r="LTB123" s="225"/>
      <c r="LTC123" s="225"/>
      <c r="LTD123" s="225"/>
      <c r="LTE123" s="225"/>
      <c r="LTF123" s="225"/>
      <c r="LTG123" s="225"/>
      <c r="LTH123" s="225"/>
      <c r="LTI123" s="225"/>
      <c r="LTJ123" s="225"/>
      <c r="LTK123" s="225"/>
      <c r="LTL123" s="225"/>
      <c r="LTM123" s="225"/>
      <c r="LTN123" s="225"/>
      <c r="LTO123" s="225"/>
      <c r="LTP123" s="225"/>
      <c r="LTQ123" s="225"/>
      <c r="LTR123" s="225"/>
      <c r="LTS123" s="225"/>
      <c r="LTT123" s="225"/>
      <c r="LTU123" s="225"/>
      <c r="LTV123" s="225"/>
      <c r="LTW123" s="225"/>
      <c r="LTX123" s="225"/>
      <c r="LTY123" s="225"/>
      <c r="LTZ123" s="225"/>
      <c r="LUA123" s="225"/>
      <c r="LUB123" s="225"/>
      <c r="LUC123" s="225"/>
      <c r="LUD123" s="225"/>
      <c r="LUE123" s="225"/>
      <c r="LUF123" s="225"/>
      <c r="LUG123" s="225"/>
      <c r="LUH123" s="225"/>
      <c r="LUI123" s="225"/>
      <c r="LUJ123" s="225"/>
      <c r="LUK123" s="225"/>
      <c r="LUL123" s="225"/>
      <c r="LUM123" s="225"/>
      <c r="LUN123" s="225"/>
      <c r="LUO123" s="225"/>
      <c r="LUP123" s="225"/>
      <c r="LUQ123" s="225"/>
      <c r="LUR123" s="225"/>
      <c r="LUS123" s="225"/>
      <c r="LUT123" s="225"/>
      <c r="LUU123" s="225"/>
      <c r="LUV123" s="225"/>
      <c r="LUW123" s="225"/>
      <c r="LUX123" s="225"/>
      <c r="LUY123" s="225"/>
      <c r="LUZ123" s="225"/>
      <c r="LVA123" s="225"/>
      <c r="LVB123" s="225"/>
      <c r="LVC123" s="225"/>
      <c r="LVD123" s="225"/>
      <c r="LVE123" s="225"/>
      <c r="LVF123" s="225"/>
      <c r="LVG123" s="225"/>
      <c r="LVH123" s="225"/>
      <c r="LVI123" s="225"/>
      <c r="LVJ123" s="225"/>
      <c r="LVK123" s="225"/>
      <c r="LVL123" s="225"/>
      <c r="LVM123" s="225"/>
      <c r="LVN123" s="225"/>
      <c r="LVO123" s="225"/>
      <c r="LVP123" s="225"/>
      <c r="LVQ123" s="225"/>
      <c r="LVR123" s="225"/>
      <c r="LVS123" s="225"/>
      <c r="LVT123" s="225"/>
      <c r="LVU123" s="225"/>
      <c r="LVV123" s="225"/>
      <c r="LVW123" s="225"/>
      <c r="LVX123" s="225"/>
      <c r="LVY123" s="225"/>
      <c r="LVZ123" s="225"/>
      <c r="LWA123" s="225"/>
      <c r="LWB123" s="225"/>
      <c r="LWC123" s="225"/>
      <c r="LWD123" s="225"/>
      <c r="LWE123" s="225"/>
      <c r="LWF123" s="225"/>
      <c r="LWG123" s="225"/>
      <c r="LWH123" s="225"/>
      <c r="LWI123" s="225"/>
      <c r="LWJ123" s="225"/>
      <c r="LWK123" s="225"/>
      <c r="LWL123" s="225"/>
      <c r="LWM123" s="225"/>
      <c r="LWN123" s="225"/>
      <c r="LWO123" s="225"/>
      <c r="LWP123" s="225"/>
      <c r="LWQ123" s="225"/>
      <c r="LWR123" s="225"/>
      <c r="LWS123" s="225"/>
      <c r="LWT123" s="225"/>
      <c r="LWU123" s="225"/>
      <c r="LWV123" s="225"/>
      <c r="LWW123" s="225"/>
      <c r="LWX123" s="225"/>
      <c r="LWY123" s="225"/>
      <c r="LWZ123" s="225"/>
      <c r="LXA123" s="225"/>
      <c r="LXB123" s="225"/>
      <c r="LXC123" s="225"/>
      <c r="LXD123" s="225"/>
      <c r="LXE123" s="225"/>
      <c r="LXF123" s="225"/>
      <c r="LXG123" s="225"/>
      <c r="LXH123" s="225"/>
      <c r="LXI123" s="225"/>
      <c r="LXJ123" s="225"/>
      <c r="LXK123" s="225"/>
      <c r="LXL123" s="225"/>
      <c r="LXM123" s="225"/>
      <c r="LXN123" s="225"/>
      <c r="LXO123" s="225"/>
      <c r="LXP123" s="225"/>
      <c r="LXQ123" s="225"/>
      <c r="LXR123" s="225"/>
      <c r="LXS123" s="225"/>
      <c r="LXT123" s="225"/>
      <c r="LXU123" s="225"/>
      <c r="LXV123" s="225"/>
      <c r="LXW123" s="225"/>
      <c r="LXX123" s="225"/>
      <c r="LXY123" s="225"/>
      <c r="LXZ123" s="225"/>
      <c r="LYA123" s="225"/>
      <c r="LYB123" s="225"/>
      <c r="LYC123" s="225"/>
      <c r="LYD123" s="225"/>
      <c r="LYE123" s="225"/>
      <c r="LYF123" s="225"/>
      <c r="LYG123" s="225"/>
      <c r="LYH123" s="225"/>
      <c r="LYI123" s="225"/>
      <c r="LYJ123" s="225"/>
      <c r="LYK123" s="225"/>
      <c r="LYL123" s="225"/>
      <c r="LYM123" s="225"/>
      <c r="LYN123" s="225"/>
      <c r="LYO123" s="225"/>
      <c r="LYP123" s="225"/>
      <c r="LYQ123" s="225"/>
      <c r="LYR123" s="225"/>
      <c r="LYS123" s="225"/>
      <c r="LYT123" s="225"/>
      <c r="LYU123" s="225"/>
      <c r="LYV123" s="225"/>
      <c r="LYW123" s="225"/>
      <c r="LYX123" s="225"/>
      <c r="LYY123" s="225"/>
      <c r="LYZ123" s="225"/>
      <c r="LZA123" s="225"/>
      <c r="LZB123" s="225"/>
      <c r="LZC123" s="225"/>
      <c r="LZD123" s="225"/>
      <c r="LZE123" s="225"/>
      <c r="LZF123" s="225"/>
      <c r="LZG123" s="225"/>
      <c r="LZH123" s="225"/>
      <c r="LZI123" s="225"/>
      <c r="LZJ123" s="225"/>
      <c r="LZK123" s="225"/>
      <c r="LZL123" s="225"/>
      <c r="LZM123" s="225"/>
      <c r="LZN123" s="225"/>
      <c r="LZO123" s="225"/>
      <c r="LZP123" s="225"/>
      <c r="LZQ123" s="225"/>
      <c r="LZR123" s="225"/>
      <c r="LZS123" s="225"/>
      <c r="LZT123" s="225"/>
      <c r="LZU123" s="225"/>
      <c r="LZV123" s="225"/>
      <c r="LZW123" s="225"/>
      <c r="LZX123" s="225"/>
      <c r="LZY123" s="225"/>
      <c r="LZZ123" s="225"/>
      <c r="MAA123" s="225"/>
      <c r="MAB123" s="225"/>
      <c r="MAC123" s="225"/>
      <c r="MAD123" s="225"/>
      <c r="MAE123" s="225"/>
      <c r="MAF123" s="225"/>
      <c r="MAG123" s="225"/>
      <c r="MAH123" s="225"/>
      <c r="MAI123" s="225"/>
      <c r="MAJ123" s="225"/>
      <c r="MAK123" s="225"/>
      <c r="MAL123" s="225"/>
      <c r="MAM123" s="225"/>
      <c r="MAN123" s="225"/>
      <c r="MAO123" s="225"/>
      <c r="MAP123" s="225"/>
      <c r="MAQ123" s="225"/>
      <c r="MAR123" s="225"/>
      <c r="MAS123" s="225"/>
      <c r="MAT123" s="225"/>
      <c r="MAU123" s="225"/>
      <c r="MAV123" s="225"/>
      <c r="MAW123" s="225"/>
      <c r="MAX123" s="225"/>
      <c r="MAY123" s="225"/>
      <c r="MAZ123" s="225"/>
      <c r="MBA123" s="225"/>
      <c r="MBB123" s="225"/>
      <c r="MBC123" s="225"/>
      <c r="MBD123" s="225"/>
      <c r="MBE123" s="225"/>
      <c r="MBF123" s="225"/>
      <c r="MBG123" s="225"/>
      <c r="MBH123" s="225"/>
      <c r="MBI123" s="225"/>
      <c r="MBJ123" s="225"/>
      <c r="MBK123" s="225"/>
      <c r="MBL123" s="225"/>
      <c r="MBM123" s="225"/>
      <c r="MBN123" s="225"/>
      <c r="MBO123" s="225"/>
      <c r="MBP123" s="225"/>
      <c r="MBQ123" s="225"/>
      <c r="MBR123" s="225"/>
      <c r="MBS123" s="225"/>
      <c r="MBT123" s="225"/>
      <c r="MBU123" s="225"/>
      <c r="MBV123" s="225"/>
      <c r="MBW123" s="225"/>
      <c r="MBX123" s="225"/>
      <c r="MBY123" s="225"/>
      <c r="MBZ123" s="225"/>
      <c r="MCA123" s="225"/>
      <c r="MCB123" s="225"/>
      <c r="MCC123" s="225"/>
      <c r="MCD123" s="225"/>
      <c r="MCE123" s="225"/>
      <c r="MCF123" s="225"/>
      <c r="MCG123" s="225"/>
      <c r="MCH123" s="225"/>
      <c r="MCI123" s="225"/>
      <c r="MCJ123" s="225"/>
      <c r="MCK123" s="225"/>
      <c r="MCL123" s="225"/>
      <c r="MCM123" s="225"/>
      <c r="MCN123" s="225"/>
      <c r="MCO123" s="225"/>
      <c r="MCP123" s="225"/>
      <c r="MCQ123" s="225"/>
      <c r="MCR123" s="225"/>
      <c r="MCS123" s="225"/>
      <c r="MCT123" s="225"/>
      <c r="MCU123" s="225"/>
      <c r="MCV123" s="225"/>
      <c r="MCW123" s="225"/>
      <c r="MCX123" s="225"/>
      <c r="MCY123" s="225"/>
      <c r="MCZ123" s="225"/>
      <c r="MDA123" s="225"/>
      <c r="MDB123" s="225"/>
      <c r="MDC123" s="225"/>
      <c r="MDD123" s="225"/>
      <c r="MDE123" s="225"/>
      <c r="MDF123" s="225"/>
      <c r="MDG123" s="225"/>
      <c r="MDH123" s="225"/>
      <c r="MDI123" s="225"/>
      <c r="MDJ123" s="225"/>
      <c r="MDK123" s="225"/>
      <c r="MDL123" s="225"/>
      <c r="MDM123" s="225"/>
      <c r="MDN123" s="225"/>
      <c r="MDO123" s="225"/>
      <c r="MDP123" s="225"/>
      <c r="MDQ123" s="225"/>
      <c r="MDR123" s="225"/>
      <c r="MDS123" s="225"/>
      <c r="MDT123" s="225"/>
      <c r="MDU123" s="225"/>
      <c r="MDV123" s="225"/>
      <c r="MDW123" s="225"/>
      <c r="MDX123" s="225"/>
      <c r="MDY123" s="225"/>
      <c r="MDZ123" s="225"/>
      <c r="MEA123" s="225"/>
      <c r="MEB123" s="225"/>
      <c r="MEC123" s="225"/>
      <c r="MED123" s="225"/>
      <c r="MEE123" s="225"/>
      <c r="MEF123" s="225"/>
      <c r="MEG123" s="225"/>
      <c r="MEH123" s="225"/>
      <c r="MEI123" s="225"/>
      <c r="MEJ123" s="225"/>
      <c r="MEK123" s="225"/>
      <c r="MEL123" s="225"/>
      <c r="MEM123" s="225"/>
      <c r="MEN123" s="225"/>
      <c r="MEO123" s="225"/>
      <c r="MEP123" s="225"/>
      <c r="MEQ123" s="225"/>
      <c r="MER123" s="225"/>
      <c r="MES123" s="225"/>
      <c r="MET123" s="225"/>
      <c r="MEU123" s="225"/>
      <c r="MEV123" s="225"/>
      <c r="MEW123" s="225"/>
      <c r="MEX123" s="225"/>
      <c r="MEY123" s="225"/>
      <c r="MEZ123" s="225"/>
      <c r="MFA123" s="225"/>
      <c r="MFB123" s="225"/>
      <c r="MFC123" s="225"/>
      <c r="MFD123" s="225"/>
      <c r="MFE123" s="225"/>
      <c r="MFF123" s="225"/>
      <c r="MFG123" s="225"/>
      <c r="MFH123" s="225"/>
      <c r="MFI123" s="225"/>
      <c r="MFJ123" s="225"/>
      <c r="MFK123" s="225"/>
      <c r="MFL123" s="225"/>
      <c r="MFM123" s="225"/>
      <c r="MFN123" s="225"/>
      <c r="MFO123" s="225"/>
      <c r="MFP123" s="225"/>
      <c r="MFQ123" s="225"/>
      <c r="MFR123" s="225"/>
      <c r="MFS123" s="225"/>
      <c r="MFT123" s="225"/>
      <c r="MFU123" s="225"/>
      <c r="MFV123" s="225"/>
      <c r="MFW123" s="225"/>
      <c r="MFX123" s="225"/>
      <c r="MFY123" s="225"/>
      <c r="MFZ123" s="225"/>
      <c r="MGA123" s="225"/>
      <c r="MGB123" s="225"/>
      <c r="MGC123" s="225"/>
      <c r="MGD123" s="225"/>
      <c r="MGE123" s="225"/>
      <c r="MGF123" s="225"/>
      <c r="MGG123" s="225"/>
      <c r="MGH123" s="225"/>
      <c r="MGI123" s="225"/>
      <c r="MGJ123" s="225"/>
      <c r="MGK123" s="225"/>
      <c r="MGL123" s="225"/>
      <c r="MGM123" s="225"/>
      <c r="MGN123" s="225"/>
      <c r="MGO123" s="225"/>
      <c r="MGP123" s="225"/>
      <c r="MGQ123" s="225"/>
      <c r="MGR123" s="225"/>
      <c r="MGS123" s="225"/>
      <c r="MGT123" s="225"/>
      <c r="MGU123" s="225"/>
      <c r="MGV123" s="225"/>
      <c r="MGW123" s="225"/>
      <c r="MGX123" s="225"/>
      <c r="MGY123" s="225"/>
      <c r="MGZ123" s="225"/>
      <c r="MHA123" s="225"/>
      <c r="MHB123" s="225"/>
      <c r="MHC123" s="225"/>
      <c r="MHD123" s="225"/>
      <c r="MHE123" s="225"/>
      <c r="MHF123" s="225"/>
      <c r="MHG123" s="225"/>
      <c r="MHH123" s="225"/>
      <c r="MHI123" s="225"/>
      <c r="MHJ123" s="225"/>
      <c r="MHK123" s="225"/>
      <c r="MHL123" s="225"/>
      <c r="MHM123" s="225"/>
      <c r="MHN123" s="225"/>
      <c r="MHO123" s="225"/>
      <c r="MHP123" s="225"/>
      <c r="MHQ123" s="225"/>
      <c r="MHR123" s="225"/>
      <c r="MHS123" s="225"/>
      <c r="MHT123" s="225"/>
      <c r="MHU123" s="225"/>
      <c r="MHV123" s="225"/>
      <c r="MHW123" s="225"/>
      <c r="MHX123" s="225"/>
      <c r="MHY123" s="225"/>
      <c r="MHZ123" s="225"/>
      <c r="MIA123" s="225"/>
      <c r="MIB123" s="225"/>
      <c r="MIC123" s="225"/>
      <c r="MID123" s="225"/>
      <c r="MIE123" s="225"/>
      <c r="MIF123" s="225"/>
      <c r="MIG123" s="225"/>
      <c r="MIH123" s="225"/>
      <c r="MII123" s="225"/>
      <c r="MIJ123" s="225"/>
      <c r="MIK123" s="225"/>
      <c r="MIL123" s="225"/>
      <c r="MIM123" s="225"/>
      <c r="MIN123" s="225"/>
      <c r="MIO123" s="225"/>
      <c r="MIP123" s="225"/>
      <c r="MIQ123" s="225"/>
      <c r="MIR123" s="225"/>
      <c r="MIS123" s="225"/>
      <c r="MIT123" s="225"/>
      <c r="MIU123" s="225"/>
      <c r="MIV123" s="225"/>
      <c r="MIW123" s="225"/>
      <c r="MIX123" s="225"/>
      <c r="MIY123" s="225"/>
      <c r="MIZ123" s="225"/>
      <c r="MJA123" s="225"/>
      <c r="MJB123" s="225"/>
      <c r="MJC123" s="225"/>
      <c r="MJD123" s="225"/>
      <c r="MJE123" s="225"/>
      <c r="MJF123" s="225"/>
      <c r="MJG123" s="225"/>
      <c r="MJH123" s="225"/>
      <c r="MJI123" s="225"/>
      <c r="MJJ123" s="225"/>
      <c r="MJK123" s="225"/>
      <c r="MJL123" s="225"/>
      <c r="MJM123" s="225"/>
      <c r="MJN123" s="225"/>
      <c r="MJO123" s="225"/>
      <c r="MJP123" s="225"/>
      <c r="MJQ123" s="225"/>
      <c r="MJR123" s="225"/>
      <c r="MJS123" s="225"/>
      <c r="MJT123" s="225"/>
      <c r="MJU123" s="225"/>
      <c r="MJV123" s="225"/>
      <c r="MJW123" s="225"/>
      <c r="MJX123" s="225"/>
      <c r="MJY123" s="225"/>
      <c r="MJZ123" s="225"/>
      <c r="MKA123" s="225"/>
      <c r="MKB123" s="225"/>
      <c r="MKC123" s="225"/>
      <c r="MKD123" s="225"/>
      <c r="MKE123" s="225"/>
      <c r="MKF123" s="225"/>
      <c r="MKG123" s="225"/>
      <c r="MKH123" s="225"/>
      <c r="MKI123" s="225"/>
      <c r="MKJ123" s="225"/>
      <c r="MKK123" s="225"/>
      <c r="MKL123" s="225"/>
      <c r="MKM123" s="225"/>
      <c r="MKN123" s="225"/>
      <c r="MKO123" s="225"/>
      <c r="MKP123" s="225"/>
      <c r="MKQ123" s="225"/>
      <c r="MKR123" s="225"/>
      <c r="MKS123" s="225"/>
      <c r="MKT123" s="225"/>
      <c r="MKU123" s="225"/>
      <c r="MKV123" s="225"/>
      <c r="MKW123" s="225"/>
      <c r="MKX123" s="225"/>
      <c r="MKY123" s="225"/>
      <c r="MKZ123" s="225"/>
      <c r="MLA123" s="225"/>
      <c r="MLB123" s="225"/>
      <c r="MLC123" s="225"/>
      <c r="MLD123" s="225"/>
      <c r="MLE123" s="225"/>
      <c r="MLF123" s="225"/>
      <c r="MLG123" s="225"/>
      <c r="MLH123" s="225"/>
      <c r="MLI123" s="225"/>
      <c r="MLJ123" s="225"/>
      <c r="MLK123" s="225"/>
      <c r="MLL123" s="225"/>
      <c r="MLM123" s="225"/>
      <c r="MLN123" s="225"/>
      <c r="MLO123" s="225"/>
      <c r="MLP123" s="225"/>
      <c r="MLQ123" s="225"/>
      <c r="MLR123" s="225"/>
      <c r="MLS123" s="225"/>
      <c r="MLT123" s="225"/>
      <c r="MLU123" s="225"/>
      <c r="MLV123" s="225"/>
      <c r="MLW123" s="225"/>
      <c r="MLX123" s="225"/>
      <c r="MLY123" s="225"/>
      <c r="MLZ123" s="225"/>
      <c r="MMA123" s="225"/>
      <c r="MMB123" s="225"/>
      <c r="MMC123" s="225"/>
      <c r="MMD123" s="225"/>
      <c r="MME123" s="225"/>
      <c r="MMF123" s="225"/>
      <c r="MMG123" s="225"/>
      <c r="MMH123" s="225"/>
      <c r="MMI123" s="225"/>
      <c r="MMJ123" s="225"/>
      <c r="MMK123" s="225"/>
      <c r="MML123" s="225"/>
      <c r="MMM123" s="225"/>
      <c r="MMN123" s="225"/>
      <c r="MMO123" s="225"/>
      <c r="MMP123" s="225"/>
      <c r="MMQ123" s="225"/>
      <c r="MMR123" s="225"/>
      <c r="MMS123" s="225"/>
      <c r="MMT123" s="225"/>
      <c r="MMU123" s="225"/>
      <c r="MMV123" s="225"/>
      <c r="MMW123" s="225"/>
      <c r="MMX123" s="225"/>
      <c r="MMY123" s="225"/>
      <c r="MMZ123" s="225"/>
      <c r="MNA123" s="225"/>
      <c r="MNB123" s="225"/>
      <c r="MNC123" s="225"/>
      <c r="MND123" s="225"/>
      <c r="MNE123" s="225"/>
      <c r="MNF123" s="225"/>
      <c r="MNG123" s="225"/>
      <c r="MNH123" s="225"/>
      <c r="MNI123" s="225"/>
      <c r="MNJ123" s="225"/>
      <c r="MNK123" s="225"/>
      <c r="MNL123" s="225"/>
      <c r="MNM123" s="225"/>
      <c r="MNN123" s="225"/>
      <c r="MNO123" s="225"/>
      <c r="MNP123" s="225"/>
      <c r="MNQ123" s="225"/>
      <c r="MNR123" s="225"/>
      <c r="MNS123" s="225"/>
      <c r="MNT123" s="225"/>
      <c r="MNU123" s="225"/>
      <c r="MNV123" s="225"/>
      <c r="MNW123" s="225"/>
      <c r="MNX123" s="225"/>
      <c r="MNY123" s="225"/>
      <c r="MNZ123" s="225"/>
      <c r="MOA123" s="225"/>
      <c r="MOB123" s="225"/>
      <c r="MOC123" s="225"/>
      <c r="MOD123" s="225"/>
      <c r="MOE123" s="225"/>
      <c r="MOF123" s="225"/>
      <c r="MOG123" s="225"/>
      <c r="MOH123" s="225"/>
      <c r="MOI123" s="225"/>
      <c r="MOJ123" s="225"/>
      <c r="MOK123" s="225"/>
      <c r="MOL123" s="225"/>
      <c r="MOM123" s="225"/>
      <c r="MON123" s="225"/>
      <c r="MOO123" s="225"/>
      <c r="MOP123" s="225"/>
      <c r="MOQ123" s="225"/>
      <c r="MOR123" s="225"/>
      <c r="MOS123" s="225"/>
      <c r="MOT123" s="225"/>
      <c r="MOU123" s="225"/>
      <c r="MOV123" s="225"/>
      <c r="MOW123" s="225"/>
      <c r="MOX123" s="225"/>
      <c r="MOY123" s="225"/>
      <c r="MOZ123" s="225"/>
      <c r="MPA123" s="225"/>
      <c r="MPB123" s="225"/>
      <c r="MPC123" s="225"/>
      <c r="MPD123" s="225"/>
      <c r="MPE123" s="225"/>
      <c r="MPF123" s="225"/>
      <c r="MPG123" s="225"/>
      <c r="MPH123" s="225"/>
      <c r="MPI123" s="225"/>
      <c r="MPJ123" s="225"/>
      <c r="MPK123" s="225"/>
      <c r="MPL123" s="225"/>
      <c r="MPM123" s="225"/>
      <c r="MPN123" s="225"/>
      <c r="MPO123" s="225"/>
      <c r="MPP123" s="225"/>
      <c r="MPQ123" s="225"/>
      <c r="MPR123" s="225"/>
      <c r="MPS123" s="225"/>
      <c r="MPT123" s="225"/>
      <c r="MPU123" s="225"/>
      <c r="MPV123" s="225"/>
      <c r="MPW123" s="225"/>
      <c r="MPX123" s="225"/>
      <c r="MPY123" s="225"/>
      <c r="MPZ123" s="225"/>
      <c r="MQA123" s="225"/>
      <c r="MQB123" s="225"/>
      <c r="MQC123" s="225"/>
      <c r="MQD123" s="225"/>
      <c r="MQE123" s="225"/>
      <c r="MQF123" s="225"/>
      <c r="MQG123" s="225"/>
      <c r="MQH123" s="225"/>
      <c r="MQI123" s="225"/>
      <c r="MQJ123" s="225"/>
      <c r="MQK123" s="225"/>
      <c r="MQL123" s="225"/>
      <c r="MQM123" s="225"/>
      <c r="MQN123" s="225"/>
      <c r="MQO123" s="225"/>
      <c r="MQP123" s="225"/>
      <c r="MQQ123" s="225"/>
      <c r="MQR123" s="225"/>
      <c r="MQS123" s="225"/>
      <c r="MQT123" s="225"/>
      <c r="MQU123" s="225"/>
      <c r="MQV123" s="225"/>
      <c r="MQW123" s="225"/>
      <c r="MQX123" s="225"/>
      <c r="MQY123" s="225"/>
      <c r="MQZ123" s="225"/>
      <c r="MRA123" s="225"/>
      <c r="MRB123" s="225"/>
      <c r="MRC123" s="225"/>
      <c r="MRD123" s="225"/>
      <c r="MRE123" s="225"/>
      <c r="MRF123" s="225"/>
      <c r="MRG123" s="225"/>
      <c r="MRH123" s="225"/>
      <c r="MRI123" s="225"/>
      <c r="MRJ123" s="225"/>
      <c r="MRK123" s="225"/>
      <c r="MRL123" s="225"/>
      <c r="MRM123" s="225"/>
      <c r="MRN123" s="225"/>
      <c r="MRO123" s="225"/>
      <c r="MRP123" s="225"/>
      <c r="MRQ123" s="225"/>
      <c r="MRR123" s="225"/>
      <c r="MRS123" s="225"/>
      <c r="MRT123" s="225"/>
      <c r="MRU123" s="225"/>
      <c r="MRV123" s="225"/>
      <c r="MRW123" s="225"/>
      <c r="MRX123" s="225"/>
      <c r="MRY123" s="225"/>
      <c r="MRZ123" s="225"/>
      <c r="MSA123" s="225"/>
      <c r="MSB123" s="225"/>
      <c r="MSC123" s="225"/>
      <c r="MSD123" s="225"/>
      <c r="MSE123" s="225"/>
      <c r="MSF123" s="225"/>
      <c r="MSG123" s="225"/>
      <c r="MSH123" s="225"/>
      <c r="MSI123" s="225"/>
      <c r="MSJ123" s="225"/>
      <c r="MSK123" s="225"/>
      <c r="MSL123" s="225"/>
      <c r="MSM123" s="225"/>
      <c r="MSN123" s="225"/>
      <c r="MSO123" s="225"/>
      <c r="MSP123" s="225"/>
      <c r="MSQ123" s="225"/>
      <c r="MSR123" s="225"/>
      <c r="MSS123" s="225"/>
      <c r="MST123" s="225"/>
      <c r="MSU123" s="225"/>
      <c r="MSV123" s="225"/>
      <c r="MSW123" s="225"/>
      <c r="MSX123" s="225"/>
      <c r="MSY123" s="225"/>
      <c r="MSZ123" s="225"/>
      <c r="MTA123" s="225"/>
      <c r="MTB123" s="225"/>
      <c r="MTC123" s="225"/>
      <c r="MTD123" s="225"/>
      <c r="MTE123" s="225"/>
      <c r="MTF123" s="225"/>
      <c r="MTG123" s="225"/>
      <c r="MTH123" s="225"/>
      <c r="MTI123" s="225"/>
      <c r="MTJ123" s="225"/>
      <c r="MTK123" s="225"/>
      <c r="MTL123" s="225"/>
      <c r="MTM123" s="225"/>
      <c r="MTN123" s="225"/>
      <c r="MTO123" s="225"/>
      <c r="MTP123" s="225"/>
      <c r="MTQ123" s="225"/>
      <c r="MTR123" s="225"/>
      <c r="MTS123" s="225"/>
      <c r="MTT123" s="225"/>
      <c r="MTU123" s="225"/>
      <c r="MTV123" s="225"/>
      <c r="MTW123" s="225"/>
      <c r="MTX123" s="225"/>
      <c r="MTY123" s="225"/>
      <c r="MTZ123" s="225"/>
      <c r="MUA123" s="225"/>
      <c r="MUB123" s="225"/>
      <c r="MUC123" s="225"/>
      <c r="MUD123" s="225"/>
      <c r="MUE123" s="225"/>
      <c r="MUF123" s="225"/>
      <c r="MUG123" s="225"/>
      <c r="MUH123" s="225"/>
      <c r="MUI123" s="225"/>
      <c r="MUJ123" s="225"/>
      <c r="MUK123" s="225"/>
      <c r="MUL123" s="225"/>
      <c r="MUM123" s="225"/>
      <c r="MUN123" s="225"/>
      <c r="MUO123" s="225"/>
      <c r="MUP123" s="225"/>
      <c r="MUQ123" s="225"/>
      <c r="MUR123" s="225"/>
      <c r="MUS123" s="225"/>
      <c r="MUT123" s="225"/>
      <c r="MUU123" s="225"/>
      <c r="MUV123" s="225"/>
      <c r="MUW123" s="225"/>
      <c r="MUX123" s="225"/>
      <c r="MUY123" s="225"/>
      <c r="MUZ123" s="225"/>
      <c r="MVA123" s="225"/>
      <c r="MVB123" s="225"/>
      <c r="MVC123" s="225"/>
      <c r="MVD123" s="225"/>
      <c r="MVE123" s="225"/>
      <c r="MVF123" s="225"/>
      <c r="MVG123" s="225"/>
      <c r="MVH123" s="225"/>
      <c r="MVI123" s="225"/>
      <c r="MVJ123" s="225"/>
      <c r="MVK123" s="225"/>
      <c r="MVL123" s="225"/>
      <c r="MVM123" s="225"/>
      <c r="MVN123" s="225"/>
      <c r="MVO123" s="225"/>
      <c r="MVP123" s="225"/>
      <c r="MVQ123" s="225"/>
      <c r="MVR123" s="225"/>
      <c r="MVS123" s="225"/>
      <c r="MVT123" s="225"/>
      <c r="MVU123" s="225"/>
      <c r="MVV123" s="225"/>
      <c r="MVW123" s="225"/>
      <c r="MVX123" s="225"/>
      <c r="MVY123" s="225"/>
      <c r="MVZ123" s="225"/>
      <c r="MWA123" s="225"/>
      <c r="MWB123" s="225"/>
      <c r="MWC123" s="225"/>
      <c r="MWD123" s="225"/>
      <c r="MWE123" s="225"/>
      <c r="MWF123" s="225"/>
      <c r="MWG123" s="225"/>
      <c r="MWH123" s="225"/>
      <c r="MWI123" s="225"/>
      <c r="MWJ123" s="225"/>
      <c r="MWK123" s="225"/>
      <c r="MWL123" s="225"/>
      <c r="MWM123" s="225"/>
      <c r="MWN123" s="225"/>
      <c r="MWO123" s="225"/>
      <c r="MWP123" s="225"/>
      <c r="MWQ123" s="225"/>
      <c r="MWR123" s="225"/>
      <c r="MWS123" s="225"/>
      <c r="MWT123" s="225"/>
      <c r="MWU123" s="225"/>
      <c r="MWV123" s="225"/>
      <c r="MWW123" s="225"/>
      <c r="MWX123" s="225"/>
      <c r="MWY123" s="225"/>
      <c r="MWZ123" s="225"/>
      <c r="MXA123" s="225"/>
      <c r="MXB123" s="225"/>
      <c r="MXC123" s="225"/>
      <c r="MXD123" s="225"/>
      <c r="MXE123" s="225"/>
      <c r="MXF123" s="225"/>
      <c r="MXG123" s="225"/>
      <c r="MXH123" s="225"/>
      <c r="MXI123" s="225"/>
      <c r="MXJ123" s="225"/>
      <c r="MXK123" s="225"/>
      <c r="MXL123" s="225"/>
      <c r="MXM123" s="225"/>
      <c r="MXN123" s="225"/>
      <c r="MXO123" s="225"/>
      <c r="MXP123" s="225"/>
      <c r="MXQ123" s="225"/>
      <c r="MXR123" s="225"/>
      <c r="MXS123" s="225"/>
      <c r="MXT123" s="225"/>
      <c r="MXU123" s="225"/>
      <c r="MXV123" s="225"/>
      <c r="MXW123" s="225"/>
      <c r="MXX123" s="225"/>
      <c r="MXY123" s="225"/>
      <c r="MXZ123" s="225"/>
      <c r="MYA123" s="225"/>
      <c r="MYB123" s="225"/>
      <c r="MYC123" s="225"/>
      <c r="MYD123" s="225"/>
      <c r="MYE123" s="225"/>
      <c r="MYF123" s="225"/>
      <c r="MYG123" s="225"/>
      <c r="MYH123" s="225"/>
      <c r="MYI123" s="225"/>
      <c r="MYJ123" s="225"/>
      <c r="MYK123" s="225"/>
      <c r="MYL123" s="225"/>
      <c r="MYM123" s="225"/>
      <c r="MYN123" s="225"/>
      <c r="MYO123" s="225"/>
      <c r="MYP123" s="225"/>
      <c r="MYQ123" s="225"/>
      <c r="MYR123" s="225"/>
      <c r="MYS123" s="225"/>
      <c r="MYT123" s="225"/>
      <c r="MYU123" s="225"/>
      <c r="MYV123" s="225"/>
      <c r="MYW123" s="225"/>
      <c r="MYX123" s="225"/>
      <c r="MYY123" s="225"/>
      <c r="MYZ123" s="225"/>
      <c r="MZA123" s="225"/>
      <c r="MZB123" s="225"/>
      <c r="MZC123" s="225"/>
      <c r="MZD123" s="225"/>
      <c r="MZE123" s="225"/>
      <c r="MZF123" s="225"/>
      <c r="MZG123" s="225"/>
      <c r="MZH123" s="225"/>
      <c r="MZI123" s="225"/>
      <c r="MZJ123" s="225"/>
      <c r="MZK123" s="225"/>
      <c r="MZL123" s="225"/>
      <c r="MZM123" s="225"/>
      <c r="MZN123" s="225"/>
      <c r="MZO123" s="225"/>
      <c r="MZP123" s="225"/>
      <c r="MZQ123" s="225"/>
      <c r="MZR123" s="225"/>
      <c r="MZS123" s="225"/>
      <c r="MZT123" s="225"/>
      <c r="MZU123" s="225"/>
      <c r="MZV123" s="225"/>
      <c r="MZW123" s="225"/>
      <c r="MZX123" s="225"/>
      <c r="MZY123" s="225"/>
      <c r="MZZ123" s="225"/>
      <c r="NAA123" s="225"/>
      <c r="NAB123" s="225"/>
      <c r="NAC123" s="225"/>
      <c r="NAD123" s="225"/>
      <c r="NAE123" s="225"/>
      <c r="NAF123" s="225"/>
      <c r="NAG123" s="225"/>
      <c r="NAH123" s="225"/>
      <c r="NAI123" s="225"/>
      <c r="NAJ123" s="225"/>
      <c r="NAK123" s="225"/>
      <c r="NAL123" s="225"/>
      <c r="NAM123" s="225"/>
      <c r="NAN123" s="225"/>
      <c r="NAO123" s="225"/>
      <c r="NAP123" s="225"/>
      <c r="NAQ123" s="225"/>
      <c r="NAR123" s="225"/>
      <c r="NAS123" s="225"/>
      <c r="NAT123" s="225"/>
      <c r="NAU123" s="225"/>
      <c r="NAV123" s="225"/>
      <c r="NAW123" s="225"/>
      <c r="NAX123" s="225"/>
      <c r="NAY123" s="225"/>
      <c r="NAZ123" s="225"/>
      <c r="NBA123" s="225"/>
      <c r="NBB123" s="225"/>
      <c r="NBC123" s="225"/>
      <c r="NBD123" s="225"/>
      <c r="NBE123" s="225"/>
      <c r="NBF123" s="225"/>
      <c r="NBG123" s="225"/>
      <c r="NBH123" s="225"/>
      <c r="NBI123" s="225"/>
      <c r="NBJ123" s="225"/>
      <c r="NBK123" s="225"/>
      <c r="NBL123" s="225"/>
      <c r="NBM123" s="225"/>
      <c r="NBN123" s="225"/>
      <c r="NBO123" s="225"/>
      <c r="NBP123" s="225"/>
      <c r="NBQ123" s="225"/>
      <c r="NBR123" s="225"/>
      <c r="NBS123" s="225"/>
      <c r="NBT123" s="225"/>
      <c r="NBU123" s="225"/>
      <c r="NBV123" s="225"/>
      <c r="NBW123" s="225"/>
      <c r="NBX123" s="225"/>
      <c r="NBY123" s="225"/>
      <c r="NBZ123" s="225"/>
      <c r="NCA123" s="225"/>
      <c r="NCB123" s="225"/>
      <c r="NCC123" s="225"/>
      <c r="NCD123" s="225"/>
      <c r="NCE123" s="225"/>
      <c r="NCF123" s="225"/>
      <c r="NCG123" s="225"/>
      <c r="NCH123" s="225"/>
      <c r="NCI123" s="225"/>
      <c r="NCJ123" s="225"/>
      <c r="NCK123" s="225"/>
      <c r="NCL123" s="225"/>
      <c r="NCM123" s="225"/>
      <c r="NCN123" s="225"/>
      <c r="NCO123" s="225"/>
      <c r="NCP123" s="225"/>
      <c r="NCQ123" s="225"/>
      <c r="NCR123" s="225"/>
      <c r="NCS123" s="225"/>
      <c r="NCT123" s="225"/>
      <c r="NCU123" s="225"/>
      <c r="NCV123" s="225"/>
      <c r="NCW123" s="225"/>
      <c r="NCX123" s="225"/>
      <c r="NCY123" s="225"/>
      <c r="NCZ123" s="225"/>
      <c r="NDA123" s="225"/>
      <c r="NDB123" s="225"/>
      <c r="NDC123" s="225"/>
      <c r="NDD123" s="225"/>
      <c r="NDE123" s="225"/>
      <c r="NDF123" s="225"/>
      <c r="NDG123" s="225"/>
      <c r="NDH123" s="225"/>
      <c r="NDI123" s="225"/>
      <c r="NDJ123" s="225"/>
      <c r="NDK123" s="225"/>
      <c r="NDL123" s="225"/>
      <c r="NDM123" s="225"/>
      <c r="NDN123" s="225"/>
      <c r="NDO123" s="225"/>
      <c r="NDP123" s="225"/>
      <c r="NDQ123" s="225"/>
      <c r="NDR123" s="225"/>
      <c r="NDS123" s="225"/>
      <c r="NDT123" s="225"/>
      <c r="NDU123" s="225"/>
      <c r="NDV123" s="225"/>
      <c r="NDW123" s="225"/>
      <c r="NDX123" s="225"/>
      <c r="NDY123" s="225"/>
      <c r="NDZ123" s="225"/>
      <c r="NEA123" s="225"/>
      <c r="NEB123" s="225"/>
      <c r="NEC123" s="225"/>
      <c r="NED123" s="225"/>
      <c r="NEE123" s="225"/>
      <c r="NEF123" s="225"/>
      <c r="NEG123" s="225"/>
      <c r="NEH123" s="225"/>
      <c r="NEI123" s="225"/>
      <c r="NEJ123" s="225"/>
      <c r="NEK123" s="225"/>
      <c r="NEL123" s="225"/>
      <c r="NEM123" s="225"/>
      <c r="NEN123" s="225"/>
      <c r="NEO123" s="225"/>
      <c r="NEP123" s="225"/>
      <c r="NEQ123" s="225"/>
      <c r="NER123" s="225"/>
      <c r="NES123" s="225"/>
      <c r="NET123" s="225"/>
      <c r="NEU123" s="225"/>
      <c r="NEV123" s="225"/>
      <c r="NEW123" s="225"/>
      <c r="NEX123" s="225"/>
      <c r="NEY123" s="225"/>
      <c r="NEZ123" s="225"/>
      <c r="NFA123" s="225"/>
      <c r="NFB123" s="225"/>
      <c r="NFC123" s="225"/>
      <c r="NFD123" s="225"/>
      <c r="NFE123" s="225"/>
      <c r="NFF123" s="225"/>
      <c r="NFG123" s="225"/>
      <c r="NFH123" s="225"/>
      <c r="NFI123" s="225"/>
      <c r="NFJ123" s="225"/>
      <c r="NFK123" s="225"/>
      <c r="NFL123" s="225"/>
      <c r="NFM123" s="225"/>
      <c r="NFN123" s="225"/>
      <c r="NFO123" s="225"/>
      <c r="NFP123" s="225"/>
      <c r="NFQ123" s="225"/>
      <c r="NFR123" s="225"/>
      <c r="NFS123" s="225"/>
      <c r="NFT123" s="225"/>
      <c r="NFU123" s="225"/>
      <c r="NFV123" s="225"/>
      <c r="NFW123" s="225"/>
      <c r="NFX123" s="225"/>
      <c r="NFY123" s="225"/>
      <c r="NFZ123" s="225"/>
      <c r="NGA123" s="225"/>
      <c r="NGB123" s="225"/>
      <c r="NGC123" s="225"/>
      <c r="NGD123" s="225"/>
      <c r="NGE123" s="225"/>
      <c r="NGF123" s="225"/>
      <c r="NGG123" s="225"/>
      <c r="NGH123" s="225"/>
      <c r="NGI123" s="225"/>
      <c r="NGJ123" s="225"/>
      <c r="NGK123" s="225"/>
      <c r="NGL123" s="225"/>
      <c r="NGM123" s="225"/>
      <c r="NGN123" s="225"/>
      <c r="NGO123" s="225"/>
      <c r="NGP123" s="225"/>
      <c r="NGQ123" s="225"/>
      <c r="NGR123" s="225"/>
      <c r="NGS123" s="225"/>
      <c r="NGT123" s="225"/>
      <c r="NGU123" s="225"/>
      <c r="NGV123" s="225"/>
      <c r="NGW123" s="225"/>
      <c r="NGX123" s="225"/>
      <c r="NGY123" s="225"/>
      <c r="NGZ123" s="225"/>
      <c r="NHA123" s="225"/>
      <c r="NHB123" s="225"/>
      <c r="NHC123" s="225"/>
      <c r="NHD123" s="225"/>
      <c r="NHE123" s="225"/>
      <c r="NHF123" s="225"/>
      <c r="NHG123" s="225"/>
      <c r="NHH123" s="225"/>
      <c r="NHI123" s="225"/>
      <c r="NHJ123" s="225"/>
      <c r="NHK123" s="225"/>
      <c r="NHL123" s="225"/>
      <c r="NHM123" s="225"/>
      <c r="NHN123" s="225"/>
      <c r="NHO123" s="225"/>
      <c r="NHP123" s="225"/>
      <c r="NHQ123" s="225"/>
      <c r="NHR123" s="225"/>
      <c r="NHS123" s="225"/>
      <c r="NHT123" s="225"/>
      <c r="NHU123" s="225"/>
      <c r="NHV123" s="225"/>
      <c r="NHW123" s="225"/>
      <c r="NHX123" s="225"/>
      <c r="NHY123" s="225"/>
      <c r="NHZ123" s="225"/>
      <c r="NIA123" s="225"/>
      <c r="NIB123" s="225"/>
      <c r="NIC123" s="225"/>
      <c r="NID123" s="225"/>
      <c r="NIE123" s="225"/>
      <c r="NIF123" s="225"/>
      <c r="NIG123" s="225"/>
      <c r="NIH123" s="225"/>
      <c r="NII123" s="225"/>
      <c r="NIJ123" s="225"/>
      <c r="NIK123" s="225"/>
      <c r="NIL123" s="225"/>
      <c r="NIM123" s="225"/>
      <c r="NIN123" s="225"/>
      <c r="NIO123" s="225"/>
      <c r="NIP123" s="225"/>
      <c r="NIQ123" s="225"/>
      <c r="NIR123" s="225"/>
      <c r="NIS123" s="225"/>
      <c r="NIT123" s="225"/>
      <c r="NIU123" s="225"/>
      <c r="NIV123" s="225"/>
      <c r="NIW123" s="225"/>
      <c r="NIX123" s="225"/>
      <c r="NIY123" s="225"/>
      <c r="NIZ123" s="225"/>
      <c r="NJA123" s="225"/>
      <c r="NJB123" s="225"/>
      <c r="NJC123" s="225"/>
      <c r="NJD123" s="225"/>
      <c r="NJE123" s="225"/>
      <c r="NJF123" s="225"/>
      <c r="NJG123" s="225"/>
      <c r="NJH123" s="225"/>
      <c r="NJI123" s="225"/>
      <c r="NJJ123" s="225"/>
      <c r="NJK123" s="225"/>
      <c r="NJL123" s="225"/>
      <c r="NJM123" s="225"/>
      <c r="NJN123" s="225"/>
      <c r="NJO123" s="225"/>
      <c r="NJP123" s="225"/>
      <c r="NJQ123" s="225"/>
      <c r="NJR123" s="225"/>
      <c r="NJS123" s="225"/>
      <c r="NJT123" s="225"/>
      <c r="NJU123" s="225"/>
      <c r="NJV123" s="225"/>
      <c r="NJW123" s="225"/>
      <c r="NJX123" s="225"/>
      <c r="NJY123" s="225"/>
      <c r="NJZ123" s="225"/>
      <c r="NKA123" s="225"/>
      <c r="NKB123" s="225"/>
      <c r="NKC123" s="225"/>
      <c r="NKD123" s="225"/>
      <c r="NKE123" s="225"/>
      <c r="NKF123" s="225"/>
      <c r="NKG123" s="225"/>
      <c r="NKH123" s="225"/>
      <c r="NKI123" s="225"/>
      <c r="NKJ123" s="225"/>
      <c r="NKK123" s="225"/>
      <c r="NKL123" s="225"/>
      <c r="NKM123" s="225"/>
      <c r="NKN123" s="225"/>
      <c r="NKO123" s="225"/>
      <c r="NKP123" s="225"/>
      <c r="NKQ123" s="225"/>
      <c r="NKR123" s="225"/>
      <c r="NKS123" s="225"/>
      <c r="NKT123" s="225"/>
      <c r="NKU123" s="225"/>
      <c r="NKV123" s="225"/>
      <c r="NKW123" s="225"/>
      <c r="NKX123" s="225"/>
      <c r="NKY123" s="225"/>
      <c r="NKZ123" s="225"/>
      <c r="NLA123" s="225"/>
      <c r="NLB123" s="225"/>
      <c r="NLC123" s="225"/>
      <c r="NLD123" s="225"/>
      <c r="NLE123" s="225"/>
      <c r="NLF123" s="225"/>
      <c r="NLG123" s="225"/>
      <c r="NLH123" s="225"/>
      <c r="NLI123" s="225"/>
      <c r="NLJ123" s="225"/>
      <c r="NLK123" s="225"/>
      <c r="NLL123" s="225"/>
      <c r="NLM123" s="225"/>
      <c r="NLN123" s="225"/>
      <c r="NLO123" s="225"/>
      <c r="NLP123" s="225"/>
      <c r="NLQ123" s="225"/>
      <c r="NLR123" s="225"/>
      <c r="NLS123" s="225"/>
      <c r="NLT123" s="225"/>
      <c r="NLU123" s="225"/>
      <c r="NLV123" s="225"/>
      <c r="NLW123" s="225"/>
      <c r="NLX123" s="225"/>
      <c r="NLY123" s="225"/>
      <c r="NLZ123" s="225"/>
      <c r="NMA123" s="225"/>
      <c r="NMB123" s="225"/>
      <c r="NMC123" s="225"/>
      <c r="NMD123" s="225"/>
      <c r="NME123" s="225"/>
      <c r="NMF123" s="225"/>
      <c r="NMG123" s="225"/>
      <c r="NMH123" s="225"/>
      <c r="NMI123" s="225"/>
      <c r="NMJ123" s="225"/>
      <c r="NMK123" s="225"/>
      <c r="NML123" s="225"/>
      <c r="NMM123" s="225"/>
      <c r="NMN123" s="225"/>
      <c r="NMO123" s="225"/>
      <c r="NMP123" s="225"/>
      <c r="NMQ123" s="225"/>
      <c r="NMR123" s="225"/>
      <c r="NMS123" s="225"/>
      <c r="NMT123" s="225"/>
      <c r="NMU123" s="225"/>
      <c r="NMV123" s="225"/>
      <c r="NMW123" s="225"/>
      <c r="NMX123" s="225"/>
      <c r="NMY123" s="225"/>
      <c r="NMZ123" s="225"/>
      <c r="NNA123" s="225"/>
      <c r="NNB123" s="225"/>
      <c r="NNC123" s="225"/>
      <c r="NND123" s="225"/>
      <c r="NNE123" s="225"/>
      <c r="NNF123" s="225"/>
      <c r="NNG123" s="225"/>
      <c r="NNH123" s="225"/>
      <c r="NNI123" s="225"/>
      <c r="NNJ123" s="225"/>
      <c r="NNK123" s="225"/>
      <c r="NNL123" s="225"/>
      <c r="NNM123" s="225"/>
      <c r="NNN123" s="225"/>
      <c r="NNO123" s="225"/>
      <c r="NNP123" s="225"/>
      <c r="NNQ123" s="225"/>
      <c r="NNR123" s="225"/>
      <c r="NNS123" s="225"/>
      <c r="NNT123" s="225"/>
      <c r="NNU123" s="225"/>
      <c r="NNV123" s="225"/>
      <c r="NNW123" s="225"/>
      <c r="NNX123" s="225"/>
      <c r="NNY123" s="225"/>
      <c r="NNZ123" s="225"/>
      <c r="NOA123" s="225"/>
      <c r="NOB123" s="225"/>
      <c r="NOC123" s="225"/>
      <c r="NOD123" s="225"/>
      <c r="NOE123" s="225"/>
      <c r="NOF123" s="225"/>
      <c r="NOG123" s="225"/>
      <c r="NOH123" s="225"/>
      <c r="NOI123" s="225"/>
      <c r="NOJ123" s="225"/>
      <c r="NOK123" s="225"/>
      <c r="NOL123" s="225"/>
      <c r="NOM123" s="225"/>
      <c r="NON123" s="225"/>
      <c r="NOO123" s="225"/>
      <c r="NOP123" s="225"/>
      <c r="NOQ123" s="225"/>
      <c r="NOR123" s="225"/>
      <c r="NOS123" s="225"/>
      <c r="NOT123" s="225"/>
      <c r="NOU123" s="225"/>
      <c r="NOV123" s="225"/>
      <c r="NOW123" s="225"/>
      <c r="NOX123" s="225"/>
      <c r="NOY123" s="225"/>
      <c r="NOZ123" s="225"/>
      <c r="NPA123" s="225"/>
      <c r="NPB123" s="225"/>
      <c r="NPC123" s="225"/>
      <c r="NPD123" s="225"/>
      <c r="NPE123" s="225"/>
      <c r="NPF123" s="225"/>
      <c r="NPG123" s="225"/>
      <c r="NPH123" s="225"/>
      <c r="NPI123" s="225"/>
      <c r="NPJ123" s="225"/>
      <c r="NPK123" s="225"/>
      <c r="NPL123" s="225"/>
      <c r="NPM123" s="225"/>
      <c r="NPN123" s="225"/>
      <c r="NPO123" s="225"/>
      <c r="NPP123" s="225"/>
      <c r="NPQ123" s="225"/>
      <c r="NPR123" s="225"/>
      <c r="NPS123" s="225"/>
      <c r="NPT123" s="225"/>
      <c r="NPU123" s="225"/>
      <c r="NPV123" s="225"/>
      <c r="NPW123" s="225"/>
      <c r="NPX123" s="225"/>
      <c r="NPY123" s="225"/>
      <c r="NPZ123" s="225"/>
      <c r="NQA123" s="225"/>
      <c r="NQB123" s="225"/>
      <c r="NQC123" s="225"/>
      <c r="NQD123" s="225"/>
      <c r="NQE123" s="225"/>
      <c r="NQF123" s="225"/>
      <c r="NQG123" s="225"/>
      <c r="NQH123" s="225"/>
      <c r="NQI123" s="225"/>
      <c r="NQJ123" s="225"/>
      <c r="NQK123" s="225"/>
      <c r="NQL123" s="225"/>
      <c r="NQM123" s="225"/>
      <c r="NQN123" s="225"/>
      <c r="NQO123" s="225"/>
      <c r="NQP123" s="225"/>
      <c r="NQQ123" s="225"/>
      <c r="NQR123" s="225"/>
      <c r="NQS123" s="225"/>
      <c r="NQT123" s="225"/>
      <c r="NQU123" s="225"/>
      <c r="NQV123" s="225"/>
      <c r="NQW123" s="225"/>
      <c r="NQX123" s="225"/>
      <c r="NQY123" s="225"/>
      <c r="NQZ123" s="225"/>
      <c r="NRA123" s="225"/>
      <c r="NRB123" s="225"/>
      <c r="NRC123" s="225"/>
      <c r="NRD123" s="225"/>
      <c r="NRE123" s="225"/>
      <c r="NRF123" s="225"/>
      <c r="NRG123" s="225"/>
      <c r="NRH123" s="225"/>
      <c r="NRI123" s="225"/>
      <c r="NRJ123" s="225"/>
      <c r="NRK123" s="225"/>
      <c r="NRL123" s="225"/>
      <c r="NRM123" s="225"/>
      <c r="NRN123" s="225"/>
      <c r="NRO123" s="225"/>
      <c r="NRP123" s="225"/>
      <c r="NRQ123" s="225"/>
      <c r="NRR123" s="225"/>
      <c r="NRS123" s="225"/>
      <c r="NRT123" s="225"/>
      <c r="NRU123" s="225"/>
      <c r="NRV123" s="225"/>
      <c r="NRW123" s="225"/>
      <c r="NRX123" s="225"/>
      <c r="NRY123" s="225"/>
      <c r="NRZ123" s="225"/>
      <c r="NSA123" s="225"/>
      <c r="NSB123" s="225"/>
      <c r="NSC123" s="225"/>
      <c r="NSD123" s="225"/>
      <c r="NSE123" s="225"/>
      <c r="NSF123" s="225"/>
      <c r="NSG123" s="225"/>
      <c r="NSH123" s="225"/>
      <c r="NSI123" s="225"/>
      <c r="NSJ123" s="225"/>
      <c r="NSK123" s="225"/>
      <c r="NSL123" s="225"/>
      <c r="NSM123" s="225"/>
      <c r="NSN123" s="225"/>
      <c r="NSO123" s="225"/>
      <c r="NSP123" s="225"/>
      <c r="NSQ123" s="225"/>
      <c r="NSR123" s="225"/>
      <c r="NSS123" s="225"/>
      <c r="NST123" s="225"/>
      <c r="NSU123" s="225"/>
      <c r="NSV123" s="225"/>
      <c r="NSW123" s="225"/>
      <c r="NSX123" s="225"/>
      <c r="NSY123" s="225"/>
      <c r="NSZ123" s="225"/>
      <c r="NTA123" s="225"/>
      <c r="NTB123" s="225"/>
      <c r="NTC123" s="225"/>
      <c r="NTD123" s="225"/>
      <c r="NTE123" s="225"/>
      <c r="NTF123" s="225"/>
      <c r="NTG123" s="225"/>
      <c r="NTH123" s="225"/>
      <c r="NTI123" s="225"/>
      <c r="NTJ123" s="225"/>
      <c r="NTK123" s="225"/>
      <c r="NTL123" s="225"/>
      <c r="NTM123" s="225"/>
      <c r="NTN123" s="225"/>
      <c r="NTO123" s="225"/>
      <c r="NTP123" s="225"/>
      <c r="NTQ123" s="225"/>
      <c r="NTR123" s="225"/>
      <c r="NTS123" s="225"/>
      <c r="NTT123" s="225"/>
      <c r="NTU123" s="225"/>
      <c r="NTV123" s="225"/>
      <c r="NTW123" s="225"/>
      <c r="NTX123" s="225"/>
      <c r="NTY123" s="225"/>
      <c r="NTZ123" s="225"/>
      <c r="NUA123" s="225"/>
      <c r="NUB123" s="225"/>
      <c r="NUC123" s="225"/>
      <c r="NUD123" s="225"/>
      <c r="NUE123" s="225"/>
      <c r="NUF123" s="225"/>
      <c r="NUG123" s="225"/>
      <c r="NUH123" s="225"/>
      <c r="NUI123" s="225"/>
      <c r="NUJ123" s="225"/>
      <c r="NUK123" s="225"/>
      <c r="NUL123" s="225"/>
      <c r="NUM123" s="225"/>
      <c r="NUN123" s="225"/>
      <c r="NUO123" s="225"/>
      <c r="NUP123" s="225"/>
      <c r="NUQ123" s="225"/>
      <c r="NUR123" s="225"/>
      <c r="NUS123" s="225"/>
      <c r="NUT123" s="225"/>
      <c r="NUU123" s="225"/>
      <c r="NUV123" s="225"/>
      <c r="NUW123" s="225"/>
      <c r="NUX123" s="225"/>
      <c r="NUY123" s="225"/>
      <c r="NUZ123" s="225"/>
      <c r="NVA123" s="225"/>
      <c r="NVB123" s="225"/>
      <c r="NVC123" s="225"/>
      <c r="NVD123" s="225"/>
      <c r="NVE123" s="225"/>
      <c r="NVF123" s="225"/>
      <c r="NVG123" s="225"/>
      <c r="NVH123" s="225"/>
      <c r="NVI123" s="225"/>
      <c r="NVJ123" s="225"/>
      <c r="NVK123" s="225"/>
      <c r="NVL123" s="225"/>
      <c r="NVM123" s="225"/>
      <c r="NVN123" s="225"/>
      <c r="NVO123" s="225"/>
      <c r="NVP123" s="225"/>
      <c r="NVQ123" s="225"/>
      <c r="NVR123" s="225"/>
      <c r="NVS123" s="225"/>
      <c r="NVT123" s="225"/>
      <c r="NVU123" s="225"/>
      <c r="NVV123" s="225"/>
      <c r="NVW123" s="225"/>
      <c r="NVX123" s="225"/>
      <c r="NVY123" s="225"/>
      <c r="NVZ123" s="225"/>
      <c r="NWA123" s="225"/>
      <c r="NWB123" s="225"/>
      <c r="NWC123" s="225"/>
      <c r="NWD123" s="225"/>
      <c r="NWE123" s="225"/>
      <c r="NWF123" s="225"/>
      <c r="NWG123" s="225"/>
      <c r="NWH123" s="225"/>
      <c r="NWI123" s="225"/>
      <c r="NWJ123" s="225"/>
      <c r="NWK123" s="225"/>
      <c r="NWL123" s="225"/>
      <c r="NWM123" s="225"/>
      <c r="NWN123" s="225"/>
      <c r="NWO123" s="225"/>
      <c r="NWP123" s="225"/>
      <c r="NWQ123" s="225"/>
      <c r="NWR123" s="225"/>
      <c r="NWS123" s="225"/>
      <c r="NWT123" s="225"/>
      <c r="NWU123" s="225"/>
      <c r="NWV123" s="225"/>
      <c r="NWW123" s="225"/>
      <c r="NWX123" s="225"/>
      <c r="NWY123" s="225"/>
      <c r="NWZ123" s="225"/>
      <c r="NXA123" s="225"/>
      <c r="NXB123" s="225"/>
      <c r="NXC123" s="225"/>
      <c r="NXD123" s="225"/>
      <c r="NXE123" s="225"/>
      <c r="NXF123" s="225"/>
      <c r="NXG123" s="225"/>
      <c r="NXH123" s="225"/>
      <c r="NXI123" s="225"/>
      <c r="NXJ123" s="225"/>
      <c r="NXK123" s="225"/>
      <c r="NXL123" s="225"/>
      <c r="NXM123" s="225"/>
      <c r="NXN123" s="225"/>
      <c r="NXO123" s="225"/>
      <c r="NXP123" s="225"/>
      <c r="NXQ123" s="225"/>
      <c r="NXR123" s="225"/>
      <c r="NXS123" s="225"/>
      <c r="NXT123" s="225"/>
      <c r="NXU123" s="225"/>
      <c r="NXV123" s="225"/>
      <c r="NXW123" s="225"/>
      <c r="NXX123" s="225"/>
      <c r="NXY123" s="225"/>
      <c r="NXZ123" s="225"/>
      <c r="NYA123" s="225"/>
      <c r="NYB123" s="225"/>
      <c r="NYC123" s="225"/>
      <c r="NYD123" s="225"/>
      <c r="NYE123" s="225"/>
      <c r="NYF123" s="225"/>
      <c r="NYG123" s="225"/>
      <c r="NYH123" s="225"/>
      <c r="NYI123" s="225"/>
      <c r="NYJ123" s="225"/>
      <c r="NYK123" s="225"/>
      <c r="NYL123" s="225"/>
      <c r="NYM123" s="225"/>
      <c r="NYN123" s="225"/>
      <c r="NYO123" s="225"/>
      <c r="NYP123" s="225"/>
      <c r="NYQ123" s="225"/>
      <c r="NYR123" s="225"/>
      <c r="NYS123" s="225"/>
      <c r="NYT123" s="225"/>
      <c r="NYU123" s="225"/>
      <c r="NYV123" s="225"/>
      <c r="NYW123" s="225"/>
      <c r="NYX123" s="225"/>
      <c r="NYY123" s="225"/>
      <c r="NYZ123" s="225"/>
      <c r="NZA123" s="225"/>
      <c r="NZB123" s="225"/>
      <c r="NZC123" s="225"/>
      <c r="NZD123" s="225"/>
      <c r="NZE123" s="225"/>
      <c r="NZF123" s="225"/>
      <c r="NZG123" s="225"/>
      <c r="NZH123" s="225"/>
      <c r="NZI123" s="225"/>
      <c r="NZJ123" s="225"/>
      <c r="NZK123" s="225"/>
      <c r="NZL123" s="225"/>
      <c r="NZM123" s="225"/>
      <c r="NZN123" s="225"/>
      <c r="NZO123" s="225"/>
      <c r="NZP123" s="225"/>
      <c r="NZQ123" s="225"/>
      <c r="NZR123" s="225"/>
      <c r="NZS123" s="225"/>
      <c r="NZT123" s="225"/>
      <c r="NZU123" s="225"/>
      <c r="NZV123" s="225"/>
      <c r="NZW123" s="225"/>
      <c r="NZX123" s="225"/>
      <c r="NZY123" s="225"/>
      <c r="NZZ123" s="225"/>
      <c r="OAA123" s="225"/>
      <c r="OAB123" s="225"/>
      <c r="OAC123" s="225"/>
      <c r="OAD123" s="225"/>
      <c r="OAE123" s="225"/>
      <c r="OAF123" s="225"/>
      <c r="OAG123" s="225"/>
      <c r="OAH123" s="225"/>
      <c r="OAI123" s="225"/>
      <c r="OAJ123" s="225"/>
      <c r="OAK123" s="225"/>
      <c r="OAL123" s="225"/>
      <c r="OAM123" s="225"/>
      <c r="OAN123" s="225"/>
      <c r="OAO123" s="225"/>
      <c r="OAP123" s="225"/>
      <c r="OAQ123" s="225"/>
      <c r="OAR123" s="225"/>
      <c r="OAS123" s="225"/>
      <c r="OAT123" s="225"/>
      <c r="OAU123" s="225"/>
      <c r="OAV123" s="225"/>
      <c r="OAW123" s="225"/>
      <c r="OAX123" s="225"/>
      <c r="OAY123" s="225"/>
      <c r="OAZ123" s="225"/>
      <c r="OBA123" s="225"/>
      <c r="OBB123" s="225"/>
      <c r="OBC123" s="225"/>
      <c r="OBD123" s="225"/>
      <c r="OBE123" s="225"/>
      <c r="OBF123" s="225"/>
      <c r="OBG123" s="225"/>
      <c r="OBH123" s="225"/>
      <c r="OBI123" s="225"/>
      <c r="OBJ123" s="225"/>
      <c r="OBK123" s="225"/>
      <c r="OBL123" s="225"/>
      <c r="OBM123" s="225"/>
      <c r="OBN123" s="225"/>
      <c r="OBO123" s="225"/>
      <c r="OBP123" s="225"/>
      <c r="OBQ123" s="225"/>
      <c r="OBR123" s="225"/>
      <c r="OBS123" s="225"/>
      <c r="OBT123" s="225"/>
      <c r="OBU123" s="225"/>
      <c r="OBV123" s="225"/>
      <c r="OBW123" s="225"/>
      <c r="OBX123" s="225"/>
      <c r="OBY123" s="225"/>
      <c r="OBZ123" s="225"/>
      <c r="OCA123" s="225"/>
      <c r="OCB123" s="225"/>
      <c r="OCC123" s="225"/>
      <c r="OCD123" s="225"/>
      <c r="OCE123" s="225"/>
      <c r="OCF123" s="225"/>
      <c r="OCG123" s="225"/>
      <c r="OCH123" s="225"/>
      <c r="OCI123" s="225"/>
      <c r="OCJ123" s="225"/>
      <c r="OCK123" s="225"/>
      <c r="OCL123" s="225"/>
      <c r="OCM123" s="225"/>
      <c r="OCN123" s="225"/>
      <c r="OCO123" s="225"/>
      <c r="OCP123" s="225"/>
      <c r="OCQ123" s="225"/>
      <c r="OCR123" s="225"/>
      <c r="OCS123" s="225"/>
      <c r="OCT123" s="225"/>
      <c r="OCU123" s="225"/>
      <c r="OCV123" s="225"/>
      <c r="OCW123" s="225"/>
      <c r="OCX123" s="225"/>
      <c r="OCY123" s="225"/>
      <c r="OCZ123" s="225"/>
      <c r="ODA123" s="225"/>
      <c r="ODB123" s="225"/>
      <c r="ODC123" s="225"/>
      <c r="ODD123" s="225"/>
      <c r="ODE123" s="225"/>
      <c r="ODF123" s="225"/>
      <c r="ODG123" s="225"/>
      <c r="ODH123" s="225"/>
      <c r="ODI123" s="225"/>
      <c r="ODJ123" s="225"/>
      <c r="ODK123" s="225"/>
      <c r="ODL123" s="225"/>
      <c r="ODM123" s="225"/>
      <c r="ODN123" s="225"/>
      <c r="ODO123" s="225"/>
      <c r="ODP123" s="225"/>
      <c r="ODQ123" s="225"/>
      <c r="ODR123" s="225"/>
      <c r="ODS123" s="225"/>
      <c r="ODT123" s="225"/>
      <c r="ODU123" s="225"/>
      <c r="ODV123" s="225"/>
      <c r="ODW123" s="225"/>
      <c r="ODX123" s="225"/>
      <c r="ODY123" s="225"/>
      <c r="ODZ123" s="225"/>
      <c r="OEA123" s="225"/>
      <c r="OEB123" s="225"/>
      <c r="OEC123" s="225"/>
      <c r="OED123" s="225"/>
      <c r="OEE123" s="225"/>
      <c r="OEF123" s="225"/>
      <c r="OEG123" s="225"/>
      <c r="OEH123" s="225"/>
      <c r="OEI123" s="225"/>
      <c r="OEJ123" s="225"/>
      <c r="OEK123" s="225"/>
      <c r="OEL123" s="225"/>
      <c r="OEM123" s="225"/>
      <c r="OEN123" s="225"/>
      <c r="OEO123" s="225"/>
      <c r="OEP123" s="225"/>
      <c r="OEQ123" s="225"/>
      <c r="OER123" s="225"/>
      <c r="OES123" s="225"/>
      <c r="OET123" s="225"/>
      <c r="OEU123" s="225"/>
      <c r="OEV123" s="225"/>
      <c r="OEW123" s="225"/>
      <c r="OEX123" s="225"/>
      <c r="OEY123" s="225"/>
      <c r="OEZ123" s="225"/>
      <c r="OFA123" s="225"/>
      <c r="OFB123" s="225"/>
      <c r="OFC123" s="225"/>
      <c r="OFD123" s="225"/>
      <c r="OFE123" s="225"/>
      <c r="OFF123" s="225"/>
      <c r="OFG123" s="225"/>
      <c r="OFH123" s="225"/>
      <c r="OFI123" s="225"/>
      <c r="OFJ123" s="225"/>
      <c r="OFK123" s="225"/>
      <c r="OFL123" s="225"/>
      <c r="OFM123" s="225"/>
      <c r="OFN123" s="225"/>
      <c r="OFO123" s="225"/>
      <c r="OFP123" s="225"/>
      <c r="OFQ123" s="225"/>
      <c r="OFR123" s="225"/>
      <c r="OFS123" s="225"/>
      <c r="OFT123" s="225"/>
      <c r="OFU123" s="225"/>
      <c r="OFV123" s="225"/>
      <c r="OFW123" s="225"/>
      <c r="OFX123" s="225"/>
      <c r="OFY123" s="225"/>
      <c r="OFZ123" s="225"/>
      <c r="OGA123" s="225"/>
      <c r="OGB123" s="225"/>
      <c r="OGC123" s="225"/>
      <c r="OGD123" s="225"/>
      <c r="OGE123" s="225"/>
      <c r="OGF123" s="225"/>
      <c r="OGG123" s="225"/>
      <c r="OGH123" s="225"/>
      <c r="OGI123" s="225"/>
      <c r="OGJ123" s="225"/>
      <c r="OGK123" s="225"/>
      <c r="OGL123" s="225"/>
      <c r="OGM123" s="225"/>
      <c r="OGN123" s="225"/>
      <c r="OGO123" s="225"/>
      <c r="OGP123" s="225"/>
      <c r="OGQ123" s="225"/>
      <c r="OGR123" s="225"/>
      <c r="OGS123" s="225"/>
      <c r="OGT123" s="225"/>
      <c r="OGU123" s="225"/>
      <c r="OGV123" s="225"/>
      <c r="OGW123" s="225"/>
      <c r="OGX123" s="225"/>
      <c r="OGY123" s="225"/>
      <c r="OGZ123" s="225"/>
      <c r="OHA123" s="225"/>
      <c r="OHB123" s="225"/>
      <c r="OHC123" s="225"/>
      <c r="OHD123" s="225"/>
      <c r="OHE123" s="225"/>
      <c r="OHF123" s="225"/>
      <c r="OHG123" s="225"/>
      <c r="OHH123" s="225"/>
      <c r="OHI123" s="225"/>
      <c r="OHJ123" s="225"/>
      <c r="OHK123" s="225"/>
      <c r="OHL123" s="225"/>
      <c r="OHM123" s="225"/>
      <c r="OHN123" s="225"/>
      <c r="OHO123" s="225"/>
      <c r="OHP123" s="225"/>
      <c r="OHQ123" s="225"/>
      <c r="OHR123" s="225"/>
      <c r="OHS123" s="225"/>
      <c r="OHT123" s="225"/>
      <c r="OHU123" s="225"/>
      <c r="OHV123" s="225"/>
      <c r="OHW123" s="225"/>
      <c r="OHX123" s="225"/>
      <c r="OHY123" s="225"/>
      <c r="OHZ123" s="225"/>
      <c r="OIA123" s="225"/>
      <c r="OIB123" s="225"/>
      <c r="OIC123" s="225"/>
      <c r="OID123" s="225"/>
      <c r="OIE123" s="225"/>
      <c r="OIF123" s="225"/>
      <c r="OIG123" s="225"/>
      <c r="OIH123" s="225"/>
      <c r="OII123" s="225"/>
      <c r="OIJ123" s="225"/>
      <c r="OIK123" s="225"/>
      <c r="OIL123" s="225"/>
      <c r="OIM123" s="225"/>
      <c r="OIN123" s="225"/>
      <c r="OIO123" s="225"/>
      <c r="OIP123" s="225"/>
      <c r="OIQ123" s="225"/>
      <c r="OIR123" s="225"/>
      <c r="OIS123" s="225"/>
      <c r="OIT123" s="225"/>
      <c r="OIU123" s="225"/>
      <c r="OIV123" s="225"/>
      <c r="OIW123" s="225"/>
      <c r="OIX123" s="225"/>
      <c r="OIY123" s="225"/>
      <c r="OIZ123" s="225"/>
      <c r="OJA123" s="225"/>
      <c r="OJB123" s="225"/>
      <c r="OJC123" s="225"/>
      <c r="OJD123" s="225"/>
      <c r="OJE123" s="225"/>
      <c r="OJF123" s="225"/>
      <c r="OJG123" s="225"/>
      <c r="OJH123" s="225"/>
      <c r="OJI123" s="225"/>
      <c r="OJJ123" s="225"/>
      <c r="OJK123" s="225"/>
      <c r="OJL123" s="225"/>
      <c r="OJM123" s="225"/>
      <c r="OJN123" s="225"/>
      <c r="OJO123" s="225"/>
      <c r="OJP123" s="225"/>
      <c r="OJQ123" s="225"/>
      <c r="OJR123" s="225"/>
      <c r="OJS123" s="225"/>
      <c r="OJT123" s="225"/>
      <c r="OJU123" s="225"/>
      <c r="OJV123" s="225"/>
      <c r="OJW123" s="225"/>
      <c r="OJX123" s="225"/>
      <c r="OJY123" s="225"/>
      <c r="OJZ123" s="225"/>
      <c r="OKA123" s="225"/>
      <c r="OKB123" s="225"/>
      <c r="OKC123" s="225"/>
      <c r="OKD123" s="225"/>
      <c r="OKE123" s="225"/>
      <c r="OKF123" s="225"/>
      <c r="OKG123" s="225"/>
      <c r="OKH123" s="225"/>
      <c r="OKI123" s="225"/>
      <c r="OKJ123" s="225"/>
      <c r="OKK123" s="225"/>
      <c r="OKL123" s="225"/>
      <c r="OKM123" s="225"/>
      <c r="OKN123" s="225"/>
      <c r="OKO123" s="225"/>
      <c r="OKP123" s="225"/>
      <c r="OKQ123" s="225"/>
      <c r="OKR123" s="225"/>
      <c r="OKS123" s="225"/>
      <c r="OKT123" s="225"/>
      <c r="OKU123" s="225"/>
      <c r="OKV123" s="225"/>
      <c r="OKW123" s="225"/>
      <c r="OKX123" s="225"/>
      <c r="OKY123" s="225"/>
      <c r="OKZ123" s="225"/>
      <c r="OLA123" s="225"/>
      <c r="OLB123" s="225"/>
      <c r="OLC123" s="225"/>
      <c r="OLD123" s="225"/>
      <c r="OLE123" s="225"/>
      <c r="OLF123" s="225"/>
      <c r="OLG123" s="225"/>
      <c r="OLH123" s="225"/>
      <c r="OLI123" s="225"/>
      <c r="OLJ123" s="225"/>
      <c r="OLK123" s="225"/>
      <c r="OLL123" s="225"/>
      <c r="OLM123" s="225"/>
      <c r="OLN123" s="225"/>
      <c r="OLO123" s="225"/>
      <c r="OLP123" s="225"/>
      <c r="OLQ123" s="225"/>
      <c r="OLR123" s="225"/>
      <c r="OLS123" s="225"/>
      <c r="OLT123" s="225"/>
      <c r="OLU123" s="225"/>
      <c r="OLV123" s="225"/>
      <c r="OLW123" s="225"/>
      <c r="OLX123" s="225"/>
      <c r="OLY123" s="225"/>
      <c r="OLZ123" s="225"/>
      <c r="OMA123" s="225"/>
      <c r="OMB123" s="225"/>
      <c r="OMC123" s="225"/>
      <c r="OMD123" s="225"/>
      <c r="OME123" s="225"/>
      <c r="OMF123" s="225"/>
      <c r="OMG123" s="225"/>
      <c r="OMH123" s="225"/>
      <c r="OMI123" s="225"/>
      <c r="OMJ123" s="225"/>
      <c r="OMK123" s="225"/>
      <c r="OML123" s="225"/>
      <c r="OMM123" s="225"/>
      <c r="OMN123" s="225"/>
      <c r="OMO123" s="225"/>
      <c r="OMP123" s="225"/>
      <c r="OMQ123" s="225"/>
      <c r="OMR123" s="225"/>
      <c r="OMS123" s="225"/>
      <c r="OMT123" s="225"/>
      <c r="OMU123" s="225"/>
      <c r="OMV123" s="225"/>
      <c r="OMW123" s="225"/>
      <c r="OMX123" s="225"/>
      <c r="OMY123" s="225"/>
      <c r="OMZ123" s="225"/>
      <c r="ONA123" s="225"/>
      <c r="ONB123" s="225"/>
      <c r="ONC123" s="225"/>
      <c r="OND123" s="225"/>
      <c r="ONE123" s="225"/>
      <c r="ONF123" s="225"/>
      <c r="ONG123" s="225"/>
      <c r="ONH123" s="225"/>
      <c r="ONI123" s="225"/>
      <c r="ONJ123" s="225"/>
      <c r="ONK123" s="225"/>
      <c r="ONL123" s="225"/>
      <c r="ONM123" s="225"/>
      <c r="ONN123" s="225"/>
      <c r="ONO123" s="225"/>
      <c r="ONP123" s="225"/>
      <c r="ONQ123" s="225"/>
      <c r="ONR123" s="225"/>
      <c r="ONS123" s="225"/>
      <c r="ONT123" s="225"/>
      <c r="ONU123" s="225"/>
      <c r="ONV123" s="225"/>
      <c r="ONW123" s="225"/>
      <c r="ONX123" s="225"/>
      <c r="ONY123" s="225"/>
      <c r="ONZ123" s="225"/>
      <c r="OOA123" s="225"/>
      <c r="OOB123" s="225"/>
      <c r="OOC123" s="225"/>
      <c r="OOD123" s="225"/>
      <c r="OOE123" s="225"/>
      <c r="OOF123" s="225"/>
      <c r="OOG123" s="225"/>
      <c r="OOH123" s="225"/>
      <c r="OOI123" s="225"/>
      <c r="OOJ123" s="225"/>
      <c r="OOK123" s="225"/>
      <c r="OOL123" s="225"/>
      <c r="OOM123" s="225"/>
      <c r="OON123" s="225"/>
      <c r="OOO123" s="225"/>
      <c r="OOP123" s="225"/>
      <c r="OOQ123" s="225"/>
      <c r="OOR123" s="225"/>
      <c r="OOS123" s="225"/>
      <c r="OOT123" s="225"/>
      <c r="OOU123" s="225"/>
      <c r="OOV123" s="225"/>
      <c r="OOW123" s="225"/>
      <c r="OOX123" s="225"/>
      <c r="OOY123" s="225"/>
      <c r="OOZ123" s="225"/>
      <c r="OPA123" s="225"/>
      <c r="OPB123" s="225"/>
      <c r="OPC123" s="225"/>
      <c r="OPD123" s="225"/>
      <c r="OPE123" s="225"/>
      <c r="OPF123" s="225"/>
      <c r="OPG123" s="225"/>
      <c r="OPH123" s="225"/>
      <c r="OPI123" s="225"/>
      <c r="OPJ123" s="225"/>
      <c r="OPK123" s="225"/>
      <c r="OPL123" s="225"/>
      <c r="OPM123" s="225"/>
      <c r="OPN123" s="225"/>
      <c r="OPO123" s="225"/>
      <c r="OPP123" s="225"/>
      <c r="OPQ123" s="225"/>
      <c r="OPR123" s="225"/>
      <c r="OPS123" s="225"/>
      <c r="OPT123" s="225"/>
      <c r="OPU123" s="225"/>
      <c r="OPV123" s="225"/>
      <c r="OPW123" s="225"/>
      <c r="OPX123" s="225"/>
      <c r="OPY123" s="225"/>
      <c r="OPZ123" s="225"/>
      <c r="OQA123" s="225"/>
      <c r="OQB123" s="225"/>
      <c r="OQC123" s="225"/>
      <c r="OQD123" s="225"/>
      <c r="OQE123" s="225"/>
      <c r="OQF123" s="225"/>
      <c r="OQG123" s="225"/>
      <c r="OQH123" s="225"/>
      <c r="OQI123" s="225"/>
      <c r="OQJ123" s="225"/>
      <c r="OQK123" s="225"/>
      <c r="OQL123" s="225"/>
      <c r="OQM123" s="225"/>
      <c r="OQN123" s="225"/>
      <c r="OQO123" s="225"/>
      <c r="OQP123" s="225"/>
      <c r="OQQ123" s="225"/>
      <c r="OQR123" s="225"/>
      <c r="OQS123" s="225"/>
      <c r="OQT123" s="225"/>
      <c r="OQU123" s="225"/>
      <c r="OQV123" s="225"/>
      <c r="OQW123" s="225"/>
      <c r="OQX123" s="225"/>
      <c r="OQY123" s="225"/>
      <c r="OQZ123" s="225"/>
      <c r="ORA123" s="225"/>
      <c r="ORB123" s="225"/>
      <c r="ORC123" s="225"/>
      <c r="ORD123" s="225"/>
      <c r="ORE123" s="225"/>
      <c r="ORF123" s="225"/>
      <c r="ORG123" s="225"/>
      <c r="ORH123" s="225"/>
      <c r="ORI123" s="225"/>
      <c r="ORJ123" s="225"/>
      <c r="ORK123" s="225"/>
      <c r="ORL123" s="225"/>
      <c r="ORM123" s="225"/>
      <c r="ORN123" s="225"/>
      <c r="ORO123" s="225"/>
      <c r="ORP123" s="225"/>
      <c r="ORQ123" s="225"/>
      <c r="ORR123" s="225"/>
      <c r="ORS123" s="225"/>
      <c r="ORT123" s="225"/>
      <c r="ORU123" s="225"/>
      <c r="ORV123" s="225"/>
      <c r="ORW123" s="225"/>
      <c r="ORX123" s="225"/>
      <c r="ORY123" s="225"/>
      <c r="ORZ123" s="225"/>
      <c r="OSA123" s="225"/>
      <c r="OSB123" s="225"/>
      <c r="OSC123" s="225"/>
      <c r="OSD123" s="225"/>
      <c r="OSE123" s="225"/>
      <c r="OSF123" s="225"/>
      <c r="OSG123" s="225"/>
      <c r="OSH123" s="225"/>
      <c r="OSI123" s="225"/>
      <c r="OSJ123" s="225"/>
      <c r="OSK123" s="225"/>
      <c r="OSL123" s="225"/>
      <c r="OSM123" s="225"/>
      <c r="OSN123" s="225"/>
      <c r="OSO123" s="225"/>
      <c r="OSP123" s="225"/>
      <c r="OSQ123" s="225"/>
      <c r="OSR123" s="225"/>
      <c r="OSS123" s="225"/>
      <c r="OST123" s="225"/>
      <c r="OSU123" s="225"/>
      <c r="OSV123" s="225"/>
      <c r="OSW123" s="225"/>
      <c r="OSX123" s="225"/>
      <c r="OSY123" s="225"/>
      <c r="OSZ123" s="225"/>
      <c r="OTA123" s="225"/>
      <c r="OTB123" s="225"/>
      <c r="OTC123" s="225"/>
      <c r="OTD123" s="225"/>
      <c r="OTE123" s="225"/>
      <c r="OTF123" s="225"/>
      <c r="OTG123" s="225"/>
      <c r="OTH123" s="225"/>
      <c r="OTI123" s="225"/>
      <c r="OTJ123" s="225"/>
      <c r="OTK123" s="225"/>
      <c r="OTL123" s="225"/>
      <c r="OTM123" s="225"/>
      <c r="OTN123" s="225"/>
      <c r="OTO123" s="225"/>
      <c r="OTP123" s="225"/>
      <c r="OTQ123" s="225"/>
      <c r="OTR123" s="225"/>
      <c r="OTS123" s="225"/>
      <c r="OTT123" s="225"/>
      <c r="OTU123" s="225"/>
      <c r="OTV123" s="225"/>
      <c r="OTW123" s="225"/>
      <c r="OTX123" s="225"/>
      <c r="OTY123" s="225"/>
      <c r="OTZ123" s="225"/>
      <c r="OUA123" s="225"/>
      <c r="OUB123" s="225"/>
      <c r="OUC123" s="225"/>
      <c r="OUD123" s="225"/>
      <c r="OUE123" s="225"/>
      <c r="OUF123" s="225"/>
      <c r="OUG123" s="225"/>
      <c r="OUH123" s="225"/>
      <c r="OUI123" s="225"/>
      <c r="OUJ123" s="225"/>
      <c r="OUK123" s="225"/>
      <c r="OUL123" s="225"/>
      <c r="OUM123" s="225"/>
      <c r="OUN123" s="225"/>
      <c r="OUO123" s="225"/>
      <c r="OUP123" s="225"/>
      <c r="OUQ123" s="225"/>
      <c r="OUR123" s="225"/>
      <c r="OUS123" s="225"/>
      <c r="OUT123" s="225"/>
      <c r="OUU123" s="225"/>
      <c r="OUV123" s="225"/>
      <c r="OUW123" s="225"/>
      <c r="OUX123" s="225"/>
      <c r="OUY123" s="225"/>
      <c r="OUZ123" s="225"/>
      <c r="OVA123" s="225"/>
      <c r="OVB123" s="225"/>
      <c r="OVC123" s="225"/>
      <c r="OVD123" s="225"/>
      <c r="OVE123" s="225"/>
      <c r="OVF123" s="225"/>
      <c r="OVG123" s="225"/>
      <c r="OVH123" s="225"/>
      <c r="OVI123" s="225"/>
      <c r="OVJ123" s="225"/>
      <c r="OVK123" s="225"/>
      <c r="OVL123" s="225"/>
      <c r="OVM123" s="225"/>
      <c r="OVN123" s="225"/>
      <c r="OVO123" s="225"/>
      <c r="OVP123" s="225"/>
      <c r="OVQ123" s="225"/>
      <c r="OVR123" s="225"/>
      <c r="OVS123" s="225"/>
      <c r="OVT123" s="225"/>
      <c r="OVU123" s="225"/>
      <c r="OVV123" s="225"/>
      <c r="OVW123" s="225"/>
      <c r="OVX123" s="225"/>
      <c r="OVY123" s="225"/>
      <c r="OVZ123" s="225"/>
      <c r="OWA123" s="225"/>
      <c r="OWB123" s="225"/>
      <c r="OWC123" s="225"/>
      <c r="OWD123" s="225"/>
      <c r="OWE123" s="225"/>
      <c r="OWF123" s="225"/>
      <c r="OWG123" s="225"/>
      <c r="OWH123" s="225"/>
      <c r="OWI123" s="225"/>
      <c r="OWJ123" s="225"/>
      <c r="OWK123" s="225"/>
      <c r="OWL123" s="225"/>
      <c r="OWM123" s="225"/>
      <c r="OWN123" s="225"/>
      <c r="OWO123" s="225"/>
      <c r="OWP123" s="225"/>
      <c r="OWQ123" s="225"/>
      <c r="OWR123" s="225"/>
      <c r="OWS123" s="225"/>
      <c r="OWT123" s="225"/>
      <c r="OWU123" s="225"/>
      <c r="OWV123" s="225"/>
      <c r="OWW123" s="225"/>
      <c r="OWX123" s="225"/>
      <c r="OWY123" s="225"/>
      <c r="OWZ123" s="225"/>
      <c r="OXA123" s="225"/>
      <c r="OXB123" s="225"/>
      <c r="OXC123" s="225"/>
      <c r="OXD123" s="225"/>
      <c r="OXE123" s="225"/>
      <c r="OXF123" s="225"/>
      <c r="OXG123" s="225"/>
      <c r="OXH123" s="225"/>
      <c r="OXI123" s="225"/>
      <c r="OXJ123" s="225"/>
      <c r="OXK123" s="225"/>
      <c r="OXL123" s="225"/>
      <c r="OXM123" s="225"/>
      <c r="OXN123" s="225"/>
      <c r="OXO123" s="225"/>
      <c r="OXP123" s="225"/>
      <c r="OXQ123" s="225"/>
      <c r="OXR123" s="225"/>
      <c r="OXS123" s="225"/>
      <c r="OXT123" s="225"/>
      <c r="OXU123" s="225"/>
      <c r="OXV123" s="225"/>
      <c r="OXW123" s="225"/>
      <c r="OXX123" s="225"/>
      <c r="OXY123" s="225"/>
      <c r="OXZ123" s="225"/>
      <c r="OYA123" s="225"/>
      <c r="OYB123" s="225"/>
      <c r="OYC123" s="225"/>
      <c r="OYD123" s="225"/>
      <c r="OYE123" s="225"/>
      <c r="OYF123" s="225"/>
      <c r="OYG123" s="225"/>
      <c r="OYH123" s="225"/>
      <c r="OYI123" s="225"/>
      <c r="OYJ123" s="225"/>
      <c r="OYK123" s="225"/>
      <c r="OYL123" s="225"/>
      <c r="OYM123" s="225"/>
      <c r="OYN123" s="225"/>
      <c r="OYO123" s="225"/>
      <c r="OYP123" s="225"/>
      <c r="OYQ123" s="225"/>
      <c r="OYR123" s="225"/>
      <c r="OYS123" s="225"/>
      <c r="OYT123" s="225"/>
      <c r="OYU123" s="225"/>
      <c r="OYV123" s="225"/>
      <c r="OYW123" s="225"/>
      <c r="OYX123" s="225"/>
      <c r="OYY123" s="225"/>
      <c r="OYZ123" s="225"/>
      <c r="OZA123" s="225"/>
      <c r="OZB123" s="225"/>
      <c r="OZC123" s="225"/>
      <c r="OZD123" s="225"/>
      <c r="OZE123" s="225"/>
      <c r="OZF123" s="225"/>
      <c r="OZG123" s="225"/>
      <c r="OZH123" s="225"/>
      <c r="OZI123" s="225"/>
      <c r="OZJ123" s="225"/>
      <c r="OZK123" s="225"/>
      <c r="OZL123" s="225"/>
      <c r="OZM123" s="225"/>
      <c r="OZN123" s="225"/>
      <c r="OZO123" s="225"/>
      <c r="OZP123" s="225"/>
      <c r="OZQ123" s="225"/>
      <c r="OZR123" s="225"/>
      <c r="OZS123" s="225"/>
      <c r="OZT123" s="225"/>
      <c r="OZU123" s="225"/>
      <c r="OZV123" s="225"/>
      <c r="OZW123" s="225"/>
      <c r="OZX123" s="225"/>
      <c r="OZY123" s="225"/>
      <c r="OZZ123" s="225"/>
      <c r="PAA123" s="225"/>
      <c r="PAB123" s="225"/>
      <c r="PAC123" s="225"/>
      <c r="PAD123" s="225"/>
      <c r="PAE123" s="225"/>
      <c r="PAF123" s="225"/>
      <c r="PAG123" s="225"/>
      <c r="PAH123" s="225"/>
      <c r="PAI123" s="225"/>
      <c r="PAJ123" s="225"/>
      <c r="PAK123" s="225"/>
      <c r="PAL123" s="225"/>
      <c r="PAM123" s="225"/>
      <c r="PAN123" s="225"/>
      <c r="PAO123" s="225"/>
      <c r="PAP123" s="225"/>
      <c r="PAQ123" s="225"/>
      <c r="PAR123" s="225"/>
      <c r="PAS123" s="225"/>
      <c r="PAT123" s="225"/>
      <c r="PAU123" s="225"/>
      <c r="PAV123" s="225"/>
      <c r="PAW123" s="225"/>
      <c r="PAX123" s="225"/>
      <c r="PAY123" s="225"/>
      <c r="PAZ123" s="225"/>
      <c r="PBA123" s="225"/>
      <c r="PBB123" s="225"/>
      <c r="PBC123" s="225"/>
      <c r="PBD123" s="225"/>
      <c r="PBE123" s="225"/>
      <c r="PBF123" s="225"/>
      <c r="PBG123" s="225"/>
      <c r="PBH123" s="225"/>
      <c r="PBI123" s="225"/>
      <c r="PBJ123" s="225"/>
      <c r="PBK123" s="225"/>
      <c r="PBL123" s="225"/>
      <c r="PBM123" s="225"/>
      <c r="PBN123" s="225"/>
      <c r="PBO123" s="225"/>
      <c r="PBP123" s="225"/>
      <c r="PBQ123" s="225"/>
      <c r="PBR123" s="225"/>
      <c r="PBS123" s="225"/>
      <c r="PBT123" s="225"/>
      <c r="PBU123" s="225"/>
      <c r="PBV123" s="225"/>
      <c r="PBW123" s="225"/>
      <c r="PBX123" s="225"/>
      <c r="PBY123" s="225"/>
      <c r="PBZ123" s="225"/>
      <c r="PCA123" s="225"/>
      <c r="PCB123" s="225"/>
      <c r="PCC123" s="225"/>
      <c r="PCD123" s="225"/>
      <c r="PCE123" s="225"/>
      <c r="PCF123" s="225"/>
      <c r="PCG123" s="225"/>
      <c r="PCH123" s="225"/>
      <c r="PCI123" s="225"/>
      <c r="PCJ123" s="225"/>
      <c r="PCK123" s="225"/>
      <c r="PCL123" s="225"/>
      <c r="PCM123" s="225"/>
      <c r="PCN123" s="225"/>
      <c r="PCO123" s="225"/>
      <c r="PCP123" s="225"/>
      <c r="PCQ123" s="225"/>
      <c r="PCR123" s="225"/>
      <c r="PCS123" s="225"/>
      <c r="PCT123" s="225"/>
      <c r="PCU123" s="225"/>
      <c r="PCV123" s="225"/>
      <c r="PCW123" s="225"/>
      <c r="PCX123" s="225"/>
      <c r="PCY123" s="225"/>
      <c r="PCZ123" s="225"/>
      <c r="PDA123" s="225"/>
      <c r="PDB123" s="225"/>
      <c r="PDC123" s="225"/>
      <c r="PDD123" s="225"/>
      <c r="PDE123" s="225"/>
      <c r="PDF123" s="225"/>
      <c r="PDG123" s="225"/>
      <c r="PDH123" s="225"/>
      <c r="PDI123" s="225"/>
      <c r="PDJ123" s="225"/>
      <c r="PDK123" s="225"/>
      <c r="PDL123" s="225"/>
      <c r="PDM123" s="225"/>
      <c r="PDN123" s="225"/>
      <c r="PDO123" s="225"/>
      <c r="PDP123" s="225"/>
      <c r="PDQ123" s="225"/>
      <c r="PDR123" s="225"/>
      <c r="PDS123" s="225"/>
      <c r="PDT123" s="225"/>
      <c r="PDU123" s="225"/>
      <c r="PDV123" s="225"/>
      <c r="PDW123" s="225"/>
      <c r="PDX123" s="225"/>
      <c r="PDY123" s="225"/>
      <c r="PDZ123" s="225"/>
      <c r="PEA123" s="225"/>
      <c r="PEB123" s="225"/>
      <c r="PEC123" s="225"/>
      <c r="PED123" s="225"/>
      <c r="PEE123" s="225"/>
      <c r="PEF123" s="225"/>
      <c r="PEG123" s="225"/>
      <c r="PEH123" s="225"/>
      <c r="PEI123" s="225"/>
      <c r="PEJ123" s="225"/>
      <c r="PEK123" s="225"/>
      <c r="PEL123" s="225"/>
      <c r="PEM123" s="225"/>
      <c r="PEN123" s="225"/>
      <c r="PEO123" s="225"/>
      <c r="PEP123" s="225"/>
      <c r="PEQ123" s="225"/>
      <c r="PER123" s="225"/>
      <c r="PES123" s="225"/>
      <c r="PET123" s="225"/>
      <c r="PEU123" s="225"/>
      <c r="PEV123" s="225"/>
      <c r="PEW123" s="225"/>
      <c r="PEX123" s="225"/>
      <c r="PEY123" s="225"/>
      <c r="PEZ123" s="225"/>
      <c r="PFA123" s="225"/>
      <c r="PFB123" s="225"/>
      <c r="PFC123" s="225"/>
      <c r="PFD123" s="225"/>
      <c r="PFE123" s="225"/>
      <c r="PFF123" s="225"/>
      <c r="PFG123" s="225"/>
      <c r="PFH123" s="225"/>
      <c r="PFI123" s="225"/>
      <c r="PFJ123" s="225"/>
      <c r="PFK123" s="225"/>
      <c r="PFL123" s="225"/>
      <c r="PFM123" s="225"/>
      <c r="PFN123" s="225"/>
      <c r="PFO123" s="225"/>
      <c r="PFP123" s="225"/>
      <c r="PFQ123" s="225"/>
      <c r="PFR123" s="225"/>
      <c r="PFS123" s="225"/>
      <c r="PFT123" s="225"/>
      <c r="PFU123" s="225"/>
      <c r="PFV123" s="225"/>
      <c r="PFW123" s="225"/>
      <c r="PFX123" s="225"/>
      <c r="PFY123" s="225"/>
      <c r="PFZ123" s="225"/>
      <c r="PGA123" s="225"/>
      <c r="PGB123" s="225"/>
      <c r="PGC123" s="225"/>
      <c r="PGD123" s="225"/>
      <c r="PGE123" s="225"/>
      <c r="PGF123" s="225"/>
      <c r="PGG123" s="225"/>
      <c r="PGH123" s="225"/>
      <c r="PGI123" s="225"/>
      <c r="PGJ123" s="225"/>
      <c r="PGK123" s="225"/>
      <c r="PGL123" s="225"/>
      <c r="PGM123" s="225"/>
      <c r="PGN123" s="225"/>
      <c r="PGO123" s="225"/>
      <c r="PGP123" s="225"/>
      <c r="PGQ123" s="225"/>
      <c r="PGR123" s="225"/>
      <c r="PGS123" s="225"/>
      <c r="PGT123" s="225"/>
      <c r="PGU123" s="225"/>
      <c r="PGV123" s="225"/>
      <c r="PGW123" s="225"/>
      <c r="PGX123" s="225"/>
      <c r="PGY123" s="225"/>
      <c r="PGZ123" s="225"/>
      <c r="PHA123" s="225"/>
      <c r="PHB123" s="225"/>
      <c r="PHC123" s="225"/>
      <c r="PHD123" s="225"/>
      <c r="PHE123" s="225"/>
      <c r="PHF123" s="225"/>
      <c r="PHG123" s="225"/>
      <c r="PHH123" s="225"/>
      <c r="PHI123" s="225"/>
      <c r="PHJ123" s="225"/>
      <c r="PHK123" s="225"/>
      <c r="PHL123" s="225"/>
      <c r="PHM123" s="225"/>
      <c r="PHN123" s="225"/>
      <c r="PHO123" s="225"/>
      <c r="PHP123" s="225"/>
      <c r="PHQ123" s="225"/>
      <c r="PHR123" s="225"/>
      <c r="PHS123" s="225"/>
      <c r="PHT123" s="225"/>
      <c r="PHU123" s="225"/>
      <c r="PHV123" s="225"/>
      <c r="PHW123" s="225"/>
      <c r="PHX123" s="225"/>
      <c r="PHY123" s="225"/>
      <c r="PHZ123" s="225"/>
      <c r="PIA123" s="225"/>
      <c r="PIB123" s="225"/>
      <c r="PIC123" s="225"/>
      <c r="PID123" s="225"/>
      <c r="PIE123" s="225"/>
      <c r="PIF123" s="225"/>
      <c r="PIG123" s="225"/>
      <c r="PIH123" s="225"/>
      <c r="PII123" s="225"/>
      <c r="PIJ123" s="225"/>
      <c r="PIK123" s="225"/>
      <c r="PIL123" s="225"/>
      <c r="PIM123" s="225"/>
      <c r="PIN123" s="225"/>
      <c r="PIO123" s="225"/>
      <c r="PIP123" s="225"/>
      <c r="PIQ123" s="225"/>
      <c r="PIR123" s="225"/>
      <c r="PIS123" s="225"/>
      <c r="PIT123" s="225"/>
      <c r="PIU123" s="225"/>
      <c r="PIV123" s="225"/>
      <c r="PIW123" s="225"/>
      <c r="PIX123" s="225"/>
      <c r="PIY123" s="225"/>
      <c r="PIZ123" s="225"/>
      <c r="PJA123" s="225"/>
      <c r="PJB123" s="225"/>
      <c r="PJC123" s="225"/>
      <c r="PJD123" s="225"/>
      <c r="PJE123" s="225"/>
      <c r="PJF123" s="225"/>
      <c r="PJG123" s="225"/>
      <c r="PJH123" s="225"/>
      <c r="PJI123" s="225"/>
      <c r="PJJ123" s="225"/>
      <c r="PJK123" s="225"/>
      <c r="PJL123" s="225"/>
      <c r="PJM123" s="225"/>
      <c r="PJN123" s="225"/>
      <c r="PJO123" s="225"/>
      <c r="PJP123" s="225"/>
      <c r="PJQ123" s="225"/>
      <c r="PJR123" s="225"/>
      <c r="PJS123" s="225"/>
      <c r="PJT123" s="225"/>
      <c r="PJU123" s="225"/>
      <c r="PJV123" s="225"/>
      <c r="PJW123" s="225"/>
      <c r="PJX123" s="225"/>
      <c r="PJY123" s="225"/>
      <c r="PJZ123" s="225"/>
      <c r="PKA123" s="225"/>
      <c r="PKB123" s="225"/>
      <c r="PKC123" s="225"/>
      <c r="PKD123" s="225"/>
      <c r="PKE123" s="225"/>
      <c r="PKF123" s="225"/>
      <c r="PKG123" s="225"/>
      <c r="PKH123" s="225"/>
      <c r="PKI123" s="225"/>
      <c r="PKJ123" s="225"/>
      <c r="PKK123" s="225"/>
      <c r="PKL123" s="225"/>
      <c r="PKM123" s="225"/>
      <c r="PKN123" s="225"/>
      <c r="PKO123" s="225"/>
      <c r="PKP123" s="225"/>
      <c r="PKQ123" s="225"/>
      <c r="PKR123" s="225"/>
      <c r="PKS123" s="225"/>
      <c r="PKT123" s="225"/>
      <c r="PKU123" s="225"/>
      <c r="PKV123" s="225"/>
      <c r="PKW123" s="225"/>
      <c r="PKX123" s="225"/>
      <c r="PKY123" s="225"/>
      <c r="PKZ123" s="225"/>
      <c r="PLA123" s="225"/>
      <c r="PLB123" s="225"/>
      <c r="PLC123" s="225"/>
      <c r="PLD123" s="225"/>
      <c r="PLE123" s="225"/>
      <c r="PLF123" s="225"/>
      <c r="PLG123" s="225"/>
      <c r="PLH123" s="225"/>
      <c r="PLI123" s="225"/>
      <c r="PLJ123" s="225"/>
      <c r="PLK123" s="225"/>
      <c r="PLL123" s="225"/>
      <c r="PLM123" s="225"/>
      <c r="PLN123" s="225"/>
      <c r="PLO123" s="225"/>
      <c r="PLP123" s="225"/>
      <c r="PLQ123" s="225"/>
      <c r="PLR123" s="225"/>
      <c r="PLS123" s="225"/>
      <c r="PLT123" s="225"/>
      <c r="PLU123" s="225"/>
      <c r="PLV123" s="225"/>
      <c r="PLW123" s="225"/>
      <c r="PLX123" s="225"/>
      <c r="PLY123" s="225"/>
      <c r="PLZ123" s="225"/>
      <c r="PMA123" s="225"/>
      <c r="PMB123" s="225"/>
      <c r="PMC123" s="225"/>
      <c r="PMD123" s="225"/>
      <c r="PME123" s="225"/>
      <c r="PMF123" s="225"/>
      <c r="PMG123" s="225"/>
      <c r="PMH123" s="225"/>
      <c r="PMI123" s="225"/>
      <c r="PMJ123" s="225"/>
      <c r="PMK123" s="225"/>
      <c r="PML123" s="225"/>
      <c r="PMM123" s="225"/>
      <c r="PMN123" s="225"/>
      <c r="PMO123" s="225"/>
      <c r="PMP123" s="225"/>
      <c r="PMQ123" s="225"/>
      <c r="PMR123" s="225"/>
      <c r="PMS123" s="225"/>
      <c r="PMT123" s="225"/>
      <c r="PMU123" s="225"/>
      <c r="PMV123" s="225"/>
      <c r="PMW123" s="225"/>
      <c r="PMX123" s="225"/>
      <c r="PMY123" s="225"/>
      <c r="PMZ123" s="225"/>
      <c r="PNA123" s="225"/>
      <c r="PNB123" s="225"/>
      <c r="PNC123" s="225"/>
      <c r="PND123" s="225"/>
      <c r="PNE123" s="225"/>
      <c r="PNF123" s="225"/>
      <c r="PNG123" s="225"/>
      <c r="PNH123" s="225"/>
      <c r="PNI123" s="225"/>
      <c r="PNJ123" s="225"/>
      <c r="PNK123" s="225"/>
      <c r="PNL123" s="225"/>
      <c r="PNM123" s="225"/>
      <c r="PNN123" s="225"/>
      <c r="PNO123" s="225"/>
      <c r="PNP123" s="225"/>
      <c r="PNQ123" s="225"/>
      <c r="PNR123" s="225"/>
      <c r="PNS123" s="225"/>
      <c r="PNT123" s="225"/>
      <c r="PNU123" s="225"/>
      <c r="PNV123" s="225"/>
      <c r="PNW123" s="225"/>
      <c r="PNX123" s="225"/>
      <c r="PNY123" s="225"/>
      <c r="PNZ123" s="225"/>
      <c r="POA123" s="225"/>
      <c r="POB123" s="225"/>
      <c r="POC123" s="225"/>
      <c r="POD123" s="225"/>
      <c r="POE123" s="225"/>
      <c r="POF123" s="225"/>
      <c r="POG123" s="225"/>
      <c r="POH123" s="225"/>
      <c r="POI123" s="225"/>
      <c r="POJ123" s="225"/>
      <c r="POK123" s="225"/>
      <c r="POL123" s="225"/>
      <c r="POM123" s="225"/>
      <c r="PON123" s="225"/>
      <c r="POO123" s="225"/>
      <c r="POP123" s="225"/>
      <c r="POQ123" s="225"/>
      <c r="POR123" s="225"/>
      <c r="POS123" s="225"/>
      <c r="POT123" s="225"/>
      <c r="POU123" s="225"/>
      <c r="POV123" s="225"/>
      <c r="POW123" s="225"/>
      <c r="POX123" s="225"/>
      <c r="POY123" s="225"/>
      <c r="POZ123" s="225"/>
      <c r="PPA123" s="225"/>
      <c r="PPB123" s="225"/>
      <c r="PPC123" s="225"/>
      <c r="PPD123" s="225"/>
      <c r="PPE123" s="225"/>
      <c r="PPF123" s="225"/>
      <c r="PPG123" s="225"/>
      <c r="PPH123" s="225"/>
      <c r="PPI123" s="225"/>
      <c r="PPJ123" s="225"/>
      <c r="PPK123" s="225"/>
      <c r="PPL123" s="225"/>
      <c r="PPM123" s="225"/>
      <c r="PPN123" s="225"/>
      <c r="PPO123" s="225"/>
      <c r="PPP123" s="225"/>
      <c r="PPQ123" s="225"/>
      <c r="PPR123" s="225"/>
      <c r="PPS123" s="225"/>
      <c r="PPT123" s="225"/>
      <c r="PPU123" s="225"/>
      <c r="PPV123" s="225"/>
      <c r="PPW123" s="225"/>
      <c r="PPX123" s="225"/>
      <c r="PPY123" s="225"/>
      <c r="PPZ123" s="225"/>
      <c r="PQA123" s="225"/>
      <c r="PQB123" s="225"/>
      <c r="PQC123" s="225"/>
      <c r="PQD123" s="225"/>
      <c r="PQE123" s="225"/>
      <c r="PQF123" s="225"/>
      <c r="PQG123" s="225"/>
      <c r="PQH123" s="225"/>
      <c r="PQI123" s="225"/>
      <c r="PQJ123" s="225"/>
      <c r="PQK123" s="225"/>
      <c r="PQL123" s="225"/>
      <c r="PQM123" s="225"/>
      <c r="PQN123" s="225"/>
      <c r="PQO123" s="225"/>
      <c r="PQP123" s="225"/>
      <c r="PQQ123" s="225"/>
      <c r="PQR123" s="225"/>
      <c r="PQS123" s="225"/>
      <c r="PQT123" s="225"/>
      <c r="PQU123" s="225"/>
      <c r="PQV123" s="225"/>
      <c r="PQW123" s="225"/>
      <c r="PQX123" s="225"/>
      <c r="PQY123" s="225"/>
      <c r="PQZ123" s="225"/>
      <c r="PRA123" s="225"/>
      <c r="PRB123" s="225"/>
      <c r="PRC123" s="225"/>
      <c r="PRD123" s="225"/>
      <c r="PRE123" s="225"/>
      <c r="PRF123" s="225"/>
      <c r="PRG123" s="225"/>
      <c r="PRH123" s="225"/>
      <c r="PRI123" s="225"/>
      <c r="PRJ123" s="225"/>
      <c r="PRK123" s="225"/>
      <c r="PRL123" s="225"/>
      <c r="PRM123" s="225"/>
      <c r="PRN123" s="225"/>
      <c r="PRO123" s="225"/>
      <c r="PRP123" s="225"/>
      <c r="PRQ123" s="225"/>
      <c r="PRR123" s="225"/>
      <c r="PRS123" s="225"/>
      <c r="PRT123" s="225"/>
      <c r="PRU123" s="225"/>
      <c r="PRV123" s="225"/>
      <c r="PRW123" s="225"/>
      <c r="PRX123" s="225"/>
      <c r="PRY123" s="225"/>
      <c r="PRZ123" s="225"/>
      <c r="PSA123" s="225"/>
      <c r="PSB123" s="225"/>
      <c r="PSC123" s="225"/>
      <c r="PSD123" s="225"/>
      <c r="PSE123" s="225"/>
      <c r="PSF123" s="225"/>
      <c r="PSG123" s="225"/>
      <c r="PSH123" s="225"/>
      <c r="PSI123" s="225"/>
      <c r="PSJ123" s="225"/>
      <c r="PSK123" s="225"/>
      <c r="PSL123" s="225"/>
      <c r="PSM123" s="225"/>
      <c r="PSN123" s="225"/>
      <c r="PSO123" s="225"/>
      <c r="PSP123" s="225"/>
      <c r="PSQ123" s="225"/>
      <c r="PSR123" s="225"/>
      <c r="PSS123" s="225"/>
      <c r="PST123" s="225"/>
      <c r="PSU123" s="225"/>
      <c r="PSV123" s="225"/>
      <c r="PSW123" s="225"/>
      <c r="PSX123" s="225"/>
      <c r="PSY123" s="225"/>
      <c r="PSZ123" s="225"/>
      <c r="PTA123" s="225"/>
      <c r="PTB123" s="225"/>
      <c r="PTC123" s="225"/>
      <c r="PTD123" s="225"/>
      <c r="PTE123" s="225"/>
      <c r="PTF123" s="225"/>
      <c r="PTG123" s="225"/>
      <c r="PTH123" s="225"/>
      <c r="PTI123" s="225"/>
      <c r="PTJ123" s="225"/>
      <c r="PTK123" s="225"/>
      <c r="PTL123" s="225"/>
      <c r="PTM123" s="225"/>
      <c r="PTN123" s="225"/>
      <c r="PTO123" s="225"/>
      <c r="PTP123" s="225"/>
      <c r="PTQ123" s="225"/>
      <c r="PTR123" s="225"/>
      <c r="PTS123" s="225"/>
      <c r="PTT123" s="225"/>
      <c r="PTU123" s="225"/>
      <c r="PTV123" s="225"/>
      <c r="PTW123" s="225"/>
      <c r="PTX123" s="225"/>
      <c r="PTY123" s="225"/>
      <c r="PTZ123" s="225"/>
      <c r="PUA123" s="225"/>
      <c r="PUB123" s="225"/>
      <c r="PUC123" s="225"/>
      <c r="PUD123" s="225"/>
      <c r="PUE123" s="225"/>
      <c r="PUF123" s="225"/>
      <c r="PUG123" s="225"/>
      <c r="PUH123" s="225"/>
      <c r="PUI123" s="225"/>
      <c r="PUJ123" s="225"/>
      <c r="PUK123" s="225"/>
      <c r="PUL123" s="225"/>
      <c r="PUM123" s="225"/>
      <c r="PUN123" s="225"/>
      <c r="PUO123" s="225"/>
      <c r="PUP123" s="225"/>
      <c r="PUQ123" s="225"/>
      <c r="PUR123" s="225"/>
      <c r="PUS123" s="225"/>
      <c r="PUT123" s="225"/>
      <c r="PUU123" s="225"/>
      <c r="PUV123" s="225"/>
      <c r="PUW123" s="225"/>
      <c r="PUX123" s="225"/>
      <c r="PUY123" s="225"/>
      <c r="PUZ123" s="225"/>
      <c r="PVA123" s="225"/>
      <c r="PVB123" s="225"/>
      <c r="PVC123" s="225"/>
      <c r="PVD123" s="225"/>
      <c r="PVE123" s="225"/>
      <c r="PVF123" s="225"/>
      <c r="PVG123" s="225"/>
      <c r="PVH123" s="225"/>
      <c r="PVI123" s="225"/>
      <c r="PVJ123" s="225"/>
      <c r="PVK123" s="225"/>
      <c r="PVL123" s="225"/>
      <c r="PVM123" s="225"/>
      <c r="PVN123" s="225"/>
      <c r="PVO123" s="225"/>
      <c r="PVP123" s="225"/>
      <c r="PVQ123" s="225"/>
      <c r="PVR123" s="225"/>
      <c r="PVS123" s="225"/>
      <c r="PVT123" s="225"/>
      <c r="PVU123" s="225"/>
      <c r="PVV123" s="225"/>
      <c r="PVW123" s="225"/>
      <c r="PVX123" s="225"/>
      <c r="PVY123" s="225"/>
      <c r="PVZ123" s="225"/>
      <c r="PWA123" s="225"/>
      <c r="PWB123" s="225"/>
      <c r="PWC123" s="225"/>
      <c r="PWD123" s="225"/>
      <c r="PWE123" s="225"/>
      <c r="PWF123" s="225"/>
      <c r="PWG123" s="225"/>
      <c r="PWH123" s="225"/>
      <c r="PWI123" s="225"/>
      <c r="PWJ123" s="225"/>
      <c r="PWK123" s="225"/>
      <c r="PWL123" s="225"/>
      <c r="PWM123" s="225"/>
      <c r="PWN123" s="225"/>
      <c r="PWO123" s="225"/>
      <c r="PWP123" s="225"/>
      <c r="PWQ123" s="225"/>
      <c r="PWR123" s="225"/>
      <c r="PWS123" s="225"/>
      <c r="PWT123" s="225"/>
      <c r="PWU123" s="225"/>
      <c r="PWV123" s="225"/>
      <c r="PWW123" s="225"/>
      <c r="PWX123" s="225"/>
      <c r="PWY123" s="225"/>
      <c r="PWZ123" s="225"/>
      <c r="PXA123" s="225"/>
      <c r="PXB123" s="225"/>
      <c r="PXC123" s="225"/>
      <c r="PXD123" s="225"/>
      <c r="PXE123" s="225"/>
      <c r="PXF123" s="225"/>
      <c r="PXG123" s="225"/>
      <c r="PXH123" s="225"/>
      <c r="PXI123" s="225"/>
      <c r="PXJ123" s="225"/>
      <c r="PXK123" s="225"/>
      <c r="PXL123" s="225"/>
      <c r="PXM123" s="225"/>
      <c r="PXN123" s="225"/>
      <c r="PXO123" s="225"/>
      <c r="PXP123" s="225"/>
      <c r="PXQ123" s="225"/>
      <c r="PXR123" s="225"/>
      <c r="PXS123" s="225"/>
      <c r="PXT123" s="225"/>
      <c r="PXU123" s="225"/>
      <c r="PXV123" s="225"/>
      <c r="PXW123" s="225"/>
      <c r="PXX123" s="225"/>
      <c r="PXY123" s="225"/>
      <c r="PXZ123" s="225"/>
      <c r="PYA123" s="225"/>
      <c r="PYB123" s="225"/>
      <c r="PYC123" s="225"/>
      <c r="PYD123" s="225"/>
      <c r="PYE123" s="225"/>
      <c r="PYF123" s="225"/>
      <c r="PYG123" s="225"/>
      <c r="PYH123" s="225"/>
      <c r="PYI123" s="225"/>
      <c r="PYJ123" s="225"/>
      <c r="PYK123" s="225"/>
      <c r="PYL123" s="225"/>
      <c r="PYM123" s="225"/>
      <c r="PYN123" s="225"/>
      <c r="PYO123" s="225"/>
      <c r="PYP123" s="225"/>
      <c r="PYQ123" s="225"/>
      <c r="PYR123" s="225"/>
      <c r="PYS123" s="225"/>
      <c r="PYT123" s="225"/>
      <c r="PYU123" s="225"/>
      <c r="PYV123" s="225"/>
      <c r="PYW123" s="225"/>
      <c r="PYX123" s="225"/>
      <c r="PYY123" s="225"/>
      <c r="PYZ123" s="225"/>
      <c r="PZA123" s="225"/>
      <c r="PZB123" s="225"/>
      <c r="PZC123" s="225"/>
      <c r="PZD123" s="225"/>
      <c r="PZE123" s="225"/>
      <c r="PZF123" s="225"/>
      <c r="PZG123" s="225"/>
      <c r="PZH123" s="225"/>
      <c r="PZI123" s="225"/>
      <c r="PZJ123" s="225"/>
      <c r="PZK123" s="225"/>
      <c r="PZL123" s="225"/>
      <c r="PZM123" s="225"/>
      <c r="PZN123" s="225"/>
      <c r="PZO123" s="225"/>
      <c r="PZP123" s="225"/>
      <c r="PZQ123" s="225"/>
      <c r="PZR123" s="225"/>
      <c r="PZS123" s="225"/>
      <c r="PZT123" s="225"/>
      <c r="PZU123" s="225"/>
      <c r="PZV123" s="225"/>
      <c r="PZW123" s="225"/>
      <c r="PZX123" s="225"/>
      <c r="PZY123" s="225"/>
      <c r="PZZ123" s="225"/>
      <c r="QAA123" s="225"/>
      <c r="QAB123" s="225"/>
      <c r="QAC123" s="225"/>
      <c r="QAD123" s="225"/>
      <c r="QAE123" s="225"/>
      <c r="QAF123" s="225"/>
      <c r="QAG123" s="225"/>
      <c r="QAH123" s="225"/>
      <c r="QAI123" s="225"/>
      <c r="QAJ123" s="225"/>
      <c r="QAK123" s="225"/>
      <c r="QAL123" s="225"/>
      <c r="QAM123" s="225"/>
      <c r="QAN123" s="225"/>
      <c r="QAO123" s="225"/>
      <c r="QAP123" s="225"/>
      <c r="QAQ123" s="225"/>
      <c r="QAR123" s="225"/>
      <c r="QAS123" s="225"/>
      <c r="QAT123" s="225"/>
      <c r="QAU123" s="225"/>
      <c r="QAV123" s="225"/>
      <c r="QAW123" s="225"/>
      <c r="QAX123" s="225"/>
      <c r="QAY123" s="225"/>
      <c r="QAZ123" s="225"/>
      <c r="QBA123" s="225"/>
      <c r="QBB123" s="225"/>
      <c r="QBC123" s="225"/>
      <c r="QBD123" s="225"/>
      <c r="QBE123" s="225"/>
      <c r="QBF123" s="225"/>
      <c r="QBG123" s="225"/>
      <c r="QBH123" s="225"/>
      <c r="QBI123" s="225"/>
      <c r="QBJ123" s="225"/>
      <c r="QBK123" s="225"/>
      <c r="QBL123" s="225"/>
      <c r="QBM123" s="225"/>
      <c r="QBN123" s="225"/>
      <c r="QBO123" s="225"/>
      <c r="QBP123" s="225"/>
      <c r="QBQ123" s="225"/>
      <c r="QBR123" s="225"/>
      <c r="QBS123" s="225"/>
      <c r="QBT123" s="225"/>
      <c r="QBU123" s="225"/>
      <c r="QBV123" s="225"/>
      <c r="QBW123" s="225"/>
      <c r="QBX123" s="225"/>
      <c r="QBY123" s="225"/>
      <c r="QBZ123" s="225"/>
      <c r="QCA123" s="225"/>
      <c r="QCB123" s="225"/>
      <c r="QCC123" s="225"/>
      <c r="QCD123" s="225"/>
      <c r="QCE123" s="225"/>
      <c r="QCF123" s="225"/>
      <c r="QCG123" s="225"/>
      <c r="QCH123" s="225"/>
      <c r="QCI123" s="225"/>
      <c r="QCJ123" s="225"/>
      <c r="QCK123" s="225"/>
      <c r="QCL123" s="225"/>
      <c r="QCM123" s="225"/>
      <c r="QCN123" s="225"/>
      <c r="QCO123" s="225"/>
      <c r="QCP123" s="225"/>
      <c r="QCQ123" s="225"/>
      <c r="QCR123" s="225"/>
      <c r="QCS123" s="225"/>
      <c r="QCT123" s="225"/>
      <c r="QCU123" s="225"/>
      <c r="QCV123" s="225"/>
      <c r="QCW123" s="225"/>
      <c r="QCX123" s="225"/>
      <c r="QCY123" s="225"/>
      <c r="QCZ123" s="225"/>
      <c r="QDA123" s="225"/>
      <c r="QDB123" s="225"/>
      <c r="QDC123" s="225"/>
      <c r="QDD123" s="225"/>
      <c r="QDE123" s="225"/>
      <c r="QDF123" s="225"/>
      <c r="QDG123" s="225"/>
      <c r="QDH123" s="225"/>
      <c r="QDI123" s="225"/>
      <c r="QDJ123" s="225"/>
      <c r="QDK123" s="225"/>
      <c r="QDL123" s="225"/>
      <c r="QDM123" s="225"/>
      <c r="QDN123" s="225"/>
      <c r="QDO123" s="225"/>
      <c r="QDP123" s="225"/>
      <c r="QDQ123" s="225"/>
      <c r="QDR123" s="225"/>
      <c r="QDS123" s="225"/>
      <c r="QDT123" s="225"/>
      <c r="QDU123" s="225"/>
      <c r="QDV123" s="225"/>
      <c r="QDW123" s="225"/>
      <c r="QDX123" s="225"/>
      <c r="QDY123" s="225"/>
      <c r="QDZ123" s="225"/>
      <c r="QEA123" s="225"/>
      <c r="QEB123" s="225"/>
      <c r="QEC123" s="225"/>
      <c r="QED123" s="225"/>
      <c r="QEE123" s="225"/>
      <c r="QEF123" s="225"/>
      <c r="QEG123" s="225"/>
      <c r="QEH123" s="225"/>
      <c r="QEI123" s="225"/>
      <c r="QEJ123" s="225"/>
      <c r="QEK123" s="225"/>
      <c r="QEL123" s="225"/>
      <c r="QEM123" s="225"/>
      <c r="QEN123" s="225"/>
      <c r="QEO123" s="225"/>
      <c r="QEP123" s="225"/>
      <c r="QEQ123" s="225"/>
      <c r="QER123" s="225"/>
      <c r="QES123" s="225"/>
      <c r="QET123" s="225"/>
      <c r="QEU123" s="225"/>
      <c r="QEV123" s="225"/>
      <c r="QEW123" s="225"/>
      <c r="QEX123" s="225"/>
      <c r="QEY123" s="225"/>
      <c r="QEZ123" s="225"/>
      <c r="QFA123" s="225"/>
      <c r="QFB123" s="225"/>
      <c r="QFC123" s="225"/>
      <c r="QFD123" s="225"/>
      <c r="QFE123" s="225"/>
      <c r="QFF123" s="225"/>
      <c r="QFG123" s="225"/>
      <c r="QFH123" s="225"/>
      <c r="QFI123" s="225"/>
      <c r="QFJ123" s="225"/>
      <c r="QFK123" s="225"/>
      <c r="QFL123" s="225"/>
      <c r="QFM123" s="225"/>
      <c r="QFN123" s="225"/>
      <c r="QFO123" s="225"/>
      <c r="QFP123" s="225"/>
      <c r="QFQ123" s="225"/>
      <c r="QFR123" s="225"/>
      <c r="QFS123" s="225"/>
      <c r="QFT123" s="225"/>
      <c r="QFU123" s="225"/>
      <c r="QFV123" s="225"/>
      <c r="QFW123" s="225"/>
      <c r="QFX123" s="225"/>
      <c r="QFY123" s="225"/>
      <c r="QFZ123" s="225"/>
      <c r="QGA123" s="225"/>
      <c r="QGB123" s="225"/>
      <c r="QGC123" s="225"/>
      <c r="QGD123" s="225"/>
      <c r="QGE123" s="225"/>
      <c r="QGF123" s="225"/>
      <c r="QGG123" s="225"/>
      <c r="QGH123" s="225"/>
      <c r="QGI123" s="225"/>
      <c r="QGJ123" s="225"/>
      <c r="QGK123" s="225"/>
      <c r="QGL123" s="225"/>
      <c r="QGM123" s="225"/>
      <c r="QGN123" s="225"/>
      <c r="QGO123" s="225"/>
      <c r="QGP123" s="225"/>
      <c r="QGQ123" s="225"/>
      <c r="QGR123" s="225"/>
      <c r="QGS123" s="225"/>
      <c r="QGT123" s="225"/>
      <c r="QGU123" s="225"/>
      <c r="QGV123" s="225"/>
      <c r="QGW123" s="225"/>
      <c r="QGX123" s="225"/>
      <c r="QGY123" s="225"/>
      <c r="QGZ123" s="225"/>
      <c r="QHA123" s="225"/>
      <c r="QHB123" s="225"/>
      <c r="QHC123" s="225"/>
      <c r="QHD123" s="225"/>
      <c r="QHE123" s="225"/>
      <c r="QHF123" s="225"/>
      <c r="QHG123" s="225"/>
      <c r="QHH123" s="225"/>
      <c r="QHI123" s="225"/>
      <c r="QHJ123" s="225"/>
      <c r="QHK123" s="225"/>
      <c r="QHL123" s="225"/>
      <c r="QHM123" s="225"/>
      <c r="QHN123" s="225"/>
      <c r="QHO123" s="225"/>
      <c r="QHP123" s="225"/>
      <c r="QHQ123" s="225"/>
      <c r="QHR123" s="225"/>
      <c r="QHS123" s="225"/>
      <c r="QHT123" s="225"/>
      <c r="QHU123" s="225"/>
      <c r="QHV123" s="225"/>
      <c r="QHW123" s="225"/>
      <c r="QHX123" s="225"/>
      <c r="QHY123" s="225"/>
      <c r="QHZ123" s="225"/>
      <c r="QIA123" s="225"/>
      <c r="QIB123" s="225"/>
      <c r="QIC123" s="225"/>
      <c r="QID123" s="225"/>
      <c r="QIE123" s="225"/>
      <c r="QIF123" s="225"/>
      <c r="QIG123" s="225"/>
      <c r="QIH123" s="225"/>
      <c r="QII123" s="225"/>
      <c r="QIJ123" s="225"/>
      <c r="QIK123" s="225"/>
      <c r="QIL123" s="225"/>
      <c r="QIM123" s="225"/>
      <c r="QIN123" s="225"/>
      <c r="QIO123" s="225"/>
      <c r="QIP123" s="225"/>
      <c r="QIQ123" s="225"/>
      <c r="QIR123" s="225"/>
      <c r="QIS123" s="225"/>
      <c r="QIT123" s="225"/>
      <c r="QIU123" s="225"/>
      <c r="QIV123" s="225"/>
      <c r="QIW123" s="225"/>
      <c r="QIX123" s="225"/>
      <c r="QIY123" s="225"/>
      <c r="QIZ123" s="225"/>
      <c r="QJA123" s="225"/>
      <c r="QJB123" s="225"/>
      <c r="QJC123" s="225"/>
      <c r="QJD123" s="225"/>
      <c r="QJE123" s="225"/>
      <c r="QJF123" s="225"/>
      <c r="QJG123" s="225"/>
      <c r="QJH123" s="225"/>
      <c r="QJI123" s="225"/>
      <c r="QJJ123" s="225"/>
      <c r="QJK123" s="225"/>
      <c r="QJL123" s="225"/>
      <c r="QJM123" s="225"/>
      <c r="QJN123" s="225"/>
      <c r="QJO123" s="225"/>
      <c r="QJP123" s="225"/>
      <c r="QJQ123" s="225"/>
      <c r="QJR123" s="225"/>
      <c r="QJS123" s="225"/>
      <c r="QJT123" s="225"/>
      <c r="QJU123" s="225"/>
      <c r="QJV123" s="225"/>
      <c r="QJW123" s="225"/>
      <c r="QJX123" s="225"/>
      <c r="QJY123" s="225"/>
      <c r="QJZ123" s="225"/>
      <c r="QKA123" s="225"/>
      <c r="QKB123" s="225"/>
      <c r="QKC123" s="225"/>
      <c r="QKD123" s="225"/>
      <c r="QKE123" s="225"/>
      <c r="QKF123" s="225"/>
      <c r="QKG123" s="225"/>
      <c r="QKH123" s="225"/>
      <c r="QKI123" s="225"/>
      <c r="QKJ123" s="225"/>
      <c r="QKK123" s="225"/>
      <c r="QKL123" s="225"/>
      <c r="QKM123" s="225"/>
      <c r="QKN123" s="225"/>
      <c r="QKO123" s="225"/>
      <c r="QKP123" s="225"/>
      <c r="QKQ123" s="225"/>
      <c r="QKR123" s="225"/>
      <c r="QKS123" s="225"/>
      <c r="QKT123" s="225"/>
      <c r="QKU123" s="225"/>
      <c r="QKV123" s="225"/>
      <c r="QKW123" s="225"/>
      <c r="QKX123" s="225"/>
      <c r="QKY123" s="225"/>
      <c r="QKZ123" s="225"/>
      <c r="QLA123" s="225"/>
      <c r="QLB123" s="225"/>
      <c r="QLC123" s="225"/>
      <c r="QLD123" s="225"/>
      <c r="QLE123" s="225"/>
      <c r="QLF123" s="225"/>
      <c r="QLG123" s="225"/>
      <c r="QLH123" s="225"/>
      <c r="QLI123" s="225"/>
      <c r="QLJ123" s="225"/>
      <c r="QLK123" s="225"/>
      <c r="QLL123" s="225"/>
      <c r="QLM123" s="225"/>
      <c r="QLN123" s="225"/>
      <c r="QLO123" s="225"/>
      <c r="QLP123" s="225"/>
      <c r="QLQ123" s="225"/>
      <c r="QLR123" s="225"/>
      <c r="QLS123" s="225"/>
      <c r="QLT123" s="225"/>
      <c r="QLU123" s="225"/>
      <c r="QLV123" s="225"/>
      <c r="QLW123" s="225"/>
      <c r="QLX123" s="225"/>
      <c r="QLY123" s="225"/>
      <c r="QLZ123" s="225"/>
      <c r="QMA123" s="225"/>
      <c r="QMB123" s="225"/>
      <c r="QMC123" s="225"/>
      <c r="QMD123" s="225"/>
      <c r="QME123" s="225"/>
      <c r="QMF123" s="225"/>
      <c r="QMG123" s="225"/>
      <c r="QMH123" s="225"/>
      <c r="QMI123" s="225"/>
      <c r="QMJ123" s="225"/>
      <c r="QMK123" s="225"/>
      <c r="QML123" s="225"/>
      <c r="QMM123" s="225"/>
      <c r="QMN123" s="225"/>
      <c r="QMO123" s="225"/>
      <c r="QMP123" s="225"/>
      <c r="QMQ123" s="225"/>
      <c r="QMR123" s="225"/>
      <c r="QMS123" s="225"/>
      <c r="QMT123" s="225"/>
      <c r="QMU123" s="225"/>
      <c r="QMV123" s="225"/>
      <c r="QMW123" s="225"/>
      <c r="QMX123" s="225"/>
      <c r="QMY123" s="225"/>
      <c r="QMZ123" s="225"/>
      <c r="QNA123" s="225"/>
      <c r="QNB123" s="225"/>
      <c r="QNC123" s="225"/>
      <c r="QND123" s="225"/>
      <c r="QNE123" s="225"/>
      <c r="QNF123" s="225"/>
      <c r="QNG123" s="225"/>
      <c r="QNH123" s="225"/>
      <c r="QNI123" s="225"/>
      <c r="QNJ123" s="225"/>
      <c r="QNK123" s="225"/>
      <c r="QNL123" s="225"/>
      <c r="QNM123" s="225"/>
      <c r="QNN123" s="225"/>
      <c r="QNO123" s="225"/>
      <c r="QNP123" s="225"/>
      <c r="QNQ123" s="225"/>
      <c r="QNR123" s="225"/>
      <c r="QNS123" s="225"/>
      <c r="QNT123" s="225"/>
      <c r="QNU123" s="225"/>
      <c r="QNV123" s="225"/>
      <c r="QNW123" s="225"/>
      <c r="QNX123" s="225"/>
      <c r="QNY123" s="225"/>
      <c r="QNZ123" s="225"/>
      <c r="QOA123" s="225"/>
      <c r="QOB123" s="225"/>
      <c r="QOC123" s="225"/>
      <c r="QOD123" s="225"/>
      <c r="QOE123" s="225"/>
      <c r="QOF123" s="225"/>
      <c r="QOG123" s="225"/>
      <c r="QOH123" s="225"/>
      <c r="QOI123" s="225"/>
      <c r="QOJ123" s="225"/>
      <c r="QOK123" s="225"/>
      <c r="QOL123" s="225"/>
      <c r="QOM123" s="225"/>
      <c r="QON123" s="225"/>
      <c r="QOO123" s="225"/>
      <c r="QOP123" s="225"/>
      <c r="QOQ123" s="225"/>
      <c r="QOR123" s="225"/>
      <c r="QOS123" s="225"/>
      <c r="QOT123" s="225"/>
      <c r="QOU123" s="225"/>
      <c r="QOV123" s="225"/>
      <c r="QOW123" s="225"/>
      <c r="QOX123" s="225"/>
      <c r="QOY123" s="225"/>
      <c r="QOZ123" s="225"/>
      <c r="QPA123" s="225"/>
      <c r="QPB123" s="225"/>
      <c r="QPC123" s="225"/>
      <c r="QPD123" s="225"/>
      <c r="QPE123" s="225"/>
      <c r="QPF123" s="225"/>
      <c r="QPG123" s="225"/>
      <c r="QPH123" s="225"/>
      <c r="QPI123" s="225"/>
      <c r="QPJ123" s="225"/>
      <c r="QPK123" s="225"/>
      <c r="QPL123" s="225"/>
      <c r="QPM123" s="225"/>
      <c r="QPN123" s="225"/>
      <c r="QPO123" s="225"/>
      <c r="QPP123" s="225"/>
      <c r="QPQ123" s="225"/>
      <c r="QPR123" s="225"/>
      <c r="QPS123" s="225"/>
      <c r="QPT123" s="225"/>
      <c r="QPU123" s="225"/>
      <c r="QPV123" s="225"/>
      <c r="QPW123" s="225"/>
      <c r="QPX123" s="225"/>
      <c r="QPY123" s="225"/>
      <c r="QPZ123" s="225"/>
      <c r="QQA123" s="225"/>
      <c r="QQB123" s="225"/>
      <c r="QQC123" s="225"/>
      <c r="QQD123" s="225"/>
      <c r="QQE123" s="225"/>
      <c r="QQF123" s="225"/>
      <c r="QQG123" s="225"/>
      <c r="QQH123" s="225"/>
      <c r="QQI123" s="225"/>
      <c r="QQJ123" s="225"/>
      <c r="QQK123" s="225"/>
      <c r="QQL123" s="225"/>
      <c r="QQM123" s="225"/>
      <c r="QQN123" s="225"/>
      <c r="QQO123" s="225"/>
      <c r="QQP123" s="225"/>
      <c r="QQQ123" s="225"/>
      <c r="QQR123" s="225"/>
      <c r="QQS123" s="225"/>
      <c r="QQT123" s="225"/>
      <c r="QQU123" s="225"/>
      <c r="QQV123" s="225"/>
      <c r="QQW123" s="225"/>
      <c r="QQX123" s="225"/>
      <c r="QQY123" s="225"/>
      <c r="QQZ123" s="225"/>
      <c r="QRA123" s="225"/>
      <c r="QRB123" s="225"/>
      <c r="QRC123" s="225"/>
      <c r="QRD123" s="225"/>
      <c r="QRE123" s="225"/>
      <c r="QRF123" s="225"/>
      <c r="QRG123" s="225"/>
      <c r="QRH123" s="225"/>
      <c r="QRI123" s="225"/>
      <c r="QRJ123" s="225"/>
      <c r="QRK123" s="225"/>
      <c r="QRL123" s="225"/>
      <c r="QRM123" s="225"/>
      <c r="QRN123" s="225"/>
      <c r="QRO123" s="225"/>
      <c r="QRP123" s="225"/>
      <c r="QRQ123" s="225"/>
      <c r="QRR123" s="225"/>
      <c r="QRS123" s="225"/>
      <c r="QRT123" s="225"/>
      <c r="QRU123" s="225"/>
      <c r="QRV123" s="225"/>
      <c r="QRW123" s="225"/>
      <c r="QRX123" s="225"/>
      <c r="QRY123" s="225"/>
      <c r="QRZ123" s="225"/>
      <c r="QSA123" s="225"/>
      <c r="QSB123" s="225"/>
      <c r="QSC123" s="225"/>
      <c r="QSD123" s="225"/>
      <c r="QSE123" s="225"/>
      <c r="QSF123" s="225"/>
      <c r="QSG123" s="225"/>
      <c r="QSH123" s="225"/>
      <c r="QSI123" s="225"/>
      <c r="QSJ123" s="225"/>
      <c r="QSK123" s="225"/>
      <c r="QSL123" s="225"/>
      <c r="QSM123" s="225"/>
      <c r="QSN123" s="225"/>
      <c r="QSO123" s="225"/>
      <c r="QSP123" s="225"/>
      <c r="QSQ123" s="225"/>
      <c r="QSR123" s="225"/>
      <c r="QSS123" s="225"/>
      <c r="QST123" s="225"/>
      <c r="QSU123" s="225"/>
      <c r="QSV123" s="225"/>
      <c r="QSW123" s="225"/>
      <c r="QSX123" s="225"/>
      <c r="QSY123" s="225"/>
      <c r="QSZ123" s="225"/>
      <c r="QTA123" s="225"/>
      <c r="QTB123" s="225"/>
      <c r="QTC123" s="225"/>
      <c r="QTD123" s="225"/>
      <c r="QTE123" s="225"/>
      <c r="QTF123" s="225"/>
      <c r="QTG123" s="225"/>
      <c r="QTH123" s="225"/>
      <c r="QTI123" s="225"/>
      <c r="QTJ123" s="225"/>
      <c r="QTK123" s="225"/>
      <c r="QTL123" s="225"/>
      <c r="QTM123" s="225"/>
      <c r="QTN123" s="225"/>
      <c r="QTO123" s="225"/>
      <c r="QTP123" s="225"/>
      <c r="QTQ123" s="225"/>
      <c r="QTR123" s="225"/>
      <c r="QTS123" s="225"/>
      <c r="QTT123" s="225"/>
      <c r="QTU123" s="225"/>
      <c r="QTV123" s="225"/>
      <c r="QTW123" s="225"/>
      <c r="QTX123" s="225"/>
      <c r="QTY123" s="225"/>
      <c r="QTZ123" s="225"/>
      <c r="QUA123" s="225"/>
      <c r="QUB123" s="225"/>
      <c r="QUC123" s="225"/>
      <c r="QUD123" s="225"/>
      <c r="QUE123" s="225"/>
      <c r="QUF123" s="225"/>
      <c r="QUG123" s="225"/>
      <c r="QUH123" s="225"/>
      <c r="QUI123" s="225"/>
      <c r="QUJ123" s="225"/>
      <c r="QUK123" s="225"/>
      <c r="QUL123" s="225"/>
      <c r="QUM123" s="225"/>
      <c r="QUN123" s="225"/>
      <c r="QUO123" s="225"/>
      <c r="QUP123" s="225"/>
      <c r="QUQ123" s="225"/>
      <c r="QUR123" s="225"/>
      <c r="QUS123" s="225"/>
      <c r="QUT123" s="225"/>
      <c r="QUU123" s="225"/>
      <c r="QUV123" s="225"/>
      <c r="QUW123" s="225"/>
      <c r="QUX123" s="225"/>
      <c r="QUY123" s="225"/>
      <c r="QUZ123" s="225"/>
      <c r="QVA123" s="225"/>
      <c r="QVB123" s="225"/>
      <c r="QVC123" s="225"/>
      <c r="QVD123" s="225"/>
      <c r="QVE123" s="225"/>
      <c r="QVF123" s="225"/>
      <c r="QVG123" s="225"/>
      <c r="QVH123" s="225"/>
      <c r="QVI123" s="225"/>
      <c r="QVJ123" s="225"/>
      <c r="QVK123" s="225"/>
      <c r="QVL123" s="225"/>
      <c r="QVM123" s="225"/>
      <c r="QVN123" s="225"/>
      <c r="QVO123" s="225"/>
      <c r="QVP123" s="225"/>
      <c r="QVQ123" s="225"/>
      <c r="QVR123" s="225"/>
      <c r="QVS123" s="225"/>
      <c r="QVT123" s="225"/>
      <c r="QVU123" s="225"/>
      <c r="QVV123" s="225"/>
      <c r="QVW123" s="225"/>
      <c r="QVX123" s="225"/>
      <c r="QVY123" s="225"/>
      <c r="QVZ123" s="225"/>
      <c r="QWA123" s="225"/>
      <c r="QWB123" s="225"/>
      <c r="QWC123" s="225"/>
      <c r="QWD123" s="225"/>
      <c r="QWE123" s="225"/>
      <c r="QWF123" s="225"/>
      <c r="QWG123" s="225"/>
      <c r="QWH123" s="225"/>
      <c r="QWI123" s="225"/>
      <c r="QWJ123" s="225"/>
      <c r="QWK123" s="225"/>
      <c r="QWL123" s="225"/>
      <c r="QWM123" s="225"/>
      <c r="QWN123" s="225"/>
      <c r="QWO123" s="225"/>
      <c r="QWP123" s="225"/>
      <c r="QWQ123" s="225"/>
      <c r="QWR123" s="225"/>
      <c r="QWS123" s="225"/>
      <c r="QWT123" s="225"/>
      <c r="QWU123" s="225"/>
      <c r="QWV123" s="225"/>
      <c r="QWW123" s="225"/>
      <c r="QWX123" s="225"/>
      <c r="QWY123" s="225"/>
      <c r="QWZ123" s="225"/>
      <c r="QXA123" s="225"/>
      <c r="QXB123" s="225"/>
      <c r="QXC123" s="225"/>
      <c r="QXD123" s="225"/>
      <c r="QXE123" s="225"/>
      <c r="QXF123" s="225"/>
      <c r="QXG123" s="225"/>
      <c r="QXH123" s="225"/>
      <c r="QXI123" s="225"/>
      <c r="QXJ123" s="225"/>
      <c r="QXK123" s="225"/>
      <c r="QXL123" s="225"/>
      <c r="QXM123" s="225"/>
      <c r="QXN123" s="225"/>
      <c r="QXO123" s="225"/>
      <c r="QXP123" s="225"/>
      <c r="QXQ123" s="225"/>
      <c r="QXR123" s="225"/>
      <c r="QXS123" s="225"/>
      <c r="QXT123" s="225"/>
      <c r="QXU123" s="225"/>
      <c r="QXV123" s="225"/>
      <c r="QXW123" s="225"/>
      <c r="QXX123" s="225"/>
      <c r="QXY123" s="225"/>
      <c r="QXZ123" s="225"/>
      <c r="QYA123" s="225"/>
      <c r="QYB123" s="225"/>
      <c r="QYC123" s="225"/>
      <c r="QYD123" s="225"/>
      <c r="QYE123" s="225"/>
      <c r="QYF123" s="225"/>
      <c r="QYG123" s="225"/>
      <c r="QYH123" s="225"/>
      <c r="QYI123" s="225"/>
      <c r="QYJ123" s="225"/>
      <c r="QYK123" s="225"/>
      <c r="QYL123" s="225"/>
      <c r="QYM123" s="225"/>
      <c r="QYN123" s="225"/>
      <c r="QYO123" s="225"/>
      <c r="QYP123" s="225"/>
      <c r="QYQ123" s="225"/>
      <c r="QYR123" s="225"/>
      <c r="QYS123" s="225"/>
      <c r="QYT123" s="225"/>
      <c r="QYU123" s="225"/>
      <c r="QYV123" s="225"/>
      <c r="QYW123" s="225"/>
      <c r="QYX123" s="225"/>
      <c r="QYY123" s="225"/>
      <c r="QYZ123" s="225"/>
      <c r="QZA123" s="225"/>
      <c r="QZB123" s="225"/>
      <c r="QZC123" s="225"/>
      <c r="QZD123" s="225"/>
      <c r="QZE123" s="225"/>
      <c r="QZF123" s="225"/>
      <c r="QZG123" s="225"/>
      <c r="QZH123" s="225"/>
      <c r="QZI123" s="225"/>
      <c r="QZJ123" s="225"/>
      <c r="QZK123" s="225"/>
      <c r="QZL123" s="225"/>
      <c r="QZM123" s="225"/>
      <c r="QZN123" s="225"/>
      <c r="QZO123" s="225"/>
      <c r="QZP123" s="225"/>
      <c r="QZQ123" s="225"/>
      <c r="QZR123" s="225"/>
      <c r="QZS123" s="225"/>
      <c r="QZT123" s="225"/>
      <c r="QZU123" s="225"/>
      <c r="QZV123" s="225"/>
      <c r="QZW123" s="225"/>
      <c r="QZX123" s="225"/>
      <c r="QZY123" s="225"/>
      <c r="QZZ123" s="225"/>
      <c r="RAA123" s="225"/>
      <c r="RAB123" s="225"/>
      <c r="RAC123" s="225"/>
      <c r="RAD123" s="225"/>
      <c r="RAE123" s="225"/>
      <c r="RAF123" s="225"/>
      <c r="RAG123" s="225"/>
      <c r="RAH123" s="225"/>
      <c r="RAI123" s="225"/>
      <c r="RAJ123" s="225"/>
      <c r="RAK123" s="225"/>
      <c r="RAL123" s="225"/>
      <c r="RAM123" s="225"/>
      <c r="RAN123" s="225"/>
      <c r="RAO123" s="225"/>
      <c r="RAP123" s="225"/>
      <c r="RAQ123" s="225"/>
      <c r="RAR123" s="225"/>
      <c r="RAS123" s="225"/>
      <c r="RAT123" s="225"/>
      <c r="RAU123" s="225"/>
      <c r="RAV123" s="225"/>
      <c r="RAW123" s="225"/>
      <c r="RAX123" s="225"/>
      <c r="RAY123" s="225"/>
      <c r="RAZ123" s="225"/>
      <c r="RBA123" s="225"/>
      <c r="RBB123" s="225"/>
      <c r="RBC123" s="225"/>
      <c r="RBD123" s="225"/>
      <c r="RBE123" s="225"/>
      <c r="RBF123" s="225"/>
      <c r="RBG123" s="225"/>
      <c r="RBH123" s="225"/>
      <c r="RBI123" s="225"/>
      <c r="RBJ123" s="225"/>
      <c r="RBK123" s="225"/>
      <c r="RBL123" s="225"/>
      <c r="RBM123" s="225"/>
      <c r="RBN123" s="225"/>
      <c r="RBO123" s="225"/>
      <c r="RBP123" s="225"/>
      <c r="RBQ123" s="225"/>
      <c r="RBR123" s="225"/>
      <c r="RBS123" s="225"/>
      <c r="RBT123" s="225"/>
      <c r="RBU123" s="225"/>
      <c r="RBV123" s="225"/>
      <c r="RBW123" s="225"/>
      <c r="RBX123" s="225"/>
      <c r="RBY123" s="225"/>
      <c r="RBZ123" s="225"/>
      <c r="RCA123" s="225"/>
      <c r="RCB123" s="225"/>
      <c r="RCC123" s="225"/>
      <c r="RCD123" s="225"/>
      <c r="RCE123" s="225"/>
      <c r="RCF123" s="225"/>
      <c r="RCG123" s="225"/>
      <c r="RCH123" s="225"/>
      <c r="RCI123" s="225"/>
      <c r="RCJ123" s="225"/>
      <c r="RCK123" s="225"/>
      <c r="RCL123" s="225"/>
      <c r="RCM123" s="225"/>
      <c r="RCN123" s="225"/>
      <c r="RCO123" s="225"/>
      <c r="RCP123" s="225"/>
      <c r="RCQ123" s="225"/>
      <c r="RCR123" s="225"/>
      <c r="RCS123" s="225"/>
      <c r="RCT123" s="225"/>
      <c r="RCU123" s="225"/>
      <c r="RCV123" s="225"/>
      <c r="RCW123" s="225"/>
      <c r="RCX123" s="225"/>
      <c r="RCY123" s="225"/>
      <c r="RCZ123" s="225"/>
      <c r="RDA123" s="225"/>
      <c r="RDB123" s="225"/>
      <c r="RDC123" s="225"/>
      <c r="RDD123" s="225"/>
      <c r="RDE123" s="225"/>
      <c r="RDF123" s="225"/>
      <c r="RDG123" s="225"/>
      <c r="RDH123" s="225"/>
      <c r="RDI123" s="225"/>
      <c r="RDJ123" s="225"/>
      <c r="RDK123" s="225"/>
      <c r="RDL123" s="225"/>
      <c r="RDM123" s="225"/>
      <c r="RDN123" s="225"/>
      <c r="RDO123" s="225"/>
      <c r="RDP123" s="225"/>
      <c r="RDQ123" s="225"/>
      <c r="RDR123" s="225"/>
      <c r="RDS123" s="225"/>
      <c r="RDT123" s="225"/>
      <c r="RDU123" s="225"/>
      <c r="RDV123" s="225"/>
      <c r="RDW123" s="225"/>
      <c r="RDX123" s="225"/>
      <c r="RDY123" s="225"/>
      <c r="RDZ123" s="225"/>
      <c r="REA123" s="225"/>
      <c r="REB123" s="225"/>
      <c r="REC123" s="225"/>
      <c r="RED123" s="225"/>
      <c r="REE123" s="225"/>
      <c r="REF123" s="225"/>
      <c r="REG123" s="225"/>
      <c r="REH123" s="225"/>
      <c r="REI123" s="225"/>
      <c r="REJ123" s="225"/>
      <c r="REK123" s="225"/>
      <c r="REL123" s="225"/>
      <c r="REM123" s="225"/>
      <c r="REN123" s="225"/>
      <c r="REO123" s="225"/>
      <c r="REP123" s="225"/>
      <c r="REQ123" s="225"/>
      <c r="RER123" s="225"/>
      <c r="RES123" s="225"/>
      <c r="RET123" s="225"/>
      <c r="REU123" s="225"/>
      <c r="REV123" s="225"/>
      <c r="REW123" s="225"/>
      <c r="REX123" s="225"/>
      <c r="REY123" s="225"/>
      <c r="REZ123" s="225"/>
      <c r="RFA123" s="225"/>
      <c r="RFB123" s="225"/>
      <c r="RFC123" s="225"/>
      <c r="RFD123" s="225"/>
      <c r="RFE123" s="225"/>
      <c r="RFF123" s="225"/>
      <c r="RFG123" s="225"/>
      <c r="RFH123" s="225"/>
      <c r="RFI123" s="225"/>
      <c r="RFJ123" s="225"/>
      <c r="RFK123" s="225"/>
      <c r="RFL123" s="225"/>
      <c r="RFM123" s="225"/>
      <c r="RFN123" s="225"/>
      <c r="RFO123" s="225"/>
      <c r="RFP123" s="225"/>
      <c r="RFQ123" s="225"/>
      <c r="RFR123" s="225"/>
      <c r="RFS123" s="225"/>
      <c r="RFT123" s="225"/>
      <c r="RFU123" s="225"/>
      <c r="RFV123" s="225"/>
      <c r="RFW123" s="225"/>
      <c r="RFX123" s="225"/>
      <c r="RFY123" s="225"/>
      <c r="RFZ123" s="225"/>
      <c r="RGA123" s="225"/>
      <c r="RGB123" s="225"/>
      <c r="RGC123" s="225"/>
      <c r="RGD123" s="225"/>
      <c r="RGE123" s="225"/>
      <c r="RGF123" s="225"/>
      <c r="RGG123" s="225"/>
      <c r="RGH123" s="225"/>
      <c r="RGI123" s="225"/>
      <c r="RGJ123" s="225"/>
      <c r="RGK123" s="225"/>
      <c r="RGL123" s="225"/>
      <c r="RGM123" s="225"/>
      <c r="RGN123" s="225"/>
      <c r="RGO123" s="225"/>
      <c r="RGP123" s="225"/>
      <c r="RGQ123" s="225"/>
      <c r="RGR123" s="225"/>
      <c r="RGS123" s="225"/>
      <c r="RGT123" s="225"/>
      <c r="RGU123" s="225"/>
      <c r="RGV123" s="225"/>
      <c r="RGW123" s="225"/>
      <c r="RGX123" s="225"/>
      <c r="RGY123" s="225"/>
      <c r="RGZ123" s="225"/>
      <c r="RHA123" s="225"/>
      <c r="RHB123" s="225"/>
      <c r="RHC123" s="225"/>
      <c r="RHD123" s="225"/>
      <c r="RHE123" s="225"/>
      <c r="RHF123" s="225"/>
      <c r="RHG123" s="225"/>
      <c r="RHH123" s="225"/>
      <c r="RHI123" s="225"/>
      <c r="RHJ123" s="225"/>
      <c r="RHK123" s="225"/>
      <c r="RHL123" s="225"/>
      <c r="RHM123" s="225"/>
      <c r="RHN123" s="225"/>
      <c r="RHO123" s="225"/>
      <c r="RHP123" s="225"/>
      <c r="RHQ123" s="225"/>
      <c r="RHR123" s="225"/>
      <c r="RHS123" s="225"/>
      <c r="RHT123" s="225"/>
      <c r="RHU123" s="225"/>
      <c r="RHV123" s="225"/>
      <c r="RHW123" s="225"/>
      <c r="RHX123" s="225"/>
      <c r="RHY123" s="225"/>
      <c r="RHZ123" s="225"/>
      <c r="RIA123" s="225"/>
      <c r="RIB123" s="225"/>
      <c r="RIC123" s="225"/>
      <c r="RID123" s="225"/>
      <c r="RIE123" s="225"/>
      <c r="RIF123" s="225"/>
      <c r="RIG123" s="225"/>
      <c r="RIH123" s="225"/>
      <c r="RII123" s="225"/>
      <c r="RIJ123" s="225"/>
      <c r="RIK123" s="225"/>
      <c r="RIL123" s="225"/>
      <c r="RIM123" s="225"/>
      <c r="RIN123" s="225"/>
      <c r="RIO123" s="225"/>
      <c r="RIP123" s="225"/>
      <c r="RIQ123" s="225"/>
      <c r="RIR123" s="225"/>
      <c r="RIS123" s="225"/>
      <c r="RIT123" s="225"/>
      <c r="RIU123" s="225"/>
      <c r="RIV123" s="225"/>
      <c r="RIW123" s="225"/>
      <c r="RIX123" s="225"/>
      <c r="RIY123" s="225"/>
      <c r="RIZ123" s="225"/>
      <c r="RJA123" s="225"/>
      <c r="RJB123" s="225"/>
      <c r="RJC123" s="225"/>
      <c r="RJD123" s="225"/>
      <c r="RJE123" s="225"/>
      <c r="RJF123" s="225"/>
      <c r="RJG123" s="225"/>
      <c r="RJH123" s="225"/>
      <c r="RJI123" s="225"/>
      <c r="RJJ123" s="225"/>
      <c r="RJK123" s="225"/>
      <c r="RJL123" s="225"/>
      <c r="RJM123" s="225"/>
      <c r="RJN123" s="225"/>
      <c r="RJO123" s="225"/>
      <c r="RJP123" s="225"/>
      <c r="RJQ123" s="225"/>
      <c r="RJR123" s="225"/>
      <c r="RJS123" s="225"/>
      <c r="RJT123" s="225"/>
      <c r="RJU123" s="225"/>
      <c r="RJV123" s="225"/>
      <c r="RJW123" s="225"/>
      <c r="RJX123" s="225"/>
      <c r="RJY123" s="225"/>
      <c r="RJZ123" s="225"/>
      <c r="RKA123" s="225"/>
      <c r="RKB123" s="225"/>
      <c r="RKC123" s="225"/>
      <c r="RKD123" s="225"/>
      <c r="RKE123" s="225"/>
      <c r="RKF123" s="225"/>
      <c r="RKG123" s="225"/>
      <c r="RKH123" s="225"/>
      <c r="RKI123" s="225"/>
      <c r="RKJ123" s="225"/>
      <c r="RKK123" s="225"/>
      <c r="RKL123" s="225"/>
      <c r="RKM123" s="225"/>
      <c r="RKN123" s="225"/>
      <c r="RKO123" s="225"/>
      <c r="RKP123" s="225"/>
      <c r="RKQ123" s="225"/>
      <c r="RKR123" s="225"/>
      <c r="RKS123" s="225"/>
      <c r="RKT123" s="225"/>
      <c r="RKU123" s="225"/>
      <c r="RKV123" s="225"/>
      <c r="RKW123" s="225"/>
      <c r="RKX123" s="225"/>
      <c r="RKY123" s="225"/>
      <c r="RKZ123" s="225"/>
      <c r="RLA123" s="225"/>
      <c r="RLB123" s="225"/>
      <c r="RLC123" s="225"/>
      <c r="RLD123" s="225"/>
      <c r="RLE123" s="225"/>
      <c r="RLF123" s="225"/>
      <c r="RLG123" s="225"/>
      <c r="RLH123" s="225"/>
      <c r="RLI123" s="225"/>
      <c r="RLJ123" s="225"/>
      <c r="RLK123" s="225"/>
      <c r="RLL123" s="225"/>
      <c r="RLM123" s="225"/>
      <c r="RLN123" s="225"/>
      <c r="RLO123" s="225"/>
      <c r="RLP123" s="225"/>
      <c r="RLQ123" s="225"/>
      <c r="RLR123" s="225"/>
      <c r="RLS123" s="225"/>
      <c r="RLT123" s="225"/>
      <c r="RLU123" s="225"/>
      <c r="RLV123" s="225"/>
      <c r="RLW123" s="225"/>
      <c r="RLX123" s="225"/>
      <c r="RLY123" s="225"/>
      <c r="RLZ123" s="225"/>
      <c r="RMA123" s="225"/>
      <c r="RMB123" s="225"/>
      <c r="RMC123" s="225"/>
      <c r="RMD123" s="225"/>
      <c r="RME123" s="225"/>
      <c r="RMF123" s="225"/>
      <c r="RMG123" s="225"/>
      <c r="RMH123" s="225"/>
      <c r="RMI123" s="225"/>
      <c r="RMJ123" s="225"/>
      <c r="RMK123" s="225"/>
      <c r="RML123" s="225"/>
      <c r="RMM123" s="225"/>
      <c r="RMN123" s="225"/>
      <c r="RMO123" s="225"/>
      <c r="RMP123" s="225"/>
      <c r="RMQ123" s="225"/>
      <c r="RMR123" s="225"/>
      <c r="RMS123" s="225"/>
      <c r="RMT123" s="225"/>
      <c r="RMU123" s="225"/>
      <c r="RMV123" s="225"/>
      <c r="RMW123" s="225"/>
      <c r="RMX123" s="225"/>
      <c r="RMY123" s="225"/>
      <c r="RMZ123" s="225"/>
      <c r="RNA123" s="225"/>
      <c r="RNB123" s="225"/>
      <c r="RNC123" s="225"/>
      <c r="RND123" s="225"/>
      <c r="RNE123" s="225"/>
      <c r="RNF123" s="225"/>
      <c r="RNG123" s="225"/>
      <c r="RNH123" s="225"/>
      <c r="RNI123" s="225"/>
      <c r="RNJ123" s="225"/>
      <c r="RNK123" s="225"/>
      <c r="RNL123" s="225"/>
      <c r="RNM123" s="225"/>
      <c r="RNN123" s="225"/>
      <c r="RNO123" s="225"/>
      <c r="RNP123" s="225"/>
      <c r="RNQ123" s="225"/>
      <c r="RNR123" s="225"/>
      <c r="RNS123" s="225"/>
      <c r="RNT123" s="225"/>
      <c r="RNU123" s="225"/>
      <c r="RNV123" s="225"/>
      <c r="RNW123" s="225"/>
      <c r="RNX123" s="225"/>
      <c r="RNY123" s="225"/>
      <c r="RNZ123" s="225"/>
      <c r="ROA123" s="225"/>
      <c r="ROB123" s="225"/>
      <c r="ROC123" s="225"/>
      <c r="ROD123" s="225"/>
      <c r="ROE123" s="225"/>
      <c r="ROF123" s="225"/>
      <c r="ROG123" s="225"/>
      <c r="ROH123" s="225"/>
      <c r="ROI123" s="225"/>
      <c r="ROJ123" s="225"/>
      <c r="ROK123" s="225"/>
      <c r="ROL123" s="225"/>
      <c r="ROM123" s="225"/>
      <c r="RON123" s="225"/>
      <c r="ROO123" s="225"/>
      <c r="ROP123" s="225"/>
      <c r="ROQ123" s="225"/>
      <c r="ROR123" s="225"/>
      <c r="ROS123" s="225"/>
      <c r="ROT123" s="225"/>
      <c r="ROU123" s="225"/>
      <c r="ROV123" s="225"/>
      <c r="ROW123" s="225"/>
      <c r="ROX123" s="225"/>
      <c r="ROY123" s="225"/>
      <c r="ROZ123" s="225"/>
      <c r="RPA123" s="225"/>
      <c r="RPB123" s="225"/>
      <c r="RPC123" s="225"/>
      <c r="RPD123" s="225"/>
      <c r="RPE123" s="225"/>
      <c r="RPF123" s="225"/>
      <c r="RPG123" s="225"/>
      <c r="RPH123" s="225"/>
      <c r="RPI123" s="225"/>
      <c r="RPJ123" s="225"/>
      <c r="RPK123" s="225"/>
      <c r="RPL123" s="225"/>
      <c r="RPM123" s="225"/>
      <c r="RPN123" s="225"/>
      <c r="RPO123" s="225"/>
      <c r="RPP123" s="225"/>
      <c r="RPQ123" s="225"/>
      <c r="RPR123" s="225"/>
      <c r="RPS123" s="225"/>
      <c r="RPT123" s="225"/>
      <c r="RPU123" s="225"/>
      <c r="RPV123" s="225"/>
      <c r="RPW123" s="225"/>
      <c r="RPX123" s="225"/>
      <c r="RPY123" s="225"/>
      <c r="RPZ123" s="225"/>
      <c r="RQA123" s="225"/>
      <c r="RQB123" s="225"/>
      <c r="RQC123" s="225"/>
      <c r="RQD123" s="225"/>
      <c r="RQE123" s="225"/>
      <c r="RQF123" s="225"/>
      <c r="RQG123" s="225"/>
      <c r="RQH123" s="225"/>
      <c r="RQI123" s="225"/>
      <c r="RQJ123" s="225"/>
      <c r="RQK123" s="225"/>
      <c r="RQL123" s="225"/>
      <c r="RQM123" s="225"/>
      <c r="RQN123" s="225"/>
      <c r="RQO123" s="225"/>
      <c r="RQP123" s="225"/>
      <c r="RQQ123" s="225"/>
      <c r="RQR123" s="225"/>
      <c r="RQS123" s="225"/>
      <c r="RQT123" s="225"/>
      <c r="RQU123" s="225"/>
      <c r="RQV123" s="225"/>
      <c r="RQW123" s="225"/>
      <c r="RQX123" s="225"/>
      <c r="RQY123" s="225"/>
      <c r="RQZ123" s="225"/>
      <c r="RRA123" s="225"/>
      <c r="RRB123" s="225"/>
      <c r="RRC123" s="225"/>
      <c r="RRD123" s="225"/>
      <c r="RRE123" s="225"/>
      <c r="RRF123" s="225"/>
      <c r="RRG123" s="225"/>
      <c r="RRH123" s="225"/>
      <c r="RRI123" s="225"/>
      <c r="RRJ123" s="225"/>
      <c r="RRK123" s="225"/>
      <c r="RRL123" s="225"/>
      <c r="RRM123" s="225"/>
      <c r="RRN123" s="225"/>
      <c r="RRO123" s="225"/>
      <c r="RRP123" s="225"/>
      <c r="RRQ123" s="225"/>
      <c r="RRR123" s="225"/>
      <c r="RRS123" s="225"/>
      <c r="RRT123" s="225"/>
      <c r="RRU123" s="225"/>
      <c r="RRV123" s="225"/>
      <c r="RRW123" s="225"/>
      <c r="RRX123" s="225"/>
      <c r="RRY123" s="225"/>
      <c r="RRZ123" s="225"/>
      <c r="RSA123" s="225"/>
      <c r="RSB123" s="225"/>
      <c r="RSC123" s="225"/>
      <c r="RSD123" s="225"/>
      <c r="RSE123" s="225"/>
      <c r="RSF123" s="225"/>
      <c r="RSG123" s="225"/>
      <c r="RSH123" s="225"/>
      <c r="RSI123" s="225"/>
      <c r="RSJ123" s="225"/>
      <c r="RSK123" s="225"/>
      <c r="RSL123" s="225"/>
      <c r="RSM123" s="225"/>
      <c r="RSN123" s="225"/>
      <c r="RSO123" s="225"/>
      <c r="RSP123" s="225"/>
      <c r="RSQ123" s="225"/>
      <c r="RSR123" s="225"/>
      <c r="RSS123" s="225"/>
      <c r="RST123" s="225"/>
      <c r="RSU123" s="225"/>
      <c r="RSV123" s="225"/>
      <c r="RSW123" s="225"/>
      <c r="RSX123" s="225"/>
      <c r="RSY123" s="225"/>
      <c r="RSZ123" s="225"/>
      <c r="RTA123" s="225"/>
      <c r="RTB123" s="225"/>
      <c r="RTC123" s="225"/>
      <c r="RTD123" s="225"/>
      <c r="RTE123" s="225"/>
      <c r="RTF123" s="225"/>
      <c r="RTG123" s="225"/>
      <c r="RTH123" s="225"/>
      <c r="RTI123" s="225"/>
      <c r="RTJ123" s="225"/>
      <c r="RTK123" s="225"/>
      <c r="RTL123" s="225"/>
      <c r="RTM123" s="225"/>
      <c r="RTN123" s="225"/>
      <c r="RTO123" s="225"/>
      <c r="RTP123" s="225"/>
      <c r="RTQ123" s="225"/>
      <c r="RTR123" s="225"/>
      <c r="RTS123" s="225"/>
      <c r="RTT123" s="225"/>
      <c r="RTU123" s="225"/>
      <c r="RTV123" s="225"/>
      <c r="RTW123" s="225"/>
      <c r="RTX123" s="225"/>
      <c r="RTY123" s="225"/>
      <c r="RTZ123" s="225"/>
      <c r="RUA123" s="225"/>
      <c r="RUB123" s="225"/>
      <c r="RUC123" s="225"/>
      <c r="RUD123" s="225"/>
      <c r="RUE123" s="225"/>
      <c r="RUF123" s="225"/>
      <c r="RUG123" s="225"/>
      <c r="RUH123" s="225"/>
      <c r="RUI123" s="225"/>
      <c r="RUJ123" s="225"/>
      <c r="RUK123" s="225"/>
      <c r="RUL123" s="225"/>
      <c r="RUM123" s="225"/>
      <c r="RUN123" s="225"/>
      <c r="RUO123" s="225"/>
      <c r="RUP123" s="225"/>
      <c r="RUQ123" s="225"/>
      <c r="RUR123" s="225"/>
      <c r="RUS123" s="225"/>
      <c r="RUT123" s="225"/>
      <c r="RUU123" s="225"/>
      <c r="RUV123" s="225"/>
      <c r="RUW123" s="225"/>
      <c r="RUX123" s="225"/>
      <c r="RUY123" s="225"/>
      <c r="RUZ123" s="225"/>
      <c r="RVA123" s="225"/>
      <c r="RVB123" s="225"/>
      <c r="RVC123" s="225"/>
      <c r="RVD123" s="225"/>
      <c r="RVE123" s="225"/>
      <c r="RVF123" s="225"/>
      <c r="RVG123" s="225"/>
      <c r="RVH123" s="225"/>
      <c r="RVI123" s="225"/>
      <c r="RVJ123" s="225"/>
      <c r="RVK123" s="225"/>
      <c r="RVL123" s="225"/>
      <c r="RVM123" s="225"/>
      <c r="RVN123" s="225"/>
      <c r="RVO123" s="225"/>
      <c r="RVP123" s="225"/>
      <c r="RVQ123" s="225"/>
      <c r="RVR123" s="225"/>
      <c r="RVS123" s="225"/>
      <c r="RVT123" s="225"/>
      <c r="RVU123" s="225"/>
      <c r="RVV123" s="225"/>
      <c r="RVW123" s="225"/>
      <c r="RVX123" s="225"/>
      <c r="RVY123" s="225"/>
      <c r="RVZ123" s="225"/>
      <c r="RWA123" s="225"/>
      <c r="RWB123" s="225"/>
      <c r="RWC123" s="225"/>
      <c r="RWD123" s="225"/>
      <c r="RWE123" s="225"/>
      <c r="RWF123" s="225"/>
      <c r="RWG123" s="225"/>
      <c r="RWH123" s="225"/>
      <c r="RWI123" s="225"/>
      <c r="RWJ123" s="225"/>
      <c r="RWK123" s="225"/>
      <c r="RWL123" s="225"/>
      <c r="RWM123" s="225"/>
      <c r="RWN123" s="225"/>
      <c r="RWO123" s="225"/>
      <c r="RWP123" s="225"/>
      <c r="RWQ123" s="225"/>
      <c r="RWR123" s="225"/>
      <c r="RWS123" s="225"/>
      <c r="RWT123" s="225"/>
      <c r="RWU123" s="225"/>
      <c r="RWV123" s="225"/>
      <c r="RWW123" s="225"/>
      <c r="RWX123" s="225"/>
      <c r="RWY123" s="225"/>
      <c r="RWZ123" s="225"/>
      <c r="RXA123" s="225"/>
      <c r="RXB123" s="225"/>
      <c r="RXC123" s="225"/>
      <c r="RXD123" s="225"/>
      <c r="RXE123" s="225"/>
      <c r="RXF123" s="225"/>
      <c r="RXG123" s="225"/>
      <c r="RXH123" s="225"/>
      <c r="RXI123" s="225"/>
      <c r="RXJ123" s="225"/>
      <c r="RXK123" s="225"/>
      <c r="RXL123" s="225"/>
      <c r="RXM123" s="225"/>
      <c r="RXN123" s="225"/>
      <c r="RXO123" s="225"/>
      <c r="RXP123" s="225"/>
      <c r="RXQ123" s="225"/>
      <c r="RXR123" s="225"/>
      <c r="RXS123" s="225"/>
      <c r="RXT123" s="225"/>
      <c r="RXU123" s="225"/>
      <c r="RXV123" s="225"/>
      <c r="RXW123" s="225"/>
      <c r="RXX123" s="225"/>
      <c r="RXY123" s="225"/>
      <c r="RXZ123" s="225"/>
      <c r="RYA123" s="225"/>
      <c r="RYB123" s="225"/>
      <c r="RYC123" s="225"/>
      <c r="RYD123" s="225"/>
      <c r="RYE123" s="225"/>
      <c r="RYF123" s="225"/>
      <c r="RYG123" s="225"/>
      <c r="RYH123" s="225"/>
      <c r="RYI123" s="225"/>
      <c r="RYJ123" s="225"/>
      <c r="RYK123" s="225"/>
      <c r="RYL123" s="225"/>
      <c r="RYM123" s="225"/>
      <c r="RYN123" s="225"/>
      <c r="RYO123" s="225"/>
      <c r="RYP123" s="225"/>
      <c r="RYQ123" s="225"/>
      <c r="RYR123" s="225"/>
      <c r="RYS123" s="225"/>
      <c r="RYT123" s="225"/>
      <c r="RYU123" s="225"/>
      <c r="RYV123" s="225"/>
      <c r="RYW123" s="225"/>
      <c r="RYX123" s="225"/>
      <c r="RYY123" s="225"/>
      <c r="RYZ123" s="225"/>
      <c r="RZA123" s="225"/>
      <c r="RZB123" s="225"/>
      <c r="RZC123" s="225"/>
      <c r="RZD123" s="225"/>
      <c r="RZE123" s="225"/>
      <c r="RZF123" s="225"/>
      <c r="RZG123" s="225"/>
      <c r="RZH123" s="225"/>
      <c r="RZI123" s="225"/>
      <c r="RZJ123" s="225"/>
      <c r="RZK123" s="225"/>
      <c r="RZL123" s="225"/>
      <c r="RZM123" s="225"/>
      <c r="RZN123" s="225"/>
      <c r="RZO123" s="225"/>
      <c r="RZP123" s="225"/>
      <c r="RZQ123" s="225"/>
      <c r="RZR123" s="225"/>
      <c r="RZS123" s="225"/>
      <c r="RZT123" s="225"/>
      <c r="RZU123" s="225"/>
      <c r="RZV123" s="225"/>
      <c r="RZW123" s="225"/>
      <c r="RZX123" s="225"/>
      <c r="RZY123" s="225"/>
      <c r="RZZ123" s="225"/>
      <c r="SAA123" s="225"/>
      <c r="SAB123" s="225"/>
      <c r="SAC123" s="225"/>
      <c r="SAD123" s="225"/>
      <c r="SAE123" s="225"/>
      <c r="SAF123" s="225"/>
      <c r="SAG123" s="225"/>
      <c r="SAH123" s="225"/>
      <c r="SAI123" s="225"/>
      <c r="SAJ123" s="225"/>
      <c r="SAK123" s="225"/>
      <c r="SAL123" s="225"/>
      <c r="SAM123" s="225"/>
      <c r="SAN123" s="225"/>
      <c r="SAO123" s="225"/>
      <c r="SAP123" s="225"/>
      <c r="SAQ123" s="225"/>
      <c r="SAR123" s="225"/>
      <c r="SAS123" s="225"/>
      <c r="SAT123" s="225"/>
      <c r="SAU123" s="225"/>
      <c r="SAV123" s="225"/>
      <c r="SAW123" s="225"/>
      <c r="SAX123" s="225"/>
      <c r="SAY123" s="225"/>
      <c r="SAZ123" s="225"/>
      <c r="SBA123" s="225"/>
      <c r="SBB123" s="225"/>
      <c r="SBC123" s="225"/>
      <c r="SBD123" s="225"/>
      <c r="SBE123" s="225"/>
      <c r="SBF123" s="225"/>
      <c r="SBG123" s="225"/>
      <c r="SBH123" s="225"/>
      <c r="SBI123" s="225"/>
      <c r="SBJ123" s="225"/>
      <c r="SBK123" s="225"/>
      <c r="SBL123" s="225"/>
      <c r="SBM123" s="225"/>
      <c r="SBN123" s="225"/>
      <c r="SBO123" s="225"/>
      <c r="SBP123" s="225"/>
      <c r="SBQ123" s="225"/>
      <c r="SBR123" s="225"/>
      <c r="SBS123" s="225"/>
      <c r="SBT123" s="225"/>
      <c r="SBU123" s="225"/>
      <c r="SBV123" s="225"/>
      <c r="SBW123" s="225"/>
      <c r="SBX123" s="225"/>
      <c r="SBY123" s="225"/>
      <c r="SBZ123" s="225"/>
      <c r="SCA123" s="225"/>
      <c r="SCB123" s="225"/>
      <c r="SCC123" s="225"/>
      <c r="SCD123" s="225"/>
      <c r="SCE123" s="225"/>
      <c r="SCF123" s="225"/>
      <c r="SCG123" s="225"/>
      <c r="SCH123" s="225"/>
      <c r="SCI123" s="225"/>
      <c r="SCJ123" s="225"/>
      <c r="SCK123" s="225"/>
      <c r="SCL123" s="225"/>
      <c r="SCM123" s="225"/>
      <c r="SCN123" s="225"/>
      <c r="SCO123" s="225"/>
      <c r="SCP123" s="225"/>
      <c r="SCQ123" s="225"/>
      <c r="SCR123" s="225"/>
      <c r="SCS123" s="225"/>
      <c r="SCT123" s="225"/>
      <c r="SCU123" s="225"/>
      <c r="SCV123" s="225"/>
      <c r="SCW123" s="225"/>
      <c r="SCX123" s="225"/>
      <c r="SCY123" s="225"/>
      <c r="SCZ123" s="225"/>
      <c r="SDA123" s="225"/>
      <c r="SDB123" s="225"/>
      <c r="SDC123" s="225"/>
      <c r="SDD123" s="225"/>
      <c r="SDE123" s="225"/>
      <c r="SDF123" s="225"/>
      <c r="SDG123" s="225"/>
      <c r="SDH123" s="225"/>
      <c r="SDI123" s="225"/>
      <c r="SDJ123" s="225"/>
      <c r="SDK123" s="225"/>
      <c r="SDL123" s="225"/>
      <c r="SDM123" s="225"/>
      <c r="SDN123" s="225"/>
      <c r="SDO123" s="225"/>
      <c r="SDP123" s="225"/>
      <c r="SDQ123" s="225"/>
      <c r="SDR123" s="225"/>
      <c r="SDS123" s="225"/>
      <c r="SDT123" s="225"/>
      <c r="SDU123" s="225"/>
      <c r="SDV123" s="225"/>
      <c r="SDW123" s="225"/>
      <c r="SDX123" s="225"/>
      <c r="SDY123" s="225"/>
      <c r="SDZ123" s="225"/>
      <c r="SEA123" s="225"/>
      <c r="SEB123" s="225"/>
      <c r="SEC123" s="225"/>
      <c r="SED123" s="225"/>
      <c r="SEE123" s="225"/>
      <c r="SEF123" s="225"/>
      <c r="SEG123" s="225"/>
      <c r="SEH123" s="225"/>
      <c r="SEI123" s="225"/>
      <c r="SEJ123" s="225"/>
      <c r="SEK123" s="225"/>
      <c r="SEL123" s="225"/>
      <c r="SEM123" s="225"/>
      <c r="SEN123" s="225"/>
      <c r="SEO123" s="225"/>
      <c r="SEP123" s="225"/>
      <c r="SEQ123" s="225"/>
      <c r="SER123" s="225"/>
      <c r="SES123" s="225"/>
      <c r="SET123" s="225"/>
      <c r="SEU123" s="225"/>
      <c r="SEV123" s="225"/>
      <c r="SEW123" s="225"/>
      <c r="SEX123" s="225"/>
      <c r="SEY123" s="225"/>
      <c r="SEZ123" s="225"/>
      <c r="SFA123" s="225"/>
      <c r="SFB123" s="225"/>
      <c r="SFC123" s="225"/>
      <c r="SFD123" s="225"/>
      <c r="SFE123" s="225"/>
      <c r="SFF123" s="225"/>
      <c r="SFG123" s="225"/>
      <c r="SFH123" s="225"/>
      <c r="SFI123" s="225"/>
      <c r="SFJ123" s="225"/>
      <c r="SFK123" s="225"/>
      <c r="SFL123" s="225"/>
      <c r="SFM123" s="225"/>
      <c r="SFN123" s="225"/>
      <c r="SFO123" s="225"/>
      <c r="SFP123" s="225"/>
      <c r="SFQ123" s="225"/>
      <c r="SFR123" s="225"/>
      <c r="SFS123" s="225"/>
      <c r="SFT123" s="225"/>
      <c r="SFU123" s="225"/>
      <c r="SFV123" s="225"/>
      <c r="SFW123" s="225"/>
      <c r="SFX123" s="225"/>
      <c r="SFY123" s="225"/>
      <c r="SFZ123" s="225"/>
      <c r="SGA123" s="225"/>
      <c r="SGB123" s="225"/>
      <c r="SGC123" s="225"/>
      <c r="SGD123" s="225"/>
      <c r="SGE123" s="225"/>
      <c r="SGF123" s="225"/>
      <c r="SGG123" s="225"/>
      <c r="SGH123" s="225"/>
      <c r="SGI123" s="225"/>
      <c r="SGJ123" s="225"/>
      <c r="SGK123" s="225"/>
      <c r="SGL123" s="225"/>
      <c r="SGM123" s="225"/>
      <c r="SGN123" s="225"/>
      <c r="SGO123" s="225"/>
      <c r="SGP123" s="225"/>
      <c r="SGQ123" s="225"/>
      <c r="SGR123" s="225"/>
      <c r="SGS123" s="225"/>
      <c r="SGT123" s="225"/>
      <c r="SGU123" s="225"/>
      <c r="SGV123" s="225"/>
      <c r="SGW123" s="225"/>
      <c r="SGX123" s="225"/>
      <c r="SGY123" s="225"/>
      <c r="SGZ123" s="225"/>
      <c r="SHA123" s="225"/>
      <c r="SHB123" s="225"/>
      <c r="SHC123" s="225"/>
      <c r="SHD123" s="225"/>
      <c r="SHE123" s="225"/>
      <c r="SHF123" s="225"/>
      <c r="SHG123" s="225"/>
      <c r="SHH123" s="225"/>
      <c r="SHI123" s="225"/>
      <c r="SHJ123" s="225"/>
      <c r="SHK123" s="225"/>
      <c r="SHL123" s="225"/>
      <c r="SHM123" s="225"/>
      <c r="SHN123" s="225"/>
      <c r="SHO123" s="225"/>
      <c r="SHP123" s="225"/>
      <c r="SHQ123" s="225"/>
      <c r="SHR123" s="225"/>
      <c r="SHS123" s="225"/>
      <c r="SHT123" s="225"/>
      <c r="SHU123" s="225"/>
      <c r="SHV123" s="225"/>
      <c r="SHW123" s="225"/>
      <c r="SHX123" s="225"/>
      <c r="SHY123" s="225"/>
      <c r="SHZ123" s="225"/>
      <c r="SIA123" s="225"/>
      <c r="SIB123" s="225"/>
      <c r="SIC123" s="225"/>
      <c r="SID123" s="225"/>
      <c r="SIE123" s="225"/>
      <c r="SIF123" s="225"/>
      <c r="SIG123" s="225"/>
      <c r="SIH123" s="225"/>
      <c r="SII123" s="225"/>
      <c r="SIJ123" s="225"/>
      <c r="SIK123" s="225"/>
      <c r="SIL123" s="225"/>
      <c r="SIM123" s="225"/>
      <c r="SIN123" s="225"/>
      <c r="SIO123" s="225"/>
      <c r="SIP123" s="225"/>
      <c r="SIQ123" s="225"/>
      <c r="SIR123" s="225"/>
      <c r="SIS123" s="225"/>
      <c r="SIT123" s="225"/>
      <c r="SIU123" s="225"/>
      <c r="SIV123" s="225"/>
      <c r="SIW123" s="225"/>
      <c r="SIX123" s="225"/>
      <c r="SIY123" s="225"/>
      <c r="SIZ123" s="225"/>
      <c r="SJA123" s="225"/>
      <c r="SJB123" s="225"/>
      <c r="SJC123" s="225"/>
      <c r="SJD123" s="225"/>
      <c r="SJE123" s="225"/>
      <c r="SJF123" s="225"/>
      <c r="SJG123" s="225"/>
      <c r="SJH123" s="225"/>
      <c r="SJI123" s="225"/>
      <c r="SJJ123" s="225"/>
      <c r="SJK123" s="225"/>
      <c r="SJL123" s="225"/>
      <c r="SJM123" s="225"/>
      <c r="SJN123" s="225"/>
      <c r="SJO123" s="225"/>
      <c r="SJP123" s="225"/>
      <c r="SJQ123" s="225"/>
      <c r="SJR123" s="225"/>
      <c r="SJS123" s="225"/>
      <c r="SJT123" s="225"/>
      <c r="SJU123" s="225"/>
      <c r="SJV123" s="225"/>
      <c r="SJW123" s="225"/>
      <c r="SJX123" s="225"/>
      <c r="SJY123" s="225"/>
      <c r="SJZ123" s="225"/>
      <c r="SKA123" s="225"/>
      <c r="SKB123" s="225"/>
      <c r="SKC123" s="225"/>
      <c r="SKD123" s="225"/>
      <c r="SKE123" s="225"/>
      <c r="SKF123" s="225"/>
      <c r="SKG123" s="225"/>
      <c r="SKH123" s="225"/>
      <c r="SKI123" s="225"/>
      <c r="SKJ123" s="225"/>
      <c r="SKK123" s="225"/>
      <c r="SKL123" s="225"/>
      <c r="SKM123" s="225"/>
      <c r="SKN123" s="225"/>
      <c r="SKO123" s="225"/>
      <c r="SKP123" s="225"/>
      <c r="SKQ123" s="225"/>
      <c r="SKR123" s="225"/>
      <c r="SKS123" s="225"/>
      <c r="SKT123" s="225"/>
      <c r="SKU123" s="225"/>
      <c r="SKV123" s="225"/>
      <c r="SKW123" s="225"/>
      <c r="SKX123" s="225"/>
      <c r="SKY123" s="225"/>
      <c r="SKZ123" s="225"/>
      <c r="SLA123" s="225"/>
      <c r="SLB123" s="225"/>
      <c r="SLC123" s="225"/>
      <c r="SLD123" s="225"/>
      <c r="SLE123" s="225"/>
      <c r="SLF123" s="225"/>
      <c r="SLG123" s="225"/>
      <c r="SLH123" s="225"/>
      <c r="SLI123" s="225"/>
      <c r="SLJ123" s="225"/>
      <c r="SLK123" s="225"/>
      <c r="SLL123" s="225"/>
      <c r="SLM123" s="225"/>
      <c r="SLN123" s="225"/>
      <c r="SLO123" s="225"/>
      <c r="SLP123" s="225"/>
      <c r="SLQ123" s="225"/>
      <c r="SLR123" s="225"/>
      <c r="SLS123" s="225"/>
      <c r="SLT123" s="225"/>
      <c r="SLU123" s="225"/>
      <c r="SLV123" s="225"/>
      <c r="SLW123" s="225"/>
      <c r="SLX123" s="225"/>
      <c r="SLY123" s="225"/>
      <c r="SLZ123" s="225"/>
      <c r="SMA123" s="225"/>
      <c r="SMB123" s="225"/>
      <c r="SMC123" s="225"/>
      <c r="SMD123" s="225"/>
      <c r="SME123" s="225"/>
      <c r="SMF123" s="225"/>
      <c r="SMG123" s="225"/>
      <c r="SMH123" s="225"/>
      <c r="SMI123" s="225"/>
      <c r="SMJ123" s="225"/>
      <c r="SMK123" s="225"/>
      <c r="SML123" s="225"/>
      <c r="SMM123" s="225"/>
      <c r="SMN123" s="225"/>
      <c r="SMO123" s="225"/>
      <c r="SMP123" s="225"/>
      <c r="SMQ123" s="225"/>
      <c r="SMR123" s="225"/>
      <c r="SMS123" s="225"/>
      <c r="SMT123" s="225"/>
      <c r="SMU123" s="225"/>
      <c r="SMV123" s="225"/>
      <c r="SMW123" s="225"/>
      <c r="SMX123" s="225"/>
      <c r="SMY123" s="225"/>
      <c r="SMZ123" s="225"/>
      <c r="SNA123" s="225"/>
      <c r="SNB123" s="225"/>
      <c r="SNC123" s="225"/>
      <c r="SND123" s="225"/>
      <c r="SNE123" s="225"/>
      <c r="SNF123" s="225"/>
      <c r="SNG123" s="225"/>
      <c r="SNH123" s="225"/>
      <c r="SNI123" s="225"/>
      <c r="SNJ123" s="225"/>
      <c r="SNK123" s="225"/>
      <c r="SNL123" s="225"/>
      <c r="SNM123" s="225"/>
      <c r="SNN123" s="225"/>
      <c r="SNO123" s="225"/>
      <c r="SNP123" s="225"/>
      <c r="SNQ123" s="225"/>
      <c r="SNR123" s="225"/>
      <c r="SNS123" s="225"/>
      <c r="SNT123" s="225"/>
      <c r="SNU123" s="225"/>
      <c r="SNV123" s="225"/>
      <c r="SNW123" s="225"/>
      <c r="SNX123" s="225"/>
      <c r="SNY123" s="225"/>
      <c r="SNZ123" s="225"/>
      <c r="SOA123" s="225"/>
      <c r="SOB123" s="225"/>
      <c r="SOC123" s="225"/>
      <c r="SOD123" s="225"/>
      <c r="SOE123" s="225"/>
      <c r="SOF123" s="225"/>
      <c r="SOG123" s="225"/>
      <c r="SOH123" s="225"/>
      <c r="SOI123" s="225"/>
      <c r="SOJ123" s="225"/>
      <c r="SOK123" s="225"/>
      <c r="SOL123" s="225"/>
      <c r="SOM123" s="225"/>
      <c r="SON123" s="225"/>
      <c r="SOO123" s="225"/>
      <c r="SOP123" s="225"/>
      <c r="SOQ123" s="225"/>
      <c r="SOR123" s="225"/>
      <c r="SOS123" s="225"/>
      <c r="SOT123" s="225"/>
      <c r="SOU123" s="225"/>
      <c r="SOV123" s="225"/>
      <c r="SOW123" s="225"/>
      <c r="SOX123" s="225"/>
      <c r="SOY123" s="225"/>
      <c r="SOZ123" s="225"/>
      <c r="SPA123" s="225"/>
      <c r="SPB123" s="225"/>
      <c r="SPC123" s="225"/>
      <c r="SPD123" s="225"/>
      <c r="SPE123" s="225"/>
      <c r="SPF123" s="225"/>
      <c r="SPG123" s="225"/>
      <c r="SPH123" s="225"/>
      <c r="SPI123" s="225"/>
      <c r="SPJ123" s="225"/>
      <c r="SPK123" s="225"/>
      <c r="SPL123" s="225"/>
      <c r="SPM123" s="225"/>
      <c r="SPN123" s="225"/>
      <c r="SPO123" s="225"/>
      <c r="SPP123" s="225"/>
      <c r="SPQ123" s="225"/>
      <c r="SPR123" s="225"/>
      <c r="SPS123" s="225"/>
      <c r="SPT123" s="225"/>
      <c r="SPU123" s="225"/>
      <c r="SPV123" s="225"/>
      <c r="SPW123" s="225"/>
      <c r="SPX123" s="225"/>
      <c r="SPY123" s="225"/>
      <c r="SPZ123" s="225"/>
      <c r="SQA123" s="225"/>
      <c r="SQB123" s="225"/>
      <c r="SQC123" s="225"/>
      <c r="SQD123" s="225"/>
      <c r="SQE123" s="225"/>
      <c r="SQF123" s="225"/>
      <c r="SQG123" s="225"/>
      <c r="SQH123" s="225"/>
      <c r="SQI123" s="225"/>
      <c r="SQJ123" s="225"/>
      <c r="SQK123" s="225"/>
      <c r="SQL123" s="225"/>
      <c r="SQM123" s="225"/>
      <c r="SQN123" s="225"/>
      <c r="SQO123" s="225"/>
      <c r="SQP123" s="225"/>
      <c r="SQQ123" s="225"/>
      <c r="SQR123" s="225"/>
      <c r="SQS123" s="225"/>
      <c r="SQT123" s="225"/>
      <c r="SQU123" s="225"/>
      <c r="SQV123" s="225"/>
      <c r="SQW123" s="225"/>
      <c r="SQX123" s="225"/>
      <c r="SQY123" s="225"/>
      <c r="SQZ123" s="225"/>
      <c r="SRA123" s="225"/>
      <c r="SRB123" s="225"/>
      <c r="SRC123" s="225"/>
      <c r="SRD123" s="225"/>
      <c r="SRE123" s="225"/>
      <c r="SRF123" s="225"/>
      <c r="SRG123" s="225"/>
      <c r="SRH123" s="225"/>
      <c r="SRI123" s="225"/>
      <c r="SRJ123" s="225"/>
      <c r="SRK123" s="225"/>
      <c r="SRL123" s="225"/>
      <c r="SRM123" s="225"/>
      <c r="SRN123" s="225"/>
      <c r="SRO123" s="225"/>
      <c r="SRP123" s="225"/>
      <c r="SRQ123" s="225"/>
      <c r="SRR123" s="225"/>
      <c r="SRS123" s="225"/>
      <c r="SRT123" s="225"/>
      <c r="SRU123" s="225"/>
      <c r="SRV123" s="225"/>
      <c r="SRW123" s="225"/>
      <c r="SRX123" s="225"/>
      <c r="SRY123" s="225"/>
      <c r="SRZ123" s="225"/>
      <c r="SSA123" s="225"/>
      <c r="SSB123" s="225"/>
      <c r="SSC123" s="225"/>
      <c r="SSD123" s="225"/>
      <c r="SSE123" s="225"/>
      <c r="SSF123" s="225"/>
      <c r="SSG123" s="225"/>
      <c r="SSH123" s="225"/>
      <c r="SSI123" s="225"/>
      <c r="SSJ123" s="225"/>
      <c r="SSK123" s="225"/>
      <c r="SSL123" s="225"/>
      <c r="SSM123" s="225"/>
      <c r="SSN123" s="225"/>
      <c r="SSO123" s="225"/>
      <c r="SSP123" s="225"/>
      <c r="SSQ123" s="225"/>
      <c r="SSR123" s="225"/>
      <c r="SSS123" s="225"/>
      <c r="SST123" s="225"/>
      <c r="SSU123" s="225"/>
      <c r="SSV123" s="225"/>
      <c r="SSW123" s="225"/>
      <c r="SSX123" s="225"/>
      <c r="SSY123" s="225"/>
      <c r="SSZ123" s="225"/>
      <c r="STA123" s="225"/>
      <c r="STB123" s="225"/>
      <c r="STC123" s="225"/>
      <c r="STD123" s="225"/>
      <c r="STE123" s="225"/>
      <c r="STF123" s="225"/>
      <c r="STG123" s="225"/>
      <c r="STH123" s="225"/>
      <c r="STI123" s="225"/>
      <c r="STJ123" s="225"/>
      <c r="STK123" s="225"/>
      <c r="STL123" s="225"/>
      <c r="STM123" s="225"/>
      <c r="STN123" s="225"/>
      <c r="STO123" s="225"/>
      <c r="STP123" s="225"/>
      <c r="STQ123" s="225"/>
      <c r="STR123" s="225"/>
      <c r="STS123" s="225"/>
      <c r="STT123" s="225"/>
      <c r="STU123" s="225"/>
      <c r="STV123" s="225"/>
      <c r="STW123" s="225"/>
      <c r="STX123" s="225"/>
      <c r="STY123" s="225"/>
      <c r="STZ123" s="225"/>
      <c r="SUA123" s="225"/>
      <c r="SUB123" s="225"/>
      <c r="SUC123" s="225"/>
      <c r="SUD123" s="225"/>
      <c r="SUE123" s="225"/>
      <c r="SUF123" s="225"/>
      <c r="SUG123" s="225"/>
      <c r="SUH123" s="225"/>
      <c r="SUI123" s="225"/>
      <c r="SUJ123" s="225"/>
      <c r="SUK123" s="225"/>
      <c r="SUL123" s="225"/>
      <c r="SUM123" s="225"/>
      <c r="SUN123" s="225"/>
      <c r="SUO123" s="225"/>
      <c r="SUP123" s="225"/>
      <c r="SUQ123" s="225"/>
      <c r="SUR123" s="225"/>
      <c r="SUS123" s="225"/>
      <c r="SUT123" s="225"/>
      <c r="SUU123" s="225"/>
      <c r="SUV123" s="225"/>
      <c r="SUW123" s="225"/>
      <c r="SUX123" s="225"/>
      <c r="SUY123" s="225"/>
      <c r="SUZ123" s="225"/>
      <c r="SVA123" s="225"/>
      <c r="SVB123" s="225"/>
      <c r="SVC123" s="225"/>
      <c r="SVD123" s="225"/>
      <c r="SVE123" s="225"/>
      <c r="SVF123" s="225"/>
      <c r="SVG123" s="225"/>
      <c r="SVH123" s="225"/>
      <c r="SVI123" s="225"/>
      <c r="SVJ123" s="225"/>
      <c r="SVK123" s="225"/>
      <c r="SVL123" s="225"/>
      <c r="SVM123" s="225"/>
      <c r="SVN123" s="225"/>
      <c r="SVO123" s="225"/>
      <c r="SVP123" s="225"/>
      <c r="SVQ123" s="225"/>
      <c r="SVR123" s="225"/>
      <c r="SVS123" s="225"/>
      <c r="SVT123" s="225"/>
      <c r="SVU123" s="225"/>
      <c r="SVV123" s="225"/>
      <c r="SVW123" s="225"/>
      <c r="SVX123" s="225"/>
      <c r="SVY123" s="225"/>
      <c r="SVZ123" s="225"/>
      <c r="SWA123" s="225"/>
      <c r="SWB123" s="225"/>
      <c r="SWC123" s="225"/>
      <c r="SWD123" s="225"/>
      <c r="SWE123" s="225"/>
      <c r="SWF123" s="225"/>
      <c r="SWG123" s="225"/>
      <c r="SWH123" s="225"/>
      <c r="SWI123" s="225"/>
      <c r="SWJ123" s="225"/>
      <c r="SWK123" s="225"/>
      <c r="SWL123" s="225"/>
      <c r="SWM123" s="225"/>
      <c r="SWN123" s="225"/>
      <c r="SWO123" s="225"/>
      <c r="SWP123" s="225"/>
      <c r="SWQ123" s="225"/>
      <c r="SWR123" s="225"/>
      <c r="SWS123" s="225"/>
      <c r="SWT123" s="225"/>
      <c r="SWU123" s="225"/>
      <c r="SWV123" s="225"/>
      <c r="SWW123" s="225"/>
      <c r="SWX123" s="225"/>
      <c r="SWY123" s="225"/>
      <c r="SWZ123" s="225"/>
      <c r="SXA123" s="225"/>
      <c r="SXB123" s="225"/>
      <c r="SXC123" s="225"/>
      <c r="SXD123" s="225"/>
      <c r="SXE123" s="225"/>
      <c r="SXF123" s="225"/>
      <c r="SXG123" s="225"/>
      <c r="SXH123" s="225"/>
      <c r="SXI123" s="225"/>
      <c r="SXJ123" s="225"/>
      <c r="SXK123" s="225"/>
      <c r="SXL123" s="225"/>
      <c r="SXM123" s="225"/>
      <c r="SXN123" s="225"/>
      <c r="SXO123" s="225"/>
      <c r="SXP123" s="225"/>
      <c r="SXQ123" s="225"/>
      <c r="SXR123" s="225"/>
      <c r="SXS123" s="225"/>
      <c r="SXT123" s="225"/>
      <c r="SXU123" s="225"/>
      <c r="SXV123" s="225"/>
      <c r="SXW123" s="225"/>
      <c r="SXX123" s="225"/>
      <c r="SXY123" s="225"/>
      <c r="SXZ123" s="225"/>
      <c r="SYA123" s="225"/>
      <c r="SYB123" s="225"/>
      <c r="SYC123" s="225"/>
      <c r="SYD123" s="225"/>
      <c r="SYE123" s="225"/>
      <c r="SYF123" s="225"/>
      <c r="SYG123" s="225"/>
      <c r="SYH123" s="225"/>
      <c r="SYI123" s="225"/>
      <c r="SYJ123" s="225"/>
      <c r="SYK123" s="225"/>
      <c r="SYL123" s="225"/>
      <c r="SYM123" s="225"/>
      <c r="SYN123" s="225"/>
      <c r="SYO123" s="225"/>
      <c r="SYP123" s="225"/>
      <c r="SYQ123" s="225"/>
      <c r="SYR123" s="225"/>
      <c r="SYS123" s="225"/>
      <c r="SYT123" s="225"/>
      <c r="SYU123" s="225"/>
      <c r="SYV123" s="225"/>
      <c r="SYW123" s="225"/>
      <c r="SYX123" s="225"/>
      <c r="SYY123" s="225"/>
      <c r="SYZ123" s="225"/>
      <c r="SZA123" s="225"/>
      <c r="SZB123" s="225"/>
      <c r="SZC123" s="225"/>
      <c r="SZD123" s="225"/>
      <c r="SZE123" s="225"/>
      <c r="SZF123" s="225"/>
      <c r="SZG123" s="225"/>
      <c r="SZH123" s="225"/>
      <c r="SZI123" s="225"/>
      <c r="SZJ123" s="225"/>
      <c r="SZK123" s="225"/>
      <c r="SZL123" s="225"/>
      <c r="SZM123" s="225"/>
      <c r="SZN123" s="225"/>
      <c r="SZO123" s="225"/>
      <c r="SZP123" s="225"/>
      <c r="SZQ123" s="225"/>
      <c r="SZR123" s="225"/>
      <c r="SZS123" s="225"/>
      <c r="SZT123" s="225"/>
      <c r="SZU123" s="225"/>
      <c r="SZV123" s="225"/>
      <c r="SZW123" s="225"/>
      <c r="SZX123" s="225"/>
      <c r="SZY123" s="225"/>
      <c r="SZZ123" s="225"/>
      <c r="TAA123" s="225"/>
      <c r="TAB123" s="225"/>
      <c r="TAC123" s="225"/>
      <c r="TAD123" s="225"/>
      <c r="TAE123" s="225"/>
      <c r="TAF123" s="225"/>
      <c r="TAG123" s="225"/>
      <c r="TAH123" s="225"/>
      <c r="TAI123" s="225"/>
      <c r="TAJ123" s="225"/>
      <c r="TAK123" s="225"/>
      <c r="TAL123" s="225"/>
      <c r="TAM123" s="225"/>
      <c r="TAN123" s="225"/>
      <c r="TAO123" s="225"/>
      <c r="TAP123" s="225"/>
      <c r="TAQ123" s="225"/>
      <c r="TAR123" s="225"/>
      <c r="TAS123" s="225"/>
      <c r="TAT123" s="225"/>
      <c r="TAU123" s="225"/>
      <c r="TAV123" s="225"/>
      <c r="TAW123" s="225"/>
      <c r="TAX123" s="225"/>
      <c r="TAY123" s="225"/>
      <c r="TAZ123" s="225"/>
      <c r="TBA123" s="225"/>
      <c r="TBB123" s="225"/>
      <c r="TBC123" s="225"/>
      <c r="TBD123" s="225"/>
      <c r="TBE123" s="225"/>
      <c r="TBF123" s="225"/>
      <c r="TBG123" s="225"/>
      <c r="TBH123" s="225"/>
      <c r="TBI123" s="225"/>
      <c r="TBJ123" s="225"/>
      <c r="TBK123" s="225"/>
      <c r="TBL123" s="225"/>
      <c r="TBM123" s="225"/>
      <c r="TBN123" s="225"/>
      <c r="TBO123" s="225"/>
      <c r="TBP123" s="225"/>
      <c r="TBQ123" s="225"/>
      <c r="TBR123" s="225"/>
      <c r="TBS123" s="225"/>
      <c r="TBT123" s="225"/>
      <c r="TBU123" s="225"/>
      <c r="TBV123" s="225"/>
      <c r="TBW123" s="225"/>
      <c r="TBX123" s="225"/>
      <c r="TBY123" s="225"/>
      <c r="TBZ123" s="225"/>
      <c r="TCA123" s="225"/>
      <c r="TCB123" s="225"/>
      <c r="TCC123" s="225"/>
      <c r="TCD123" s="225"/>
      <c r="TCE123" s="225"/>
      <c r="TCF123" s="225"/>
      <c r="TCG123" s="225"/>
      <c r="TCH123" s="225"/>
      <c r="TCI123" s="225"/>
      <c r="TCJ123" s="225"/>
      <c r="TCK123" s="225"/>
      <c r="TCL123" s="225"/>
      <c r="TCM123" s="225"/>
      <c r="TCN123" s="225"/>
      <c r="TCO123" s="225"/>
      <c r="TCP123" s="225"/>
      <c r="TCQ123" s="225"/>
      <c r="TCR123" s="225"/>
      <c r="TCS123" s="225"/>
      <c r="TCT123" s="225"/>
      <c r="TCU123" s="225"/>
      <c r="TCV123" s="225"/>
      <c r="TCW123" s="225"/>
      <c r="TCX123" s="225"/>
      <c r="TCY123" s="225"/>
      <c r="TCZ123" s="225"/>
      <c r="TDA123" s="225"/>
      <c r="TDB123" s="225"/>
      <c r="TDC123" s="225"/>
      <c r="TDD123" s="225"/>
      <c r="TDE123" s="225"/>
      <c r="TDF123" s="225"/>
      <c r="TDG123" s="225"/>
      <c r="TDH123" s="225"/>
      <c r="TDI123" s="225"/>
      <c r="TDJ123" s="225"/>
      <c r="TDK123" s="225"/>
      <c r="TDL123" s="225"/>
      <c r="TDM123" s="225"/>
      <c r="TDN123" s="225"/>
      <c r="TDO123" s="225"/>
      <c r="TDP123" s="225"/>
      <c r="TDQ123" s="225"/>
      <c r="TDR123" s="225"/>
      <c r="TDS123" s="225"/>
      <c r="TDT123" s="225"/>
      <c r="TDU123" s="225"/>
      <c r="TDV123" s="225"/>
      <c r="TDW123" s="225"/>
      <c r="TDX123" s="225"/>
      <c r="TDY123" s="225"/>
      <c r="TDZ123" s="225"/>
      <c r="TEA123" s="225"/>
      <c r="TEB123" s="225"/>
      <c r="TEC123" s="225"/>
      <c r="TED123" s="225"/>
      <c r="TEE123" s="225"/>
      <c r="TEF123" s="225"/>
      <c r="TEG123" s="225"/>
      <c r="TEH123" s="225"/>
      <c r="TEI123" s="225"/>
      <c r="TEJ123" s="225"/>
      <c r="TEK123" s="225"/>
      <c r="TEL123" s="225"/>
      <c r="TEM123" s="225"/>
      <c r="TEN123" s="225"/>
      <c r="TEO123" s="225"/>
      <c r="TEP123" s="225"/>
      <c r="TEQ123" s="225"/>
      <c r="TER123" s="225"/>
      <c r="TES123" s="225"/>
      <c r="TET123" s="225"/>
      <c r="TEU123" s="225"/>
      <c r="TEV123" s="225"/>
      <c r="TEW123" s="225"/>
      <c r="TEX123" s="225"/>
      <c r="TEY123" s="225"/>
      <c r="TEZ123" s="225"/>
      <c r="TFA123" s="225"/>
      <c r="TFB123" s="225"/>
      <c r="TFC123" s="225"/>
      <c r="TFD123" s="225"/>
      <c r="TFE123" s="225"/>
      <c r="TFF123" s="225"/>
      <c r="TFG123" s="225"/>
      <c r="TFH123" s="225"/>
      <c r="TFI123" s="225"/>
      <c r="TFJ123" s="225"/>
      <c r="TFK123" s="225"/>
      <c r="TFL123" s="225"/>
      <c r="TFM123" s="225"/>
      <c r="TFN123" s="225"/>
      <c r="TFO123" s="225"/>
      <c r="TFP123" s="225"/>
      <c r="TFQ123" s="225"/>
      <c r="TFR123" s="225"/>
      <c r="TFS123" s="225"/>
      <c r="TFT123" s="225"/>
      <c r="TFU123" s="225"/>
      <c r="TFV123" s="225"/>
      <c r="TFW123" s="225"/>
      <c r="TFX123" s="225"/>
      <c r="TFY123" s="225"/>
      <c r="TFZ123" s="225"/>
      <c r="TGA123" s="225"/>
      <c r="TGB123" s="225"/>
      <c r="TGC123" s="225"/>
      <c r="TGD123" s="225"/>
      <c r="TGE123" s="225"/>
      <c r="TGF123" s="225"/>
      <c r="TGG123" s="225"/>
      <c r="TGH123" s="225"/>
      <c r="TGI123" s="225"/>
      <c r="TGJ123" s="225"/>
      <c r="TGK123" s="225"/>
      <c r="TGL123" s="225"/>
      <c r="TGM123" s="225"/>
      <c r="TGN123" s="225"/>
      <c r="TGO123" s="225"/>
      <c r="TGP123" s="225"/>
      <c r="TGQ123" s="225"/>
      <c r="TGR123" s="225"/>
      <c r="TGS123" s="225"/>
      <c r="TGT123" s="225"/>
      <c r="TGU123" s="225"/>
      <c r="TGV123" s="225"/>
      <c r="TGW123" s="225"/>
      <c r="TGX123" s="225"/>
      <c r="TGY123" s="225"/>
      <c r="TGZ123" s="225"/>
      <c r="THA123" s="225"/>
      <c r="THB123" s="225"/>
      <c r="THC123" s="225"/>
      <c r="THD123" s="225"/>
      <c r="THE123" s="225"/>
      <c r="THF123" s="225"/>
      <c r="THG123" s="225"/>
      <c r="THH123" s="225"/>
      <c r="THI123" s="225"/>
      <c r="THJ123" s="225"/>
      <c r="THK123" s="225"/>
      <c r="THL123" s="225"/>
      <c r="THM123" s="225"/>
      <c r="THN123" s="225"/>
      <c r="THO123" s="225"/>
      <c r="THP123" s="225"/>
      <c r="THQ123" s="225"/>
      <c r="THR123" s="225"/>
      <c r="THS123" s="225"/>
      <c r="THT123" s="225"/>
      <c r="THU123" s="225"/>
      <c r="THV123" s="225"/>
      <c r="THW123" s="225"/>
      <c r="THX123" s="225"/>
      <c r="THY123" s="225"/>
      <c r="THZ123" s="225"/>
      <c r="TIA123" s="225"/>
      <c r="TIB123" s="225"/>
      <c r="TIC123" s="225"/>
      <c r="TID123" s="225"/>
      <c r="TIE123" s="225"/>
      <c r="TIF123" s="225"/>
      <c r="TIG123" s="225"/>
      <c r="TIH123" s="225"/>
      <c r="TII123" s="225"/>
      <c r="TIJ123" s="225"/>
      <c r="TIK123" s="225"/>
      <c r="TIL123" s="225"/>
      <c r="TIM123" s="225"/>
      <c r="TIN123" s="225"/>
      <c r="TIO123" s="225"/>
      <c r="TIP123" s="225"/>
      <c r="TIQ123" s="225"/>
      <c r="TIR123" s="225"/>
      <c r="TIS123" s="225"/>
      <c r="TIT123" s="225"/>
      <c r="TIU123" s="225"/>
      <c r="TIV123" s="225"/>
      <c r="TIW123" s="225"/>
      <c r="TIX123" s="225"/>
      <c r="TIY123" s="225"/>
      <c r="TIZ123" s="225"/>
      <c r="TJA123" s="225"/>
      <c r="TJB123" s="225"/>
      <c r="TJC123" s="225"/>
      <c r="TJD123" s="225"/>
      <c r="TJE123" s="225"/>
      <c r="TJF123" s="225"/>
      <c r="TJG123" s="225"/>
      <c r="TJH123" s="225"/>
      <c r="TJI123" s="225"/>
      <c r="TJJ123" s="225"/>
      <c r="TJK123" s="225"/>
      <c r="TJL123" s="225"/>
      <c r="TJM123" s="225"/>
      <c r="TJN123" s="225"/>
      <c r="TJO123" s="225"/>
      <c r="TJP123" s="225"/>
      <c r="TJQ123" s="225"/>
      <c r="TJR123" s="225"/>
      <c r="TJS123" s="225"/>
      <c r="TJT123" s="225"/>
      <c r="TJU123" s="225"/>
      <c r="TJV123" s="225"/>
      <c r="TJW123" s="225"/>
      <c r="TJX123" s="225"/>
      <c r="TJY123" s="225"/>
      <c r="TJZ123" s="225"/>
      <c r="TKA123" s="225"/>
      <c r="TKB123" s="225"/>
      <c r="TKC123" s="225"/>
      <c r="TKD123" s="225"/>
      <c r="TKE123" s="225"/>
      <c r="TKF123" s="225"/>
      <c r="TKG123" s="225"/>
      <c r="TKH123" s="225"/>
      <c r="TKI123" s="225"/>
      <c r="TKJ123" s="225"/>
      <c r="TKK123" s="225"/>
      <c r="TKL123" s="225"/>
      <c r="TKM123" s="225"/>
      <c r="TKN123" s="225"/>
      <c r="TKO123" s="225"/>
      <c r="TKP123" s="225"/>
      <c r="TKQ123" s="225"/>
      <c r="TKR123" s="225"/>
      <c r="TKS123" s="225"/>
      <c r="TKT123" s="225"/>
      <c r="TKU123" s="225"/>
      <c r="TKV123" s="225"/>
      <c r="TKW123" s="225"/>
      <c r="TKX123" s="225"/>
      <c r="TKY123" s="225"/>
      <c r="TKZ123" s="225"/>
      <c r="TLA123" s="225"/>
      <c r="TLB123" s="225"/>
      <c r="TLC123" s="225"/>
      <c r="TLD123" s="225"/>
      <c r="TLE123" s="225"/>
      <c r="TLF123" s="225"/>
      <c r="TLG123" s="225"/>
      <c r="TLH123" s="225"/>
      <c r="TLI123" s="225"/>
      <c r="TLJ123" s="225"/>
      <c r="TLK123" s="225"/>
      <c r="TLL123" s="225"/>
      <c r="TLM123" s="225"/>
      <c r="TLN123" s="225"/>
      <c r="TLO123" s="225"/>
      <c r="TLP123" s="225"/>
      <c r="TLQ123" s="225"/>
      <c r="TLR123" s="225"/>
      <c r="TLS123" s="225"/>
      <c r="TLT123" s="225"/>
      <c r="TLU123" s="225"/>
      <c r="TLV123" s="225"/>
      <c r="TLW123" s="225"/>
      <c r="TLX123" s="225"/>
      <c r="TLY123" s="225"/>
      <c r="TLZ123" s="225"/>
      <c r="TMA123" s="225"/>
      <c r="TMB123" s="225"/>
      <c r="TMC123" s="225"/>
      <c r="TMD123" s="225"/>
      <c r="TME123" s="225"/>
      <c r="TMF123" s="225"/>
      <c r="TMG123" s="225"/>
      <c r="TMH123" s="225"/>
      <c r="TMI123" s="225"/>
      <c r="TMJ123" s="225"/>
      <c r="TMK123" s="225"/>
      <c r="TML123" s="225"/>
      <c r="TMM123" s="225"/>
      <c r="TMN123" s="225"/>
      <c r="TMO123" s="225"/>
      <c r="TMP123" s="225"/>
      <c r="TMQ123" s="225"/>
      <c r="TMR123" s="225"/>
      <c r="TMS123" s="225"/>
      <c r="TMT123" s="225"/>
      <c r="TMU123" s="225"/>
      <c r="TMV123" s="225"/>
      <c r="TMW123" s="225"/>
      <c r="TMX123" s="225"/>
      <c r="TMY123" s="225"/>
      <c r="TMZ123" s="225"/>
      <c r="TNA123" s="225"/>
      <c r="TNB123" s="225"/>
      <c r="TNC123" s="225"/>
      <c r="TND123" s="225"/>
      <c r="TNE123" s="225"/>
      <c r="TNF123" s="225"/>
      <c r="TNG123" s="225"/>
      <c r="TNH123" s="225"/>
      <c r="TNI123" s="225"/>
      <c r="TNJ123" s="225"/>
      <c r="TNK123" s="225"/>
      <c r="TNL123" s="225"/>
      <c r="TNM123" s="225"/>
      <c r="TNN123" s="225"/>
      <c r="TNO123" s="225"/>
      <c r="TNP123" s="225"/>
      <c r="TNQ123" s="225"/>
      <c r="TNR123" s="225"/>
      <c r="TNS123" s="225"/>
      <c r="TNT123" s="225"/>
      <c r="TNU123" s="225"/>
      <c r="TNV123" s="225"/>
      <c r="TNW123" s="225"/>
      <c r="TNX123" s="225"/>
      <c r="TNY123" s="225"/>
      <c r="TNZ123" s="225"/>
      <c r="TOA123" s="225"/>
      <c r="TOB123" s="225"/>
      <c r="TOC123" s="225"/>
      <c r="TOD123" s="225"/>
      <c r="TOE123" s="225"/>
      <c r="TOF123" s="225"/>
      <c r="TOG123" s="225"/>
      <c r="TOH123" s="225"/>
      <c r="TOI123" s="225"/>
      <c r="TOJ123" s="225"/>
      <c r="TOK123" s="225"/>
      <c r="TOL123" s="225"/>
      <c r="TOM123" s="225"/>
      <c r="TON123" s="225"/>
      <c r="TOO123" s="225"/>
      <c r="TOP123" s="225"/>
      <c r="TOQ123" s="225"/>
      <c r="TOR123" s="225"/>
      <c r="TOS123" s="225"/>
      <c r="TOT123" s="225"/>
      <c r="TOU123" s="225"/>
      <c r="TOV123" s="225"/>
      <c r="TOW123" s="225"/>
      <c r="TOX123" s="225"/>
      <c r="TOY123" s="225"/>
      <c r="TOZ123" s="225"/>
      <c r="TPA123" s="225"/>
      <c r="TPB123" s="225"/>
      <c r="TPC123" s="225"/>
      <c r="TPD123" s="225"/>
      <c r="TPE123" s="225"/>
      <c r="TPF123" s="225"/>
      <c r="TPG123" s="225"/>
      <c r="TPH123" s="225"/>
      <c r="TPI123" s="225"/>
      <c r="TPJ123" s="225"/>
      <c r="TPK123" s="225"/>
      <c r="TPL123" s="225"/>
      <c r="TPM123" s="225"/>
      <c r="TPN123" s="225"/>
      <c r="TPO123" s="225"/>
      <c r="TPP123" s="225"/>
      <c r="TPQ123" s="225"/>
      <c r="TPR123" s="225"/>
      <c r="TPS123" s="225"/>
      <c r="TPT123" s="225"/>
      <c r="TPU123" s="225"/>
      <c r="TPV123" s="225"/>
      <c r="TPW123" s="225"/>
      <c r="TPX123" s="225"/>
      <c r="TPY123" s="225"/>
      <c r="TPZ123" s="225"/>
      <c r="TQA123" s="225"/>
      <c r="TQB123" s="225"/>
      <c r="TQC123" s="225"/>
      <c r="TQD123" s="225"/>
      <c r="TQE123" s="225"/>
      <c r="TQF123" s="225"/>
      <c r="TQG123" s="225"/>
      <c r="TQH123" s="225"/>
      <c r="TQI123" s="225"/>
      <c r="TQJ123" s="225"/>
      <c r="TQK123" s="225"/>
      <c r="TQL123" s="225"/>
      <c r="TQM123" s="225"/>
      <c r="TQN123" s="225"/>
      <c r="TQO123" s="225"/>
      <c r="TQP123" s="225"/>
      <c r="TQQ123" s="225"/>
      <c r="TQR123" s="225"/>
      <c r="TQS123" s="225"/>
      <c r="TQT123" s="225"/>
      <c r="TQU123" s="225"/>
      <c r="TQV123" s="225"/>
      <c r="TQW123" s="225"/>
      <c r="TQX123" s="225"/>
      <c r="TQY123" s="225"/>
      <c r="TQZ123" s="225"/>
      <c r="TRA123" s="225"/>
      <c r="TRB123" s="225"/>
      <c r="TRC123" s="225"/>
      <c r="TRD123" s="225"/>
      <c r="TRE123" s="225"/>
      <c r="TRF123" s="225"/>
      <c r="TRG123" s="225"/>
      <c r="TRH123" s="225"/>
      <c r="TRI123" s="225"/>
      <c r="TRJ123" s="225"/>
      <c r="TRK123" s="225"/>
      <c r="TRL123" s="225"/>
      <c r="TRM123" s="225"/>
      <c r="TRN123" s="225"/>
      <c r="TRO123" s="225"/>
      <c r="TRP123" s="225"/>
      <c r="TRQ123" s="225"/>
      <c r="TRR123" s="225"/>
      <c r="TRS123" s="225"/>
      <c r="TRT123" s="225"/>
      <c r="TRU123" s="225"/>
      <c r="TRV123" s="225"/>
      <c r="TRW123" s="225"/>
      <c r="TRX123" s="225"/>
      <c r="TRY123" s="225"/>
      <c r="TRZ123" s="225"/>
      <c r="TSA123" s="225"/>
      <c r="TSB123" s="225"/>
      <c r="TSC123" s="225"/>
      <c r="TSD123" s="225"/>
      <c r="TSE123" s="225"/>
      <c r="TSF123" s="225"/>
      <c r="TSG123" s="225"/>
      <c r="TSH123" s="225"/>
      <c r="TSI123" s="225"/>
      <c r="TSJ123" s="225"/>
      <c r="TSK123" s="225"/>
      <c r="TSL123" s="225"/>
      <c r="TSM123" s="225"/>
      <c r="TSN123" s="225"/>
      <c r="TSO123" s="225"/>
      <c r="TSP123" s="225"/>
      <c r="TSQ123" s="225"/>
      <c r="TSR123" s="225"/>
      <c r="TSS123" s="225"/>
      <c r="TST123" s="225"/>
      <c r="TSU123" s="225"/>
      <c r="TSV123" s="225"/>
      <c r="TSW123" s="225"/>
      <c r="TSX123" s="225"/>
      <c r="TSY123" s="225"/>
      <c r="TSZ123" s="225"/>
      <c r="TTA123" s="225"/>
      <c r="TTB123" s="225"/>
      <c r="TTC123" s="225"/>
      <c r="TTD123" s="225"/>
      <c r="TTE123" s="225"/>
      <c r="TTF123" s="225"/>
      <c r="TTG123" s="225"/>
      <c r="TTH123" s="225"/>
      <c r="TTI123" s="225"/>
      <c r="TTJ123" s="225"/>
      <c r="TTK123" s="225"/>
      <c r="TTL123" s="225"/>
      <c r="TTM123" s="225"/>
      <c r="TTN123" s="225"/>
      <c r="TTO123" s="225"/>
      <c r="TTP123" s="225"/>
      <c r="TTQ123" s="225"/>
      <c r="TTR123" s="225"/>
      <c r="TTS123" s="225"/>
      <c r="TTT123" s="225"/>
      <c r="TTU123" s="225"/>
      <c r="TTV123" s="225"/>
      <c r="TTW123" s="225"/>
      <c r="TTX123" s="225"/>
      <c r="TTY123" s="225"/>
      <c r="TTZ123" s="225"/>
      <c r="TUA123" s="225"/>
      <c r="TUB123" s="225"/>
      <c r="TUC123" s="225"/>
      <c r="TUD123" s="225"/>
      <c r="TUE123" s="225"/>
      <c r="TUF123" s="225"/>
      <c r="TUG123" s="225"/>
      <c r="TUH123" s="225"/>
      <c r="TUI123" s="225"/>
      <c r="TUJ123" s="225"/>
      <c r="TUK123" s="225"/>
      <c r="TUL123" s="225"/>
      <c r="TUM123" s="225"/>
      <c r="TUN123" s="225"/>
      <c r="TUO123" s="225"/>
      <c r="TUP123" s="225"/>
      <c r="TUQ123" s="225"/>
      <c r="TUR123" s="225"/>
      <c r="TUS123" s="225"/>
      <c r="TUT123" s="225"/>
      <c r="TUU123" s="225"/>
      <c r="TUV123" s="225"/>
      <c r="TUW123" s="225"/>
      <c r="TUX123" s="225"/>
      <c r="TUY123" s="225"/>
      <c r="TUZ123" s="225"/>
      <c r="TVA123" s="225"/>
      <c r="TVB123" s="225"/>
      <c r="TVC123" s="225"/>
      <c r="TVD123" s="225"/>
      <c r="TVE123" s="225"/>
      <c r="TVF123" s="225"/>
      <c r="TVG123" s="225"/>
      <c r="TVH123" s="225"/>
      <c r="TVI123" s="225"/>
      <c r="TVJ123" s="225"/>
      <c r="TVK123" s="225"/>
      <c r="TVL123" s="225"/>
      <c r="TVM123" s="225"/>
      <c r="TVN123" s="225"/>
      <c r="TVO123" s="225"/>
      <c r="TVP123" s="225"/>
      <c r="TVQ123" s="225"/>
      <c r="TVR123" s="225"/>
      <c r="TVS123" s="225"/>
      <c r="TVT123" s="225"/>
      <c r="TVU123" s="225"/>
      <c r="TVV123" s="225"/>
      <c r="TVW123" s="225"/>
      <c r="TVX123" s="225"/>
      <c r="TVY123" s="225"/>
      <c r="TVZ123" s="225"/>
      <c r="TWA123" s="225"/>
      <c r="TWB123" s="225"/>
      <c r="TWC123" s="225"/>
      <c r="TWD123" s="225"/>
      <c r="TWE123" s="225"/>
      <c r="TWF123" s="225"/>
      <c r="TWG123" s="225"/>
      <c r="TWH123" s="225"/>
      <c r="TWI123" s="225"/>
      <c r="TWJ123" s="225"/>
      <c r="TWK123" s="225"/>
      <c r="TWL123" s="225"/>
      <c r="TWM123" s="225"/>
      <c r="TWN123" s="225"/>
      <c r="TWO123" s="225"/>
      <c r="TWP123" s="225"/>
      <c r="TWQ123" s="225"/>
      <c r="TWR123" s="225"/>
      <c r="TWS123" s="225"/>
      <c r="TWT123" s="225"/>
      <c r="TWU123" s="225"/>
      <c r="TWV123" s="225"/>
      <c r="TWW123" s="225"/>
      <c r="TWX123" s="225"/>
      <c r="TWY123" s="225"/>
      <c r="TWZ123" s="225"/>
      <c r="TXA123" s="225"/>
      <c r="TXB123" s="225"/>
      <c r="TXC123" s="225"/>
      <c r="TXD123" s="225"/>
      <c r="TXE123" s="225"/>
      <c r="TXF123" s="225"/>
      <c r="TXG123" s="225"/>
      <c r="TXH123" s="225"/>
      <c r="TXI123" s="225"/>
      <c r="TXJ123" s="225"/>
      <c r="TXK123" s="225"/>
      <c r="TXL123" s="225"/>
      <c r="TXM123" s="225"/>
      <c r="TXN123" s="225"/>
      <c r="TXO123" s="225"/>
      <c r="TXP123" s="225"/>
      <c r="TXQ123" s="225"/>
      <c r="TXR123" s="225"/>
      <c r="TXS123" s="225"/>
      <c r="TXT123" s="225"/>
      <c r="TXU123" s="225"/>
      <c r="TXV123" s="225"/>
      <c r="TXW123" s="225"/>
      <c r="TXX123" s="225"/>
      <c r="TXY123" s="225"/>
      <c r="TXZ123" s="225"/>
      <c r="TYA123" s="225"/>
      <c r="TYB123" s="225"/>
      <c r="TYC123" s="225"/>
      <c r="TYD123" s="225"/>
      <c r="TYE123" s="225"/>
      <c r="TYF123" s="225"/>
      <c r="TYG123" s="225"/>
      <c r="TYH123" s="225"/>
      <c r="TYI123" s="225"/>
      <c r="TYJ123" s="225"/>
      <c r="TYK123" s="225"/>
      <c r="TYL123" s="225"/>
      <c r="TYM123" s="225"/>
      <c r="TYN123" s="225"/>
      <c r="TYO123" s="225"/>
      <c r="TYP123" s="225"/>
      <c r="TYQ123" s="225"/>
      <c r="TYR123" s="225"/>
      <c r="TYS123" s="225"/>
      <c r="TYT123" s="225"/>
      <c r="TYU123" s="225"/>
      <c r="TYV123" s="225"/>
      <c r="TYW123" s="225"/>
      <c r="TYX123" s="225"/>
      <c r="TYY123" s="225"/>
      <c r="TYZ123" s="225"/>
      <c r="TZA123" s="225"/>
      <c r="TZB123" s="225"/>
      <c r="TZC123" s="225"/>
      <c r="TZD123" s="225"/>
      <c r="TZE123" s="225"/>
      <c r="TZF123" s="225"/>
      <c r="TZG123" s="225"/>
      <c r="TZH123" s="225"/>
      <c r="TZI123" s="225"/>
      <c r="TZJ123" s="225"/>
      <c r="TZK123" s="225"/>
      <c r="TZL123" s="225"/>
      <c r="TZM123" s="225"/>
      <c r="TZN123" s="225"/>
      <c r="TZO123" s="225"/>
      <c r="TZP123" s="225"/>
      <c r="TZQ123" s="225"/>
      <c r="TZR123" s="225"/>
      <c r="TZS123" s="225"/>
      <c r="TZT123" s="225"/>
      <c r="TZU123" s="225"/>
      <c r="TZV123" s="225"/>
      <c r="TZW123" s="225"/>
      <c r="TZX123" s="225"/>
      <c r="TZY123" s="225"/>
      <c r="TZZ123" s="225"/>
      <c r="UAA123" s="225"/>
      <c r="UAB123" s="225"/>
      <c r="UAC123" s="225"/>
      <c r="UAD123" s="225"/>
      <c r="UAE123" s="225"/>
      <c r="UAF123" s="225"/>
      <c r="UAG123" s="225"/>
      <c r="UAH123" s="225"/>
      <c r="UAI123" s="225"/>
      <c r="UAJ123" s="225"/>
      <c r="UAK123" s="225"/>
      <c r="UAL123" s="225"/>
      <c r="UAM123" s="225"/>
      <c r="UAN123" s="225"/>
      <c r="UAO123" s="225"/>
      <c r="UAP123" s="225"/>
      <c r="UAQ123" s="225"/>
      <c r="UAR123" s="225"/>
      <c r="UAS123" s="225"/>
      <c r="UAT123" s="225"/>
      <c r="UAU123" s="225"/>
      <c r="UAV123" s="225"/>
      <c r="UAW123" s="225"/>
      <c r="UAX123" s="225"/>
      <c r="UAY123" s="225"/>
      <c r="UAZ123" s="225"/>
      <c r="UBA123" s="225"/>
      <c r="UBB123" s="225"/>
      <c r="UBC123" s="225"/>
      <c r="UBD123" s="225"/>
      <c r="UBE123" s="225"/>
      <c r="UBF123" s="225"/>
      <c r="UBG123" s="225"/>
      <c r="UBH123" s="225"/>
      <c r="UBI123" s="225"/>
      <c r="UBJ123" s="225"/>
      <c r="UBK123" s="225"/>
      <c r="UBL123" s="225"/>
      <c r="UBM123" s="225"/>
      <c r="UBN123" s="225"/>
      <c r="UBO123" s="225"/>
      <c r="UBP123" s="225"/>
      <c r="UBQ123" s="225"/>
      <c r="UBR123" s="225"/>
      <c r="UBS123" s="225"/>
      <c r="UBT123" s="225"/>
      <c r="UBU123" s="225"/>
      <c r="UBV123" s="225"/>
      <c r="UBW123" s="225"/>
      <c r="UBX123" s="225"/>
      <c r="UBY123" s="225"/>
      <c r="UBZ123" s="225"/>
      <c r="UCA123" s="225"/>
      <c r="UCB123" s="225"/>
      <c r="UCC123" s="225"/>
      <c r="UCD123" s="225"/>
      <c r="UCE123" s="225"/>
      <c r="UCF123" s="225"/>
      <c r="UCG123" s="225"/>
      <c r="UCH123" s="225"/>
      <c r="UCI123" s="225"/>
      <c r="UCJ123" s="225"/>
      <c r="UCK123" s="225"/>
      <c r="UCL123" s="225"/>
      <c r="UCM123" s="225"/>
      <c r="UCN123" s="225"/>
      <c r="UCO123" s="225"/>
      <c r="UCP123" s="225"/>
      <c r="UCQ123" s="225"/>
      <c r="UCR123" s="225"/>
      <c r="UCS123" s="225"/>
      <c r="UCT123" s="225"/>
      <c r="UCU123" s="225"/>
      <c r="UCV123" s="225"/>
      <c r="UCW123" s="225"/>
      <c r="UCX123" s="225"/>
      <c r="UCY123" s="225"/>
      <c r="UCZ123" s="225"/>
      <c r="UDA123" s="225"/>
      <c r="UDB123" s="225"/>
      <c r="UDC123" s="225"/>
      <c r="UDD123" s="225"/>
      <c r="UDE123" s="225"/>
      <c r="UDF123" s="225"/>
      <c r="UDG123" s="225"/>
      <c r="UDH123" s="225"/>
      <c r="UDI123" s="225"/>
      <c r="UDJ123" s="225"/>
      <c r="UDK123" s="225"/>
      <c r="UDL123" s="225"/>
      <c r="UDM123" s="225"/>
      <c r="UDN123" s="225"/>
      <c r="UDO123" s="225"/>
      <c r="UDP123" s="225"/>
      <c r="UDQ123" s="225"/>
      <c r="UDR123" s="225"/>
      <c r="UDS123" s="225"/>
      <c r="UDT123" s="225"/>
      <c r="UDU123" s="225"/>
      <c r="UDV123" s="225"/>
      <c r="UDW123" s="225"/>
      <c r="UDX123" s="225"/>
      <c r="UDY123" s="225"/>
      <c r="UDZ123" s="225"/>
      <c r="UEA123" s="225"/>
      <c r="UEB123" s="225"/>
      <c r="UEC123" s="225"/>
      <c r="UED123" s="225"/>
      <c r="UEE123" s="225"/>
      <c r="UEF123" s="225"/>
      <c r="UEG123" s="225"/>
      <c r="UEH123" s="225"/>
      <c r="UEI123" s="225"/>
      <c r="UEJ123" s="225"/>
      <c r="UEK123" s="225"/>
      <c r="UEL123" s="225"/>
      <c r="UEM123" s="225"/>
      <c r="UEN123" s="225"/>
      <c r="UEO123" s="225"/>
      <c r="UEP123" s="225"/>
      <c r="UEQ123" s="225"/>
      <c r="UER123" s="225"/>
      <c r="UES123" s="225"/>
      <c r="UET123" s="225"/>
      <c r="UEU123" s="225"/>
      <c r="UEV123" s="225"/>
      <c r="UEW123" s="225"/>
      <c r="UEX123" s="225"/>
      <c r="UEY123" s="225"/>
      <c r="UEZ123" s="225"/>
      <c r="UFA123" s="225"/>
      <c r="UFB123" s="225"/>
      <c r="UFC123" s="225"/>
      <c r="UFD123" s="225"/>
      <c r="UFE123" s="225"/>
      <c r="UFF123" s="225"/>
      <c r="UFG123" s="225"/>
      <c r="UFH123" s="225"/>
      <c r="UFI123" s="225"/>
      <c r="UFJ123" s="225"/>
      <c r="UFK123" s="225"/>
      <c r="UFL123" s="225"/>
      <c r="UFM123" s="225"/>
      <c r="UFN123" s="225"/>
      <c r="UFO123" s="225"/>
      <c r="UFP123" s="225"/>
      <c r="UFQ123" s="225"/>
      <c r="UFR123" s="225"/>
      <c r="UFS123" s="225"/>
      <c r="UFT123" s="225"/>
      <c r="UFU123" s="225"/>
      <c r="UFV123" s="225"/>
      <c r="UFW123" s="225"/>
      <c r="UFX123" s="225"/>
      <c r="UFY123" s="225"/>
      <c r="UFZ123" s="225"/>
      <c r="UGA123" s="225"/>
      <c r="UGB123" s="225"/>
      <c r="UGC123" s="225"/>
      <c r="UGD123" s="225"/>
      <c r="UGE123" s="225"/>
      <c r="UGF123" s="225"/>
      <c r="UGG123" s="225"/>
      <c r="UGH123" s="225"/>
      <c r="UGI123" s="225"/>
      <c r="UGJ123" s="225"/>
      <c r="UGK123" s="225"/>
      <c r="UGL123" s="225"/>
      <c r="UGM123" s="225"/>
      <c r="UGN123" s="225"/>
      <c r="UGO123" s="225"/>
      <c r="UGP123" s="225"/>
      <c r="UGQ123" s="225"/>
      <c r="UGR123" s="225"/>
      <c r="UGS123" s="225"/>
      <c r="UGT123" s="225"/>
      <c r="UGU123" s="225"/>
      <c r="UGV123" s="225"/>
      <c r="UGW123" s="225"/>
      <c r="UGX123" s="225"/>
      <c r="UGY123" s="225"/>
      <c r="UGZ123" s="225"/>
      <c r="UHA123" s="225"/>
      <c r="UHB123" s="225"/>
      <c r="UHC123" s="225"/>
      <c r="UHD123" s="225"/>
      <c r="UHE123" s="225"/>
      <c r="UHF123" s="225"/>
      <c r="UHG123" s="225"/>
      <c r="UHH123" s="225"/>
      <c r="UHI123" s="225"/>
      <c r="UHJ123" s="225"/>
      <c r="UHK123" s="225"/>
      <c r="UHL123" s="225"/>
      <c r="UHM123" s="225"/>
      <c r="UHN123" s="225"/>
      <c r="UHO123" s="225"/>
      <c r="UHP123" s="225"/>
      <c r="UHQ123" s="225"/>
      <c r="UHR123" s="225"/>
      <c r="UHS123" s="225"/>
      <c r="UHT123" s="225"/>
      <c r="UHU123" s="225"/>
      <c r="UHV123" s="225"/>
      <c r="UHW123" s="225"/>
      <c r="UHX123" s="225"/>
      <c r="UHY123" s="225"/>
      <c r="UHZ123" s="225"/>
      <c r="UIA123" s="225"/>
      <c r="UIB123" s="225"/>
      <c r="UIC123" s="225"/>
      <c r="UID123" s="225"/>
      <c r="UIE123" s="225"/>
      <c r="UIF123" s="225"/>
      <c r="UIG123" s="225"/>
      <c r="UIH123" s="225"/>
      <c r="UII123" s="225"/>
      <c r="UIJ123" s="225"/>
      <c r="UIK123" s="225"/>
      <c r="UIL123" s="225"/>
      <c r="UIM123" s="225"/>
      <c r="UIN123" s="225"/>
      <c r="UIO123" s="225"/>
      <c r="UIP123" s="225"/>
      <c r="UIQ123" s="225"/>
      <c r="UIR123" s="225"/>
      <c r="UIS123" s="225"/>
      <c r="UIT123" s="225"/>
      <c r="UIU123" s="225"/>
      <c r="UIV123" s="225"/>
      <c r="UIW123" s="225"/>
      <c r="UIX123" s="225"/>
      <c r="UIY123" s="225"/>
      <c r="UIZ123" s="225"/>
      <c r="UJA123" s="225"/>
      <c r="UJB123" s="225"/>
      <c r="UJC123" s="225"/>
      <c r="UJD123" s="225"/>
      <c r="UJE123" s="225"/>
      <c r="UJF123" s="225"/>
      <c r="UJG123" s="225"/>
      <c r="UJH123" s="225"/>
      <c r="UJI123" s="225"/>
      <c r="UJJ123" s="225"/>
      <c r="UJK123" s="225"/>
      <c r="UJL123" s="225"/>
      <c r="UJM123" s="225"/>
      <c r="UJN123" s="225"/>
      <c r="UJO123" s="225"/>
      <c r="UJP123" s="225"/>
      <c r="UJQ123" s="225"/>
      <c r="UJR123" s="225"/>
      <c r="UJS123" s="225"/>
      <c r="UJT123" s="225"/>
      <c r="UJU123" s="225"/>
      <c r="UJV123" s="225"/>
      <c r="UJW123" s="225"/>
      <c r="UJX123" s="225"/>
      <c r="UJY123" s="225"/>
      <c r="UJZ123" s="225"/>
      <c r="UKA123" s="225"/>
      <c r="UKB123" s="225"/>
      <c r="UKC123" s="225"/>
      <c r="UKD123" s="225"/>
      <c r="UKE123" s="225"/>
      <c r="UKF123" s="225"/>
      <c r="UKG123" s="225"/>
      <c r="UKH123" s="225"/>
      <c r="UKI123" s="225"/>
      <c r="UKJ123" s="225"/>
      <c r="UKK123" s="225"/>
      <c r="UKL123" s="225"/>
      <c r="UKM123" s="225"/>
      <c r="UKN123" s="225"/>
      <c r="UKO123" s="225"/>
      <c r="UKP123" s="225"/>
      <c r="UKQ123" s="225"/>
      <c r="UKR123" s="225"/>
      <c r="UKS123" s="225"/>
      <c r="UKT123" s="225"/>
      <c r="UKU123" s="225"/>
      <c r="UKV123" s="225"/>
      <c r="UKW123" s="225"/>
      <c r="UKX123" s="225"/>
      <c r="UKY123" s="225"/>
      <c r="UKZ123" s="225"/>
      <c r="ULA123" s="225"/>
      <c r="ULB123" s="225"/>
      <c r="ULC123" s="225"/>
      <c r="ULD123" s="225"/>
      <c r="ULE123" s="225"/>
      <c r="ULF123" s="225"/>
      <c r="ULG123" s="225"/>
      <c r="ULH123" s="225"/>
      <c r="ULI123" s="225"/>
      <c r="ULJ123" s="225"/>
      <c r="ULK123" s="225"/>
      <c r="ULL123" s="225"/>
      <c r="ULM123" s="225"/>
      <c r="ULN123" s="225"/>
      <c r="ULO123" s="225"/>
      <c r="ULP123" s="225"/>
      <c r="ULQ123" s="225"/>
      <c r="ULR123" s="225"/>
      <c r="ULS123" s="225"/>
      <c r="ULT123" s="225"/>
      <c r="ULU123" s="225"/>
      <c r="ULV123" s="225"/>
      <c r="ULW123" s="225"/>
      <c r="ULX123" s="225"/>
      <c r="ULY123" s="225"/>
      <c r="ULZ123" s="225"/>
      <c r="UMA123" s="225"/>
      <c r="UMB123" s="225"/>
      <c r="UMC123" s="225"/>
      <c r="UMD123" s="225"/>
      <c r="UME123" s="225"/>
      <c r="UMF123" s="225"/>
      <c r="UMG123" s="225"/>
      <c r="UMH123" s="225"/>
      <c r="UMI123" s="225"/>
      <c r="UMJ123" s="225"/>
      <c r="UMK123" s="225"/>
      <c r="UML123" s="225"/>
      <c r="UMM123" s="225"/>
      <c r="UMN123" s="225"/>
      <c r="UMO123" s="225"/>
      <c r="UMP123" s="225"/>
      <c r="UMQ123" s="225"/>
      <c r="UMR123" s="225"/>
      <c r="UMS123" s="225"/>
      <c r="UMT123" s="225"/>
      <c r="UMU123" s="225"/>
      <c r="UMV123" s="225"/>
      <c r="UMW123" s="225"/>
      <c r="UMX123" s="225"/>
      <c r="UMY123" s="225"/>
      <c r="UMZ123" s="225"/>
      <c r="UNA123" s="225"/>
      <c r="UNB123" s="225"/>
      <c r="UNC123" s="225"/>
      <c r="UND123" s="225"/>
      <c r="UNE123" s="225"/>
      <c r="UNF123" s="225"/>
      <c r="UNG123" s="225"/>
      <c r="UNH123" s="225"/>
      <c r="UNI123" s="225"/>
      <c r="UNJ123" s="225"/>
      <c r="UNK123" s="225"/>
      <c r="UNL123" s="225"/>
      <c r="UNM123" s="225"/>
      <c r="UNN123" s="225"/>
      <c r="UNO123" s="225"/>
      <c r="UNP123" s="225"/>
      <c r="UNQ123" s="225"/>
      <c r="UNR123" s="225"/>
      <c r="UNS123" s="225"/>
      <c r="UNT123" s="225"/>
      <c r="UNU123" s="225"/>
      <c r="UNV123" s="225"/>
      <c r="UNW123" s="225"/>
      <c r="UNX123" s="225"/>
      <c r="UNY123" s="225"/>
      <c r="UNZ123" s="225"/>
      <c r="UOA123" s="225"/>
      <c r="UOB123" s="225"/>
      <c r="UOC123" s="225"/>
      <c r="UOD123" s="225"/>
      <c r="UOE123" s="225"/>
      <c r="UOF123" s="225"/>
      <c r="UOG123" s="225"/>
      <c r="UOH123" s="225"/>
      <c r="UOI123" s="225"/>
      <c r="UOJ123" s="225"/>
      <c r="UOK123" s="225"/>
      <c r="UOL123" s="225"/>
      <c r="UOM123" s="225"/>
      <c r="UON123" s="225"/>
      <c r="UOO123" s="225"/>
      <c r="UOP123" s="225"/>
      <c r="UOQ123" s="225"/>
      <c r="UOR123" s="225"/>
      <c r="UOS123" s="225"/>
      <c r="UOT123" s="225"/>
      <c r="UOU123" s="225"/>
      <c r="UOV123" s="225"/>
      <c r="UOW123" s="225"/>
      <c r="UOX123" s="225"/>
      <c r="UOY123" s="225"/>
      <c r="UOZ123" s="225"/>
      <c r="UPA123" s="225"/>
      <c r="UPB123" s="225"/>
      <c r="UPC123" s="225"/>
      <c r="UPD123" s="225"/>
      <c r="UPE123" s="225"/>
      <c r="UPF123" s="225"/>
      <c r="UPG123" s="225"/>
      <c r="UPH123" s="225"/>
      <c r="UPI123" s="225"/>
      <c r="UPJ123" s="225"/>
      <c r="UPK123" s="225"/>
      <c r="UPL123" s="225"/>
      <c r="UPM123" s="225"/>
      <c r="UPN123" s="225"/>
      <c r="UPO123" s="225"/>
      <c r="UPP123" s="225"/>
      <c r="UPQ123" s="225"/>
      <c r="UPR123" s="225"/>
      <c r="UPS123" s="225"/>
      <c r="UPT123" s="225"/>
      <c r="UPU123" s="225"/>
      <c r="UPV123" s="225"/>
      <c r="UPW123" s="225"/>
      <c r="UPX123" s="225"/>
      <c r="UPY123" s="225"/>
      <c r="UPZ123" s="225"/>
      <c r="UQA123" s="225"/>
      <c r="UQB123" s="225"/>
      <c r="UQC123" s="225"/>
      <c r="UQD123" s="225"/>
      <c r="UQE123" s="225"/>
      <c r="UQF123" s="225"/>
      <c r="UQG123" s="225"/>
      <c r="UQH123" s="225"/>
      <c r="UQI123" s="225"/>
      <c r="UQJ123" s="225"/>
      <c r="UQK123" s="225"/>
      <c r="UQL123" s="225"/>
      <c r="UQM123" s="225"/>
      <c r="UQN123" s="225"/>
      <c r="UQO123" s="225"/>
      <c r="UQP123" s="225"/>
      <c r="UQQ123" s="225"/>
      <c r="UQR123" s="225"/>
      <c r="UQS123" s="225"/>
      <c r="UQT123" s="225"/>
      <c r="UQU123" s="225"/>
      <c r="UQV123" s="225"/>
      <c r="UQW123" s="225"/>
      <c r="UQX123" s="225"/>
      <c r="UQY123" s="225"/>
      <c r="UQZ123" s="225"/>
      <c r="URA123" s="225"/>
      <c r="URB123" s="225"/>
      <c r="URC123" s="225"/>
      <c r="URD123" s="225"/>
      <c r="URE123" s="225"/>
      <c r="URF123" s="225"/>
      <c r="URG123" s="225"/>
      <c r="URH123" s="225"/>
      <c r="URI123" s="225"/>
      <c r="URJ123" s="225"/>
      <c r="URK123" s="225"/>
      <c r="URL123" s="225"/>
      <c r="URM123" s="225"/>
      <c r="URN123" s="225"/>
      <c r="URO123" s="225"/>
      <c r="URP123" s="225"/>
      <c r="URQ123" s="225"/>
      <c r="URR123" s="225"/>
      <c r="URS123" s="225"/>
      <c r="URT123" s="225"/>
      <c r="URU123" s="225"/>
      <c r="URV123" s="225"/>
      <c r="URW123" s="225"/>
      <c r="URX123" s="225"/>
      <c r="URY123" s="225"/>
      <c r="URZ123" s="225"/>
      <c r="USA123" s="225"/>
      <c r="USB123" s="225"/>
      <c r="USC123" s="225"/>
      <c r="USD123" s="225"/>
      <c r="USE123" s="225"/>
      <c r="USF123" s="225"/>
      <c r="USG123" s="225"/>
      <c r="USH123" s="225"/>
      <c r="USI123" s="225"/>
      <c r="USJ123" s="225"/>
      <c r="USK123" s="225"/>
      <c r="USL123" s="225"/>
      <c r="USM123" s="225"/>
      <c r="USN123" s="225"/>
      <c r="USO123" s="225"/>
      <c r="USP123" s="225"/>
      <c r="USQ123" s="225"/>
      <c r="USR123" s="225"/>
      <c r="USS123" s="225"/>
      <c r="UST123" s="225"/>
      <c r="USU123" s="225"/>
      <c r="USV123" s="225"/>
      <c r="USW123" s="225"/>
      <c r="USX123" s="225"/>
      <c r="USY123" s="225"/>
      <c r="USZ123" s="225"/>
      <c r="UTA123" s="225"/>
      <c r="UTB123" s="225"/>
      <c r="UTC123" s="225"/>
      <c r="UTD123" s="225"/>
      <c r="UTE123" s="225"/>
      <c r="UTF123" s="225"/>
      <c r="UTG123" s="225"/>
      <c r="UTH123" s="225"/>
      <c r="UTI123" s="225"/>
      <c r="UTJ123" s="225"/>
      <c r="UTK123" s="225"/>
      <c r="UTL123" s="225"/>
      <c r="UTM123" s="225"/>
      <c r="UTN123" s="225"/>
      <c r="UTO123" s="225"/>
      <c r="UTP123" s="225"/>
      <c r="UTQ123" s="225"/>
      <c r="UTR123" s="225"/>
      <c r="UTS123" s="225"/>
      <c r="UTT123" s="225"/>
      <c r="UTU123" s="225"/>
      <c r="UTV123" s="225"/>
      <c r="UTW123" s="225"/>
      <c r="UTX123" s="225"/>
      <c r="UTY123" s="225"/>
      <c r="UTZ123" s="225"/>
      <c r="UUA123" s="225"/>
      <c r="UUB123" s="225"/>
      <c r="UUC123" s="225"/>
      <c r="UUD123" s="225"/>
      <c r="UUE123" s="225"/>
      <c r="UUF123" s="225"/>
      <c r="UUG123" s="225"/>
      <c r="UUH123" s="225"/>
      <c r="UUI123" s="225"/>
      <c r="UUJ123" s="225"/>
      <c r="UUK123" s="225"/>
      <c r="UUL123" s="225"/>
      <c r="UUM123" s="225"/>
      <c r="UUN123" s="225"/>
      <c r="UUO123" s="225"/>
      <c r="UUP123" s="225"/>
      <c r="UUQ123" s="225"/>
      <c r="UUR123" s="225"/>
      <c r="UUS123" s="225"/>
      <c r="UUT123" s="225"/>
      <c r="UUU123" s="225"/>
      <c r="UUV123" s="225"/>
      <c r="UUW123" s="225"/>
      <c r="UUX123" s="225"/>
      <c r="UUY123" s="225"/>
      <c r="UUZ123" s="225"/>
      <c r="UVA123" s="225"/>
      <c r="UVB123" s="225"/>
      <c r="UVC123" s="225"/>
      <c r="UVD123" s="225"/>
      <c r="UVE123" s="225"/>
      <c r="UVF123" s="225"/>
      <c r="UVG123" s="225"/>
      <c r="UVH123" s="225"/>
      <c r="UVI123" s="225"/>
      <c r="UVJ123" s="225"/>
      <c r="UVK123" s="225"/>
      <c r="UVL123" s="225"/>
      <c r="UVM123" s="225"/>
      <c r="UVN123" s="225"/>
      <c r="UVO123" s="225"/>
      <c r="UVP123" s="225"/>
      <c r="UVQ123" s="225"/>
      <c r="UVR123" s="225"/>
      <c r="UVS123" s="225"/>
      <c r="UVT123" s="225"/>
      <c r="UVU123" s="225"/>
      <c r="UVV123" s="225"/>
      <c r="UVW123" s="225"/>
      <c r="UVX123" s="225"/>
      <c r="UVY123" s="225"/>
      <c r="UVZ123" s="225"/>
      <c r="UWA123" s="225"/>
      <c r="UWB123" s="225"/>
      <c r="UWC123" s="225"/>
      <c r="UWD123" s="225"/>
      <c r="UWE123" s="225"/>
      <c r="UWF123" s="225"/>
      <c r="UWG123" s="225"/>
      <c r="UWH123" s="225"/>
      <c r="UWI123" s="225"/>
      <c r="UWJ123" s="225"/>
      <c r="UWK123" s="225"/>
      <c r="UWL123" s="225"/>
      <c r="UWM123" s="225"/>
      <c r="UWN123" s="225"/>
      <c r="UWO123" s="225"/>
      <c r="UWP123" s="225"/>
      <c r="UWQ123" s="225"/>
      <c r="UWR123" s="225"/>
      <c r="UWS123" s="225"/>
      <c r="UWT123" s="225"/>
      <c r="UWU123" s="225"/>
      <c r="UWV123" s="225"/>
      <c r="UWW123" s="225"/>
      <c r="UWX123" s="225"/>
      <c r="UWY123" s="225"/>
      <c r="UWZ123" s="225"/>
      <c r="UXA123" s="225"/>
      <c r="UXB123" s="225"/>
      <c r="UXC123" s="225"/>
      <c r="UXD123" s="225"/>
      <c r="UXE123" s="225"/>
      <c r="UXF123" s="225"/>
      <c r="UXG123" s="225"/>
      <c r="UXH123" s="225"/>
      <c r="UXI123" s="225"/>
      <c r="UXJ123" s="225"/>
      <c r="UXK123" s="225"/>
      <c r="UXL123" s="225"/>
      <c r="UXM123" s="225"/>
      <c r="UXN123" s="225"/>
      <c r="UXO123" s="225"/>
      <c r="UXP123" s="225"/>
      <c r="UXQ123" s="225"/>
      <c r="UXR123" s="225"/>
      <c r="UXS123" s="225"/>
      <c r="UXT123" s="225"/>
      <c r="UXU123" s="225"/>
      <c r="UXV123" s="225"/>
      <c r="UXW123" s="225"/>
      <c r="UXX123" s="225"/>
      <c r="UXY123" s="225"/>
      <c r="UXZ123" s="225"/>
      <c r="UYA123" s="225"/>
      <c r="UYB123" s="225"/>
      <c r="UYC123" s="225"/>
      <c r="UYD123" s="225"/>
      <c r="UYE123" s="225"/>
      <c r="UYF123" s="225"/>
      <c r="UYG123" s="225"/>
      <c r="UYH123" s="225"/>
      <c r="UYI123" s="225"/>
      <c r="UYJ123" s="225"/>
      <c r="UYK123" s="225"/>
      <c r="UYL123" s="225"/>
      <c r="UYM123" s="225"/>
      <c r="UYN123" s="225"/>
      <c r="UYO123" s="225"/>
      <c r="UYP123" s="225"/>
      <c r="UYQ123" s="225"/>
      <c r="UYR123" s="225"/>
      <c r="UYS123" s="225"/>
      <c r="UYT123" s="225"/>
      <c r="UYU123" s="225"/>
      <c r="UYV123" s="225"/>
      <c r="UYW123" s="225"/>
      <c r="UYX123" s="225"/>
      <c r="UYY123" s="225"/>
      <c r="UYZ123" s="225"/>
      <c r="UZA123" s="225"/>
      <c r="UZB123" s="225"/>
      <c r="UZC123" s="225"/>
      <c r="UZD123" s="225"/>
      <c r="UZE123" s="225"/>
      <c r="UZF123" s="225"/>
      <c r="UZG123" s="225"/>
      <c r="UZH123" s="225"/>
      <c r="UZI123" s="225"/>
      <c r="UZJ123" s="225"/>
      <c r="UZK123" s="225"/>
      <c r="UZL123" s="225"/>
      <c r="UZM123" s="225"/>
      <c r="UZN123" s="225"/>
      <c r="UZO123" s="225"/>
      <c r="UZP123" s="225"/>
      <c r="UZQ123" s="225"/>
      <c r="UZR123" s="225"/>
      <c r="UZS123" s="225"/>
      <c r="UZT123" s="225"/>
      <c r="UZU123" s="225"/>
      <c r="UZV123" s="225"/>
      <c r="UZW123" s="225"/>
      <c r="UZX123" s="225"/>
      <c r="UZY123" s="225"/>
      <c r="UZZ123" s="225"/>
      <c r="VAA123" s="225"/>
      <c r="VAB123" s="225"/>
      <c r="VAC123" s="225"/>
      <c r="VAD123" s="225"/>
      <c r="VAE123" s="225"/>
      <c r="VAF123" s="225"/>
      <c r="VAG123" s="225"/>
      <c r="VAH123" s="225"/>
      <c r="VAI123" s="225"/>
      <c r="VAJ123" s="225"/>
      <c r="VAK123" s="225"/>
      <c r="VAL123" s="225"/>
      <c r="VAM123" s="225"/>
      <c r="VAN123" s="225"/>
      <c r="VAO123" s="225"/>
      <c r="VAP123" s="225"/>
      <c r="VAQ123" s="225"/>
      <c r="VAR123" s="225"/>
      <c r="VAS123" s="225"/>
      <c r="VAT123" s="225"/>
      <c r="VAU123" s="225"/>
      <c r="VAV123" s="225"/>
      <c r="VAW123" s="225"/>
      <c r="VAX123" s="225"/>
      <c r="VAY123" s="225"/>
      <c r="VAZ123" s="225"/>
      <c r="VBA123" s="225"/>
      <c r="VBB123" s="225"/>
      <c r="VBC123" s="225"/>
      <c r="VBD123" s="225"/>
      <c r="VBE123" s="225"/>
      <c r="VBF123" s="225"/>
      <c r="VBG123" s="225"/>
      <c r="VBH123" s="225"/>
      <c r="VBI123" s="225"/>
      <c r="VBJ123" s="225"/>
      <c r="VBK123" s="225"/>
      <c r="VBL123" s="225"/>
      <c r="VBM123" s="225"/>
      <c r="VBN123" s="225"/>
      <c r="VBO123" s="225"/>
      <c r="VBP123" s="225"/>
      <c r="VBQ123" s="225"/>
      <c r="VBR123" s="225"/>
      <c r="VBS123" s="225"/>
      <c r="VBT123" s="225"/>
      <c r="VBU123" s="225"/>
      <c r="VBV123" s="225"/>
      <c r="VBW123" s="225"/>
      <c r="VBX123" s="225"/>
      <c r="VBY123" s="225"/>
      <c r="VBZ123" s="225"/>
      <c r="VCA123" s="225"/>
      <c r="VCB123" s="225"/>
      <c r="VCC123" s="225"/>
      <c r="VCD123" s="225"/>
      <c r="VCE123" s="225"/>
      <c r="VCF123" s="225"/>
      <c r="VCG123" s="225"/>
      <c r="VCH123" s="225"/>
      <c r="VCI123" s="225"/>
      <c r="VCJ123" s="225"/>
      <c r="VCK123" s="225"/>
      <c r="VCL123" s="225"/>
      <c r="VCM123" s="225"/>
      <c r="VCN123" s="225"/>
      <c r="VCO123" s="225"/>
      <c r="VCP123" s="225"/>
      <c r="VCQ123" s="225"/>
      <c r="VCR123" s="225"/>
      <c r="VCS123" s="225"/>
      <c r="VCT123" s="225"/>
      <c r="VCU123" s="225"/>
      <c r="VCV123" s="225"/>
      <c r="VCW123" s="225"/>
      <c r="VCX123" s="225"/>
      <c r="VCY123" s="225"/>
      <c r="VCZ123" s="225"/>
      <c r="VDA123" s="225"/>
      <c r="VDB123" s="225"/>
      <c r="VDC123" s="225"/>
      <c r="VDD123" s="225"/>
      <c r="VDE123" s="225"/>
      <c r="VDF123" s="225"/>
      <c r="VDG123" s="225"/>
      <c r="VDH123" s="225"/>
      <c r="VDI123" s="225"/>
      <c r="VDJ123" s="225"/>
      <c r="VDK123" s="225"/>
      <c r="VDL123" s="225"/>
      <c r="VDM123" s="225"/>
      <c r="VDN123" s="225"/>
      <c r="VDO123" s="225"/>
      <c r="VDP123" s="225"/>
      <c r="VDQ123" s="225"/>
      <c r="VDR123" s="225"/>
      <c r="VDS123" s="225"/>
      <c r="VDT123" s="225"/>
      <c r="VDU123" s="225"/>
      <c r="VDV123" s="225"/>
      <c r="VDW123" s="225"/>
      <c r="VDX123" s="225"/>
      <c r="VDY123" s="225"/>
      <c r="VDZ123" s="225"/>
      <c r="VEA123" s="225"/>
      <c r="VEB123" s="225"/>
      <c r="VEC123" s="225"/>
      <c r="VED123" s="225"/>
      <c r="VEE123" s="225"/>
      <c r="VEF123" s="225"/>
      <c r="VEG123" s="225"/>
      <c r="VEH123" s="225"/>
      <c r="VEI123" s="225"/>
      <c r="VEJ123" s="225"/>
      <c r="VEK123" s="225"/>
      <c r="VEL123" s="225"/>
      <c r="VEM123" s="225"/>
      <c r="VEN123" s="225"/>
      <c r="VEO123" s="225"/>
      <c r="VEP123" s="225"/>
      <c r="VEQ123" s="225"/>
      <c r="VER123" s="225"/>
      <c r="VES123" s="225"/>
      <c r="VET123" s="225"/>
      <c r="VEU123" s="225"/>
      <c r="VEV123" s="225"/>
      <c r="VEW123" s="225"/>
      <c r="VEX123" s="225"/>
      <c r="VEY123" s="225"/>
      <c r="VEZ123" s="225"/>
      <c r="VFA123" s="225"/>
      <c r="VFB123" s="225"/>
      <c r="VFC123" s="225"/>
      <c r="VFD123" s="225"/>
      <c r="VFE123" s="225"/>
      <c r="VFF123" s="225"/>
      <c r="VFG123" s="225"/>
      <c r="VFH123" s="225"/>
      <c r="VFI123" s="225"/>
      <c r="VFJ123" s="225"/>
      <c r="VFK123" s="225"/>
      <c r="VFL123" s="225"/>
      <c r="VFM123" s="225"/>
      <c r="VFN123" s="225"/>
      <c r="VFO123" s="225"/>
      <c r="VFP123" s="225"/>
      <c r="VFQ123" s="225"/>
      <c r="VFR123" s="225"/>
      <c r="VFS123" s="225"/>
      <c r="VFT123" s="225"/>
      <c r="VFU123" s="225"/>
      <c r="VFV123" s="225"/>
      <c r="VFW123" s="225"/>
      <c r="VFX123" s="225"/>
      <c r="VFY123" s="225"/>
      <c r="VFZ123" s="225"/>
      <c r="VGA123" s="225"/>
      <c r="VGB123" s="225"/>
      <c r="VGC123" s="225"/>
      <c r="VGD123" s="225"/>
      <c r="VGE123" s="225"/>
      <c r="VGF123" s="225"/>
      <c r="VGG123" s="225"/>
      <c r="VGH123" s="225"/>
      <c r="VGI123" s="225"/>
      <c r="VGJ123" s="225"/>
      <c r="VGK123" s="225"/>
      <c r="VGL123" s="225"/>
      <c r="VGM123" s="225"/>
      <c r="VGN123" s="225"/>
      <c r="VGO123" s="225"/>
      <c r="VGP123" s="225"/>
      <c r="VGQ123" s="225"/>
      <c r="VGR123" s="225"/>
      <c r="VGS123" s="225"/>
      <c r="VGT123" s="225"/>
      <c r="VGU123" s="225"/>
      <c r="VGV123" s="225"/>
      <c r="VGW123" s="225"/>
      <c r="VGX123" s="225"/>
      <c r="VGY123" s="225"/>
      <c r="VGZ123" s="225"/>
      <c r="VHA123" s="225"/>
      <c r="VHB123" s="225"/>
      <c r="VHC123" s="225"/>
      <c r="VHD123" s="225"/>
      <c r="VHE123" s="225"/>
      <c r="VHF123" s="225"/>
      <c r="VHG123" s="225"/>
      <c r="VHH123" s="225"/>
      <c r="VHI123" s="225"/>
      <c r="VHJ123" s="225"/>
      <c r="VHK123" s="225"/>
      <c r="VHL123" s="225"/>
      <c r="VHM123" s="225"/>
      <c r="VHN123" s="225"/>
      <c r="VHO123" s="225"/>
      <c r="VHP123" s="225"/>
      <c r="VHQ123" s="225"/>
      <c r="VHR123" s="225"/>
      <c r="VHS123" s="225"/>
      <c r="VHT123" s="225"/>
      <c r="VHU123" s="225"/>
      <c r="VHV123" s="225"/>
      <c r="VHW123" s="225"/>
      <c r="VHX123" s="225"/>
      <c r="VHY123" s="225"/>
      <c r="VHZ123" s="225"/>
      <c r="VIA123" s="225"/>
      <c r="VIB123" s="225"/>
      <c r="VIC123" s="225"/>
      <c r="VID123" s="225"/>
      <c r="VIE123" s="225"/>
      <c r="VIF123" s="225"/>
      <c r="VIG123" s="225"/>
      <c r="VIH123" s="225"/>
      <c r="VII123" s="225"/>
      <c r="VIJ123" s="225"/>
      <c r="VIK123" s="225"/>
      <c r="VIL123" s="225"/>
      <c r="VIM123" s="225"/>
      <c r="VIN123" s="225"/>
      <c r="VIO123" s="225"/>
      <c r="VIP123" s="225"/>
      <c r="VIQ123" s="225"/>
      <c r="VIR123" s="225"/>
      <c r="VIS123" s="225"/>
      <c r="VIT123" s="225"/>
      <c r="VIU123" s="225"/>
      <c r="VIV123" s="225"/>
      <c r="VIW123" s="225"/>
      <c r="VIX123" s="225"/>
      <c r="VIY123" s="225"/>
      <c r="VIZ123" s="225"/>
      <c r="VJA123" s="225"/>
      <c r="VJB123" s="225"/>
      <c r="VJC123" s="225"/>
      <c r="VJD123" s="225"/>
      <c r="VJE123" s="225"/>
      <c r="VJF123" s="225"/>
      <c r="VJG123" s="225"/>
      <c r="VJH123" s="225"/>
      <c r="VJI123" s="225"/>
      <c r="VJJ123" s="225"/>
      <c r="VJK123" s="225"/>
      <c r="VJL123" s="225"/>
      <c r="VJM123" s="225"/>
      <c r="VJN123" s="225"/>
      <c r="VJO123" s="225"/>
      <c r="VJP123" s="225"/>
      <c r="VJQ123" s="225"/>
      <c r="VJR123" s="225"/>
      <c r="VJS123" s="225"/>
      <c r="VJT123" s="225"/>
      <c r="VJU123" s="225"/>
      <c r="VJV123" s="225"/>
      <c r="VJW123" s="225"/>
      <c r="VJX123" s="225"/>
      <c r="VJY123" s="225"/>
      <c r="VJZ123" s="225"/>
      <c r="VKA123" s="225"/>
      <c r="VKB123" s="225"/>
      <c r="VKC123" s="225"/>
      <c r="VKD123" s="225"/>
      <c r="VKE123" s="225"/>
      <c r="VKF123" s="225"/>
      <c r="VKG123" s="225"/>
      <c r="VKH123" s="225"/>
      <c r="VKI123" s="225"/>
      <c r="VKJ123" s="225"/>
      <c r="VKK123" s="225"/>
      <c r="VKL123" s="225"/>
      <c r="VKM123" s="225"/>
      <c r="VKN123" s="225"/>
      <c r="VKO123" s="225"/>
      <c r="VKP123" s="225"/>
      <c r="VKQ123" s="225"/>
      <c r="VKR123" s="225"/>
      <c r="VKS123" s="225"/>
      <c r="VKT123" s="225"/>
      <c r="VKU123" s="225"/>
      <c r="VKV123" s="225"/>
      <c r="VKW123" s="225"/>
      <c r="VKX123" s="225"/>
      <c r="VKY123" s="225"/>
      <c r="VKZ123" s="225"/>
      <c r="VLA123" s="225"/>
      <c r="VLB123" s="225"/>
      <c r="VLC123" s="225"/>
      <c r="VLD123" s="225"/>
      <c r="VLE123" s="225"/>
      <c r="VLF123" s="225"/>
      <c r="VLG123" s="225"/>
      <c r="VLH123" s="225"/>
      <c r="VLI123" s="225"/>
      <c r="VLJ123" s="225"/>
      <c r="VLK123" s="225"/>
      <c r="VLL123" s="225"/>
      <c r="VLM123" s="225"/>
      <c r="VLN123" s="225"/>
      <c r="VLO123" s="225"/>
      <c r="VLP123" s="225"/>
      <c r="VLQ123" s="225"/>
      <c r="VLR123" s="225"/>
      <c r="VLS123" s="225"/>
      <c r="VLT123" s="225"/>
      <c r="VLU123" s="225"/>
      <c r="VLV123" s="225"/>
      <c r="VLW123" s="225"/>
      <c r="VLX123" s="225"/>
      <c r="VLY123" s="225"/>
      <c r="VLZ123" s="225"/>
      <c r="VMA123" s="225"/>
      <c r="VMB123" s="225"/>
      <c r="VMC123" s="225"/>
      <c r="VMD123" s="225"/>
      <c r="VME123" s="225"/>
      <c r="VMF123" s="225"/>
      <c r="VMG123" s="225"/>
      <c r="VMH123" s="225"/>
      <c r="VMI123" s="225"/>
      <c r="VMJ123" s="225"/>
      <c r="VMK123" s="225"/>
      <c r="VML123" s="225"/>
      <c r="VMM123" s="225"/>
      <c r="VMN123" s="225"/>
      <c r="VMO123" s="225"/>
      <c r="VMP123" s="225"/>
      <c r="VMQ123" s="225"/>
      <c r="VMR123" s="225"/>
      <c r="VMS123" s="225"/>
      <c r="VMT123" s="225"/>
      <c r="VMU123" s="225"/>
      <c r="VMV123" s="225"/>
      <c r="VMW123" s="225"/>
      <c r="VMX123" s="225"/>
      <c r="VMY123" s="225"/>
      <c r="VMZ123" s="225"/>
      <c r="VNA123" s="225"/>
      <c r="VNB123" s="225"/>
      <c r="VNC123" s="225"/>
      <c r="VND123" s="225"/>
      <c r="VNE123" s="225"/>
      <c r="VNF123" s="225"/>
      <c r="VNG123" s="225"/>
      <c r="VNH123" s="225"/>
      <c r="VNI123" s="225"/>
      <c r="VNJ123" s="225"/>
      <c r="VNK123" s="225"/>
      <c r="VNL123" s="225"/>
      <c r="VNM123" s="225"/>
      <c r="VNN123" s="225"/>
      <c r="VNO123" s="225"/>
      <c r="VNP123" s="225"/>
      <c r="VNQ123" s="225"/>
      <c r="VNR123" s="225"/>
      <c r="VNS123" s="225"/>
      <c r="VNT123" s="225"/>
      <c r="VNU123" s="225"/>
      <c r="VNV123" s="225"/>
      <c r="VNW123" s="225"/>
      <c r="VNX123" s="225"/>
      <c r="VNY123" s="225"/>
      <c r="VNZ123" s="225"/>
      <c r="VOA123" s="225"/>
      <c r="VOB123" s="225"/>
      <c r="VOC123" s="225"/>
      <c r="VOD123" s="225"/>
      <c r="VOE123" s="225"/>
      <c r="VOF123" s="225"/>
      <c r="VOG123" s="225"/>
      <c r="VOH123" s="225"/>
      <c r="VOI123" s="225"/>
      <c r="VOJ123" s="225"/>
      <c r="VOK123" s="225"/>
      <c r="VOL123" s="225"/>
      <c r="VOM123" s="225"/>
      <c r="VON123" s="225"/>
      <c r="VOO123" s="225"/>
      <c r="VOP123" s="225"/>
      <c r="VOQ123" s="225"/>
      <c r="VOR123" s="225"/>
      <c r="VOS123" s="225"/>
      <c r="VOT123" s="225"/>
      <c r="VOU123" s="225"/>
      <c r="VOV123" s="225"/>
      <c r="VOW123" s="225"/>
      <c r="VOX123" s="225"/>
      <c r="VOY123" s="225"/>
      <c r="VOZ123" s="225"/>
      <c r="VPA123" s="225"/>
      <c r="VPB123" s="225"/>
      <c r="VPC123" s="225"/>
      <c r="VPD123" s="225"/>
      <c r="VPE123" s="225"/>
      <c r="VPF123" s="225"/>
      <c r="VPG123" s="225"/>
      <c r="VPH123" s="225"/>
      <c r="VPI123" s="225"/>
      <c r="VPJ123" s="225"/>
      <c r="VPK123" s="225"/>
      <c r="VPL123" s="225"/>
      <c r="VPM123" s="225"/>
      <c r="VPN123" s="225"/>
      <c r="VPO123" s="225"/>
      <c r="VPP123" s="225"/>
      <c r="VPQ123" s="225"/>
      <c r="VPR123" s="225"/>
      <c r="VPS123" s="225"/>
      <c r="VPT123" s="225"/>
      <c r="VPU123" s="225"/>
      <c r="VPV123" s="225"/>
      <c r="VPW123" s="225"/>
      <c r="VPX123" s="225"/>
      <c r="VPY123" s="225"/>
      <c r="VPZ123" s="225"/>
      <c r="VQA123" s="225"/>
      <c r="VQB123" s="225"/>
      <c r="VQC123" s="225"/>
      <c r="VQD123" s="225"/>
      <c r="VQE123" s="225"/>
      <c r="VQF123" s="225"/>
      <c r="VQG123" s="225"/>
      <c r="VQH123" s="225"/>
      <c r="VQI123" s="225"/>
      <c r="VQJ123" s="225"/>
      <c r="VQK123" s="225"/>
      <c r="VQL123" s="225"/>
      <c r="VQM123" s="225"/>
      <c r="VQN123" s="225"/>
      <c r="VQO123" s="225"/>
      <c r="VQP123" s="225"/>
      <c r="VQQ123" s="225"/>
      <c r="VQR123" s="225"/>
      <c r="VQS123" s="225"/>
      <c r="VQT123" s="225"/>
      <c r="VQU123" s="225"/>
      <c r="VQV123" s="225"/>
      <c r="VQW123" s="225"/>
      <c r="VQX123" s="225"/>
      <c r="VQY123" s="225"/>
      <c r="VQZ123" s="225"/>
      <c r="VRA123" s="225"/>
      <c r="VRB123" s="225"/>
      <c r="VRC123" s="225"/>
      <c r="VRD123" s="225"/>
      <c r="VRE123" s="225"/>
      <c r="VRF123" s="225"/>
      <c r="VRG123" s="225"/>
      <c r="VRH123" s="225"/>
      <c r="VRI123" s="225"/>
      <c r="VRJ123" s="225"/>
      <c r="VRK123" s="225"/>
      <c r="VRL123" s="225"/>
      <c r="VRM123" s="225"/>
      <c r="VRN123" s="225"/>
      <c r="VRO123" s="225"/>
      <c r="VRP123" s="225"/>
      <c r="VRQ123" s="225"/>
      <c r="VRR123" s="225"/>
      <c r="VRS123" s="225"/>
      <c r="VRT123" s="225"/>
      <c r="VRU123" s="225"/>
      <c r="VRV123" s="225"/>
      <c r="VRW123" s="225"/>
      <c r="VRX123" s="225"/>
      <c r="VRY123" s="225"/>
      <c r="VRZ123" s="225"/>
      <c r="VSA123" s="225"/>
      <c r="VSB123" s="225"/>
      <c r="VSC123" s="225"/>
      <c r="VSD123" s="225"/>
      <c r="VSE123" s="225"/>
      <c r="VSF123" s="225"/>
      <c r="VSG123" s="225"/>
      <c r="VSH123" s="225"/>
      <c r="VSI123" s="225"/>
      <c r="VSJ123" s="225"/>
      <c r="VSK123" s="225"/>
      <c r="VSL123" s="225"/>
      <c r="VSM123" s="225"/>
      <c r="VSN123" s="225"/>
      <c r="VSO123" s="225"/>
      <c r="VSP123" s="225"/>
      <c r="VSQ123" s="225"/>
      <c r="VSR123" s="225"/>
      <c r="VSS123" s="225"/>
      <c r="VST123" s="225"/>
      <c r="VSU123" s="225"/>
      <c r="VSV123" s="225"/>
      <c r="VSW123" s="225"/>
      <c r="VSX123" s="225"/>
      <c r="VSY123" s="225"/>
      <c r="VSZ123" s="225"/>
      <c r="VTA123" s="225"/>
      <c r="VTB123" s="225"/>
      <c r="VTC123" s="225"/>
      <c r="VTD123" s="225"/>
      <c r="VTE123" s="225"/>
      <c r="VTF123" s="225"/>
      <c r="VTG123" s="225"/>
      <c r="VTH123" s="225"/>
      <c r="VTI123" s="225"/>
      <c r="VTJ123" s="225"/>
      <c r="VTK123" s="225"/>
      <c r="VTL123" s="225"/>
      <c r="VTM123" s="225"/>
      <c r="VTN123" s="225"/>
      <c r="VTO123" s="225"/>
      <c r="VTP123" s="225"/>
      <c r="VTQ123" s="225"/>
      <c r="VTR123" s="225"/>
      <c r="VTS123" s="225"/>
      <c r="VTT123" s="225"/>
      <c r="VTU123" s="225"/>
      <c r="VTV123" s="225"/>
      <c r="VTW123" s="225"/>
      <c r="VTX123" s="225"/>
      <c r="VTY123" s="225"/>
      <c r="VTZ123" s="225"/>
      <c r="VUA123" s="225"/>
      <c r="VUB123" s="225"/>
      <c r="VUC123" s="225"/>
      <c r="VUD123" s="225"/>
      <c r="VUE123" s="225"/>
      <c r="VUF123" s="225"/>
      <c r="VUG123" s="225"/>
      <c r="VUH123" s="225"/>
      <c r="VUI123" s="225"/>
      <c r="VUJ123" s="225"/>
      <c r="VUK123" s="225"/>
      <c r="VUL123" s="225"/>
      <c r="VUM123" s="225"/>
      <c r="VUN123" s="225"/>
      <c r="VUO123" s="225"/>
      <c r="VUP123" s="225"/>
      <c r="VUQ123" s="225"/>
      <c r="VUR123" s="225"/>
      <c r="VUS123" s="225"/>
      <c r="VUT123" s="225"/>
      <c r="VUU123" s="225"/>
      <c r="VUV123" s="225"/>
      <c r="VUW123" s="225"/>
      <c r="VUX123" s="225"/>
      <c r="VUY123" s="225"/>
      <c r="VUZ123" s="225"/>
      <c r="VVA123" s="225"/>
      <c r="VVB123" s="225"/>
      <c r="VVC123" s="225"/>
      <c r="VVD123" s="225"/>
      <c r="VVE123" s="225"/>
      <c r="VVF123" s="225"/>
      <c r="VVG123" s="225"/>
      <c r="VVH123" s="225"/>
      <c r="VVI123" s="225"/>
      <c r="VVJ123" s="225"/>
      <c r="VVK123" s="225"/>
      <c r="VVL123" s="225"/>
      <c r="VVM123" s="225"/>
      <c r="VVN123" s="225"/>
      <c r="VVO123" s="225"/>
      <c r="VVP123" s="225"/>
      <c r="VVQ123" s="225"/>
      <c r="VVR123" s="225"/>
      <c r="VVS123" s="225"/>
      <c r="VVT123" s="225"/>
      <c r="VVU123" s="225"/>
      <c r="VVV123" s="225"/>
      <c r="VVW123" s="225"/>
      <c r="VVX123" s="225"/>
      <c r="VVY123" s="225"/>
      <c r="VVZ123" s="225"/>
      <c r="VWA123" s="225"/>
      <c r="VWB123" s="225"/>
      <c r="VWC123" s="225"/>
      <c r="VWD123" s="225"/>
      <c r="VWE123" s="225"/>
      <c r="VWF123" s="225"/>
      <c r="VWG123" s="225"/>
      <c r="VWH123" s="225"/>
      <c r="VWI123" s="225"/>
      <c r="VWJ123" s="225"/>
      <c r="VWK123" s="225"/>
      <c r="VWL123" s="225"/>
      <c r="VWM123" s="225"/>
      <c r="VWN123" s="225"/>
      <c r="VWO123" s="225"/>
      <c r="VWP123" s="225"/>
      <c r="VWQ123" s="225"/>
      <c r="VWR123" s="225"/>
      <c r="VWS123" s="225"/>
      <c r="VWT123" s="225"/>
      <c r="VWU123" s="225"/>
      <c r="VWV123" s="225"/>
      <c r="VWW123" s="225"/>
      <c r="VWX123" s="225"/>
      <c r="VWY123" s="225"/>
      <c r="VWZ123" s="225"/>
      <c r="VXA123" s="225"/>
      <c r="VXB123" s="225"/>
      <c r="VXC123" s="225"/>
      <c r="VXD123" s="225"/>
      <c r="VXE123" s="225"/>
      <c r="VXF123" s="225"/>
      <c r="VXG123" s="225"/>
      <c r="VXH123" s="225"/>
      <c r="VXI123" s="225"/>
      <c r="VXJ123" s="225"/>
      <c r="VXK123" s="225"/>
      <c r="VXL123" s="225"/>
      <c r="VXM123" s="225"/>
      <c r="VXN123" s="225"/>
      <c r="VXO123" s="225"/>
      <c r="VXP123" s="225"/>
      <c r="VXQ123" s="225"/>
      <c r="VXR123" s="225"/>
      <c r="VXS123" s="225"/>
      <c r="VXT123" s="225"/>
      <c r="VXU123" s="225"/>
      <c r="VXV123" s="225"/>
      <c r="VXW123" s="225"/>
      <c r="VXX123" s="225"/>
      <c r="VXY123" s="225"/>
      <c r="VXZ123" s="225"/>
      <c r="VYA123" s="225"/>
      <c r="VYB123" s="225"/>
      <c r="VYC123" s="225"/>
      <c r="VYD123" s="225"/>
      <c r="VYE123" s="225"/>
      <c r="VYF123" s="225"/>
      <c r="VYG123" s="225"/>
      <c r="VYH123" s="225"/>
      <c r="VYI123" s="225"/>
      <c r="VYJ123" s="225"/>
      <c r="VYK123" s="225"/>
      <c r="VYL123" s="225"/>
      <c r="VYM123" s="225"/>
      <c r="VYN123" s="225"/>
      <c r="VYO123" s="225"/>
      <c r="VYP123" s="225"/>
      <c r="VYQ123" s="225"/>
      <c r="VYR123" s="225"/>
      <c r="VYS123" s="225"/>
      <c r="VYT123" s="225"/>
      <c r="VYU123" s="225"/>
      <c r="VYV123" s="225"/>
      <c r="VYW123" s="225"/>
      <c r="VYX123" s="225"/>
      <c r="VYY123" s="225"/>
      <c r="VYZ123" s="225"/>
      <c r="VZA123" s="225"/>
      <c r="VZB123" s="225"/>
      <c r="VZC123" s="225"/>
      <c r="VZD123" s="225"/>
      <c r="VZE123" s="225"/>
      <c r="VZF123" s="225"/>
      <c r="VZG123" s="225"/>
      <c r="VZH123" s="225"/>
      <c r="VZI123" s="225"/>
      <c r="VZJ123" s="225"/>
      <c r="VZK123" s="225"/>
      <c r="VZL123" s="225"/>
      <c r="VZM123" s="225"/>
      <c r="VZN123" s="225"/>
      <c r="VZO123" s="225"/>
      <c r="VZP123" s="225"/>
      <c r="VZQ123" s="225"/>
      <c r="VZR123" s="225"/>
      <c r="VZS123" s="225"/>
      <c r="VZT123" s="225"/>
      <c r="VZU123" s="225"/>
      <c r="VZV123" s="225"/>
      <c r="VZW123" s="225"/>
      <c r="VZX123" s="225"/>
      <c r="VZY123" s="225"/>
      <c r="VZZ123" s="225"/>
      <c r="WAA123" s="225"/>
      <c r="WAB123" s="225"/>
      <c r="WAC123" s="225"/>
      <c r="WAD123" s="225"/>
      <c r="WAE123" s="225"/>
      <c r="WAF123" s="225"/>
      <c r="WAG123" s="225"/>
      <c r="WAH123" s="225"/>
      <c r="WAI123" s="225"/>
      <c r="WAJ123" s="225"/>
      <c r="WAK123" s="225"/>
      <c r="WAL123" s="225"/>
      <c r="WAM123" s="225"/>
      <c r="WAN123" s="225"/>
      <c r="WAO123" s="225"/>
      <c r="WAP123" s="225"/>
      <c r="WAQ123" s="225"/>
      <c r="WAR123" s="225"/>
      <c r="WAS123" s="225"/>
      <c r="WAT123" s="225"/>
      <c r="WAU123" s="225"/>
      <c r="WAV123" s="225"/>
      <c r="WAW123" s="225"/>
      <c r="WAX123" s="225"/>
      <c r="WAY123" s="225"/>
      <c r="WAZ123" s="225"/>
      <c r="WBA123" s="225"/>
      <c r="WBB123" s="225"/>
      <c r="WBC123" s="225"/>
      <c r="WBD123" s="225"/>
      <c r="WBE123" s="225"/>
      <c r="WBF123" s="225"/>
      <c r="WBG123" s="225"/>
      <c r="WBH123" s="225"/>
      <c r="WBI123" s="225"/>
      <c r="WBJ123" s="225"/>
      <c r="WBK123" s="225"/>
      <c r="WBL123" s="225"/>
      <c r="WBM123" s="225"/>
      <c r="WBN123" s="225"/>
      <c r="WBO123" s="225"/>
      <c r="WBP123" s="225"/>
      <c r="WBQ123" s="225"/>
      <c r="WBR123" s="225"/>
      <c r="WBS123" s="225"/>
      <c r="WBT123" s="225"/>
      <c r="WBU123" s="225"/>
      <c r="WBV123" s="225"/>
      <c r="WBW123" s="225"/>
      <c r="WBX123" s="225"/>
      <c r="WBY123" s="225"/>
      <c r="WBZ123" s="225"/>
      <c r="WCA123" s="225"/>
      <c r="WCB123" s="225"/>
      <c r="WCC123" s="225"/>
      <c r="WCD123" s="225"/>
      <c r="WCE123" s="225"/>
      <c r="WCF123" s="225"/>
      <c r="WCG123" s="225"/>
      <c r="WCH123" s="225"/>
      <c r="WCI123" s="225"/>
      <c r="WCJ123" s="225"/>
      <c r="WCK123" s="225"/>
      <c r="WCL123" s="225"/>
      <c r="WCM123" s="225"/>
      <c r="WCN123" s="225"/>
      <c r="WCO123" s="225"/>
      <c r="WCP123" s="225"/>
      <c r="WCQ123" s="225"/>
      <c r="WCR123" s="225"/>
      <c r="WCS123" s="225"/>
      <c r="WCT123" s="225"/>
      <c r="WCU123" s="225"/>
      <c r="WCV123" s="225"/>
      <c r="WCW123" s="225"/>
      <c r="WCX123" s="225"/>
      <c r="WCY123" s="225"/>
      <c r="WCZ123" s="225"/>
      <c r="WDA123" s="225"/>
      <c r="WDB123" s="225"/>
      <c r="WDC123" s="225"/>
      <c r="WDD123" s="225"/>
      <c r="WDE123" s="225"/>
      <c r="WDF123" s="225"/>
      <c r="WDG123" s="225"/>
      <c r="WDH123" s="225"/>
      <c r="WDI123" s="225"/>
      <c r="WDJ123" s="225"/>
      <c r="WDK123" s="225"/>
      <c r="WDL123" s="225"/>
      <c r="WDM123" s="225"/>
      <c r="WDN123" s="225"/>
      <c r="WDO123" s="225"/>
      <c r="WDP123" s="225"/>
      <c r="WDQ123" s="225"/>
      <c r="WDR123" s="225"/>
      <c r="WDS123" s="225"/>
      <c r="WDT123" s="225"/>
      <c r="WDU123" s="225"/>
      <c r="WDV123" s="225"/>
      <c r="WDW123" s="225"/>
      <c r="WDX123" s="225"/>
      <c r="WDY123" s="225"/>
      <c r="WDZ123" s="225"/>
      <c r="WEA123" s="225"/>
      <c r="WEB123" s="225"/>
      <c r="WEC123" s="225"/>
      <c r="WED123" s="225"/>
      <c r="WEE123" s="225"/>
      <c r="WEF123" s="225"/>
      <c r="WEG123" s="225"/>
      <c r="WEH123" s="225"/>
      <c r="WEI123" s="225"/>
      <c r="WEJ123" s="225"/>
      <c r="WEK123" s="225"/>
      <c r="WEL123" s="225"/>
      <c r="WEM123" s="225"/>
      <c r="WEN123" s="225"/>
      <c r="WEO123" s="225"/>
      <c r="WEP123" s="225"/>
      <c r="WEQ123" s="225"/>
      <c r="WER123" s="225"/>
      <c r="WES123" s="225"/>
      <c r="WET123" s="225"/>
      <c r="WEU123" s="225"/>
      <c r="WEV123" s="225"/>
      <c r="WEW123" s="225"/>
      <c r="WEX123" s="225"/>
      <c r="WEY123" s="225"/>
      <c r="WEZ123" s="225"/>
      <c r="WFA123" s="225"/>
      <c r="WFB123" s="225"/>
      <c r="WFC123" s="225"/>
      <c r="WFD123" s="225"/>
      <c r="WFE123" s="225"/>
      <c r="WFF123" s="225"/>
      <c r="WFG123" s="225"/>
      <c r="WFH123" s="225"/>
      <c r="WFI123" s="225"/>
      <c r="WFJ123" s="225"/>
      <c r="WFK123" s="225"/>
      <c r="WFL123" s="225"/>
      <c r="WFM123" s="225"/>
      <c r="WFN123" s="225"/>
      <c r="WFO123" s="225"/>
      <c r="WFP123" s="225"/>
      <c r="WFQ123" s="225"/>
      <c r="WFR123" s="225"/>
      <c r="WFS123" s="225"/>
      <c r="WFT123" s="225"/>
      <c r="WFU123" s="225"/>
      <c r="WFV123" s="225"/>
      <c r="WFW123" s="225"/>
      <c r="WFX123" s="225"/>
      <c r="WFY123" s="225"/>
      <c r="WFZ123" s="225"/>
      <c r="WGA123" s="225"/>
      <c r="WGB123" s="225"/>
      <c r="WGC123" s="225"/>
      <c r="WGD123" s="225"/>
      <c r="WGE123" s="225"/>
      <c r="WGF123" s="225"/>
      <c r="WGG123" s="225"/>
      <c r="WGH123" s="225"/>
      <c r="WGI123" s="225"/>
      <c r="WGJ123" s="225"/>
      <c r="WGK123" s="225"/>
      <c r="WGL123" s="225"/>
      <c r="WGM123" s="225"/>
      <c r="WGN123" s="225"/>
      <c r="WGO123" s="225"/>
      <c r="WGP123" s="225"/>
      <c r="WGQ123" s="225"/>
      <c r="WGR123" s="225"/>
      <c r="WGS123" s="225"/>
      <c r="WGT123" s="225"/>
      <c r="WGU123" s="225"/>
      <c r="WGV123" s="225"/>
      <c r="WGW123" s="225"/>
      <c r="WGX123" s="225"/>
      <c r="WGY123" s="225"/>
      <c r="WGZ123" s="225"/>
      <c r="WHA123" s="225"/>
      <c r="WHB123" s="225"/>
      <c r="WHC123" s="225"/>
      <c r="WHD123" s="225"/>
      <c r="WHE123" s="225"/>
      <c r="WHF123" s="225"/>
      <c r="WHG123" s="225"/>
      <c r="WHH123" s="225"/>
      <c r="WHI123" s="225"/>
      <c r="WHJ123" s="225"/>
      <c r="WHK123" s="225"/>
      <c r="WHL123" s="225"/>
      <c r="WHM123" s="225"/>
      <c r="WHN123" s="225"/>
      <c r="WHO123" s="225"/>
      <c r="WHP123" s="225"/>
      <c r="WHQ123" s="225"/>
      <c r="WHR123" s="225"/>
      <c r="WHS123" s="225"/>
      <c r="WHT123" s="225"/>
      <c r="WHU123" s="225"/>
      <c r="WHV123" s="225"/>
      <c r="WHW123" s="225"/>
      <c r="WHX123" s="225"/>
      <c r="WHY123" s="225"/>
      <c r="WHZ123" s="225"/>
      <c r="WIA123" s="225"/>
      <c r="WIB123" s="225"/>
      <c r="WIC123" s="225"/>
      <c r="WID123" s="225"/>
      <c r="WIE123" s="225"/>
      <c r="WIF123" s="225"/>
      <c r="WIG123" s="225"/>
      <c r="WIH123" s="225"/>
      <c r="WII123" s="225"/>
      <c r="WIJ123" s="225"/>
      <c r="WIK123" s="225"/>
      <c r="WIL123" s="225"/>
      <c r="WIM123" s="225"/>
      <c r="WIN123" s="225"/>
      <c r="WIO123" s="225"/>
      <c r="WIP123" s="225"/>
      <c r="WIQ123" s="225"/>
      <c r="WIR123" s="225"/>
      <c r="WIS123" s="225"/>
      <c r="WIT123" s="225"/>
      <c r="WIU123" s="225"/>
      <c r="WIV123" s="225"/>
      <c r="WIW123" s="225"/>
      <c r="WIX123" s="225"/>
      <c r="WIY123" s="225"/>
      <c r="WIZ123" s="225"/>
      <c r="WJA123" s="225"/>
      <c r="WJB123" s="225"/>
      <c r="WJC123" s="225"/>
      <c r="WJD123" s="225"/>
      <c r="WJE123" s="225"/>
      <c r="WJF123" s="225"/>
      <c r="WJG123" s="225"/>
      <c r="WJH123" s="225"/>
      <c r="WJI123" s="225"/>
      <c r="WJJ123" s="225"/>
      <c r="WJK123" s="225"/>
      <c r="WJL123" s="225"/>
      <c r="WJM123" s="225"/>
      <c r="WJN123" s="225"/>
      <c r="WJO123" s="225"/>
      <c r="WJP123" s="225"/>
      <c r="WJQ123" s="225"/>
      <c r="WJR123" s="225"/>
      <c r="WJS123" s="225"/>
      <c r="WJT123" s="225"/>
      <c r="WJU123" s="225"/>
      <c r="WJV123" s="225"/>
      <c r="WJW123" s="225"/>
      <c r="WJX123" s="225"/>
      <c r="WJY123" s="225"/>
      <c r="WJZ123" s="225"/>
      <c r="WKA123" s="225"/>
      <c r="WKB123" s="225"/>
      <c r="WKC123" s="225"/>
      <c r="WKD123" s="225"/>
      <c r="WKE123" s="225"/>
      <c r="WKF123" s="225"/>
      <c r="WKG123" s="225"/>
      <c r="WKH123" s="225"/>
      <c r="WKI123" s="225"/>
      <c r="WKJ123" s="225"/>
      <c r="WKK123" s="225"/>
      <c r="WKL123" s="225"/>
      <c r="WKM123" s="225"/>
      <c r="WKN123" s="225"/>
      <c r="WKO123" s="225"/>
      <c r="WKP123" s="225"/>
      <c r="WKQ123" s="225"/>
      <c r="WKR123" s="225"/>
      <c r="WKS123" s="225"/>
      <c r="WKT123" s="225"/>
      <c r="WKU123" s="225"/>
      <c r="WKV123" s="225"/>
      <c r="WKW123" s="225"/>
      <c r="WKX123" s="225"/>
      <c r="WKY123" s="225"/>
      <c r="WKZ123" s="225"/>
      <c r="WLA123" s="225"/>
      <c r="WLB123" s="225"/>
      <c r="WLC123" s="225"/>
      <c r="WLD123" s="225"/>
      <c r="WLE123" s="225"/>
      <c r="WLF123" s="225"/>
      <c r="WLG123" s="225"/>
      <c r="WLH123" s="225"/>
      <c r="WLI123" s="225"/>
      <c r="WLJ123" s="225"/>
      <c r="WLK123" s="225"/>
      <c r="WLL123" s="225"/>
      <c r="WLM123" s="225"/>
      <c r="WLN123" s="225"/>
      <c r="WLO123" s="225"/>
      <c r="WLP123" s="225"/>
      <c r="WLQ123" s="225"/>
      <c r="WLR123" s="225"/>
      <c r="WLS123" s="225"/>
      <c r="WLT123" s="225"/>
      <c r="WLU123" s="225"/>
      <c r="WLV123" s="225"/>
      <c r="WLW123" s="225"/>
      <c r="WLX123" s="225"/>
      <c r="WLY123" s="225"/>
      <c r="WLZ123" s="225"/>
      <c r="WMA123" s="225"/>
      <c r="WMB123" s="225"/>
      <c r="WMC123" s="225"/>
      <c r="WMD123" s="225"/>
      <c r="WME123" s="225"/>
      <c r="WMF123" s="225"/>
      <c r="WMG123" s="225"/>
      <c r="WMH123" s="225"/>
      <c r="WMI123" s="225"/>
      <c r="WMJ123" s="225"/>
      <c r="WMK123" s="225"/>
      <c r="WML123" s="225"/>
      <c r="WMM123" s="225"/>
      <c r="WMN123" s="225"/>
      <c r="WMO123" s="225"/>
      <c r="WMP123" s="225"/>
      <c r="WMQ123" s="225"/>
      <c r="WMR123" s="225"/>
      <c r="WMS123" s="225"/>
      <c r="WMT123" s="225"/>
      <c r="WMU123" s="225"/>
      <c r="WMV123" s="225"/>
      <c r="WMW123" s="225"/>
      <c r="WMX123" s="225"/>
      <c r="WMY123" s="225"/>
      <c r="WMZ123" s="225"/>
      <c r="WNA123" s="225"/>
      <c r="WNB123" s="225"/>
      <c r="WNC123" s="225"/>
      <c r="WND123" s="225"/>
      <c r="WNE123" s="225"/>
      <c r="WNF123" s="225"/>
      <c r="WNG123" s="225"/>
      <c r="WNH123" s="225"/>
      <c r="WNI123" s="225"/>
      <c r="WNJ123" s="225"/>
      <c r="WNK123" s="225"/>
      <c r="WNL123" s="225"/>
      <c r="WNM123" s="225"/>
      <c r="WNN123" s="225"/>
      <c r="WNO123" s="225"/>
      <c r="WNP123" s="225"/>
      <c r="WNQ123" s="225"/>
      <c r="WNR123" s="225"/>
      <c r="WNS123" s="225"/>
      <c r="WNT123" s="225"/>
      <c r="WNU123" s="225"/>
      <c r="WNV123" s="225"/>
      <c r="WNW123" s="225"/>
      <c r="WNX123" s="225"/>
      <c r="WNY123" s="225"/>
      <c r="WNZ123" s="225"/>
      <c r="WOA123" s="225"/>
      <c r="WOB123" s="225"/>
      <c r="WOC123" s="225"/>
      <c r="WOD123" s="225"/>
      <c r="WOE123" s="225"/>
      <c r="WOF123" s="225"/>
      <c r="WOG123" s="225"/>
      <c r="WOH123" s="225"/>
      <c r="WOI123" s="225"/>
      <c r="WOJ123" s="225"/>
      <c r="WOK123" s="225"/>
      <c r="WOL123" s="225"/>
      <c r="WOM123" s="225"/>
      <c r="WON123" s="225"/>
      <c r="WOO123" s="225"/>
      <c r="WOP123" s="225"/>
      <c r="WOQ123" s="225"/>
      <c r="WOR123" s="225"/>
      <c r="WOS123" s="225"/>
      <c r="WOT123" s="225"/>
      <c r="WOU123" s="225"/>
      <c r="WOV123" s="225"/>
      <c r="WOW123" s="225"/>
      <c r="WOX123" s="225"/>
      <c r="WOY123" s="225"/>
      <c r="WOZ123" s="225"/>
      <c r="WPA123" s="225"/>
      <c r="WPB123" s="225"/>
      <c r="WPC123" s="225"/>
      <c r="WPD123" s="225"/>
      <c r="WPE123" s="225"/>
      <c r="WPF123" s="225"/>
      <c r="WPG123" s="225"/>
      <c r="WPH123" s="225"/>
      <c r="WPI123" s="225"/>
      <c r="WPJ123" s="225"/>
      <c r="WPK123" s="225"/>
      <c r="WPL123" s="225"/>
      <c r="WPM123" s="225"/>
      <c r="WPN123" s="225"/>
      <c r="WPO123" s="225"/>
      <c r="WPP123" s="225"/>
      <c r="WPQ123" s="225"/>
      <c r="WPR123" s="225"/>
      <c r="WPS123" s="225"/>
      <c r="WPT123" s="225"/>
      <c r="WPU123" s="225"/>
      <c r="WPV123" s="225"/>
      <c r="WPW123" s="225"/>
      <c r="WPX123" s="225"/>
      <c r="WPY123" s="225"/>
      <c r="WPZ123" s="225"/>
      <c r="WQA123" s="225"/>
      <c r="WQB123" s="225"/>
      <c r="WQC123" s="225"/>
      <c r="WQD123" s="225"/>
      <c r="WQE123" s="225"/>
      <c r="WQF123" s="225"/>
      <c r="WQG123" s="225"/>
      <c r="WQH123" s="225"/>
      <c r="WQI123" s="225"/>
      <c r="WQJ123" s="225"/>
      <c r="WQK123" s="225"/>
      <c r="WQL123" s="225"/>
      <c r="WQM123" s="225"/>
      <c r="WQN123" s="225"/>
      <c r="WQO123" s="225"/>
      <c r="WQP123" s="225"/>
      <c r="WQQ123" s="225"/>
      <c r="WQR123" s="225"/>
      <c r="WQS123" s="225"/>
      <c r="WQT123" s="225"/>
      <c r="WQU123" s="225"/>
      <c r="WQV123" s="225"/>
      <c r="WQW123" s="225"/>
      <c r="WQX123" s="225"/>
      <c r="WQY123" s="225"/>
      <c r="WQZ123" s="225"/>
      <c r="WRA123" s="225"/>
      <c r="WRB123" s="225"/>
      <c r="WRC123" s="225"/>
      <c r="WRD123" s="225"/>
      <c r="WRE123" s="225"/>
      <c r="WRF123" s="225"/>
      <c r="WRG123" s="225"/>
      <c r="WRH123" s="225"/>
      <c r="WRI123" s="225"/>
      <c r="WRJ123" s="225"/>
      <c r="WRK123" s="225"/>
      <c r="WRL123" s="225"/>
      <c r="WRM123" s="225"/>
      <c r="WRN123" s="225"/>
      <c r="WRO123" s="225"/>
      <c r="WRP123" s="225"/>
      <c r="WRQ123" s="225"/>
      <c r="WRR123" s="225"/>
      <c r="WRS123" s="225"/>
      <c r="WRT123" s="225"/>
      <c r="WRU123" s="225"/>
      <c r="WRV123" s="225"/>
      <c r="WRW123" s="225"/>
      <c r="WRX123" s="225"/>
      <c r="WRY123" s="225"/>
      <c r="WRZ123" s="225"/>
      <c r="WSA123" s="225"/>
      <c r="WSB123" s="225"/>
      <c r="WSC123" s="225"/>
      <c r="WSD123" s="225"/>
      <c r="WSE123" s="225"/>
      <c r="WSF123" s="225"/>
      <c r="WSG123" s="225"/>
      <c r="WSH123" s="225"/>
      <c r="WSI123" s="225"/>
      <c r="WSJ123" s="225"/>
      <c r="WSK123" s="225"/>
      <c r="WSL123" s="225"/>
      <c r="WSM123" s="225"/>
      <c r="WSN123" s="225"/>
      <c r="WSO123" s="225"/>
      <c r="WSP123" s="225"/>
      <c r="WSQ123" s="225"/>
      <c r="WSR123" s="225"/>
      <c r="WSS123" s="225"/>
      <c r="WST123" s="225"/>
      <c r="WSU123" s="225"/>
      <c r="WSV123" s="225"/>
      <c r="WSW123" s="225"/>
      <c r="WSX123" s="225"/>
      <c r="WSY123" s="225"/>
      <c r="WSZ123" s="225"/>
      <c r="WTA123" s="225"/>
      <c r="WTB123" s="225"/>
      <c r="WTC123" s="225"/>
      <c r="WTD123" s="225"/>
      <c r="WTE123" s="225"/>
      <c r="WTF123" s="225"/>
      <c r="WTG123" s="225"/>
      <c r="WTH123" s="225"/>
      <c r="WTI123" s="225"/>
      <c r="WTJ123" s="225"/>
      <c r="WTK123" s="225"/>
      <c r="WTL123" s="225"/>
      <c r="WTM123" s="225"/>
      <c r="WTN123" s="225"/>
      <c r="WTO123" s="225"/>
      <c r="WTP123" s="225"/>
      <c r="WTQ123" s="225"/>
      <c r="WTR123" s="225"/>
      <c r="WTS123" s="225"/>
      <c r="WTT123" s="225"/>
      <c r="WTU123" s="225"/>
      <c r="WTV123" s="225"/>
      <c r="WTW123" s="225"/>
      <c r="WTX123" s="225"/>
      <c r="WTY123" s="225"/>
      <c r="WTZ123" s="225"/>
      <c r="WUA123" s="225"/>
      <c r="WUB123" s="225"/>
      <c r="WUC123" s="225"/>
      <c r="WUD123" s="225"/>
      <c r="WUE123" s="225"/>
      <c r="WUF123" s="225"/>
      <c r="WUG123" s="225"/>
      <c r="WUH123" s="225"/>
      <c r="WUI123" s="225"/>
      <c r="WUJ123" s="225"/>
      <c r="WUK123" s="225"/>
      <c r="WUL123" s="225"/>
      <c r="WUM123" s="225"/>
      <c r="WUN123" s="225"/>
      <c r="WUO123" s="225"/>
      <c r="WUP123" s="225"/>
      <c r="WUQ123" s="225"/>
      <c r="WUR123" s="225"/>
      <c r="WUS123" s="225"/>
      <c r="WUT123" s="225"/>
      <c r="WUU123" s="225"/>
      <c r="WUV123" s="225"/>
      <c r="WUW123" s="225"/>
      <c r="WUX123" s="225"/>
      <c r="WUY123" s="225"/>
      <c r="WUZ123" s="225"/>
      <c r="WVA123" s="225"/>
      <c r="WVB123" s="225"/>
      <c r="WVC123" s="225"/>
      <c r="WVD123" s="225"/>
      <c r="WVE123" s="225"/>
      <c r="WVF123" s="225"/>
      <c r="WVG123" s="225"/>
      <c r="WVH123" s="225"/>
      <c r="WVI123" s="225"/>
      <c r="WVJ123" s="225"/>
      <c r="WVK123" s="225"/>
      <c r="WVL123" s="225"/>
      <c r="WVM123" s="225"/>
      <c r="WVN123" s="225"/>
      <c r="WVO123" s="225"/>
      <c r="WVP123" s="225"/>
      <c r="WVQ123" s="225"/>
      <c r="WVR123" s="225"/>
      <c r="WVS123" s="225"/>
      <c r="WVT123" s="225"/>
      <c r="WVU123" s="225"/>
      <c r="WVV123" s="225"/>
      <c r="WVW123" s="225"/>
    </row>
    <row r="124" spans="1:16143" s="230" customFormat="1" x14ac:dyDescent="0.2">
      <c r="A124" s="225"/>
      <c r="B124" s="575" t="s">
        <v>482</v>
      </c>
      <c r="C124" s="577" t="str">
        <f t="shared" ref="C124:N124" si="34">+IF(C12&lt;&gt;0,"Ok","")</f>
        <v>Ok</v>
      </c>
      <c r="D124" s="577" t="str">
        <f t="shared" si="34"/>
        <v>Ok</v>
      </c>
      <c r="E124" s="577" t="str">
        <f t="shared" si="34"/>
        <v>Ok</v>
      </c>
      <c r="F124" s="577" t="str">
        <f t="shared" si="34"/>
        <v>Ok</v>
      </c>
      <c r="G124" s="577" t="str">
        <f t="shared" si="34"/>
        <v>Ok</v>
      </c>
      <c r="H124" s="577" t="str">
        <f t="shared" si="34"/>
        <v>Ok</v>
      </c>
      <c r="I124" s="577" t="str">
        <f t="shared" si="34"/>
        <v>Ok</v>
      </c>
      <c r="J124" s="577" t="str">
        <f t="shared" si="34"/>
        <v>Ok</v>
      </c>
      <c r="K124" s="577" t="str">
        <f t="shared" si="34"/>
        <v>Ok</v>
      </c>
      <c r="L124" s="577" t="str">
        <f t="shared" si="34"/>
        <v>Ok</v>
      </c>
      <c r="M124" s="577" t="str">
        <f t="shared" si="34"/>
        <v>Ok</v>
      </c>
      <c r="N124" s="577" t="str">
        <f t="shared" si="34"/>
        <v>Ok</v>
      </c>
      <c r="Q124" s="284"/>
      <c r="R124" s="284"/>
      <c r="S124" s="225"/>
      <c r="T124" s="225"/>
      <c r="U124" s="225"/>
      <c r="V124" s="225"/>
      <c r="W124" s="225"/>
      <c r="X124" s="225"/>
      <c r="Y124" s="225"/>
      <c r="Z124" s="225"/>
      <c r="AA124" s="225"/>
      <c r="AB124" s="225"/>
      <c r="AC124" s="225"/>
      <c r="AD124" s="225"/>
      <c r="AE124" s="225"/>
      <c r="AF124" s="225"/>
      <c r="AG124" s="225"/>
      <c r="AH124" s="225"/>
      <c r="AI124" s="225"/>
      <c r="AJ124" s="225"/>
      <c r="AK124" s="225"/>
      <c r="AL124" s="225"/>
      <c r="AM124" s="225"/>
      <c r="AN124" s="225"/>
      <c r="AO124" s="225"/>
      <c r="AP124" s="225"/>
      <c r="AQ124" s="225"/>
      <c r="AR124" s="225"/>
      <c r="AS124" s="225"/>
      <c r="AT124" s="225"/>
      <c r="AU124" s="225"/>
      <c r="AV124" s="225"/>
      <c r="AW124" s="225"/>
      <c r="AX124" s="225"/>
      <c r="AY124" s="225"/>
      <c r="AZ124" s="225"/>
      <c r="BA124" s="225"/>
      <c r="BB124" s="225"/>
      <c r="BC124" s="225"/>
      <c r="BD124" s="225"/>
      <c r="BE124" s="225"/>
      <c r="BF124" s="225"/>
      <c r="BG124" s="225"/>
      <c r="BH124" s="225"/>
      <c r="BI124" s="225"/>
      <c r="BJ124" s="225"/>
      <c r="BK124" s="225"/>
      <c r="BL124" s="225"/>
      <c r="BM124" s="225"/>
      <c r="BN124" s="225"/>
      <c r="BO124" s="225"/>
      <c r="BP124" s="225"/>
      <c r="BQ124" s="225"/>
      <c r="BR124" s="225"/>
      <c r="BS124" s="225"/>
      <c r="BT124" s="225"/>
      <c r="BU124" s="225"/>
      <c r="BV124" s="225"/>
      <c r="BW124" s="225"/>
      <c r="BX124" s="225"/>
      <c r="BY124" s="225"/>
      <c r="BZ124" s="225"/>
      <c r="CA124" s="225"/>
      <c r="CB124" s="225"/>
      <c r="CC124" s="225"/>
      <c r="CD124" s="225"/>
      <c r="CE124" s="225"/>
      <c r="CF124" s="225"/>
      <c r="CG124" s="225"/>
      <c r="CH124" s="225"/>
      <c r="CI124" s="225"/>
      <c r="CJ124" s="225"/>
      <c r="CK124" s="225"/>
      <c r="CL124" s="225"/>
      <c r="CM124" s="225"/>
      <c r="CN124" s="225"/>
      <c r="CO124" s="225"/>
      <c r="CP124" s="225"/>
      <c r="CQ124" s="225"/>
      <c r="CR124" s="225"/>
      <c r="CS124" s="225"/>
      <c r="CT124" s="225"/>
      <c r="CU124" s="225"/>
      <c r="CV124" s="225"/>
      <c r="CW124" s="225"/>
      <c r="CX124" s="225"/>
      <c r="CY124" s="225"/>
      <c r="CZ124" s="225"/>
      <c r="DA124" s="225"/>
      <c r="DB124" s="225"/>
      <c r="DC124" s="225"/>
      <c r="DD124" s="225"/>
      <c r="DE124" s="225"/>
      <c r="DF124" s="225"/>
      <c r="DG124" s="225"/>
      <c r="DH124" s="225"/>
      <c r="DI124" s="225"/>
      <c r="DJ124" s="225"/>
      <c r="DK124" s="225"/>
      <c r="DL124" s="225"/>
      <c r="DM124" s="225"/>
      <c r="DN124" s="225"/>
      <c r="DO124" s="225"/>
      <c r="DP124" s="225"/>
      <c r="DQ124" s="225"/>
      <c r="DR124" s="225"/>
      <c r="DS124" s="225"/>
      <c r="DT124" s="225"/>
      <c r="DU124" s="225"/>
      <c r="DV124" s="225"/>
      <c r="DW124" s="225"/>
      <c r="DX124" s="225"/>
      <c r="DY124" s="225"/>
      <c r="DZ124" s="225"/>
      <c r="EA124" s="225"/>
      <c r="EB124" s="225"/>
      <c r="EC124" s="225"/>
      <c r="ED124" s="225"/>
      <c r="EE124" s="225"/>
      <c r="EF124" s="225"/>
      <c r="EG124" s="225"/>
      <c r="EH124" s="225"/>
      <c r="EI124" s="225"/>
      <c r="EJ124" s="225"/>
      <c r="EK124" s="225"/>
      <c r="EL124" s="225"/>
      <c r="EM124" s="225"/>
      <c r="EN124" s="225"/>
      <c r="EO124" s="225"/>
      <c r="EP124" s="225"/>
      <c r="EQ124" s="225"/>
      <c r="ER124" s="225"/>
      <c r="ES124" s="225"/>
      <c r="ET124" s="225"/>
      <c r="EU124" s="225"/>
      <c r="EV124" s="225"/>
      <c r="EW124" s="225"/>
      <c r="EX124" s="225"/>
      <c r="EY124" s="225"/>
      <c r="EZ124" s="225"/>
      <c r="FA124" s="225"/>
      <c r="FB124" s="225"/>
      <c r="FC124" s="225"/>
      <c r="FD124" s="225"/>
      <c r="FE124" s="225"/>
      <c r="FF124" s="225"/>
      <c r="FG124" s="225"/>
      <c r="FH124" s="225"/>
      <c r="FI124" s="225"/>
      <c r="FJ124" s="225"/>
      <c r="FK124" s="225"/>
      <c r="FL124" s="225"/>
      <c r="FM124" s="225"/>
      <c r="FN124" s="225"/>
      <c r="FO124" s="225"/>
      <c r="FP124" s="225"/>
      <c r="FQ124" s="225"/>
      <c r="FR124" s="225"/>
      <c r="FS124" s="225"/>
      <c r="FT124" s="225"/>
      <c r="FU124" s="225"/>
      <c r="FV124" s="225"/>
      <c r="FW124" s="225"/>
      <c r="FX124" s="225"/>
      <c r="FY124" s="225"/>
      <c r="FZ124" s="225"/>
      <c r="GA124" s="225"/>
      <c r="GB124" s="225"/>
      <c r="GC124" s="225"/>
      <c r="GD124" s="225"/>
      <c r="GE124" s="225"/>
      <c r="GF124" s="225"/>
      <c r="GG124" s="225"/>
      <c r="GH124" s="225"/>
      <c r="GI124" s="225"/>
      <c r="GJ124" s="225"/>
      <c r="GK124" s="225"/>
      <c r="GL124" s="225"/>
      <c r="GM124" s="225"/>
      <c r="GN124" s="225"/>
      <c r="GO124" s="225"/>
      <c r="GP124" s="225"/>
      <c r="GQ124" s="225"/>
      <c r="GR124" s="225"/>
      <c r="GS124" s="225"/>
      <c r="GT124" s="225"/>
      <c r="GU124" s="225"/>
      <c r="GV124" s="225"/>
      <c r="GW124" s="225"/>
      <c r="GX124" s="225"/>
      <c r="GY124" s="225"/>
      <c r="GZ124" s="225"/>
      <c r="HA124" s="225"/>
      <c r="HB124" s="225"/>
      <c r="HC124" s="225"/>
      <c r="HD124" s="225"/>
      <c r="HE124" s="225"/>
      <c r="HF124" s="225"/>
      <c r="HG124" s="225"/>
      <c r="HH124" s="225"/>
      <c r="HI124" s="225"/>
      <c r="HJ124" s="225"/>
      <c r="HK124" s="225"/>
      <c r="HL124" s="225"/>
      <c r="HM124" s="225"/>
      <c r="HN124" s="225"/>
      <c r="HO124" s="225"/>
      <c r="HP124" s="225"/>
      <c r="HQ124" s="225"/>
      <c r="HR124" s="225"/>
      <c r="HS124" s="225"/>
      <c r="HT124" s="225"/>
      <c r="HU124" s="225"/>
      <c r="HV124" s="225"/>
      <c r="HW124" s="225"/>
      <c r="HX124" s="225"/>
      <c r="HY124" s="225"/>
      <c r="HZ124" s="225"/>
      <c r="IA124" s="225"/>
      <c r="IB124" s="225"/>
      <c r="IC124" s="225"/>
      <c r="ID124" s="225"/>
      <c r="IE124" s="225"/>
      <c r="IF124" s="225"/>
      <c r="IG124" s="225"/>
      <c r="IH124" s="225"/>
      <c r="II124" s="225"/>
      <c r="IJ124" s="225"/>
      <c r="IK124" s="225"/>
      <c r="IL124" s="225"/>
      <c r="IM124" s="225"/>
      <c r="IN124" s="225"/>
      <c r="IO124" s="225"/>
      <c r="IP124" s="225"/>
      <c r="IQ124" s="225"/>
      <c r="IR124" s="225"/>
      <c r="IS124" s="225"/>
      <c r="IT124" s="225"/>
      <c r="IU124" s="225"/>
      <c r="IV124" s="225"/>
      <c r="IW124" s="225"/>
      <c r="IX124" s="225"/>
      <c r="IY124" s="225"/>
      <c r="IZ124" s="225"/>
      <c r="JA124" s="225"/>
      <c r="JB124" s="225"/>
      <c r="JC124" s="225"/>
      <c r="JD124" s="225"/>
      <c r="JE124" s="225"/>
      <c r="JF124" s="225"/>
      <c r="JG124" s="225"/>
      <c r="JH124" s="225"/>
      <c r="JI124" s="225"/>
      <c r="JJ124" s="225"/>
      <c r="JK124" s="225"/>
      <c r="JL124" s="225"/>
      <c r="JM124" s="225"/>
      <c r="JN124" s="225"/>
      <c r="JO124" s="225"/>
      <c r="JP124" s="225"/>
      <c r="JQ124" s="225"/>
      <c r="JR124" s="225"/>
      <c r="JS124" s="225"/>
      <c r="JT124" s="225"/>
      <c r="JU124" s="225"/>
      <c r="JV124" s="225"/>
      <c r="JW124" s="225"/>
      <c r="JX124" s="225"/>
      <c r="JY124" s="225"/>
      <c r="JZ124" s="225"/>
      <c r="KA124" s="225"/>
      <c r="KB124" s="225"/>
      <c r="KC124" s="225"/>
      <c r="KD124" s="225"/>
      <c r="KE124" s="225"/>
      <c r="KF124" s="225"/>
      <c r="KG124" s="225"/>
      <c r="KH124" s="225"/>
      <c r="KI124" s="225"/>
      <c r="KJ124" s="225"/>
      <c r="KK124" s="225"/>
      <c r="KL124" s="225"/>
      <c r="KM124" s="225"/>
      <c r="KN124" s="225"/>
      <c r="KO124" s="225"/>
      <c r="KP124" s="225"/>
      <c r="KQ124" s="225"/>
      <c r="KR124" s="225"/>
      <c r="KS124" s="225"/>
      <c r="KT124" s="225"/>
      <c r="KU124" s="225"/>
      <c r="KV124" s="225"/>
      <c r="KW124" s="225"/>
      <c r="KX124" s="225"/>
      <c r="KY124" s="225"/>
      <c r="KZ124" s="225"/>
      <c r="LA124" s="225"/>
      <c r="LB124" s="225"/>
      <c r="LC124" s="225"/>
      <c r="LD124" s="225"/>
      <c r="LE124" s="225"/>
      <c r="LF124" s="225"/>
      <c r="LG124" s="225"/>
      <c r="LH124" s="225"/>
      <c r="LI124" s="225"/>
      <c r="LJ124" s="225"/>
      <c r="LK124" s="225"/>
      <c r="LL124" s="225"/>
      <c r="LM124" s="225"/>
      <c r="LN124" s="225"/>
      <c r="LO124" s="225"/>
      <c r="LP124" s="225"/>
      <c r="LQ124" s="225"/>
      <c r="LR124" s="225"/>
      <c r="LS124" s="225"/>
      <c r="LT124" s="225"/>
      <c r="LU124" s="225"/>
      <c r="LV124" s="225"/>
      <c r="LW124" s="225"/>
      <c r="LX124" s="225"/>
      <c r="LY124" s="225"/>
      <c r="LZ124" s="225"/>
      <c r="MA124" s="225"/>
      <c r="MB124" s="225"/>
      <c r="MC124" s="225"/>
      <c r="MD124" s="225"/>
      <c r="ME124" s="225"/>
      <c r="MF124" s="225"/>
      <c r="MG124" s="225"/>
      <c r="MH124" s="225"/>
      <c r="MI124" s="225"/>
      <c r="MJ124" s="225"/>
      <c r="MK124" s="225"/>
      <c r="ML124" s="225"/>
      <c r="MM124" s="225"/>
      <c r="MN124" s="225"/>
      <c r="MO124" s="225"/>
      <c r="MP124" s="225"/>
      <c r="MQ124" s="225"/>
      <c r="MR124" s="225"/>
      <c r="MS124" s="225"/>
      <c r="MT124" s="225"/>
      <c r="MU124" s="225"/>
      <c r="MV124" s="225"/>
      <c r="MW124" s="225"/>
      <c r="MX124" s="225"/>
      <c r="MY124" s="225"/>
      <c r="MZ124" s="225"/>
      <c r="NA124" s="225"/>
      <c r="NB124" s="225"/>
      <c r="NC124" s="225"/>
      <c r="ND124" s="225"/>
      <c r="NE124" s="225"/>
      <c r="NF124" s="225"/>
      <c r="NG124" s="225"/>
      <c r="NH124" s="225"/>
      <c r="NI124" s="225"/>
      <c r="NJ124" s="225"/>
      <c r="NK124" s="225"/>
      <c r="NL124" s="225"/>
      <c r="NM124" s="225"/>
      <c r="NN124" s="225"/>
      <c r="NO124" s="225"/>
      <c r="NP124" s="225"/>
      <c r="NQ124" s="225"/>
      <c r="NR124" s="225"/>
      <c r="NS124" s="225"/>
      <c r="NT124" s="225"/>
      <c r="NU124" s="225"/>
      <c r="NV124" s="225"/>
      <c r="NW124" s="225"/>
      <c r="NX124" s="225"/>
      <c r="NY124" s="225"/>
      <c r="NZ124" s="225"/>
      <c r="OA124" s="225"/>
      <c r="OB124" s="225"/>
      <c r="OC124" s="225"/>
      <c r="OD124" s="225"/>
      <c r="OE124" s="225"/>
      <c r="OF124" s="225"/>
      <c r="OG124" s="225"/>
      <c r="OH124" s="225"/>
      <c r="OI124" s="225"/>
      <c r="OJ124" s="225"/>
      <c r="OK124" s="225"/>
      <c r="OL124" s="225"/>
      <c r="OM124" s="225"/>
      <c r="ON124" s="225"/>
      <c r="OO124" s="225"/>
      <c r="OP124" s="225"/>
      <c r="OQ124" s="225"/>
      <c r="OR124" s="225"/>
      <c r="OS124" s="225"/>
      <c r="OT124" s="225"/>
      <c r="OU124" s="225"/>
      <c r="OV124" s="225"/>
      <c r="OW124" s="225"/>
      <c r="OX124" s="225"/>
      <c r="OY124" s="225"/>
      <c r="OZ124" s="225"/>
      <c r="PA124" s="225"/>
      <c r="PB124" s="225"/>
      <c r="PC124" s="225"/>
      <c r="PD124" s="225"/>
      <c r="PE124" s="225"/>
      <c r="PF124" s="225"/>
      <c r="PG124" s="225"/>
      <c r="PH124" s="225"/>
      <c r="PI124" s="225"/>
      <c r="PJ124" s="225"/>
      <c r="PK124" s="225"/>
      <c r="PL124" s="225"/>
      <c r="PM124" s="225"/>
      <c r="PN124" s="225"/>
      <c r="PO124" s="225"/>
      <c r="PP124" s="225"/>
      <c r="PQ124" s="225"/>
      <c r="PR124" s="225"/>
      <c r="PS124" s="225"/>
      <c r="PT124" s="225"/>
      <c r="PU124" s="225"/>
      <c r="PV124" s="225"/>
      <c r="PW124" s="225"/>
      <c r="PX124" s="225"/>
      <c r="PY124" s="225"/>
      <c r="PZ124" s="225"/>
      <c r="QA124" s="225"/>
      <c r="QB124" s="225"/>
      <c r="QC124" s="225"/>
      <c r="QD124" s="225"/>
      <c r="QE124" s="225"/>
      <c r="QF124" s="225"/>
      <c r="QG124" s="225"/>
      <c r="QH124" s="225"/>
      <c r="QI124" s="225"/>
      <c r="QJ124" s="225"/>
      <c r="QK124" s="225"/>
      <c r="QL124" s="225"/>
      <c r="QM124" s="225"/>
      <c r="QN124" s="225"/>
      <c r="QO124" s="225"/>
      <c r="QP124" s="225"/>
      <c r="QQ124" s="225"/>
      <c r="QR124" s="225"/>
      <c r="QS124" s="225"/>
      <c r="QT124" s="225"/>
      <c r="QU124" s="225"/>
      <c r="QV124" s="225"/>
      <c r="QW124" s="225"/>
      <c r="QX124" s="225"/>
      <c r="QY124" s="225"/>
      <c r="QZ124" s="225"/>
      <c r="RA124" s="225"/>
      <c r="RB124" s="225"/>
      <c r="RC124" s="225"/>
      <c r="RD124" s="225"/>
      <c r="RE124" s="225"/>
      <c r="RF124" s="225"/>
      <c r="RG124" s="225"/>
      <c r="RH124" s="225"/>
      <c r="RI124" s="225"/>
      <c r="RJ124" s="225"/>
      <c r="RK124" s="225"/>
      <c r="RL124" s="225"/>
      <c r="RM124" s="225"/>
      <c r="RN124" s="225"/>
      <c r="RO124" s="225"/>
      <c r="RP124" s="225"/>
      <c r="RQ124" s="225"/>
      <c r="RR124" s="225"/>
      <c r="RS124" s="225"/>
      <c r="RT124" s="225"/>
      <c r="RU124" s="225"/>
      <c r="RV124" s="225"/>
      <c r="RW124" s="225"/>
      <c r="RX124" s="225"/>
      <c r="RY124" s="225"/>
      <c r="RZ124" s="225"/>
      <c r="SA124" s="225"/>
      <c r="SB124" s="225"/>
      <c r="SC124" s="225"/>
      <c r="SD124" s="225"/>
      <c r="SE124" s="225"/>
      <c r="SF124" s="225"/>
      <c r="SG124" s="225"/>
      <c r="SH124" s="225"/>
      <c r="SI124" s="225"/>
      <c r="SJ124" s="225"/>
      <c r="SK124" s="225"/>
      <c r="SL124" s="225"/>
      <c r="SM124" s="225"/>
      <c r="SN124" s="225"/>
      <c r="SO124" s="225"/>
      <c r="SP124" s="225"/>
      <c r="SQ124" s="225"/>
      <c r="SR124" s="225"/>
      <c r="SS124" s="225"/>
      <c r="ST124" s="225"/>
      <c r="SU124" s="225"/>
      <c r="SV124" s="225"/>
      <c r="SW124" s="225"/>
      <c r="SX124" s="225"/>
      <c r="SY124" s="225"/>
      <c r="SZ124" s="225"/>
      <c r="TA124" s="225"/>
      <c r="TB124" s="225"/>
      <c r="TC124" s="225"/>
      <c r="TD124" s="225"/>
      <c r="TE124" s="225"/>
      <c r="TF124" s="225"/>
      <c r="TG124" s="225"/>
      <c r="TH124" s="225"/>
      <c r="TI124" s="225"/>
      <c r="TJ124" s="225"/>
      <c r="TK124" s="225"/>
      <c r="TL124" s="225"/>
      <c r="TM124" s="225"/>
      <c r="TN124" s="225"/>
      <c r="TO124" s="225"/>
      <c r="TP124" s="225"/>
      <c r="TQ124" s="225"/>
      <c r="TR124" s="225"/>
      <c r="TS124" s="225"/>
      <c r="TT124" s="225"/>
      <c r="TU124" s="225"/>
      <c r="TV124" s="225"/>
      <c r="TW124" s="225"/>
      <c r="TX124" s="225"/>
      <c r="TY124" s="225"/>
      <c r="TZ124" s="225"/>
      <c r="UA124" s="225"/>
      <c r="UB124" s="225"/>
      <c r="UC124" s="225"/>
      <c r="UD124" s="225"/>
      <c r="UE124" s="225"/>
      <c r="UF124" s="225"/>
      <c r="UG124" s="225"/>
      <c r="UH124" s="225"/>
      <c r="UI124" s="225"/>
      <c r="UJ124" s="225"/>
      <c r="UK124" s="225"/>
      <c r="UL124" s="225"/>
      <c r="UM124" s="225"/>
      <c r="UN124" s="225"/>
      <c r="UO124" s="225"/>
      <c r="UP124" s="225"/>
      <c r="UQ124" s="225"/>
      <c r="UR124" s="225"/>
      <c r="US124" s="225"/>
      <c r="UT124" s="225"/>
      <c r="UU124" s="225"/>
      <c r="UV124" s="225"/>
      <c r="UW124" s="225"/>
      <c r="UX124" s="225"/>
      <c r="UY124" s="225"/>
      <c r="UZ124" s="225"/>
      <c r="VA124" s="225"/>
      <c r="VB124" s="225"/>
      <c r="VC124" s="225"/>
      <c r="VD124" s="225"/>
      <c r="VE124" s="225"/>
      <c r="VF124" s="225"/>
      <c r="VG124" s="225"/>
      <c r="VH124" s="225"/>
      <c r="VI124" s="225"/>
      <c r="VJ124" s="225"/>
      <c r="VK124" s="225"/>
      <c r="VL124" s="225"/>
      <c r="VM124" s="225"/>
      <c r="VN124" s="225"/>
      <c r="VO124" s="225"/>
      <c r="VP124" s="225"/>
      <c r="VQ124" s="225"/>
      <c r="VR124" s="225"/>
      <c r="VS124" s="225"/>
      <c r="VT124" s="225"/>
      <c r="VU124" s="225"/>
      <c r="VV124" s="225"/>
      <c r="VW124" s="225"/>
      <c r="VX124" s="225"/>
      <c r="VY124" s="225"/>
      <c r="VZ124" s="225"/>
      <c r="WA124" s="225"/>
      <c r="WB124" s="225"/>
      <c r="WC124" s="225"/>
      <c r="WD124" s="225"/>
      <c r="WE124" s="225"/>
      <c r="WF124" s="225"/>
      <c r="WG124" s="225"/>
      <c r="WH124" s="225"/>
      <c r="WI124" s="225"/>
      <c r="WJ124" s="225"/>
      <c r="WK124" s="225"/>
      <c r="WL124" s="225"/>
      <c r="WM124" s="225"/>
      <c r="WN124" s="225"/>
      <c r="WO124" s="225"/>
      <c r="WP124" s="225"/>
      <c r="WQ124" s="225"/>
      <c r="WR124" s="225"/>
      <c r="WS124" s="225"/>
      <c r="WT124" s="225"/>
      <c r="WU124" s="225"/>
      <c r="WV124" s="225"/>
      <c r="WW124" s="225"/>
      <c r="WX124" s="225"/>
      <c r="WY124" s="225"/>
      <c r="WZ124" s="225"/>
      <c r="XA124" s="225"/>
      <c r="XB124" s="225"/>
      <c r="XC124" s="225"/>
      <c r="XD124" s="225"/>
      <c r="XE124" s="225"/>
      <c r="XF124" s="225"/>
      <c r="XG124" s="225"/>
      <c r="XH124" s="225"/>
      <c r="XI124" s="225"/>
      <c r="XJ124" s="225"/>
      <c r="XK124" s="225"/>
      <c r="XL124" s="225"/>
      <c r="XM124" s="225"/>
      <c r="XN124" s="225"/>
      <c r="XO124" s="225"/>
      <c r="XP124" s="225"/>
      <c r="XQ124" s="225"/>
      <c r="XR124" s="225"/>
      <c r="XS124" s="225"/>
      <c r="XT124" s="225"/>
      <c r="XU124" s="225"/>
      <c r="XV124" s="225"/>
      <c r="XW124" s="225"/>
      <c r="XX124" s="225"/>
      <c r="XY124" s="225"/>
      <c r="XZ124" s="225"/>
      <c r="YA124" s="225"/>
      <c r="YB124" s="225"/>
      <c r="YC124" s="225"/>
      <c r="YD124" s="225"/>
      <c r="YE124" s="225"/>
      <c r="YF124" s="225"/>
      <c r="YG124" s="225"/>
      <c r="YH124" s="225"/>
      <c r="YI124" s="225"/>
      <c r="YJ124" s="225"/>
      <c r="YK124" s="225"/>
      <c r="YL124" s="225"/>
      <c r="YM124" s="225"/>
      <c r="YN124" s="225"/>
      <c r="YO124" s="225"/>
      <c r="YP124" s="225"/>
      <c r="YQ124" s="225"/>
      <c r="YR124" s="225"/>
      <c r="YS124" s="225"/>
      <c r="YT124" s="225"/>
      <c r="YU124" s="225"/>
      <c r="YV124" s="225"/>
      <c r="YW124" s="225"/>
      <c r="YX124" s="225"/>
      <c r="YY124" s="225"/>
      <c r="YZ124" s="225"/>
      <c r="ZA124" s="225"/>
      <c r="ZB124" s="225"/>
      <c r="ZC124" s="225"/>
      <c r="ZD124" s="225"/>
      <c r="ZE124" s="225"/>
      <c r="ZF124" s="225"/>
      <c r="ZG124" s="225"/>
      <c r="ZH124" s="225"/>
      <c r="ZI124" s="225"/>
      <c r="ZJ124" s="225"/>
      <c r="ZK124" s="225"/>
      <c r="ZL124" s="225"/>
      <c r="ZM124" s="225"/>
      <c r="ZN124" s="225"/>
      <c r="ZO124" s="225"/>
      <c r="ZP124" s="225"/>
      <c r="ZQ124" s="225"/>
      <c r="ZR124" s="225"/>
      <c r="ZS124" s="225"/>
      <c r="ZT124" s="225"/>
      <c r="ZU124" s="225"/>
      <c r="ZV124" s="225"/>
      <c r="ZW124" s="225"/>
      <c r="ZX124" s="225"/>
      <c r="ZY124" s="225"/>
      <c r="ZZ124" s="225"/>
      <c r="AAA124" s="225"/>
      <c r="AAB124" s="225"/>
      <c r="AAC124" s="225"/>
      <c r="AAD124" s="225"/>
      <c r="AAE124" s="225"/>
      <c r="AAF124" s="225"/>
      <c r="AAG124" s="225"/>
      <c r="AAH124" s="225"/>
      <c r="AAI124" s="225"/>
      <c r="AAJ124" s="225"/>
      <c r="AAK124" s="225"/>
      <c r="AAL124" s="225"/>
      <c r="AAM124" s="225"/>
      <c r="AAN124" s="225"/>
      <c r="AAO124" s="225"/>
      <c r="AAP124" s="225"/>
      <c r="AAQ124" s="225"/>
      <c r="AAR124" s="225"/>
      <c r="AAS124" s="225"/>
      <c r="AAT124" s="225"/>
      <c r="AAU124" s="225"/>
      <c r="AAV124" s="225"/>
      <c r="AAW124" s="225"/>
      <c r="AAX124" s="225"/>
      <c r="AAY124" s="225"/>
      <c r="AAZ124" s="225"/>
      <c r="ABA124" s="225"/>
      <c r="ABB124" s="225"/>
      <c r="ABC124" s="225"/>
      <c r="ABD124" s="225"/>
      <c r="ABE124" s="225"/>
      <c r="ABF124" s="225"/>
      <c r="ABG124" s="225"/>
      <c r="ABH124" s="225"/>
      <c r="ABI124" s="225"/>
      <c r="ABJ124" s="225"/>
      <c r="ABK124" s="225"/>
      <c r="ABL124" s="225"/>
      <c r="ABM124" s="225"/>
      <c r="ABN124" s="225"/>
      <c r="ABO124" s="225"/>
      <c r="ABP124" s="225"/>
      <c r="ABQ124" s="225"/>
      <c r="ABR124" s="225"/>
      <c r="ABS124" s="225"/>
      <c r="ABT124" s="225"/>
      <c r="ABU124" s="225"/>
      <c r="ABV124" s="225"/>
      <c r="ABW124" s="225"/>
      <c r="ABX124" s="225"/>
      <c r="ABY124" s="225"/>
      <c r="ABZ124" s="225"/>
      <c r="ACA124" s="225"/>
      <c r="ACB124" s="225"/>
      <c r="ACC124" s="225"/>
      <c r="ACD124" s="225"/>
      <c r="ACE124" s="225"/>
      <c r="ACF124" s="225"/>
      <c r="ACG124" s="225"/>
      <c r="ACH124" s="225"/>
      <c r="ACI124" s="225"/>
      <c r="ACJ124" s="225"/>
      <c r="ACK124" s="225"/>
      <c r="ACL124" s="225"/>
      <c r="ACM124" s="225"/>
      <c r="ACN124" s="225"/>
      <c r="ACO124" s="225"/>
      <c r="ACP124" s="225"/>
      <c r="ACQ124" s="225"/>
      <c r="ACR124" s="225"/>
      <c r="ACS124" s="225"/>
      <c r="ACT124" s="225"/>
      <c r="ACU124" s="225"/>
      <c r="ACV124" s="225"/>
      <c r="ACW124" s="225"/>
      <c r="ACX124" s="225"/>
      <c r="ACY124" s="225"/>
      <c r="ACZ124" s="225"/>
      <c r="ADA124" s="225"/>
      <c r="ADB124" s="225"/>
      <c r="ADC124" s="225"/>
      <c r="ADD124" s="225"/>
      <c r="ADE124" s="225"/>
      <c r="ADF124" s="225"/>
      <c r="ADG124" s="225"/>
      <c r="ADH124" s="225"/>
      <c r="ADI124" s="225"/>
      <c r="ADJ124" s="225"/>
      <c r="ADK124" s="225"/>
      <c r="ADL124" s="225"/>
      <c r="ADM124" s="225"/>
      <c r="ADN124" s="225"/>
      <c r="ADO124" s="225"/>
      <c r="ADP124" s="225"/>
      <c r="ADQ124" s="225"/>
      <c r="ADR124" s="225"/>
      <c r="ADS124" s="225"/>
      <c r="ADT124" s="225"/>
      <c r="ADU124" s="225"/>
      <c r="ADV124" s="225"/>
      <c r="ADW124" s="225"/>
      <c r="ADX124" s="225"/>
      <c r="ADY124" s="225"/>
      <c r="ADZ124" s="225"/>
      <c r="AEA124" s="225"/>
      <c r="AEB124" s="225"/>
      <c r="AEC124" s="225"/>
      <c r="AED124" s="225"/>
      <c r="AEE124" s="225"/>
      <c r="AEF124" s="225"/>
      <c r="AEG124" s="225"/>
      <c r="AEH124" s="225"/>
      <c r="AEI124" s="225"/>
      <c r="AEJ124" s="225"/>
      <c r="AEK124" s="225"/>
      <c r="AEL124" s="225"/>
      <c r="AEM124" s="225"/>
      <c r="AEN124" s="225"/>
      <c r="AEO124" s="225"/>
      <c r="AEP124" s="225"/>
      <c r="AEQ124" s="225"/>
      <c r="AER124" s="225"/>
      <c r="AES124" s="225"/>
      <c r="AET124" s="225"/>
      <c r="AEU124" s="225"/>
      <c r="AEV124" s="225"/>
      <c r="AEW124" s="225"/>
      <c r="AEX124" s="225"/>
      <c r="AEY124" s="225"/>
      <c r="AEZ124" s="225"/>
      <c r="AFA124" s="225"/>
      <c r="AFB124" s="225"/>
      <c r="AFC124" s="225"/>
      <c r="AFD124" s="225"/>
      <c r="AFE124" s="225"/>
      <c r="AFF124" s="225"/>
      <c r="AFG124" s="225"/>
      <c r="AFH124" s="225"/>
      <c r="AFI124" s="225"/>
      <c r="AFJ124" s="225"/>
      <c r="AFK124" s="225"/>
      <c r="AFL124" s="225"/>
      <c r="AFM124" s="225"/>
      <c r="AFN124" s="225"/>
      <c r="AFO124" s="225"/>
      <c r="AFP124" s="225"/>
      <c r="AFQ124" s="225"/>
      <c r="AFR124" s="225"/>
      <c r="AFS124" s="225"/>
      <c r="AFT124" s="225"/>
      <c r="AFU124" s="225"/>
      <c r="AFV124" s="225"/>
      <c r="AFW124" s="225"/>
      <c r="AFX124" s="225"/>
      <c r="AFY124" s="225"/>
      <c r="AFZ124" s="225"/>
      <c r="AGA124" s="225"/>
      <c r="AGB124" s="225"/>
      <c r="AGC124" s="225"/>
      <c r="AGD124" s="225"/>
      <c r="AGE124" s="225"/>
      <c r="AGF124" s="225"/>
      <c r="AGG124" s="225"/>
      <c r="AGH124" s="225"/>
      <c r="AGI124" s="225"/>
      <c r="AGJ124" s="225"/>
      <c r="AGK124" s="225"/>
      <c r="AGL124" s="225"/>
      <c r="AGM124" s="225"/>
      <c r="AGN124" s="225"/>
      <c r="AGO124" s="225"/>
      <c r="AGP124" s="225"/>
      <c r="AGQ124" s="225"/>
      <c r="AGR124" s="225"/>
      <c r="AGS124" s="225"/>
      <c r="AGT124" s="225"/>
      <c r="AGU124" s="225"/>
      <c r="AGV124" s="225"/>
      <c r="AGW124" s="225"/>
      <c r="AGX124" s="225"/>
      <c r="AGY124" s="225"/>
      <c r="AGZ124" s="225"/>
      <c r="AHA124" s="225"/>
      <c r="AHB124" s="225"/>
      <c r="AHC124" s="225"/>
      <c r="AHD124" s="225"/>
      <c r="AHE124" s="225"/>
      <c r="AHF124" s="225"/>
      <c r="AHG124" s="225"/>
      <c r="AHH124" s="225"/>
      <c r="AHI124" s="225"/>
      <c r="AHJ124" s="225"/>
      <c r="AHK124" s="225"/>
      <c r="AHL124" s="225"/>
      <c r="AHM124" s="225"/>
      <c r="AHN124" s="225"/>
      <c r="AHO124" s="225"/>
      <c r="AHP124" s="225"/>
      <c r="AHQ124" s="225"/>
      <c r="AHR124" s="225"/>
      <c r="AHS124" s="225"/>
      <c r="AHT124" s="225"/>
      <c r="AHU124" s="225"/>
      <c r="AHV124" s="225"/>
      <c r="AHW124" s="225"/>
      <c r="AHX124" s="225"/>
      <c r="AHY124" s="225"/>
      <c r="AHZ124" s="225"/>
      <c r="AIA124" s="225"/>
      <c r="AIB124" s="225"/>
      <c r="AIC124" s="225"/>
      <c r="AID124" s="225"/>
      <c r="AIE124" s="225"/>
      <c r="AIF124" s="225"/>
      <c r="AIG124" s="225"/>
      <c r="AIH124" s="225"/>
      <c r="AII124" s="225"/>
      <c r="AIJ124" s="225"/>
      <c r="AIK124" s="225"/>
      <c r="AIL124" s="225"/>
      <c r="AIM124" s="225"/>
      <c r="AIN124" s="225"/>
      <c r="AIO124" s="225"/>
      <c r="AIP124" s="225"/>
      <c r="AIQ124" s="225"/>
      <c r="AIR124" s="225"/>
      <c r="AIS124" s="225"/>
      <c r="AIT124" s="225"/>
      <c r="AIU124" s="225"/>
      <c r="AIV124" s="225"/>
      <c r="AIW124" s="225"/>
      <c r="AIX124" s="225"/>
      <c r="AIY124" s="225"/>
      <c r="AIZ124" s="225"/>
      <c r="AJA124" s="225"/>
      <c r="AJB124" s="225"/>
      <c r="AJC124" s="225"/>
      <c r="AJD124" s="225"/>
      <c r="AJE124" s="225"/>
      <c r="AJF124" s="225"/>
      <c r="AJG124" s="225"/>
      <c r="AJH124" s="225"/>
      <c r="AJI124" s="225"/>
      <c r="AJJ124" s="225"/>
      <c r="AJK124" s="225"/>
      <c r="AJL124" s="225"/>
      <c r="AJM124" s="225"/>
      <c r="AJN124" s="225"/>
      <c r="AJO124" s="225"/>
      <c r="AJP124" s="225"/>
      <c r="AJQ124" s="225"/>
      <c r="AJR124" s="225"/>
      <c r="AJS124" s="225"/>
      <c r="AJT124" s="225"/>
      <c r="AJU124" s="225"/>
      <c r="AJV124" s="225"/>
      <c r="AJW124" s="225"/>
      <c r="AJX124" s="225"/>
      <c r="AJY124" s="225"/>
      <c r="AJZ124" s="225"/>
      <c r="AKA124" s="225"/>
      <c r="AKB124" s="225"/>
      <c r="AKC124" s="225"/>
      <c r="AKD124" s="225"/>
      <c r="AKE124" s="225"/>
      <c r="AKF124" s="225"/>
      <c r="AKG124" s="225"/>
      <c r="AKH124" s="225"/>
      <c r="AKI124" s="225"/>
      <c r="AKJ124" s="225"/>
      <c r="AKK124" s="225"/>
      <c r="AKL124" s="225"/>
      <c r="AKM124" s="225"/>
      <c r="AKN124" s="225"/>
      <c r="AKO124" s="225"/>
      <c r="AKP124" s="225"/>
      <c r="AKQ124" s="225"/>
      <c r="AKR124" s="225"/>
      <c r="AKS124" s="225"/>
      <c r="AKT124" s="225"/>
      <c r="AKU124" s="225"/>
      <c r="AKV124" s="225"/>
      <c r="AKW124" s="225"/>
      <c r="AKX124" s="225"/>
      <c r="AKY124" s="225"/>
      <c r="AKZ124" s="225"/>
      <c r="ALA124" s="225"/>
      <c r="ALB124" s="225"/>
      <c r="ALC124" s="225"/>
      <c r="ALD124" s="225"/>
      <c r="ALE124" s="225"/>
      <c r="ALF124" s="225"/>
      <c r="ALG124" s="225"/>
      <c r="ALH124" s="225"/>
      <c r="ALI124" s="225"/>
      <c r="ALJ124" s="225"/>
      <c r="ALK124" s="225"/>
      <c r="ALL124" s="225"/>
      <c r="ALM124" s="225"/>
      <c r="ALN124" s="225"/>
      <c r="ALO124" s="225"/>
      <c r="ALP124" s="225"/>
      <c r="ALQ124" s="225"/>
      <c r="ALR124" s="225"/>
      <c r="ALS124" s="225"/>
      <c r="ALT124" s="225"/>
      <c r="ALU124" s="225"/>
      <c r="ALV124" s="225"/>
      <c r="ALW124" s="225"/>
      <c r="ALX124" s="225"/>
      <c r="ALY124" s="225"/>
      <c r="ALZ124" s="225"/>
      <c r="AMA124" s="225"/>
      <c r="AMB124" s="225"/>
      <c r="AMC124" s="225"/>
      <c r="AMD124" s="225"/>
      <c r="AME124" s="225"/>
      <c r="AMF124" s="225"/>
      <c r="AMG124" s="225"/>
      <c r="AMH124" s="225"/>
      <c r="AMI124" s="225"/>
      <c r="AMJ124" s="225"/>
      <c r="AMK124" s="225"/>
      <c r="AML124" s="225"/>
      <c r="AMM124" s="225"/>
      <c r="AMN124" s="225"/>
      <c r="AMO124" s="225"/>
      <c r="AMP124" s="225"/>
      <c r="AMQ124" s="225"/>
      <c r="AMR124" s="225"/>
      <c r="AMS124" s="225"/>
      <c r="AMT124" s="225"/>
      <c r="AMU124" s="225"/>
      <c r="AMV124" s="225"/>
      <c r="AMW124" s="225"/>
      <c r="AMX124" s="225"/>
      <c r="AMY124" s="225"/>
      <c r="AMZ124" s="225"/>
      <c r="ANA124" s="225"/>
      <c r="ANB124" s="225"/>
      <c r="ANC124" s="225"/>
      <c r="AND124" s="225"/>
      <c r="ANE124" s="225"/>
      <c r="ANF124" s="225"/>
      <c r="ANG124" s="225"/>
      <c r="ANH124" s="225"/>
      <c r="ANI124" s="225"/>
      <c r="ANJ124" s="225"/>
      <c r="ANK124" s="225"/>
      <c r="ANL124" s="225"/>
      <c r="ANM124" s="225"/>
      <c r="ANN124" s="225"/>
      <c r="ANO124" s="225"/>
      <c r="ANP124" s="225"/>
      <c r="ANQ124" s="225"/>
      <c r="ANR124" s="225"/>
      <c r="ANS124" s="225"/>
      <c r="ANT124" s="225"/>
      <c r="ANU124" s="225"/>
      <c r="ANV124" s="225"/>
      <c r="ANW124" s="225"/>
      <c r="ANX124" s="225"/>
      <c r="ANY124" s="225"/>
      <c r="ANZ124" s="225"/>
      <c r="AOA124" s="225"/>
      <c r="AOB124" s="225"/>
      <c r="AOC124" s="225"/>
      <c r="AOD124" s="225"/>
      <c r="AOE124" s="225"/>
      <c r="AOF124" s="225"/>
      <c r="AOG124" s="225"/>
      <c r="AOH124" s="225"/>
      <c r="AOI124" s="225"/>
      <c r="AOJ124" s="225"/>
      <c r="AOK124" s="225"/>
      <c r="AOL124" s="225"/>
      <c r="AOM124" s="225"/>
      <c r="AON124" s="225"/>
      <c r="AOO124" s="225"/>
      <c r="AOP124" s="225"/>
      <c r="AOQ124" s="225"/>
      <c r="AOR124" s="225"/>
      <c r="AOS124" s="225"/>
      <c r="AOT124" s="225"/>
      <c r="AOU124" s="225"/>
      <c r="AOV124" s="225"/>
      <c r="AOW124" s="225"/>
      <c r="AOX124" s="225"/>
      <c r="AOY124" s="225"/>
      <c r="AOZ124" s="225"/>
      <c r="APA124" s="225"/>
      <c r="APB124" s="225"/>
      <c r="APC124" s="225"/>
      <c r="APD124" s="225"/>
      <c r="APE124" s="225"/>
      <c r="APF124" s="225"/>
      <c r="APG124" s="225"/>
      <c r="APH124" s="225"/>
      <c r="API124" s="225"/>
      <c r="APJ124" s="225"/>
      <c r="APK124" s="225"/>
      <c r="APL124" s="225"/>
      <c r="APM124" s="225"/>
      <c r="APN124" s="225"/>
      <c r="APO124" s="225"/>
      <c r="APP124" s="225"/>
      <c r="APQ124" s="225"/>
      <c r="APR124" s="225"/>
      <c r="APS124" s="225"/>
      <c r="APT124" s="225"/>
      <c r="APU124" s="225"/>
      <c r="APV124" s="225"/>
      <c r="APW124" s="225"/>
      <c r="APX124" s="225"/>
      <c r="APY124" s="225"/>
      <c r="APZ124" s="225"/>
      <c r="AQA124" s="225"/>
      <c r="AQB124" s="225"/>
      <c r="AQC124" s="225"/>
      <c r="AQD124" s="225"/>
      <c r="AQE124" s="225"/>
      <c r="AQF124" s="225"/>
      <c r="AQG124" s="225"/>
      <c r="AQH124" s="225"/>
      <c r="AQI124" s="225"/>
      <c r="AQJ124" s="225"/>
      <c r="AQK124" s="225"/>
      <c r="AQL124" s="225"/>
      <c r="AQM124" s="225"/>
      <c r="AQN124" s="225"/>
      <c r="AQO124" s="225"/>
      <c r="AQP124" s="225"/>
      <c r="AQQ124" s="225"/>
      <c r="AQR124" s="225"/>
      <c r="AQS124" s="225"/>
      <c r="AQT124" s="225"/>
      <c r="AQU124" s="225"/>
      <c r="AQV124" s="225"/>
      <c r="AQW124" s="225"/>
      <c r="AQX124" s="225"/>
      <c r="AQY124" s="225"/>
      <c r="AQZ124" s="225"/>
      <c r="ARA124" s="225"/>
      <c r="ARB124" s="225"/>
      <c r="ARC124" s="225"/>
      <c r="ARD124" s="225"/>
      <c r="ARE124" s="225"/>
      <c r="ARF124" s="225"/>
      <c r="ARG124" s="225"/>
      <c r="ARH124" s="225"/>
      <c r="ARI124" s="225"/>
      <c r="ARJ124" s="225"/>
      <c r="ARK124" s="225"/>
      <c r="ARL124" s="225"/>
      <c r="ARM124" s="225"/>
      <c r="ARN124" s="225"/>
      <c r="ARO124" s="225"/>
      <c r="ARP124" s="225"/>
      <c r="ARQ124" s="225"/>
      <c r="ARR124" s="225"/>
      <c r="ARS124" s="225"/>
      <c r="ART124" s="225"/>
      <c r="ARU124" s="225"/>
      <c r="ARV124" s="225"/>
      <c r="ARW124" s="225"/>
      <c r="ARX124" s="225"/>
      <c r="ARY124" s="225"/>
      <c r="ARZ124" s="225"/>
      <c r="ASA124" s="225"/>
      <c r="ASB124" s="225"/>
      <c r="ASC124" s="225"/>
      <c r="ASD124" s="225"/>
      <c r="ASE124" s="225"/>
      <c r="ASF124" s="225"/>
      <c r="ASG124" s="225"/>
      <c r="ASH124" s="225"/>
      <c r="ASI124" s="225"/>
      <c r="ASJ124" s="225"/>
      <c r="ASK124" s="225"/>
      <c r="ASL124" s="225"/>
      <c r="ASM124" s="225"/>
      <c r="ASN124" s="225"/>
      <c r="ASO124" s="225"/>
      <c r="ASP124" s="225"/>
      <c r="ASQ124" s="225"/>
      <c r="ASR124" s="225"/>
      <c r="ASS124" s="225"/>
      <c r="AST124" s="225"/>
      <c r="ASU124" s="225"/>
      <c r="ASV124" s="225"/>
      <c r="ASW124" s="225"/>
      <c r="ASX124" s="225"/>
      <c r="ASY124" s="225"/>
      <c r="ASZ124" s="225"/>
      <c r="ATA124" s="225"/>
      <c r="ATB124" s="225"/>
      <c r="ATC124" s="225"/>
      <c r="ATD124" s="225"/>
      <c r="ATE124" s="225"/>
      <c r="ATF124" s="225"/>
      <c r="ATG124" s="225"/>
      <c r="ATH124" s="225"/>
      <c r="ATI124" s="225"/>
      <c r="ATJ124" s="225"/>
      <c r="ATK124" s="225"/>
      <c r="ATL124" s="225"/>
      <c r="ATM124" s="225"/>
      <c r="ATN124" s="225"/>
      <c r="ATO124" s="225"/>
      <c r="ATP124" s="225"/>
      <c r="ATQ124" s="225"/>
      <c r="ATR124" s="225"/>
      <c r="ATS124" s="225"/>
      <c r="ATT124" s="225"/>
      <c r="ATU124" s="225"/>
      <c r="ATV124" s="225"/>
      <c r="ATW124" s="225"/>
      <c r="ATX124" s="225"/>
      <c r="ATY124" s="225"/>
      <c r="ATZ124" s="225"/>
      <c r="AUA124" s="225"/>
      <c r="AUB124" s="225"/>
      <c r="AUC124" s="225"/>
      <c r="AUD124" s="225"/>
      <c r="AUE124" s="225"/>
      <c r="AUF124" s="225"/>
      <c r="AUG124" s="225"/>
      <c r="AUH124" s="225"/>
      <c r="AUI124" s="225"/>
      <c r="AUJ124" s="225"/>
      <c r="AUK124" s="225"/>
      <c r="AUL124" s="225"/>
      <c r="AUM124" s="225"/>
      <c r="AUN124" s="225"/>
      <c r="AUO124" s="225"/>
      <c r="AUP124" s="225"/>
      <c r="AUQ124" s="225"/>
      <c r="AUR124" s="225"/>
      <c r="AUS124" s="225"/>
      <c r="AUT124" s="225"/>
      <c r="AUU124" s="225"/>
      <c r="AUV124" s="225"/>
      <c r="AUW124" s="225"/>
      <c r="AUX124" s="225"/>
      <c r="AUY124" s="225"/>
      <c r="AUZ124" s="225"/>
      <c r="AVA124" s="225"/>
      <c r="AVB124" s="225"/>
      <c r="AVC124" s="225"/>
      <c r="AVD124" s="225"/>
      <c r="AVE124" s="225"/>
      <c r="AVF124" s="225"/>
      <c r="AVG124" s="225"/>
      <c r="AVH124" s="225"/>
      <c r="AVI124" s="225"/>
      <c r="AVJ124" s="225"/>
      <c r="AVK124" s="225"/>
      <c r="AVL124" s="225"/>
      <c r="AVM124" s="225"/>
      <c r="AVN124" s="225"/>
      <c r="AVO124" s="225"/>
      <c r="AVP124" s="225"/>
      <c r="AVQ124" s="225"/>
      <c r="AVR124" s="225"/>
      <c r="AVS124" s="225"/>
      <c r="AVT124" s="225"/>
      <c r="AVU124" s="225"/>
      <c r="AVV124" s="225"/>
      <c r="AVW124" s="225"/>
      <c r="AVX124" s="225"/>
      <c r="AVY124" s="225"/>
      <c r="AVZ124" s="225"/>
      <c r="AWA124" s="225"/>
      <c r="AWB124" s="225"/>
      <c r="AWC124" s="225"/>
      <c r="AWD124" s="225"/>
      <c r="AWE124" s="225"/>
      <c r="AWF124" s="225"/>
      <c r="AWG124" s="225"/>
      <c r="AWH124" s="225"/>
      <c r="AWI124" s="225"/>
      <c r="AWJ124" s="225"/>
      <c r="AWK124" s="225"/>
      <c r="AWL124" s="225"/>
      <c r="AWM124" s="225"/>
      <c r="AWN124" s="225"/>
      <c r="AWO124" s="225"/>
      <c r="AWP124" s="225"/>
      <c r="AWQ124" s="225"/>
      <c r="AWR124" s="225"/>
      <c r="AWS124" s="225"/>
      <c r="AWT124" s="225"/>
      <c r="AWU124" s="225"/>
      <c r="AWV124" s="225"/>
      <c r="AWW124" s="225"/>
      <c r="AWX124" s="225"/>
      <c r="AWY124" s="225"/>
      <c r="AWZ124" s="225"/>
      <c r="AXA124" s="225"/>
      <c r="AXB124" s="225"/>
      <c r="AXC124" s="225"/>
      <c r="AXD124" s="225"/>
      <c r="AXE124" s="225"/>
      <c r="AXF124" s="225"/>
      <c r="AXG124" s="225"/>
      <c r="AXH124" s="225"/>
      <c r="AXI124" s="225"/>
      <c r="AXJ124" s="225"/>
      <c r="AXK124" s="225"/>
      <c r="AXL124" s="225"/>
      <c r="AXM124" s="225"/>
      <c r="AXN124" s="225"/>
      <c r="AXO124" s="225"/>
      <c r="AXP124" s="225"/>
      <c r="AXQ124" s="225"/>
      <c r="AXR124" s="225"/>
      <c r="AXS124" s="225"/>
      <c r="AXT124" s="225"/>
      <c r="AXU124" s="225"/>
      <c r="AXV124" s="225"/>
      <c r="AXW124" s="225"/>
      <c r="AXX124" s="225"/>
      <c r="AXY124" s="225"/>
      <c r="AXZ124" s="225"/>
      <c r="AYA124" s="225"/>
      <c r="AYB124" s="225"/>
      <c r="AYC124" s="225"/>
      <c r="AYD124" s="225"/>
      <c r="AYE124" s="225"/>
      <c r="AYF124" s="225"/>
      <c r="AYG124" s="225"/>
      <c r="AYH124" s="225"/>
      <c r="AYI124" s="225"/>
      <c r="AYJ124" s="225"/>
      <c r="AYK124" s="225"/>
      <c r="AYL124" s="225"/>
      <c r="AYM124" s="225"/>
      <c r="AYN124" s="225"/>
      <c r="AYO124" s="225"/>
      <c r="AYP124" s="225"/>
      <c r="AYQ124" s="225"/>
      <c r="AYR124" s="225"/>
      <c r="AYS124" s="225"/>
      <c r="AYT124" s="225"/>
      <c r="AYU124" s="225"/>
      <c r="AYV124" s="225"/>
      <c r="AYW124" s="225"/>
      <c r="AYX124" s="225"/>
      <c r="AYY124" s="225"/>
      <c r="AYZ124" s="225"/>
      <c r="AZA124" s="225"/>
      <c r="AZB124" s="225"/>
      <c r="AZC124" s="225"/>
      <c r="AZD124" s="225"/>
      <c r="AZE124" s="225"/>
      <c r="AZF124" s="225"/>
      <c r="AZG124" s="225"/>
      <c r="AZH124" s="225"/>
      <c r="AZI124" s="225"/>
      <c r="AZJ124" s="225"/>
      <c r="AZK124" s="225"/>
      <c r="AZL124" s="225"/>
      <c r="AZM124" s="225"/>
      <c r="AZN124" s="225"/>
      <c r="AZO124" s="225"/>
      <c r="AZP124" s="225"/>
      <c r="AZQ124" s="225"/>
      <c r="AZR124" s="225"/>
      <c r="AZS124" s="225"/>
      <c r="AZT124" s="225"/>
      <c r="AZU124" s="225"/>
      <c r="AZV124" s="225"/>
      <c r="AZW124" s="225"/>
      <c r="AZX124" s="225"/>
      <c r="AZY124" s="225"/>
      <c r="AZZ124" s="225"/>
      <c r="BAA124" s="225"/>
      <c r="BAB124" s="225"/>
      <c r="BAC124" s="225"/>
      <c r="BAD124" s="225"/>
      <c r="BAE124" s="225"/>
      <c r="BAF124" s="225"/>
      <c r="BAG124" s="225"/>
      <c r="BAH124" s="225"/>
      <c r="BAI124" s="225"/>
      <c r="BAJ124" s="225"/>
      <c r="BAK124" s="225"/>
      <c r="BAL124" s="225"/>
      <c r="BAM124" s="225"/>
      <c r="BAN124" s="225"/>
      <c r="BAO124" s="225"/>
      <c r="BAP124" s="225"/>
      <c r="BAQ124" s="225"/>
      <c r="BAR124" s="225"/>
      <c r="BAS124" s="225"/>
      <c r="BAT124" s="225"/>
      <c r="BAU124" s="225"/>
      <c r="BAV124" s="225"/>
      <c r="BAW124" s="225"/>
      <c r="BAX124" s="225"/>
      <c r="BAY124" s="225"/>
      <c r="BAZ124" s="225"/>
      <c r="BBA124" s="225"/>
      <c r="BBB124" s="225"/>
      <c r="BBC124" s="225"/>
      <c r="BBD124" s="225"/>
      <c r="BBE124" s="225"/>
      <c r="BBF124" s="225"/>
      <c r="BBG124" s="225"/>
      <c r="BBH124" s="225"/>
      <c r="BBI124" s="225"/>
      <c r="BBJ124" s="225"/>
      <c r="BBK124" s="225"/>
      <c r="BBL124" s="225"/>
      <c r="BBM124" s="225"/>
      <c r="BBN124" s="225"/>
      <c r="BBO124" s="225"/>
      <c r="BBP124" s="225"/>
      <c r="BBQ124" s="225"/>
      <c r="BBR124" s="225"/>
      <c r="BBS124" s="225"/>
      <c r="BBT124" s="225"/>
      <c r="BBU124" s="225"/>
      <c r="BBV124" s="225"/>
      <c r="BBW124" s="225"/>
      <c r="BBX124" s="225"/>
      <c r="BBY124" s="225"/>
      <c r="BBZ124" s="225"/>
      <c r="BCA124" s="225"/>
      <c r="BCB124" s="225"/>
      <c r="BCC124" s="225"/>
      <c r="BCD124" s="225"/>
      <c r="BCE124" s="225"/>
      <c r="BCF124" s="225"/>
      <c r="BCG124" s="225"/>
      <c r="BCH124" s="225"/>
      <c r="BCI124" s="225"/>
      <c r="BCJ124" s="225"/>
      <c r="BCK124" s="225"/>
      <c r="BCL124" s="225"/>
      <c r="BCM124" s="225"/>
      <c r="BCN124" s="225"/>
      <c r="BCO124" s="225"/>
      <c r="BCP124" s="225"/>
      <c r="BCQ124" s="225"/>
      <c r="BCR124" s="225"/>
      <c r="BCS124" s="225"/>
      <c r="BCT124" s="225"/>
      <c r="BCU124" s="225"/>
      <c r="BCV124" s="225"/>
      <c r="BCW124" s="225"/>
      <c r="BCX124" s="225"/>
      <c r="BCY124" s="225"/>
      <c r="BCZ124" s="225"/>
      <c r="BDA124" s="225"/>
      <c r="BDB124" s="225"/>
      <c r="BDC124" s="225"/>
      <c r="BDD124" s="225"/>
      <c r="BDE124" s="225"/>
      <c r="BDF124" s="225"/>
      <c r="BDG124" s="225"/>
      <c r="BDH124" s="225"/>
      <c r="BDI124" s="225"/>
      <c r="BDJ124" s="225"/>
      <c r="BDK124" s="225"/>
      <c r="BDL124" s="225"/>
      <c r="BDM124" s="225"/>
      <c r="BDN124" s="225"/>
      <c r="BDO124" s="225"/>
      <c r="BDP124" s="225"/>
      <c r="BDQ124" s="225"/>
      <c r="BDR124" s="225"/>
      <c r="BDS124" s="225"/>
      <c r="BDT124" s="225"/>
      <c r="BDU124" s="225"/>
      <c r="BDV124" s="225"/>
      <c r="BDW124" s="225"/>
      <c r="BDX124" s="225"/>
      <c r="BDY124" s="225"/>
      <c r="BDZ124" s="225"/>
      <c r="BEA124" s="225"/>
      <c r="BEB124" s="225"/>
      <c r="BEC124" s="225"/>
      <c r="BED124" s="225"/>
      <c r="BEE124" s="225"/>
      <c r="BEF124" s="225"/>
      <c r="BEG124" s="225"/>
      <c r="BEH124" s="225"/>
      <c r="BEI124" s="225"/>
      <c r="BEJ124" s="225"/>
      <c r="BEK124" s="225"/>
      <c r="BEL124" s="225"/>
      <c r="BEM124" s="225"/>
      <c r="BEN124" s="225"/>
      <c r="BEO124" s="225"/>
      <c r="BEP124" s="225"/>
      <c r="BEQ124" s="225"/>
      <c r="BER124" s="225"/>
      <c r="BES124" s="225"/>
      <c r="BET124" s="225"/>
      <c r="BEU124" s="225"/>
      <c r="BEV124" s="225"/>
      <c r="BEW124" s="225"/>
      <c r="BEX124" s="225"/>
      <c r="BEY124" s="225"/>
      <c r="BEZ124" s="225"/>
      <c r="BFA124" s="225"/>
      <c r="BFB124" s="225"/>
      <c r="BFC124" s="225"/>
      <c r="BFD124" s="225"/>
      <c r="BFE124" s="225"/>
      <c r="BFF124" s="225"/>
      <c r="BFG124" s="225"/>
      <c r="BFH124" s="225"/>
      <c r="BFI124" s="225"/>
      <c r="BFJ124" s="225"/>
      <c r="BFK124" s="225"/>
      <c r="BFL124" s="225"/>
      <c r="BFM124" s="225"/>
      <c r="BFN124" s="225"/>
      <c r="BFO124" s="225"/>
      <c r="BFP124" s="225"/>
      <c r="BFQ124" s="225"/>
      <c r="BFR124" s="225"/>
      <c r="BFS124" s="225"/>
      <c r="BFT124" s="225"/>
      <c r="BFU124" s="225"/>
      <c r="BFV124" s="225"/>
      <c r="BFW124" s="225"/>
      <c r="BFX124" s="225"/>
      <c r="BFY124" s="225"/>
      <c r="BFZ124" s="225"/>
      <c r="BGA124" s="225"/>
      <c r="BGB124" s="225"/>
      <c r="BGC124" s="225"/>
      <c r="BGD124" s="225"/>
      <c r="BGE124" s="225"/>
      <c r="BGF124" s="225"/>
      <c r="BGG124" s="225"/>
      <c r="BGH124" s="225"/>
      <c r="BGI124" s="225"/>
      <c r="BGJ124" s="225"/>
      <c r="BGK124" s="225"/>
      <c r="BGL124" s="225"/>
      <c r="BGM124" s="225"/>
      <c r="BGN124" s="225"/>
      <c r="BGO124" s="225"/>
      <c r="BGP124" s="225"/>
      <c r="BGQ124" s="225"/>
      <c r="BGR124" s="225"/>
      <c r="BGS124" s="225"/>
      <c r="BGT124" s="225"/>
      <c r="BGU124" s="225"/>
      <c r="BGV124" s="225"/>
      <c r="BGW124" s="225"/>
      <c r="BGX124" s="225"/>
      <c r="BGY124" s="225"/>
      <c r="BGZ124" s="225"/>
      <c r="BHA124" s="225"/>
      <c r="BHB124" s="225"/>
      <c r="BHC124" s="225"/>
      <c r="BHD124" s="225"/>
      <c r="BHE124" s="225"/>
      <c r="BHF124" s="225"/>
      <c r="BHG124" s="225"/>
      <c r="BHH124" s="225"/>
      <c r="BHI124" s="225"/>
      <c r="BHJ124" s="225"/>
      <c r="BHK124" s="225"/>
      <c r="BHL124" s="225"/>
      <c r="BHM124" s="225"/>
      <c r="BHN124" s="225"/>
      <c r="BHO124" s="225"/>
      <c r="BHP124" s="225"/>
      <c r="BHQ124" s="225"/>
      <c r="BHR124" s="225"/>
      <c r="BHS124" s="225"/>
      <c r="BHT124" s="225"/>
      <c r="BHU124" s="225"/>
      <c r="BHV124" s="225"/>
      <c r="BHW124" s="225"/>
      <c r="BHX124" s="225"/>
      <c r="BHY124" s="225"/>
      <c r="BHZ124" s="225"/>
      <c r="BIA124" s="225"/>
      <c r="BIB124" s="225"/>
      <c r="BIC124" s="225"/>
      <c r="BID124" s="225"/>
      <c r="BIE124" s="225"/>
      <c r="BIF124" s="225"/>
      <c r="BIG124" s="225"/>
      <c r="BIH124" s="225"/>
      <c r="BII124" s="225"/>
      <c r="BIJ124" s="225"/>
      <c r="BIK124" s="225"/>
      <c r="BIL124" s="225"/>
      <c r="BIM124" s="225"/>
      <c r="BIN124" s="225"/>
      <c r="BIO124" s="225"/>
      <c r="BIP124" s="225"/>
      <c r="BIQ124" s="225"/>
      <c r="BIR124" s="225"/>
      <c r="BIS124" s="225"/>
      <c r="BIT124" s="225"/>
      <c r="BIU124" s="225"/>
      <c r="BIV124" s="225"/>
      <c r="BIW124" s="225"/>
      <c r="BIX124" s="225"/>
      <c r="BIY124" s="225"/>
      <c r="BIZ124" s="225"/>
      <c r="BJA124" s="225"/>
      <c r="BJB124" s="225"/>
      <c r="BJC124" s="225"/>
      <c r="BJD124" s="225"/>
      <c r="BJE124" s="225"/>
      <c r="BJF124" s="225"/>
      <c r="BJG124" s="225"/>
      <c r="BJH124" s="225"/>
      <c r="BJI124" s="225"/>
      <c r="BJJ124" s="225"/>
      <c r="BJK124" s="225"/>
      <c r="BJL124" s="225"/>
      <c r="BJM124" s="225"/>
      <c r="BJN124" s="225"/>
      <c r="BJO124" s="225"/>
      <c r="BJP124" s="225"/>
      <c r="BJQ124" s="225"/>
      <c r="BJR124" s="225"/>
      <c r="BJS124" s="225"/>
      <c r="BJT124" s="225"/>
      <c r="BJU124" s="225"/>
      <c r="BJV124" s="225"/>
      <c r="BJW124" s="225"/>
      <c r="BJX124" s="225"/>
      <c r="BJY124" s="225"/>
      <c r="BJZ124" s="225"/>
      <c r="BKA124" s="225"/>
      <c r="BKB124" s="225"/>
      <c r="BKC124" s="225"/>
      <c r="BKD124" s="225"/>
      <c r="BKE124" s="225"/>
      <c r="BKF124" s="225"/>
      <c r="BKG124" s="225"/>
      <c r="BKH124" s="225"/>
      <c r="BKI124" s="225"/>
      <c r="BKJ124" s="225"/>
      <c r="BKK124" s="225"/>
      <c r="BKL124" s="225"/>
      <c r="BKM124" s="225"/>
      <c r="BKN124" s="225"/>
      <c r="BKO124" s="225"/>
      <c r="BKP124" s="225"/>
      <c r="BKQ124" s="225"/>
      <c r="BKR124" s="225"/>
      <c r="BKS124" s="225"/>
      <c r="BKT124" s="225"/>
      <c r="BKU124" s="225"/>
      <c r="BKV124" s="225"/>
      <c r="BKW124" s="225"/>
      <c r="BKX124" s="225"/>
      <c r="BKY124" s="225"/>
      <c r="BKZ124" s="225"/>
      <c r="BLA124" s="225"/>
      <c r="BLB124" s="225"/>
      <c r="BLC124" s="225"/>
      <c r="BLD124" s="225"/>
      <c r="BLE124" s="225"/>
      <c r="BLF124" s="225"/>
      <c r="BLG124" s="225"/>
      <c r="BLH124" s="225"/>
      <c r="BLI124" s="225"/>
      <c r="BLJ124" s="225"/>
      <c r="BLK124" s="225"/>
      <c r="BLL124" s="225"/>
      <c r="BLM124" s="225"/>
      <c r="BLN124" s="225"/>
      <c r="BLO124" s="225"/>
      <c r="BLP124" s="225"/>
      <c r="BLQ124" s="225"/>
      <c r="BLR124" s="225"/>
      <c r="BLS124" s="225"/>
      <c r="BLT124" s="225"/>
      <c r="BLU124" s="225"/>
      <c r="BLV124" s="225"/>
      <c r="BLW124" s="225"/>
      <c r="BLX124" s="225"/>
      <c r="BLY124" s="225"/>
      <c r="BLZ124" s="225"/>
      <c r="BMA124" s="225"/>
      <c r="BMB124" s="225"/>
      <c r="BMC124" s="225"/>
      <c r="BMD124" s="225"/>
      <c r="BME124" s="225"/>
      <c r="BMF124" s="225"/>
      <c r="BMG124" s="225"/>
      <c r="BMH124" s="225"/>
      <c r="BMI124" s="225"/>
      <c r="BMJ124" s="225"/>
      <c r="BMK124" s="225"/>
      <c r="BML124" s="225"/>
      <c r="BMM124" s="225"/>
      <c r="BMN124" s="225"/>
      <c r="BMO124" s="225"/>
      <c r="BMP124" s="225"/>
      <c r="BMQ124" s="225"/>
      <c r="BMR124" s="225"/>
      <c r="BMS124" s="225"/>
      <c r="BMT124" s="225"/>
      <c r="BMU124" s="225"/>
      <c r="BMV124" s="225"/>
      <c r="BMW124" s="225"/>
      <c r="BMX124" s="225"/>
      <c r="BMY124" s="225"/>
      <c r="BMZ124" s="225"/>
      <c r="BNA124" s="225"/>
      <c r="BNB124" s="225"/>
      <c r="BNC124" s="225"/>
      <c r="BND124" s="225"/>
      <c r="BNE124" s="225"/>
      <c r="BNF124" s="225"/>
      <c r="BNG124" s="225"/>
      <c r="BNH124" s="225"/>
      <c r="BNI124" s="225"/>
      <c r="BNJ124" s="225"/>
      <c r="BNK124" s="225"/>
      <c r="BNL124" s="225"/>
      <c r="BNM124" s="225"/>
      <c r="BNN124" s="225"/>
      <c r="BNO124" s="225"/>
      <c r="BNP124" s="225"/>
      <c r="BNQ124" s="225"/>
      <c r="BNR124" s="225"/>
      <c r="BNS124" s="225"/>
      <c r="BNT124" s="225"/>
      <c r="BNU124" s="225"/>
      <c r="BNV124" s="225"/>
      <c r="BNW124" s="225"/>
      <c r="BNX124" s="225"/>
      <c r="BNY124" s="225"/>
      <c r="BNZ124" s="225"/>
      <c r="BOA124" s="225"/>
      <c r="BOB124" s="225"/>
      <c r="BOC124" s="225"/>
      <c r="BOD124" s="225"/>
      <c r="BOE124" s="225"/>
      <c r="BOF124" s="225"/>
      <c r="BOG124" s="225"/>
      <c r="BOH124" s="225"/>
      <c r="BOI124" s="225"/>
      <c r="BOJ124" s="225"/>
      <c r="BOK124" s="225"/>
      <c r="BOL124" s="225"/>
      <c r="BOM124" s="225"/>
      <c r="BON124" s="225"/>
      <c r="BOO124" s="225"/>
      <c r="BOP124" s="225"/>
      <c r="BOQ124" s="225"/>
      <c r="BOR124" s="225"/>
      <c r="BOS124" s="225"/>
      <c r="BOT124" s="225"/>
      <c r="BOU124" s="225"/>
      <c r="BOV124" s="225"/>
      <c r="BOW124" s="225"/>
      <c r="BOX124" s="225"/>
      <c r="BOY124" s="225"/>
      <c r="BOZ124" s="225"/>
      <c r="BPA124" s="225"/>
      <c r="BPB124" s="225"/>
      <c r="BPC124" s="225"/>
      <c r="BPD124" s="225"/>
      <c r="BPE124" s="225"/>
      <c r="BPF124" s="225"/>
      <c r="BPG124" s="225"/>
      <c r="BPH124" s="225"/>
      <c r="BPI124" s="225"/>
      <c r="BPJ124" s="225"/>
      <c r="BPK124" s="225"/>
      <c r="BPL124" s="225"/>
      <c r="BPM124" s="225"/>
      <c r="BPN124" s="225"/>
      <c r="BPO124" s="225"/>
      <c r="BPP124" s="225"/>
      <c r="BPQ124" s="225"/>
      <c r="BPR124" s="225"/>
      <c r="BPS124" s="225"/>
      <c r="BPT124" s="225"/>
      <c r="BPU124" s="225"/>
      <c r="BPV124" s="225"/>
      <c r="BPW124" s="225"/>
      <c r="BPX124" s="225"/>
      <c r="BPY124" s="225"/>
      <c r="BPZ124" s="225"/>
      <c r="BQA124" s="225"/>
      <c r="BQB124" s="225"/>
      <c r="BQC124" s="225"/>
      <c r="BQD124" s="225"/>
      <c r="BQE124" s="225"/>
      <c r="BQF124" s="225"/>
      <c r="BQG124" s="225"/>
      <c r="BQH124" s="225"/>
      <c r="BQI124" s="225"/>
      <c r="BQJ124" s="225"/>
      <c r="BQK124" s="225"/>
      <c r="BQL124" s="225"/>
      <c r="BQM124" s="225"/>
      <c r="BQN124" s="225"/>
      <c r="BQO124" s="225"/>
      <c r="BQP124" s="225"/>
      <c r="BQQ124" s="225"/>
      <c r="BQR124" s="225"/>
      <c r="BQS124" s="225"/>
      <c r="BQT124" s="225"/>
      <c r="BQU124" s="225"/>
      <c r="BQV124" s="225"/>
      <c r="BQW124" s="225"/>
      <c r="BQX124" s="225"/>
      <c r="BQY124" s="225"/>
      <c r="BQZ124" s="225"/>
      <c r="BRA124" s="225"/>
      <c r="BRB124" s="225"/>
      <c r="BRC124" s="225"/>
      <c r="BRD124" s="225"/>
      <c r="BRE124" s="225"/>
      <c r="BRF124" s="225"/>
      <c r="BRG124" s="225"/>
      <c r="BRH124" s="225"/>
      <c r="BRI124" s="225"/>
      <c r="BRJ124" s="225"/>
      <c r="BRK124" s="225"/>
      <c r="BRL124" s="225"/>
      <c r="BRM124" s="225"/>
      <c r="BRN124" s="225"/>
      <c r="BRO124" s="225"/>
      <c r="BRP124" s="225"/>
      <c r="BRQ124" s="225"/>
      <c r="BRR124" s="225"/>
      <c r="BRS124" s="225"/>
      <c r="BRT124" s="225"/>
      <c r="BRU124" s="225"/>
      <c r="BRV124" s="225"/>
      <c r="BRW124" s="225"/>
      <c r="BRX124" s="225"/>
      <c r="BRY124" s="225"/>
      <c r="BRZ124" s="225"/>
      <c r="BSA124" s="225"/>
      <c r="BSB124" s="225"/>
      <c r="BSC124" s="225"/>
      <c r="BSD124" s="225"/>
      <c r="BSE124" s="225"/>
      <c r="BSF124" s="225"/>
      <c r="BSG124" s="225"/>
      <c r="BSH124" s="225"/>
      <c r="BSI124" s="225"/>
      <c r="BSJ124" s="225"/>
      <c r="BSK124" s="225"/>
      <c r="BSL124" s="225"/>
      <c r="BSM124" s="225"/>
      <c r="BSN124" s="225"/>
      <c r="BSO124" s="225"/>
      <c r="BSP124" s="225"/>
      <c r="BSQ124" s="225"/>
      <c r="BSR124" s="225"/>
      <c r="BSS124" s="225"/>
      <c r="BST124" s="225"/>
      <c r="BSU124" s="225"/>
      <c r="BSV124" s="225"/>
      <c r="BSW124" s="225"/>
      <c r="BSX124" s="225"/>
      <c r="BSY124" s="225"/>
      <c r="BSZ124" s="225"/>
      <c r="BTA124" s="225"/>
      <c r="BTB124" s="225"/>
      <c r="BTC124" s="225"/>
      <c r="BTD124" s="225"/>
      <c r="BTE124" s="225"/>
      <c r="BTF124" s="225"/>
      <c r="BTG124" s="225"/>
      <c r="BTH124" s="225"/>
      <c r="BTI124" s="225"/>
      <c r="BTJ124" s="225"/>
      <c r="BTK124" s="225"/>
      <c r="BTL124" s="225"/>
      <c r="BTM124" s="225"/>
      <c r="BTN124" s="225"/>
      <c r="BTO124" s="225"/>
      <c r="BTP124" s="225"/>
      <c r="BTQ124" s="225"/>
      <c r="BTR124" s="225"/>
      <c r="BTS124" s="225"/>
      <c r="BTT124" s="225"/>
      <c r="BTU124" s="225"/>
      <c r="BTV124" s="225"/>
      <c r="BTW124" s="225"/>
      <c r="BTX124" s="225"/>
      <c r="BTY124" s="225"/>
      <c r="BTZ124" s="225"/>
      <c r="BUA124" s="225"/>
      <c r="BUB124" s="225"/>
      <c r="BUC124" s="225"/>
      <c r="BUD124" s="225"/>
      <c r="BUE124" s="225"/>
      <c r="BUF124" s="225"/>
      <c r="BUG124" s="225"/>
      <c r="BUH124" s="225"/>
      <c r="BUI124" s="225"/>
      <c r="BUJ124" s="225"/>
      <c r="BUK124" s="225"/>
      <c r="BUL124" s="225"/>
      <c r="BUM124" s="225"/>
      <c r="BUN124" s="225"/>
      <c r="BUO124" s="225"/>
      <c r="BUP124" s="225"/>
      <c r="BUQ124" s="225"/>
      <c r="BUR124" s="225"/>
      <c r="BUS124" s="225"/>
      <c r="BUT124" s="225"/>
      <c r="BUU124" s="225"/>
      <c r="BUV124" s="225"/>
      <c r="BUW124" s="225"/>
      <c r="BUX124" s="225"/>
      <c r="BUY124" s="225"/>
      <c r="BUZ124" s="225"/>
      <c r="BVA124" s="225"/>
      <c r="BVB124" s="225"/>
      <c r="BVC124" s="225"/>
      <c r="BVD124" s="225"/>
      <c r="BVE124" s="225"/>
      <c r="BVF124" s="225"/>
      <c r="BVG124" s="225"/>
      <c r="BVH124" s="225"/>
      <c r="BVI124" s="225"/>
      <c r="BVJ124" s="225"/>
      <c r="BVK124" s="225"/>
      <c r="BVL124" s="225"/>
      <c r="BVM124" s="225"/>
      <c r="BVN124" s="225"/>
      <c r="BVO124" s="225"/>
      <c r="BVP124" s="225"/>
      <c r="BVQ124" s="225"/>
      <c r="BVR124" s="225"/>
      <c r="BVS124" s="225"/>
      <c r="BVT124" s="225"/>
      <c r="BVU124" s="225"/>
      <c r="BVV124" s="225"/>
      <c r="BVW124" s="225"/>
      <c r="BVX124" s="225"/>
      <c r="BVY124" s="225"/>
      <c r="BVZ124" s="225"/>
      <c r="BWA124" s="225"/>
      <c r="BWB124" s="225"/>
      <c r="BWC124" s="225"/>
      <c r="BWD124" s="225"/>
      <c r="BWE124" s="225"/>
      <c r="BWF124" s="225"/>
      <c r="BWG124" s="225"/>
      <c r="BWH124" s="225"/>
      <c r="BWI124" s="225"/>
      <c r="BWJ124" s="225"/>
      <c r="BWK124" s="225"/>
      <c r="BWL124" s="225"/>
      <c r="BWM124" s="225"/>
      <c r="BWN124" s="225"/>
      <c r="BWO124" s="225"/>
      <c r="BWP124" s="225"/>
      <c r="BWQ124" s="225"/>
      <c r="BWR124" s="225"/>
      <c r="BWS124" s="225"/>
      <c r="BWT124" s="225"/>
      <c r="BWU124" s="225"/>
      <c r="BWV124" s="225"/>
      <c r="BWW124" s="225"/>
      <c r="BWX124" s="225"/>
      <c r="BWY124" s="225"/>
      <c r="BWZ124" s="225"/>
      <c r="BXA124" s="225"/>
      <c r="BXB124" s="225"/>
      <c r="BXC124" s="225"/>
      <c r="BXD124" s="225"/>
      <c r="BXE124" s="225"/>
      <c r="BXF124" s="225"/>
      <c r="BXG124" s="225"/>
      <c r="BXH124" s="225"/>
      <c r="BXI124" s="225"/>
      <c r="BXJ124" s="225"/>
      <c r="BXK124" s="225"/>
      <c r="BXL124" s="225"/>
      <c r="BXM124" s="225"/>
      <c r="BXN124" s="225"/>
      <c r="BXO124" s="225"/>
      <c r="BXP124" s="225"/>
      <c r="BXQ124" s="225"/>
      <c r="BXR124" s="225"/>
      <c r="BXS124" s="225"/>
      <c r="BXT124" s="225"/>
      <c r="BXU124" s="225"/>
      <c r="BXV124" s="225"/>
      <c r="BXW124" s="225"/>
      <c r="BXX124" s="225"/>
      <c r="BXY124" s="225"/>
      <c r="BXZ124" s="225"/>
      <c r="BYA124" s="225"/>
      <c r="BYB124" s="225"/>
      <c r="BYC124" s="225"/>
      <c r="BYD124" s="225"/>
      <c r="BYE124" s="225"/>
      <c r="BYF124" s="225"/>
      <c r="BYG124" s="225"/>
      <c r="BYH124" s="225"/>
      <c r="BYI124" s="225"/>
      <c r="BYJ124" s="225"/>
      <c r="BYK124" s="225"/>
      <c r="BYL124" s="225"/>
      <c r="BYM124" s="225"/>
      <c r="BYN124" s="225"/>
      <c r="BYO124" s="225"/>
      <c r="BYP124" s="225"/>
      <c r="BYQ124" s="225"/>
      <c r="BYR124" s="225"/>
      <c r="BYS124" s="225"/>
      <c r="BYT124" s="225"/>
      <c r="BYU124" s="225"/>
      <c r="BYV124" s="225"/>
      <c r="BYW124" s="225"/>
      <c r="BYX124" s="225"/>
      <c r="BYY124" s="225"/>
      <c r="BYZ124" s="225"/>
      <c r="BZA124" s="225"/>
      <c r="BZB124" s="225"/>
      <c r="BZC124" s="225"/>
      <c r="BZD124" s="225"/>
      <c r="BZE124" s="225"/>
      <c r="BZF124" s="225"/>
      <c r="BZG124" s="225"/>
      <c r="BZH124" s="225"/>
      <c r="BZI124" s="225"/>
      <c r="BZJ124" s="225"/>
      <c r="BZK124" s="225"/>
      <c r="BZL124" s="225"/>
      <c r="BZM124" s="225"/>
      <c r="BZN124" s="225"/>
      <c r="BZO124" s="225"/>
      <c r="BZP124" s="225"/>
      <c r="BZQ124" s="225"/>
      <c r="BZR124" s="225"/>
      <c r="BZS124" s="225"/>
      <c r="BZT124" s="225"/>
      <c r="BZU124" s="225"/>
      <c r="BZV124" s="225"/>
      <c r="BZW124" s="225"/>
      <c r="BZX124" s="225"/>
      <c r="BZY124" s="225"/>
      <c r="BZZ124" s="225"/>
      <c r="CAA124" s="225"/>
      <c r="CAB124" s="225"/>
      <c r="CAC124" s="225"/>
      <c r="CAD124" s="225"/>
      <c r="CAE124" s="225"/>
      <c r="CAF124" s="225"/>
      <c r="CAG124" s="225"/>
      <c r="CAH124" s="225"/>
      <c r="CAI124" s="225"/>
      <c r="CAJ124" s="225"/>
      <c r="CAK124" s="225"/>
      <c r="CAL124" s="225"/>
      <c r="CAM124" s="225"/>
      <c r="CAN124" s="225"/>
      <c r="CAO124" s="225"/>
      <c r="CAP124" s="225"/>
      <c r="CAQ124" s="225"/>
      <c r="CAR124" s="225"/>
      <c r="CAS124" s="225"/>
      <c r="CAT124" s="225"/>
      <c r="CAU124" s="225"/>
      <c r="CAV124" s="225"/>
      <c r="CAW124" s="225"/>
      <c r="CAX124" s="225"/>
      <c r="CAY124" s="225"/>
      <c r="CAZ124" s="225"/>
      <c r="CBA124" s="225"/>
      <c r="CBB124" s="225"/>
      <c r="CBC124" s="225"/>
      <c r="CBD124" s="225"/>
      <c r="CBE124" s="225"/>
      <c r="CBF124" s="225"/>
      <c r="CBG124" s="225"/>
      <c r="CBH124" s="225"/>
      <c r="CBI124" s="225"/>
      <c r="CBJ124" s="225"/>
      <c r="CBK124" s="225"/>
      <c r="CBL124" s="225"/>
      <c r="CBM124" s="225"/>
      <c r="CBN124" s="225"/>
      <c r="CBO124" s="225"/>
      <c r="CBP124" s="225"/>
      <c r="CBQ124" s="225"/>
      <c r="CBR124" s="225"/>
      <c r="CBS124" s="225"/>
      <c r="CBT124" s="225"/>
      <c r="CBU124" s="225"/>
      <c r="CBV124" s="225"/>
      <c r="CBW124" s="225"/>
      <c r="CBX124" s="225"/>
      <c r="CBY124" s="225"/>
      <c r="CBZ124" s="225"/>
      <c r="CCA124" s="225"/>
      <c r="CCB124" s="225"/>
      <c r="CCC124" s="225"/>
      <c r="CCD124" s="225"/>
      <c r="CCE124" s="225"/>
      <c r="CCF124" s="225"/>
      <c r="CCG124" s="225"/>
      <c r="CCH124" s="225"/>
      <c r="CCI124" s="225"/>
      <c r="CCJ124" s="225"/>
      <c r="CCK124" s="225"/>
      <c r="CCL124" s="225"/>
      <c r="CCM124" s="225"/>
      <c r="CCN124" s="225"/>
      <c r="CCO124" s="225"/>
      <c r="CCP124" s="225"/>
      <c r="CCQ124" s="225"/>
      <c r="CCR124" s="225"/>
      <c r="CCS124" s="225"/>
      <c r="CCT124" s="225"/>
      <c r="CCU124" s="225"/>
      <c r="CCV124" s="225"/>
      <c r="CCW124" s="225"/>
      <c r="CCX124" s="225"/>
      <c r="CCY124" s="225"/>
      <c r="CCZ124" s="225"/>
      <c r="CDA124" s="225"/>
      <c r="CDB124" s="225"/>
      <c r="CDC124" s="225"/>
      <c r="CDD124" s="225"/>
      <c r="CDE124" s="225"/>
      <c r="CDF124" s="225"/>
      <c r="CDG124" s="225"/>
      <c r="CDH124" s="225"/>
      <c r="CDI124" s="225"/>
      <c r="CDJ124" s="225"/>
      <c r="CDK124" s="225"/>
      <c r="CDL124" s="225"/>
      <c r="CDM124" s="225"/>
      <c r="CDN124" s="225"/>
      <c r="CDO124" s="225"/>
      <c r="CDP124" s="225"/>
      <c r="CDQ124" s="225"/>
      <c r="CDR124" s="225"/>
      <c r="CDS124" s="225"/>
      <c r="CDT124" s="225"/>
      <c r="CDU124" s="225"/>
      <c r="CDV124" s="225"/>
      <c r="CDW124" s="225"/>
      <c r="CDX124" s="225"/>
      <c r="CDY124" s="225"/>
      <c r="CDZ124" s="225"/>
      <c r="CEA124" s="225"/>
      <c r="CEB124" s="225"/>
      <c r="CEC124" s="225"/>
      <c r="CED124" s="225"/>
      <c r="CEE124" s="225"/>
      <c r="CEF124" s="225"/>
      <c r="CEG124" s="225"/>
      <c r="CEH124" s="225"/>
      <c r="CEI124" s="225"/>
      <c r="CEJ124" s="225"/>
      <c r="CEK124" s="225"/>
      <c r="CEL124" s="225"/>
      <c r="CEM124" s="225"/>
      <c r="CEN124" s="225"/>
      <c r="CEO124" s="225"/>
      <c r="CEP124" s="225"/>
      <c r="CEQ124" s="225"/>
      <c r="CER124" s="225"/>
      <c r="CES124" s="225"/>
      <c r="CET124" s="225"/>
      <c r="CEU124" s="225"/>
      <c r="CEV124" s="225"/>
      <c r="CEW124" s="225"/>
      <c r="CEX124" s="225"/>
      <c r="CEY124" s="225"/>
      <c r="CEZ124" s="225"/>
      <c r="CFA124" s="225"/>
      <c r="CFB124" s="225"/>
      <c r="CFC124" s="225"/>
      <c r="CFD124" s="225"/>
      <c r="CFE124" s="225"/>
      <c r="CFF124" s="225"/>
      <c r="CFG124" s="225"/>
      <c r="CFH124" s="225"/>
      <c r="CFI124" s="225"/>
      <c r="CFJ124" s="225"/>
      <c r="CFK124" s="225"/>
      <c r="CFL124" s="225"/>
      <c r="CFM124" s="225"/>
      <c r="CFN124" s="225"/>
      <c r="CFO124" s="225"/>
      <c r="CFP124" s="225"/>
      <c r="CFQ124" s="225"/>
      <c r="CFR124" s="225"/>
      <c r="CFS124" s="225"/>
      <c r="CFT124" s="225"/>
      <c r="CFU124" s="225"/>
      <c r="CFV124" s="225"/>
      <c r="CFW124" s="225"/>
      <c r="CFX124" s="225"/>
      <c r="CFY124" s="225"/>
      <c r="CFZ124" s="225"/>
      <c r="CGA124" s="225"/>
      <c r="CGB124" s="225"/>
      <c r="CGC124" s="225"/>
      <c r="CGD124" s="225"/>
      <c r="CGE124" s="225"/>
      <c r="CGF124" s="225"/>
      <c r="CGG124" s="225"/>
      <c r="CGH124" s="225"/>
      <c r="CGI124" s="225"/>
      <c r="CGJ124" s="225"/>
      <c r="CGK124" s="225"/>
      <c r="CGL124" s="225"/>
      <c r="CGM124" s="225"/>
      <c r="CGN124" s="225"/>
      <c r="CGO124" s="225"/>
      <c r="CGP124" s="225"/>
      <c r="CGQ124" s="225"/>
      <c r="CGR124" s="225"/>
      <c r="CGS124" s="225"/>
      <c r="CGT124" s="225"/>
      <c r="CGU124" s="225"/>
      <c r="CGV124" s="225"/>
      <c r="CGW124" s="225"/>
      <c r="CGX124" s="225"/>
      <c r="CGY124" s="225"/>
      <c r="CGZ124" s="225"/>
      <c r="CHA124" s="225"/>
      <c r="CHB124" s="225"/>
      <c r="CHC124" s="225"/>
      <c r="CHD124" s="225"/>
      <c r="CHE124" s="225"/>
      <c r="CHF124" s="225"/>
      <c r="CHG124" s="225"/>
      <c r="CHH124" s="225"/>
      <c r="CHI124" s="225"/>
      <c r="CHJ124" s="225"/>
      <c r="CHK124" s="225"/>
      <c r="CHL124" s="225"/>
      <c r="CHM124" s="225"/>
      <c r="CHN124" s="225"/>
      <c r="CHO124" s="225"/>
      <c r="CHP124" s="225"/>
      <c r="CHQ124" s="225"/>
      <c r="CHR124" s="225"/>
      <c r="CHS124" s="225"/>
      <c r="CHT124" s="225"/>
      <c r="CHU124" s="225"/>
      <c r="CHV124" s="225"/>
      <c r="CHW124" s="225"/>
      <c r="CHX124" s="225"/>
      <c r="CHY124" s="225"/>
      <c r="CHZ124" s="225"/>
      <c r="CIA124" s="225"/>
      <c r="CIB124" s="225"/>
      <c r="CIC124" s="225"/>
      <c r="CID124" s="225"/>
      <c r="CIE124" s="225"/>
      <c r="CIF124" s="225"/>
      <c r="CIG124" s="225"/>
      <c r="CIH124" s="225"/>
      <c r="CII124" s="225"/>
      <c r="CIJ124" s="225"/>
      <c r="CIK124" s="225"/>
      <c r="CIL124" s="225"/>
      <c r="CIM124" s="225"/>
      <c r="CIN124" s="225"/>
      <c r="CIO124" s="225"/>
      <c r="CIP124" s="225"/>
      <c r="CIQ124" s="225"/>
      <c r="CIR124" s="225"/>
      <c r="CIS124" s="225"/>
      <c r="CIT124" s="225"/>
      <c r="CIU124" s="225"/>
      <c r="CIV124" s="225"/>
      <c r="CIW124" s="225"/>
      <c r="CIX124" s="225"/>
      <c r="CIY124" s="225"/>
      <c r="CIZ124" s="225"/>
      <c r="CJA124" s="225"/>
      <c r="CJB124" s="225"/>
      <c r="CJC124" s="225"/>
      <c r="CJD124" s="225"/>
      <c r="CJE124" s="225"/>
      <c r="CJF124" s="225"/>
      <c r="CJG124" s="225"/>
      <c r="CJH124" s="225"/>
      <c r="CJI124" s="225"/>
      <c r="CJJ124" s="225"/>
      <c r="CJK124" s="225"/>
      <c r="CJL124" s="225"/>
      <c r="CJM124" s="225"/>
      <c r="CJN124" s="225"/>
      <c r="CJO124" s="225"/>
      <c r="CJP124" s="225"/>
      <c r="CJQ124" s="225"/>
      <c r="CJR124" s="225"/>
      <c r="CJS124" s="225"/>
      <c r="CJT124" s="225"/>
      <c r="CJU124" s="225"/>
      <c r="CJV124" s="225"/>
      <c r="CJW124" s="225"/>
      <c r="CJX124" s="225"/>
      <c r="CJY124" s="225"/>
      <c r="CJZ124" s="225"/>
      <c r="CKA124" s="225"/>
      <c r="CKB124" s="225"/>
      <c r="CKC124" s="225"/>
      <c r="CKD124" s="225"/>
      <c r="CKE124" s="225"/>
      <c r="CKF124" s="225"/>
      <c r="CKG124" s="225"/>
      <c r="CKH124" s="225"/>
      <c r="CKI124" s="225"/>
      <c r="CKJ124" s="225"/>
      <c r="CKK124" s="225"/>
      <c r="CKL124" s="225"/>
      <c r="CKM124" s="225"/>
      <c r="CKN124" s="225"/>
      <c r="CKO124" s="225"/>
      <c r="CKP124" s="225"/>
      <c r="CKQ124" s="225"/>
      <c r="CKR124" s="225"/>
      <c r="CKS124" s="225"/>
      <c r="CKT124" s="225"/>
      <c r="CKU124" s="225"/>
      <c r="CKV124" s="225"/>
      <c r="CKW124" s="225"/>
      <c r="CKX124" s="225"/>
      <c r="CKY124" s="225"/>
      <c r="CKZ124" s="225"/>
      <c r="CLA124" s="225"/>
      <c r="CLB124" s="225"/>
      <c r="CLC124" s="225"/>
      <c r="CLD124" s="225"/>
      <c r="CLE124" s="225"/>
      <c r="CLF124" s="225"/>
      <c r="CLG124" s="225"/>
      <c r="CLH124" s="225"/>
      <c r="CLI124" s="225"/>
      <c r="CLJ124" s="225"/>
      <c r="CLK124" s="225"/>
      <c r="CLL124" s="225"/>
      <c r="CLM124" s="225"/>
      <c r="CLN124" s="225"/>
      <c r="CLO124" s="225"/>
      <c r="CLP124" s="225"/>
      <c r="CLQ124" s="225"/>
      <c r="CLR124" s="225"/>
      <c r="CLS124" s="225"/>
      <c r="CLT124" s="225"/>
      <c r="CLU124" s="225"/>
      <c r="CLV124" s="225"/>
      <c r="CLW124" s="225"/>
      <c r="CLX124" s="225"/>
      <c r="CLY124" s="225"/>
      <c r="CLZ124" s="225"/>
      <c r="CMA124" s="225"/>
      <c r="CMB124" s="225"/>
      <c r="CMC124" s="225"/>
      <c r="CMD124" s="225"/>
      <c r="CME124" s="225"/>
      <c r="CMF124" s="225"/>
      <c r="CMG124" s="225"/>
      <c r="CMH124" s="225"/>
      <c r="CMI124" s="225"/>
      <c r="CMJ124" s="225"/>
      <c r="CMK124" s="225"/>
      <c r="CML124" s="225"/>
      <c r="CMM124" s="225"/>
      <c r="CMN124" s="225"/>
      <c r="CMO124" s="225"/>
      <c r="CMP124" s="225"/>
      <c r="CMQ124" s="225"/>
      <c r="CMR124" s="225"/>
      <c r="CMS124" s="225"/>
      <c r="CMT124" s="225"/>
      <c r="CMU124" s="225"/>
      <c r="CMV124" s="225"/>
      <c r="CMW124" s="225"/>
      <c r="CMX124" s="225"/>
      <c r="CMY124" s="225"/>
      <c r="CMZ124" s="225"/>
      <c r="CNA124" s="225"/>
      <c r="CNB124" s="225"/>
      <c r="CNC124" s="225"/>
      <c r="CND124" s="225"/>
      <c r="CNE124" s="225"/>
      <c r="CNF124" s="225"/>
      <c r="CNG124" s="225"/>
      <c r="CNH124" s="225"/>
      <c r="CNI124" s="225"/>
      <c r="CNJ124" s="225"/>
      <c r="CNK124" s="225"/>
      <c r="CNL124" s="225"/>
      <c r="CNM124" s="225"/>
      <c r="CNN124" s="225"/>
      <c r="CNO124" s="225"/>
      <c r="CNP124" s="225"/>
      <c r="CNQ124" s="225"/>
      <c r="CNR124" s="225"/>
      <c r="CNS124" s="225"/>
      <c r="CNT124" s="225"/>
      <c r="CNU124" s="225"/>
      <c r="CNV124" s="225"/>
      <c r="CNW124" s="225"/>
      <c r="CNX124" s="225"/>
      <c r="CNY124" s="225"/>
      <c r="CNZ124" s="225"/>
      <c r="COA124" s="225"/>
      <c r="COB124" s="225"/>
      <c r="COC124" s="225"/>
      <c r="COD124" s="225"/>
      <c r="COE124" s="225"/>
      <c r="COF124" s="225"/>
      <c r="COG124" s="225"/>
      <c r="COH124" s="225"/>
      <c r="COI124" s="225"/>
      <c r="COJ124" s="225"/>
      <c r="COK124" s="225"/>
      <c r="COL124" s="225"/>
      <c r="COM124" s="225"/>
      <c r="CON124" s="225"/>
      <c r="COO124" s="225"/>
      <c r="COP124" s="225"/>
      <c r="COQ124" s="225"/>
      <c r="COR124" s="225"/>
      <c r="COS124" s="225"/>
      <c r="COT124" s="225"/>
      <c r="COU124" s="225"/>
      <c r="COV124" s="225"/>
      <c r="COW124" s="225"/>
      <c r="COX124" s="225"/>
      <c r="COY124" s="225"/>
      <c r="COZ124" s="225"/>
      <c r="CPA124" s="225"/>
      <c r="CPB124" s="225"/>
      <c r="CPC124" s="225"/>
      <c r="CPD124" s="225"/>
      <c r="CPE124" s="225"/>
      <c r="CPF124" s="225"/>
      <c r="CPG124" s="225"/>
      <c r="CPH124" s="225"/>
      <c r="CPI124" s="225"/>
      <c r="CPJ124" s="225"/>
      <c r="CPK124" s="225"/>
      <c r="CPL124" s="225"/>
      <c r="CPM124" s="225"/>
      <c r="CPN124" s="225"/>
      <c r="CPO124" s="225"/>
      <c r="CPP124" s="225"/>
      <c r="CPQ124" s="225"/>
      <c r="CPR124" s="225"/>
      <c r="CPS124" s="225"/>
      <c r="CPT124" s="225"/>
      <c r="CPU124" s="225"/>
      <c r="CPV124" s="225"/>
      <c r="CPW124" s="225"/>
      <c r="CPX124" s="225"/>
      <c r="CPY124" s="225"/>
      <c r="CPZ124" s="225"/>
      <c r="CQA124" s="225"/>
      <c r="CQB124" s="225"/>
      <c r="CQC124" s="225"/>
      <c r="CQD124" s="225"/>
      <c r="CQE124" s="225"/>
      <c r="CQF124" s="225"/>
      <c r="CQG124" s="225"/>
      <c r="CQH124" s="225"/>
      <c r="CQI124" s="225"/>
      <c r="CQJ124" s="225"/>
      <c r="CQK124" s="225"/>
      <c r="CQL124" s="225"/>
      <c r="CQM124" s="225"/>
      <c r="CQN124" s="225"/>
      <c r="CQO124" s="225"/>
      <c r="CQP124" s="225"/>
      <c r="CQQ124" s="225"/>
      <c r="CQR124" s="225"/>
      <c r="CQS124" s="225"/>
      <c r="CQT124" s="225"/>
      <c r="CQU124" s="225"/>
      <c r="CQV124" s="225"/>
      <c r="CQW124" s="225"/>
      <c r="CQX124" s="225"/>
      <c r="CQY124" s="225"/>
      <c r="CQZ124" s="225"/>
      <c r="CRA124" s="225"/>
      <c r="CRB124" s="225"/>
      <c r="CRC124" s="225"/>
      <c r="CRD124" s="225"/>
      <c r="CRE124" s="225"/>
      <c r="CRF124" s="225"/>
      <c r="CRG124" s="225"/>
      <c r="CRH124" s="225"/>
      <c r="CRI124" s="225"/>
      <c r="CRJ124" s="225"/>
      <c r="CRK124" s="225"/>
      <c r="CRL124" s="225"/>
      <c r="CRM124" s="225"/>
      <c r="CRN124" s="225"/>
      <c r="CRO124" s="225"/>
      <c r="CRP124" s="225"/>
      <c r="CRQ124" s="225"/>
      <c r="CRR124" s="225"/>
      <c r="CRS124" s="225"/>
      <c r="CRT124" s="225"/>
      <c r="CRU124" s="225"/>
      <c r="CRV124" s="225"/>
      <c r="CRW124" s="225"/>
      <c r="CRX124" s="225"/>
      <c r="CRY124" s="225"/>
      <c r="CRZ124" s="225"/>
      <c r="CSA124" s="225"/>
      <c r="CSB124" s="225"/>
      <c r="CSC124" s="225"/>
      <c r="CSD124" s="225"/>
      <c r="CSE124" s="225"/>
      <c r="CSF124" s="225"/>
      <c r="CSG124" s="225"/>
      <c r="CSH124" s="225"/>
      <c r="CSI124" s="225"/>
      <c r="CSJ124" s="225"/>
      <c r="CSK124" s="225"/>
      <c r="CSL124" s="225"/>
      <c r="CSM124" s="225"/>
      <c r="CSN124" s="225"/>
      <c r="CSO124" s="225"/>
      <c r="CSP124" s="225"/>
      <c r="CSQ124" s="225"/>
      <c r="CSR124" s="225"/>
      <c r="CSS124" s="225"/>
      <c r="CST124" s="225"/>
      <c r="CSU124" s="225"/>
      <c r="CSV124" s="225"/>
      <c r="CSW124" s="225"/>
      <c r="CSX124" s="225"/>
      <c r="CSY124" s="225"/>
      <c r="CSZ124" s="225"/>
      <c r="CTA124" s="225"/>
      <c r="CTB124" s="225"/>
      <c r="CTC124" s="225"/>
      <c r="CTD124" s="225"/>
      <c r="CTE124" s="225"/>
      <c r="CTF124" s="225"/>
      <c r="CTG124" s="225"/>
      <c r="CTH124" s="225"/>
      <c r="CTI124" s="225"/>
      <c r="CTJ124" s="225"/>
      <c r="CTK124" s="225"/>
      <c r="CTL124" s="225"/>
      <c r="CTM124" s="225"/>
      <c r="CTN124" s="225"/>
      <c r="CTO124" s="225"/>
      <c r="CTP124" s="225"/>
      <c r="CTQ124" s="225"/>
      <c r="CTR124" s="225"/>
      <c r="CTS124" s="225"/>
      <c r="CTT124" s="225"/>
      <c r="CTU124" s="225"/>
      <c r="CTV124" s="225"/>
      <c r="CTW124" s="225"/>
      <c r="CTX124" s="225"/>
      <c r="CTY124" s="225"/>
      <c r="CTZ124" s="225"/>
      <c r="CUA124" s="225"/>
      <c r="CUB124" s="225"/>
      <c r="CUC124" s="225"/>
      <c r="CUD124" s="225"/>
      <c r="CUE124" s="225"/>
      <c r="CUF124" s="225"/>
      <c r="CUG124" s="225"/>
      <c r="CUH124" s="225"/>
      <c r="CUI124" s="225"/>
      <c r="CUJ124" s="225"/>
      <c r="CUK124" s="225"/>
      <c r="CUL124" s="225"/>
      <c r="CUM124" s="225"/>
      <c r="CUN124" s="225"/>
      <c r="CUO124" s="225"/>
      <c r="CUP124" s="225"/>
      <c r="CUQ124" s="225"/>
      <c r="CUR124" s="225"/>
      <c r="CUS124" s="225"/>
      <c r="CUT124" s="225"/>
      <c r="CUU124" s="225"/>
      <c r="CUV124" s="225"/>
      <c r="CUW124" s="225"/>
      <c r="CUX124" s="225"/>
      <c r="CUY124" s="225"/>
      <c r="CUZ124" s="225"/>
      <c r="CVA124" s="225"/>
      <c r="CVB124" s="225"/>
      <c r="CVC124" s="225"/>
      <c r="CVD124" s="225"/>
      <c r="CVE124" s="225"/>
      <c r="CVF124" s="225"/>
      <c r="CVG124" s="225"/>
      <c r="CVH124" s="225"/>
      <c r="CVI124" s="225"/>
      <c r="CVJ124" s="225"/>
      <c r="CVK124" s="225"/>
      <c r="CVL124" s="225"/>
      <c r="CVM124" s="225"/>
      <c r="CVN124" s="225"/>
      <c r="CVO124" s="225"/>
      <c r="CVP124" s="225"/>
      <c r="CVQ124" s="225"/>
      <c r="CVR124" s="225"/>
      <c r="CVS124" s="225"/>
      <c r="CVT124" s="225"/>
      <c r="CVU124" s="225"/>
      <c r="CVV124" s="225"/>
      <c r="CVW124" s="225"/>
      <c r="CVX124" s="225"/>
      <c r="CVY124" s="225"/>
      <c r="CVZ124" s="225"/>
      <c r="CWA124" s="225"/>
      <c r="CWB124" s="225"/>
      <c r="CWC124" s="225"/>
      <c r="CWD124" s="225"/>
      <c r="CWE124" s="225"/>
      <c r="CWF124" s="225"/>
      <c r="CWG124" s="225"/>
      <c r="CWH124" s="225"/>
      <c r="CWI124" s="225"/>
      <c r="CWJ124" s="225"/>
      <c r="CWK124" s="225"/>
      <c r="CWL124" s="225"/>
      <c r="CWM124" s="225"/>
      <c r="CWN124" s="225"/>
      <c r="CWO124" s="225"/>
      <c r="CWP124" s="225"/>
      <c r="CWQ124" s="225"/>
      <c r="CWR124" s="225"/>
      <c r="CWS124" s="225"/>
      <c r="CWT124" s="225"/>
      <c r="CWU124" s="225"/>
      <c r="CWV124" s="225"/>
      <c r="CWW124" s="225"/>
      <c r="CWX124" s="225"/>
      <c r="CWY124" s="225"/>
      <c r="CWZ124" s="225"/>
      <c r="CXA124" s="225"/>
      <c r="CXB124" s="225"/>
      <c r="CXC124" s="225"/>
      <c r="CXD124" s="225"/>
      <c r="CXE124" s="225"/>
      <c r="CXF124" s="225"/>
      <c r="CXG124" s="225"/>
      <c r="CXH124" s="225"/>
      <c r="CXI124" s="225"/>
      <c r="CXJ124" s="225"/>
      <c r="CXK124" s="225"/>
      <c r="CXL124" s="225"/>
      <c r="CXM124" s="225"/>
      <c r="CXN124" s="225"/>
      <c r="CXO124" s="225"/>
      <c r="CXP124" s="225"/>
      <c r="CXQ124" s="225"/>
      <c r="CXR124" s="225"/>
      <c r="CXS124" s="225"/>
      <c r="CXT124" s="225"/>
      <c r="CXU124" s="225"/>
      <c r="CXV124" s="225"/>
      <c r="CXW124" s="225"/>
      <c r="CXX124" s="225"/>
      <c r="CXY124" s="225"/>
      <c r="CXZ124" s="225"/>
      <c r="CYA124" s="225"/>
      <c r="CYB124" s="225"/>
      <c r="CYC124" s="225"/>
      <c r="CYD124" s="225"/>
      <c r="CYE124" s="225"/>
      <c r="CYF124" s="225"/>
      <c r="CYG124" s="225"/>
      <c r="CYH124" s="225"/>
      <c r="CYI124" s="225"/>
      <c r="CYJ124" s="225"/>
      <c r="CYK124" s="225"/>
      <c r="CYL124" s="225"/>
      <c r="CYM124" s="225"/>
      <c r="CYN124" s="225"/>
      <c r="CYO124" s="225"/>
      <c r="CYP124" s="225"/>
      <c r="CYQ124" s="225"/>
      <c r="CYR124" s="225"/>
      <c r="CYS124" s="225"/>
      <c r="CYT124" s="225"/>
      <c r="CYU124" s="225"/>
      <c r="CYV124" s="225"/>
      <c r="CYW124" s="225"/>
      <c r="CYX124" s="225"/>
      <c r="CYY124" s="225"/>
      <c r="CYZ124" s="225"/>
      <c r="CZA124" s="225"/>
      <c r="CZB124" s="225"/>
      <c r="CZC124" s="225"/>
      <c r="CZD124" s="225"/>
      <c r="CZE124" s="225"/>
      <c r="CZF124" s="225"/>
      <c r="CZG124" s="225"/>
      <c r="CZH124" s="225"/>
      <c r="CZI124" s="225"/>
      <c r="CZJ124" s="225"/>
      <c r="CZK124" s="225"/>
      <c r="CZL124" s="225"/>
      <c r="CZM124" s="225"/>
      <c r="CZN124" s="225"/>
      <c r="CZO124" s="225"/>
      <c r="CZP124" s="225"/>
      <c r="CZQ124" s="225"/>
      <c r="CZR124" s="225"/>
      <c r="CZS124" s="225"/>
      <c r="CZT124" s="225"/>
      <c r="CZU124" s="225"/>
      <c r="CZV124" s="225"/>
      <c r="CZW124" s="225"/>
      <c r="CZX124" s="225"/>
      <c r="CZY124" s="225"/>
      <c r="CZZ124" s="225"/>
      <c r="DAA124" s="225"/>
      <c r="DAB124" s="225"/>
      <c r="DAC124" s="225"/>
      <c r="DAD124" s="225"/>
      <c r="DAE124" s="225"/>
      <c r="DAF124" s="225"/>
      <c r="DAG124" s="225"/>
      <c r="DAH124" s="225"/>
      <c r="DAI124" s="225"/>
      <c r="DAJ124" s="225"/>
      <c r="DAK124" s="225"/>
      <c r="DAL124" s="225"/>
      <c r="DAM124" s="225"/>
      <c r="DAN124" s="225"/>
      <c r="DAO124" s="225"/>
      <c r="DAP124" s="225"/>
      <c r="DAQ124" s="225"/>
      <c r="DAR124" s="225"/>
      <c r="DAS124" s="225"/>
      <c r="DAT124" s="225"/>
      <c r="DAU124" s="225"/>
      <c r="DAV124" s="225"/>
      <c r="DAW124" s="225"/>
      <c r="DAX124" s="225"/>
      <c r="DAY124" s="225"/>
      <c r="DAZ124" s="225"/>
      <c r="DBA124" s="225"/>
      <c r="DBB124" s="225"/>
      <c r="DBC124" s="225"/>
      <c r="DBD124" s="225"/>
      <c r="DBE124" s="225"/>
      <c r="DBF124" s="225"/>
      <c r="DBG124" s="225"/>
      <c r="DBH124" s="225"/>
      <c r="DBI124" s="225"/>
      <c r="DBJ124" s="225"/>
      <c r="DBK124" s="225"/>
      <c r="DBL124" s="225"/>
      <c r="DBM124" s="225"/>
      <c r="DBN124" s="225"/>
      <c r="DBO124" s="225"/>
      <c r="DBP124" s="225"/>
      <c r="DBQ124" s="225"/>
      <c r="DBR124" s="225"/>
      <c r="DBS124" s="225"/>
      <c r="DBT124" s="225"/>
      <c r="DBU124" s="225"/>
      <c r="DBV124" s="225"/>
      <c r="DBW124" s="225"/>
      <c r="DBX124" s="225"/>
      <c r="DBY124" s="225"/>
      <c r="DBZ124" s="225"/>
      <c r="DCA124" s="225"/>
      <c r="DCB124" s="225"/>
      <c r="DCC124" s="225"/>
      <c r="DCD124" s="225"/>
      <c r="DCE124" s="225"/>
      <c r="DCF124" s="225"/>
      <c r="DCG124" s="225"/>
      <c r="DCH124" s="225"/>
      <c r="DCI124" s="225"/>
      <c r="DCJ124" s="225"/>
      <c r="DCK124" s="225"/>
      <c r="DCL124" s="225"/>
      <c r="DCM124" s="225"/>
      <c r="DCN124" s="225"/>
      <c r="DCO124" s="225"/>
      <c r="DCP124" s="225"/>
      <c r="DCQ124" s="225"/>
      <c r="DCR124" s="225"/>
      <c r="DCS124" s="225"/>
      <c r="DCT124" s="225"/>
      <c r="DCU124" s="225"/>
      <c r="DCV124" s="225"/>
      <c r="DCW124" s="225"/>
      <c r="DCX124" s="225"/>
      <c r="DCY124" s="225"/>
      <c r="DCZ124" s="225"/>
      <c r="DDA124" s="225"/>
      <c r="DDB124" s="225"/>
      <c r="DDC124" s="225"/>
      <c r="DDD124" s="225"/>
      <c r="DDE124" s="225"/>
      <c r="DDF124" s="225"/>
      <c r="DDG124" s="225"/>
      <c r="DDH124" s="225"/>
      <c r="DDI124" s="225"/>
      <c r="DDJ124" s="225"/>
      <c r="DDK124" s="225"/>
      <c r="DDL124" s="225"/>
      <c r="DDM124" s="225"/>
      <c r="DDN124" s="225"/>
      <c r="DDO124" s="225"/>
      <c r="DDP124" s="225"/>
      <c r="DDQ124" s="225"/>
      <c r="DDR124" s="225"/>
      <c r="DDS124" s="225"/>
      <c r="DDT124" s="225"/>
      <c r="DDU124" s="225"/>
      <c r="DDV124" s="225"/>
      <c r="DDW124" s="225"/>
      <c r="DDX124" s="225"/>
      <c r="DDY124" s="225"/>
      <c r="DDZ124" s="225"/>
      <c r="DEA124" s="225"/>
      <c r="DEB124" s="225"/>
      <c r="DEC124" s="225"/>
      <c r="DED124" s="225"/>
      <c r="DEE124" s="225"/>
      <c r="DEF124" s="225"/>
      <c r="DEG124" s="225"/>
      <c r="DEH124" s="225"/>
      <c r="DEI124" s="225"/>
      <c r="DEJ124" s="225"/>
      <c r="DEK124" s="225"/>
      <c r="DEL124" s="225"/>
      <c r="DEM124" s="225"/>
      <c r="DEN124" s="225"/>
      <c r="DEO124" s="225"/>
      <c r="DEP124" s="225"/>
      <c r="DEQ124" s="225"/>
      <c r="DER124" s="225"/>
      <c r="DES124" s="225"/>
      <c r="DET124" s="225"/>
      <c r="DEU124" s="225"/>
      <c r="DEV124" s="225"/>
      <c r="DEW124" s="225"/>
      <c r="DEX124" s="225"/>
      <c r="DEY124" s="225"/>
      <c r="DEZ124" s="225"/>
      <c r="DFA124" s="225"/>
      <c r="DFB124" s="225"/>
      <c r="DFC124" s="225"/>
      <c r="DFD124" s="225"/>
      <c r="DFE124" s="225"/>
      <c r="DFF124" s="225"/>
      <c r="DFG124" s="225"/>
      <c r="DFH124" s="225"/>
      <c r="DFI124" s="225"/>
      <c r="DFJ124" s="225"/>
      <c r="DFK124" s="225"/>
      <c r="DFL124" s="225"/>
      <c r="DFM124" s="225"/>
      <c r="DFN124" s="225"/>
      <c r="DFO124" s="225"/>
      <c r="DFP124" s="225"/>
      <c r="DFQ124" s="225"/>
      <c r="DFR124" s="225"/>
      <c r="DFS124" s="225"/>
      <c r="DFT124" s="225"/>
      <c r="DFU124" s="225"/>
      <c r="DFV124" s="225"/>
      <c r="DFW124" s="225"/>
      <c r="DFX124" s="225"/>
      <c r="DFY124" s="225"/>
      <c r="DFZ124" s="225"/>
      <c r="DGA124" s="225"/>
      <c r="DGB124" s="225"/>
      <c r="DGC124" s="225"/>
      <c r="DGD124" s="225"/>
      <c r="DGE124" s="225"/>
      <c r="DGF124" s="225"/>
      <c r="DGG124" s="225"/>
      <c r="DGH124" s="225"/>
      <c r="DGI124" s="225"/>
      <c r="DGJ124" s="225"/>
      <c r="DGK124" s="225"/>
      <c r="DGL124" s="225"/>
      <c r="DGM124" s="225"/>
      <c r="DGN124" s="225"/>
      <c r="DGO124" s="225"/>
      <c r="DGP124" s="225"/>
      <c r="DGQ124" s="225"/>
      <c r="DGR124" s="225"/>
      <c r="DGS124" s="225"/>
      <c r="DGT124" s="225"/>
      <c r="DGU124" s="225"/>
      <c r="DGV124" s="225"/>
      <c r="DGW124" s="225"/>
      <c r="DGX124" s="225"/>
      <c r="DGY124" s="225"/>
      <c r="DGZ124" s="225"/>
      <c r="DHA124" s="225"/>
      <c r="DHB124" s="225"/>
      <c r="DHC124" s="225"/>
      <c r="DHD124" s="225"/>
      <c r="DHE124" s="225"/>
      <c r="DHF124" s="225"/>
      <c r="DHG124" s="225"/>
      <c r="DHH124" s="225"/>
      <c r="DHI124" s="225"/>
      <c r="DHJ124" s="225"/>
      <c r="DHK124" s="225"/>
      <c r="DHL124" s="225"/>
      <c r="DHM124" s="225"/>
      <c r="DHN124" s="225"/>
      <c r="DHO124" s="225"/>
      <c r="DHP124" s="225"/>
      <c r="DHQ124" s="225"/>
      <c r="DHR124" s="225"/>
      <c r="DHS124" s="225"/>
      <c r="DHT124" s="225"/>
      <c r="DHU124" s="225"/>
      <c r="DHV124" s="225"/>
      <c r="DHW124" s="225"/>
      <c r="DHX124" s="225"/>
      <c r="DHY124" s="225"/>
      <c r="DHZ124" s="225"/>
      <c r="DIA124" s="225"/>
      <c r="DIB124" s="225"/>
      <c r="DIC124" s="225"/>
      <c r="DID124" s="225"/>
      <c r="DIE124" s="225"/>
      <c r="DIF124" s="225"/>
      <c r="DIG124" s="225"/>
      <c r="DIH124" s="225"/>
      <c r="DII124" s="225"/>
      <c r="DIJ124" s="225"/>
      <c r="DIK124" s="225"/>
      <c r="DIL124" s="225"/>
      <c r="DIM124" s="225"/>
      <c r="DIN124" s="225"/>
      <c r="DIO124" s="225"/>
      <c r="DIP124" s="225"/>
      <c r="DIQ124" s="225"/>
      <c r="DIR124" s="225"/>
      <c r="DIS124" s="225"/>
      <c r="DIT124" s="225"/>
      <c r="DIU124" s="225"/>
      <c r="DIV124" s="225"/>
      <c r="DIW124" s="225"/>
      <c r="DIX124" s="225"/>
      <c r="DIY124" s="225"/>
      <c r="DIZ124" s="225"/>
      <c r="DJA124" s="225"/>
      <c r="DJB124" s="225"/>
      <c r="DJC124" s="225"/>
      <c r="DJD124" s="225"/>
      <c r="DJE124" s="225"/>
      <c r="DJF124" s="225"/>
      <c r="DJG124" s="225"/>
      <c r="DJH124" s="225"/>
      <c r="DJI124" s="225"/>
      <c r="DJJ124" s="225"/>
      <c r="DJK124" s="225"/>
      <c r="DJL124" s="225"/>
      <c r="DJM124" s="225"/>
      <c r="DJN124" s="225"/>
      <c r="DJO124" s="225"/>
      <c r="DJP124" s="225"/>
      <c r="DJQ124" s="225"/>
      <c r="DJR124" s="225"/>
      <c r="DJS124" s="225"/>
      <c r="DJT124" s="225"/>
      <c r="DJU124" s="225"/>
      <c r="DJV124" s="225"/>
      <c r="DJW124" s="225"/>
      <c r="DJX124" s="225"/>
      <c r="DJY124" s="225"/>
      <c r="DJZ124" s="225"/>
      <c r="DKA124" s="225"/>
      <c r="DKB124" s="225"/>
      <c r="DKC124" s="225"/>
      <c r="DKD124" s="225"/>
      <c r="DKE124" s="225"/>
      <c r="DKF124" s="225"/>
      <c r="DKG124" s="225"/>
      <c r="DKH124" s="225"/>
      <c r="DKI124" s="225"/>
      <c r="DKJ124" s="225"/>
      <c r="DKK124" s="225"/>
      <c r="DKL124" s="225"/>
      <c r="DKM124" s="225"/>
      <c r="DKN124" s="225"/>
      <c r="DKO124" s="225"/>
      <c r="DKP124" s="225"/>
      <c r="DKQ124" s="225"/>
      <c r="DKR124" s="225"/>
      <c r="DKS124" s="225"/>
      <c r="DKT124" s="225"/>
      <c r="DKU124" s="225"/>
      <c r="DKV124" s="225"/>
      <c r="DKW124" s="225"/>
      <c r="DKX124" s="225"/>
      <c r="DKY124" s="225"/>
      <c r="DKZ124" s="225"/>
      <c r="DLA124" s="225"/>
      <c r="DLB124" s="225"/>
      <c r="DLC124" s="225"/>
      <c r="DLD124" s="225"/>
      <c r="DLE124" s="225"/>
      <c r="DLF124" s="225"/>
      <c r="DLG124" s="225"/>
      <c r="DLH124" s="225"/>
      <c r="DLI124" s="225"/>
      <c r="DLJ124" s="225"/>
      <c r="DLK124" s="225"/>
      <c r="DLL124" s="225"/>
      <c r="DLM124" s="225"/>
      <c r="DLN124" s="225"/>
      <c r="DLO124" s="225"/>
      <c r="DLP124" s="225"/>
      <c r="DLQ124" s="225"/>
      <c r="DLR124" s="225"/>
      <c r="DLS124" s="225"/>
      <c r="DLT124" s="225"/>
      <c r="DLU124" s="225"/>
      <c r="DLV124" s="225"/>
      <c r="DLW124" s="225"/>
      <c r="DLX124" s="225"/>
      <c r="DLY124" s="225"/>
      <c r="DLZ124" s="225"/>
      <c r="DMA124" s="225"/>
      <c r="DMB124" s="225"/>
      <c r="DMC124" s="225"/>
      <c r="DMD124" s="225"/>
      <c r="DME124" s="225"/>
      <c r="DMF124" s="225"/>
      <c r="DMG124" s="225"/>
      <c r="DMH124" s="225"/>
      <c r="DMI124" s="225"/>
      <c r="DMJ124" s="225"/>
      <c r="DMK124" s="225"/>
      <c r="DML124" s="225"/>
      <c r="DMM124" s="225"/>
      <c r="DMN124" s="225"/>
      <c r="DMO124" s="225"/>
      <c r="DMP124" s="225"/>
      <c r="DMQ124" s="225"/>
      <c r="DMR124" s="225"/>
      <c r="DMS124" s="225"/>
      <c r="DMT124" s="225"/>
      <c r="DMU124" s="225"/>
      <c r="DMV124" s="225"/>
      <c r="DMW124" s="225"/>
      <c r="DMX124" s="225"/>
      <c r="DMY124" s="225"/>
      <c r="DMZ124" s="225"/>
      <c r="DNA124" s="225"/>
      <c r="DNB124" s="225"/>
      <c r="DNC124" s="225"/>
      <c r="DND124" s="225"/>
      <c r="DNE124" s="225"/>
      <c r="DNF124" s="225"/>
      <c r="DNG124" s="225"/>
      <c r="DNH124" s="225"/>
      <c r="DNI124" s="225"/>
      <c r="DNJ124" s="225"/>
      <c r="DNK124" s="225"/>
      <c r="DNL124" s="225"/>
      <c r="DNM124" s="225"/>
      <c r="DNN124" s="225"/>
      <c r="DNO124" s="225"/>
      <c r="DNP124" s="225"/>
      <c r="DNQ124" s="225"/>
      <c r="DNR124" s="225"/>
      <c r="DNS124" s="225"/>
      <c r="DNT124" s="225"/>
      <c r="DNU124" s="225"/>
      <c r="DNV124" s="225"/>
      <c r="DNW124" s="225"/>
      <c r="DNX124" s="225"/>
      <c r="DNY124" s="225"/>
      <c r="DNZ124" s="225"/>
      <c r="DOA124" s="225"/>
      <c r="DOB124" s="225"/>
      <c r="DOC124" s="225"/>
      <c r="DOD124" s="225"/>
      <c r="DOE124" s="225"/>
      <c r="DOF124" s="225"/>
      <c r="DOG124" s="225"/>
      <c r="DOH124" s="225"/>
      <c r="DOI124" s="225"/>
      <c r="DOJ124" s="225"/>
      <c r="DOK124" s="225"/>
      <c r="DOL124" s="225"/>
      <c r="DOM124" s="225"/>
      <c r="DON124" s="225"/>
      <c r="DOO124" s="225"/>
      <c r="DOP124" s="225"/>
      <c r="DOQ124" s="225"/>
      <c r="DOR124" s="225"/>
      <c r="DOS124" s="225"/>
      <c r="DOT124" s="225"/>
      <c r="DOU124" s="225"/>
      <c r="DOV124" s="225"/>
      <c r="DOW124" s="225"/>
      <c r="DOX124" s="225"/>
      <c r="DOY124" s="225"/>
      <c r="DOZ124" s="225"/>
      <c r="DPA124" s="225"/>
      <c r="DPB124" s="225"/>
      <c r="DPC124" s="225"/>
      <c r="DPD124" s="225"/>
      <c r="DPE124" s="225"/>
      <c r="DPF124" s="225"/>
      <c r="DPG124" s="225"/>
      <c r="DPH124" s="225"/>
      <c r="DPI124" s="225"/>
      <c r="DPJ124" s="225"/>
      <c r="DPK124" s="225"/>
      <c r="DPL124" s="225"/>
      <c r="DPM124" s="225"/>
      <c r="DPN124" s="225"/>
      <c r="DPO124" s="225"/>
      <c r="DPP124" s="225"/>
      <c r="DPQ124" s="225"/>
      <c r="DPR124" s="225"/>
      <c r="DPS124" s="225"/>
      <c r="DPT124" s="225"/>
      <c r="DPU124" s="225"/>
      <c r="DPV124" s="225"/>
      <c r="DPW124" s="225"/>
      <c r="DPX124" s="225"/>
      <c r="DPY124" s="225"/>
      <c r="DPZ124" s="225"/>
      <c r="DQA124" s="225"/>
      <c r="DQB124" s="225"/>
      <c r="DQC124" s="225"/>
      <c r="DQD124" s="225"/>
      <c r="DQE124" s="225"/>
      <c r="DQF124" s="225"/>
      <c r="DQG124" s="225"/>
      <c r="DQH124" s="225"/>
      <c r="DQI124" s="225"/>
      <c r="DQJ124" s="225"/>
      <c r="DQK124" s="225"/>
      <c r="DQL124" s="225"/>
      <c r="DQM124" s="225"/>
      <c r="DQN124" s="225"/>
      <c r="DQO124" s="225"/>
      <c r="DQP124" s="225"/>
      <c r="DQQ124" s="225"/>
      <c r="DQR124" s="225"/>
      <c r="DQS124" s="225"/>
      <c r="DQT124" s="225"/>
      <c r="DQU124" s="225"/>
      <c r="DQV124" s="225"/>
      <c r="DQW124" s="225"/>
      <c r="DQX124" s="225"/>
      <c r="DQY124" s="225"/>
      <c r="DQZ124" s="225"/>
      <c r="DRA124" s="225"/>
      <c r="DRB124" s="225"/>
      <c r="DRC124" s="225"/>
      <c r="DRD124" s="225"/>
      <c r="DRE124" s="225"/>
      <c r="DRF124" s="225"/>
      <c r="DRG124" s="225"/>
      <c r="DRH124" s="225"/>
      <c r="DRI124" s="225"/>
      <c r="DRJ124" s="225"/>
      <c r="DRK124" s="225"/>
      <c r="DRL124" s="225"/>
      <c r="DRM124" s="225"/>
      <c r="DRN124" s="225"/>
      <c r="DRO124" s="225"/>
      <c r="DRP124" s="225"/>
      <c r="DRQ124" s="225"/>
      <c r="DRR124" s="225"/>
      <c r="DRS124" s="225"/>
      <c r="DRT124" s="225"/>
      <c r="DRU124" s="225"/>
      <c r="DRV124" s="225"/>
      <c r="DRW124" s="225"/>
      <c r="DRX124" s="225"/>
      <c r="DRY124" s="225"/>
      <c r="DRZ124" s="225"/>
      <c r="DSA124" s="225"/>
      <c r="DSB124" s="225"/>
      <c r="DSC124" s="225"/>
      <c r="DSD124" s="225"/>
      <c r="DSE124" s="225"/>
      <c r="DSF124" s="225"/>
      <c r="DSG124" s="225"/>
      <c r="DSH124" s="225"/>
      <c r="DSI124" s="225"/>
      <c r="DSJ124" s="225"/>
      <c r="DSK124" s="225"/>
      <c r="DSL124" s="225"/>
      <c r="DSM124" s="225"/>
      <c r="DSN124" s="225"/>
      <c r="DSO124" s="225"/>
      <c r="DSP124" s="225"/>
      <c r="DSQ124" s="225"/>
      <c r="DSR124" s="225"/>
      <c r="DSS124" s="225"/>
      <c r="DST124" s="225"/>
      <c r="DSU124" s="225"/>
      <c r="DSV124" s="225"/>
      <c r="DSW124" s="225"/>
      <c r="DSX124" s="225"/>
      <c r="DSY124" s="225"/>
      <c r="DSZ124" s="225"/>
      <c r="DTA124" s="225"/>
      <c r="DTB124" s="225"/>
      <c r="DTC124" s="225"/>
      <c r="DTD124" s="225"/>
      <c r="DTE124" s="225"/>
      <c r="DTF124" s="225"/>
      <c r="DTG124" s="225"/>
      <c r="DTH124" s="225"/>
      <c r="DTI124" s="225"/>
      <c r="DTJ124" s="225"/>
      <c r="DTK124" s="225"/>
      <c r="DTL124" s="225"/>
      <c r="DTM124" s="225"/>
      <c r="DTN124" s="225"/>
      <c r="DTO124" s="225"/>
      <c r="DTP124" s="225"/>
      <c r="DTQ124" s="225"/>
      <c r="DTR124" s="225"/>
      <c r="DTS124" s="225"/>
      <c r="DTT124" s="225"/>
      <c r="DTU124" s="225"/>
      <c r="DTV124" s="225"/>
      <c r="DTW124" s="225"/>
      <c r="DTX124" s="225"/>
      <c r="DTY124" s="225"/>
      <c r="DTZ124" s="225"/>
      <c r="DUA124" s="225"/>
      <c r="DUB124" s="225"/>
      <c r="DUC124" s="225"/>
      <c r="DUD124" s="225"/>
      <c r="DUE124" s="225"/>
      <c r="DUF124" s="225"/>
      <c r="DUG124" s="225"/>
      <c r="DUH124" s="225"/>
      <c r="DUI124" s="225"/>
      <c r="DUJ124" s="225"/>
      <c r="DUK124" s="225"/>
      <c r="DUL124" s="225"/>
      <c r="DUM124" s="225"/>
      <c r="DUN124" s="225"/>
      <c r="DUO124" s="225"/>
      <c r="DUP124" s="225"/>
      <c r="DUQ124" s="225"/>
      <c r="DUR124" s="225"/>
      <c r="DUS124" s="225"/>
      <c r="DUT124" s="225"/>
      <c r="DUU124" s="225"/>
      <c r="DUV124" s="225"/>
      <c r="DUW124" s="225"/>
      <c r="DUX124" s="225"/>
      <c r="DUY124" s="225"/>
      <c r="DUZ124" s="225"/>
      <c r="DVA124" s="225"/>
      <c r="DVB124" s="225"/>
      <c r="DVC124" s="225"/>
      <c r="DVD124" s="225"/>
      <c r="DVE124" s="225"/>
      <c r="DVF124" s="225"/>
      <c r="DVG124" s="225"/>
      <c r="DVH124" s="225"/>
      <c r="DVI124" s="225"/>
      <c r="DVJ124" s="225"/>
      <c r="DVK124" s="225"/>
      <c r="DVL124" s="225"/>
      <c r="DVM124" s="225"/>
      <c r="DVN124" s="225"/>
      <c r="DVO124" s="225"/>
      <c r="DVP124" s="225"/>
      <c r="DVQ124" s="225"/>
      <c r="DVR124" s="225"/>
      <c r="DVS124" s="225"/>
      <c r="DVT124" s="225"/>
      <c r="DVU124" s="225"/>
      <c r="DVV124" s="225"/>
      <c r="DVW124" s="225"/>
      <c r="DVX124" s="225"/>
      <c r="DVY124" s="225"/>
      <c r="DVZ124" s="225"/>
      <c r="DWA124" s="225"/>
      <c r="DWB124" s="225"/>
      <c r="DWC124" s="225"/>
      <c r="DWD124" s="225"/>
      <c r="DWE124" s="225"/>
      <c r="DWF124" s="225"/>
      <c r="DWG124" s="225"/>
      <c r="DWH124" s="225"/>
      <c r="DWI124" s="225"/>
      <c r="DWJ124" s="225"/>
      <c r="DWK124" s="225"/>
      <c r="DWL124" s="225"/>
      <c r="DWM124" s="225"/>
      <c r="DWN124" s="225"/>
      <c r="DWO124" s="225"/>
      <c r="DWP124" s="225"/>
      <c r="DWQ124" s="225"/>
      <c r="DWR124" s="225"/>
      <c r="DWS124" s="225"/>
      <c r="DWT124" s="225"/>
      <c r="DWU124" s="225"/>
      <c r="DWV124" s="225"/>
      <c r="DWW124" s="225"/>
      <c r="DWX124" s="225"/>
      <c r="DWY124" s="225"/>
      <c r="DWZ124" s="225"/>
      <c r="DXA124" s="225"/>
      <c r="DXB124" s="225"/>
      <c r="DXC124" s="225"/>
      <c r="DXD124" s="225"/>
      <c r="DXE124" s="225"/>
      <c r="DXF124" s="225"/>
      <c r="DXG124" s="225"/>
      <c r="DXH124" s="225"/>
      <c r="DXI124" s="225"/>
      <c r="DXJ124" s="225"/>
      <c r="DXK124" s="225"/>
      <c r="DXL124" s="225"/>
      <c r="DXM124" s="225"/>
      <c r="DXN124" s="225"/>
      <c r="DXO124" s="225"/>
      <c r="DXP124" s="225"/>
      <c r="DXQ124" s="225"/>
      <c r="DXR124" s="225"/>
      <c r="DXS124" s="225"/>
      <c r="DXT124" s="225"/>
      <c r="DXU124" s="225"/>
      <c r="DXV124" s="225"/>
      <c r="DXW124" s="225"/>
      <c r="DXX124" s="225"/>
      <c r="DXY124" s="225"/>
      <c r="DXZ124" s="225"/>
      <c r="DYA124" s="225"/>
      <c r="DYB124" s="225"/>
      <c r="DYC124" s="225"/>
      <c r="DYD124" s="225"/>
      <c r="DYE124" s="225"/>
      <c r="DYF124" s="225"/>
      <c r="DYG124" s="225"/>
      <c r="DYH124" s="225"/>
      <c r="DYI124" s="225"/>
      <c r="DYJ124" s="225"/>
      <c r="DYK124" s="225"/>
      <c r="DYL124" s="225"/>
      <c r="DYM124" s="225"/>
      <c r="DYN124" s="225"/>
      <c r="DYO124" s="225"/>
      <c r="DYP124" s="225"/>
      <c r="DYQ124" s="225"/>
      <c r="DYR124" s="225"/>
      <c r="DYS124" s="225"/>
      <c r="DYT124" s="225"/>
      <c r="DYU124" s="225"/>
      <c r="DYV124" s="225"/>
      <c r="DYW124" s="225"/>
      <c r="DYX124" s="225"/>
      <c r="DYY124" s="225"/>
      <c r="DYZ124" s="225"/>
      <c r="DZA124" s="225"/>
      <c r="DZB124" s="225"/>
      <c r="DZC124" s="225"/>
      <c r="DZD124" s="225"/>
      <c r="DZE124" s="225"/>
      <c r="DZF124" s="225"/>
      <c r="DZG124" s="225"/>
      <c r="DZH124" s="225"/>
      <c r="DZI124" s="225"/>
      <c r="DZJ124" s="225"/>
      <c r="DZK124" s="225"/>
      <c r="DZL124" s="225"/>
      <c r="DZM124" s="225"/>
      <c r="DZN124" s="225"/>
      <c r="DZO124" s="225"/>
      <c r="DZP124" s="225"/>
      <c r="DZQ124" s="225"/>
      <c r="DZR124" s="225"/>
      <c r="DZS124" s="225"/>
      <c r="DZT124" s="225"/>
      <c r="DZU124" s="225"/>
      <c r="DZV124" s="225"/>
      <c r="DZW124" s="225"/>
      <c r="DZX124" s="225"/>
      <c r="DZY124" s="225"/>
      <c r="DZZ124" s="225"/>
      <c r="EAA124" s="225"/>
      <c r="EAB124" s="225"/>
      <c r="EAC124" s="225"/>
      <c r="EAD124" s="225"/>
      <c r="EAE124" s="225"/>
      <c r="EAF124" s="225"/>
      <c r="EAG124" s="225"/>
      <c r="EAH124" s="225"/>
      <c r="EAI124" s="225"/>
      <c r="EAJ124" s="225"/>
      <c r="EAK124" s="225"/>
      <c r="EAL124" s="225"/>
      <c r="EAM124" s="225"/>
      <c r="EAN124" s="225"/>
      <c r="EAO124" s="225"/>
      <c r="EAP124" s="225"/>
      <c r="EAQ124" s="225"/>
      <c r="EAR124" s="225"/>
      <c r="EAS124" s="225"/>
      <c r="EAT124" s="225"/>
      <c r="EAU124" s="225"/>
      <c r="EAV124" s="225"/>
      <c r="EAW124" s="225"/>
      <c r="EAX124" s="225"/>
      <c r="EAY124" s="225"/>
      <c r="EAZ124" s="225"/>
      <c r="EBA124" s="225"/>
      <c r="EBB124" s="225"/>
      <c r="EBC124" s="225"/>
      <c r="EBD124" s="225"/>
      <c r="EBE124" s="225"/>
      <c r="EBF124" s="225"/>
      <c r="EBG124" s="225"/>
      <c r="EBH124" s="225"/>
      <c r="EBI124" s="225"/>
      <c r="EBJ124" s="225"/>
      <c r="EBK124" s="225"/>
      <c r="EBL124" s="225"/>
      <c r="EBM124" s="225"/>
      <c r="EBN124" s="225"/>
      <c r="EBO124" s="225"/>
      <c r="EBP124" s="225"/>
      <c r="EBQ124" s="225"/>
      <c r="EBR124" s="225"/>
      <c r="EBS124" s="225"/>
      <c r="EBT124" s="225"/>
      <c r="EBU124" s="225"/>
      <c r="EBV124" s="225"/>
      <c r="EBW124" s="225"/>
      <c r="EBX124" s="225"/>
      <c r="EBY124" s="225"/>
      <c r="EBZ124" s="225"/>
      <c r="ECA124" s="225"/>
      <c r="ECB124" s="225"/>
      <c r="ECC124" s="225"/>
      <c r="ECD124" s="225"/>
      <c r="ECE124" s="225"/>
      <c r="ECF124" s="225"/>
      <c r="ECG124" s="225"/>
      <c r="ECH124" s="225"/>
      <c r="ECI124" s="225"/>
      <c r="ECJ124" s="225"/>
      <c r="ECK124" s="225"/>
      <c r="ECL124" s="225"/>
      <c r="ECM124" s="225"/>
      <c r="ECN124" s="225"/>
      <c r="ECO124" s="225"/>
      <c r="ECP124" s="225"/>
      <c r="ECQ124" s="225"/>
      <c r="ECR124" s="225"/>
      <c r="ECS124" s="225"/>
      <c r="ECT124" s="225"/>
      <c r="ECU124" s="225"/>
      <c r="ECV124" s="225"/>
      <c r="ECW124" s="225"/>
      <c r="ECX124" s="225"/>
      <c r="ECY124" s="225"/>
      <c r="ECZ124" s="225"/>
      <c r="EDA124" s="225"/>
      <c r="EDB124" s="225"/>
      <c r="EDC124" s="225"/>
      <c r="EDD124" s="225"/>
      <c r="EDE124" s="225"/>
      <c r="EDF124" s="225"/>
      <c r="EDG124" s="225"/>
      <c r="EDH124" s="225"/>
      <c r="EDI124" s="225"/>
      <c r="EDJ124" s="225"/>
      <c r="EDK124" s="225"/>
      <c r="EDL124" s="225"/>
      <c r="EDM124" s="225"/>
      <c r="EDN124" s="225"/>
      <c r="EDO124" s="225"/>
      <c r="EDP124" s="225"/>
      <c r="EDQ124" s="225"/>
      <c r="EDR124" s="225"/>
      <c r="EDS124" s="225"/>
      <c r="EDT124" s="225"/>
      <c r="EDU124" s="225"/>
      <c r="EDV124" s="225"/>
      <c r="EDW124" s="225"/>
      <c r="EDX124" s="225"/>
      <c r="EDY124" s="225"/>
      <c r="EDZ124" s="225"/>
      <c r="EEA124" s="225"/>
      <c r="EEB124" s="225"/>
      <c r="EEC124" s="225"/>
      <c r="EED124" s="225"/>
      <c r="EEE124" s="225"/>
      <c r="EEF124" s="225"/>
      <c r="EEG124" s="225"/>
      <c r="EEH124" s="225"/>
      <c r="EEI124" s="225"/>
      <c r="EEJ124" s="225"/>
      <c r="EEK124" s="225"/>
      <c r="EEL124" s="225"/>
      <c r="EEM124" s="225"/>
      <c r="EEN124" s="225"/>
      <c r="EEO124" s="225"/>
      <c r="EEP124" s="225"/>
      <c r="EEQ124" s="225"/>
      <c r="EER124" s="225"/>
      <c r="EES124" s="225"/>
      <c r="EET124" s="225"/>
      <c r="EEU124" s="225"/>
      <c r="EEV124" s="225"/>
      <c r="EEW124" s="225"/>
      <c r="EEX124" s="225"/>
      <c r="EEY124" s="225"/>
      <c r="EEZ124" s="225"/>
      <c r="EFA124" s="225"/>
      <c r="EFB124" s="225"/>
      <c r="EFC124" s="225"/>
      <c r="EFD124" s="225"/>
      <c r="EFE124" s="225"/>
      <c r="EFF124" s="225"/>
      <c r="EFG124" s="225"/>
      <c r="EFH124" s="225"/>
      <c r="EFI124" s="225"/>
      <c r="EFJ124" s="225"/>
      <c r="EFK124" s="225"/>
      <c r="EFL124" s="225"/>
      <c r="EFM124" s="225"/>
      <c r="EFN124" s="225"/>
      <c r="EFO124" s="225"/>
      <c r="EFP124" s="225"/>
      <c r="EFQ124" s="225"/>
      <c r="EFR124" s="225"/>
      <c r="EFS124" s="225"/>
      <c r="EFT124" s="225"/>
      <c r="EFU124" s="225"/>
      <c r="EFV124" s="225"/>
      <c r="EFW124" s="225"/>
      <c r="EFX124" s="225"/>
      <c r="EFY124" s="225"/>
      <c r="EFZ124" s="225"/>
      <c r="EGA124" s="225"/>
      <c r="EGB124" s="225"/>
      <c r="EGC124" s="225"/>
      <c r="EGD124" s="225"/>
      <c r="EGE124" s="225"/>
      <c r="EGF124" s="225"/>
      <c r="EGG124" s="225"/>
      <c r="EGH124" s="225"/>
      <c r="EGI124" s="225"/>
      <c r="EGJ124" s="225"/>
      <c r="EGK124" s="225"/>
      <c r="EGL124" s="225"/>
      <c r="EGM124" s="225"/>
      <c r="EGN124" s="225"/>
      <c r="EGO124" s="225"/>
      <c r="EGP124" s="225"/>
      <c r="EGQ124" s="225"/>
      <c r="EGR124" s="225"/>
      <c r="EGS124" s="225"/>
      <c r="EGT124" s="225"/>
      <c r="EGU124" s="225"/>
      <c r="EGV124" s="225"/>
      <c r="EGW124" s="225"/>
      <c r="EGX124" s="225"/>
      <c r="EGY124" s="225"/>
      <c r="EGZ124" s="225"/>
      <c r="EHA124" s="225"/>
      <c r="EHB124" s="225"/>
      <c r="EHC124" s="225"/>
      <c r="EHD124" s="225"/>
      <c r="EHE124" s="225"/>
      <c r="EHF124" s="225"/>
      <c r="EHG124" s="225"/>
      <c r="EHH124" s="225"/>
      <c r="EHI124" s="225"/>
      <c r="EHJ124" s="225"/>
      <c r="EHK124" s="225"/>
      <c r="EHL124" s="225"/>
      <c r="EHM124" s="225"/>
      <c r="EHN124" s="225"/>
      <c r="EHO124" s="225"/>
      <c r="EHP124" s="225"/>
      <c r="EHQ124" s="225"/>
      <c r="EHR124" s="225"/>
      <c r="EHS124" s="225"/>
      <c r="EHT124" s="225"/>
      <c r="EHU124" s="225"/>
      <c r="EHV124" s="225"/>
      <c r="EHW124" s="225"/>
      <c r="EHX124" s="225"/>
      <c r="EHY124" s="225"/>
      <c r="EHZ124" s="225"/>
      <c r="EIA124" s="225"/>
      <c r="EIB124" s="225"/>
      <c r="EIC124" s="225"/>
      <c r="EID124" s="225"/>
      <c r="EIE124" s="225"/>
      <c r="EIF124" s="225"/>
      <c r="EIG124" s="225"/>
      <c r="EIH124" s="225"/>
      <c r="EII124" s="225"/>
      <c r="EIJ124" s="225"/>
      <c r="EIK124" s="225"/>
      <c r="EIL124" s="225"/>
      <c r="EIM124" s="225"/>
      <c r="EIN124" s="225"/>
      <c r="EIO124" s="225"/>
      <c r="EIP124" s="225"/>
      <c r="EIQ124" s="225"/>
      <c r="EIR124" s="225"/>
      <c r="EIS124" s="225"/>
      <c r="EIT124" s="225"/>
      <c r="EIU124" s="225"/>
      <c r="EIV124" s="225"/>
      <c r="EIW124" s="225"/>
      <c r="EIX124" s="225"/>
      <c r="EIY124" s="225"/>
      <c r="EIZ124" s="225"/>
      <c r="EJA124" s="225"/>
      <c r="EJB124" s="225"/>
      <c r="EJC124" s="225"/>
      <c r="EJD124" s="225"/>
      <c r="EJE124" s="225"/>
      <c r="EJF124" s="225"/>
      <c r="EJG124" s="225"/>
      <c r="EJH124" s="225"/>
      <c r="EJI124" s="225"/>
      <c r="EJJ124" s="225"/>
      <c r="EJK124" s="225"/>
      <c r="EJL124" s="225"/>
      <c r="EJM124" s="225"/>
      <c r="EJN124" s="225"/>
      <c r="EJO124" s="225"/>
      <c r="EJP124" s="225"/>
      <c r="EJQ124" s="225"/>
      <c r="EJR124" s="225"/>
      <c r="EJS124" s="225"/>
      <c r="EJT124" s="225"/>
      <c r="EJU124" s="225"/>
      <c r="EJV124" s="225"/>
      <c r="EJW124" s="225"/>
      <c r="EJX124" s="225"/>
      <c r="EJY124" s="225"/>
      <c r="EJZ124" s="225"/>
      <c r="EKA124" s="225"/>
      <c r="EKB124" s="225"/>
      <c r="EKC124" s="225"/>
      <c r="EKD124" s="225"/>
      <c r="EKE124" s="225"/>
      <c r="EKF124" s="225"/>
      <c r="EKG124" s="225"/>
      <c r="EKH124" s="225"/>
      <c r="EKI124" s="225"/>
      <c r="EKJ124" s="225"/>
      <c r="EKK124" s="225"/>
      <c r="EKL124" s="225"/>
      <c r="EKM124" s="225"/>
      <c r="EKN124" s="225"/>
      <c r="EKO124" s="225"/>
      <c r="EKP124" s="225"/>
      <c r="EKQ124" s="225"/>
      <c r="EKR124" s="225"/>
      <c r="EKS124" s="225"/>
      <c r="EKT124" s="225"/>
      <c r="EKU124" s="225"/>
      <c r="EKV124" s="225"/>
      <c r="EKW124" s="225"/>
      <c r="EKX124" s="225"/>
      <c r="EKY124" s="225"/>
      <c r="EKZ124" s="225"/>
      <c r="ELA124" s="225"/>
      <c r="ELB124" s="225"/>
      <c r="ELC124" s="225"/>
      <c r="ELD124" s="225"/>
      <c r="ELE124" s="225"/>
      <c r="ELF124" s="225"/>
      <c r="ELG124" s="225"/>
      <c r="ELH124" s="225"/>
      <c r="ELI124" s="225"/>
      <c r="ELJ124" s="225"/>
      <c r="ELK124" s="225"/>
      <c r="ELL124" s="225"/>
      <c r="ELM124" s="225"/>
      <c r="ELN124" s="225"/>
      <c r="ELO124" s="225"/>
      <c r="ELP124" s="225"/>
      <c r="ELQ124" s="225"/>
      <c r="ELR124" s="225"/>
      <c r="ELS124" s="225"/>
      <c r="ELT124" s="225"/>
      <c r="ELU124" s="225"/>
      <c r="ELV124" s="225"/>
      <c r="ELW124" s="225"/>
      <c r="ELX124" s="225"/>
      <c r="ELY124" s="225"/>
      <c r="ELZ124" s="225"/>
      <c r="EMA124" s="225"/>
      <c r="EMB124" s="225"/>
      <c r="EMC124" s="225"/>
      <c r="EMD124" s="225"/>
      <c r="EME124" s="225"/>
      <c r="EMF124" s="225"/>
      <c r="EMG124" s="225"/>
      <c r="EMH124" s="225"/>
      <c r="EMI124" s="225"/>
      <c r="EMJ124" s="225"/>
      <c r="EMK124" s="225"/>
      <c r="EML124" s="225"/>
      <c r="EMM124" s="225"/>
      <c r="EMN124" s="225"/>
      <c r="EMO124" s="225"/>
      <c r="EMP124" s="225"/>
      <c r="EMQ124" s="225"/>
      <c r="EMR124" s="225"/>
      <c r="EMS124" s="225"/>
      <c r="EMT124" s="225"/>
      <c r="EMU124" s="225"/>
      <c r="EMV124" s="225"/>
      <c r="EMW124" s="225"/>
      <c r="EMX124" s="225"/>
      <c r="EMY124" s="225"/>
      <c r="EMZ124" s="225"/>
      <c r="ENA124" s="225"/>
      <c r="ENB124" s="225"/>
      <c r="ENC124" s="225"/>
      <c r="END124" s="225"/>
      <c r="ENE124" s="225"/>
      <c r="ENF124" s="225"/>
      <c r="ENG124" s="225"/>
      <c r="ENH124" s="225"/>
      <c r="ENI124" s="225"/>
      <c r="ENJ124" s="225"/>
      <c r="ENK124" s="225"/>
      <c r="ENL124" s="225"/>
      <c r="ENM124" s="225"/>
      <c r="ENN124" s="225"/>
      <c r="ENO124" s="225"/>
      <c r="ENP124" s="225"/>
      <c r="ENQ124" s="225"/>
      <c r="ENR124" s="225"/>
      <c r="ENS124" s="225"/>
      <c r="ENT124" s="225"/>
      <c r="ENU124" s="225"/>
      <c r="ENV124" s="225"/>
      <c r="ENW124" s="225"/>
      <c r="ENX124" s="225"/>
      <c r="ENY124" s="225"/>
      <c r="ENZ124" s="225"/>
      <c r="EOA124" s="225"/>
      <c r="EOB124" s="225"/>
      <c r="EOC124" s="225"/>
      <c r="EOD124" s="225"/>
      <c r="EOE124" s="225"/>
      <c r="EOF124" s="225"/>
      <c r="EOG124" s="225"/>
      <c r="EOH124" s="225"/>
      <c r="EOI124" s="225"/>
      <c r="EOJ124" s="225"/>
      <c r="EOK124" s="225"/>
      <c r="EOL124" s="225"/>
      <c r="EOM124" s="225"/>
      <c r="EON124" s="225"/>
      <c r="EOO124" s="225"/>
      <c r="EOP124" s="225"/>
      <c r="EOQ124" s="225"/>
      <c r="EOR124" s="225"/>
      <c r="EOS124" s="225"/>
      <c r="EOT124" s="225"/>
      <c r="EOU124" s="225"/>
      <c r="EOV124" s="225"/>
      <c r="EOW124" s="225"/>
      <c r="EOX124" s="225"/>
      <c r="EOY124" s="225"/>
      <c r="EOZ124" s="225"/>
      <c r="EPA124" s="225"/>
      <c r="EPB124" s="225"/>
      <c r="EPC124" s="225"/>
      <c r="EPD124" s="225"/>
      <c r="EPE124" s="225"/>
      <c r="EPF124" s="225"/>
      <c r="EPG124" s="225"/>
      <c r="EPH124" s="225"/>
      <c r="EPI124" s="225"/>
      <c r="EPJ124" s="225"/>
      <c r="EPK124" s="225"/>
      <c r="EPL124" s="225"/>
      <c r="EPM124" s="225"/>
      <c r="EPN124" s="225"/>
      <c r="EPO124" s="225"/>
      <c r="EPP124" s="225"/>
      <c r="EPQ124" s="225"/>
      <c r="EPR124" s="225"/>
      <c r="EPS124" s="225"/>
      <c r="EPT124" s="225"/>
      <c r="EPU124" s="225"/>
      <c r="EPV124" s="225"/>
      <c r="EPW124" s="225"/>
      <c r="EPX124" s="225"/>
      <c r="EPY124" s="225"/>
      <c r="EPZ124" s="225"/>
      <c r="EQA124" s="225"/>
      <c r="EQB124" s="225"/>
      <c r="EQC124" s="225"/>
      <c r="EQD124" s="225"/>
      <c r="EQE124" s="225"/>
      <c r="EQF124" s="225"/>
      <c r="EQG124" s="225"/>
      <c r="EQH124" s="225"/>
      <c r="EQI124" s="225"/>
      <c r="EQJ124" s="225"/>
      <c r="EQK124" s="225"/>
      <c r="EQL124" s="225"/>
      <c r="EQM124" s="225"/>
      <c r="EQN124" s="225"/>
      <c r="EQO124" s="225"/>
      <c r="EQP124" s="225"/>
      <c r="EQQ124" s="225"/>
      <c r="EQR124" s="225"/>
      <c r="EQS124" s="225"/>
      <c r="EQT124" s="225"/>
      <c r="EQU124" s="225"/>
      <c r="EQV124" s="225"/>
      <c r="EQW124" s="225"/>
      <c r="EQX124" s="225"/>
      <c r="EQY124" s="225"/>
      <c r="EQZ124" s="225"/>
      <c r="ERA124" s="225"/>
      <c r="ERB124" s="225"/>
      <c r="ERC124" s="225"/>
      <c r="ERD124" s="225"/>
      <c r="ERE124" s="225"/>
      <c r="ERF124" s="225"/>
      <c r="ERG124" s="225"/>
      <c r="ERH124" s="225"/>
      <c r="ERI124" s="225"/>
      <c r="ERJ124" s="225"/>
      <c r="ERK124" s="225"/>
      <c r="ERL124" s="225"/>
      <c r="ERM124" s="225"/>
      <c r="ERN124" s="225"/>
      <c r="ERO124" s="225"/>
      <c r="ERP124" s="225"/>
      <c r="ERQ124" s="225"/>
      <c r="ERR124" s="225"/>
      <c r="ERS124" s="225"/>
      <c r="ERT124" s="225"/>
      <c r="ERU124" s="225"/>
      <c r="ERV124" s="225"/>
      <c r="ERW124" s="225"/>
      <c r="ERX124" s="225"/>
      <c r="ERY124" s="225"/>
      <c r="ERZ124" s="225"/>
      <c r="ESA124" s="225"/>
      <c r="ESB124" s="225"/>
      <c r="ESC124" s="225"/>
      <c r="ESD124" s="225"/>
      <c r="ESE124" s="225"/>
      <c r="ESF124" s="225"/>
      <c r="ESG124" s="225"/>
      <c r="ESH124" s="225"/>
      <c r="ESI124" s="225"/>
      <c r="ESJ124" s="225"/>
      <c r="ESK124" s="225"/>
      <c r="ESL124" s="225"/>
      <c r="ESM124" s="225"/>
      <c r="ESN124" s="225"/>
      <c r="ESO124" s="225"/>
      <c r="ESP124" s="225"/>
      <c r="ESQ124" s="225"/>
      <c r="ESR124" s="225"/>
      <c r="ESS124" s="225"/>
      <c r="EST124" s="225"/>
      <c r="ESU124" s="225"/>
      <c r="ESV124" s="225"/>
      <c r="ESW124" s="225"/>
      <c r="ESX124" s="225"/>
      <c r="ESY124" s="225"/>
      <c r="ESZ124" s="225"/>
      <c r="ETA124" s="225"/>
      <c r="ETB124" s="225"/>
      <c r="ETC124" s="225"/>
      <c r="ETD124" s="225"/>
      <c r="ETE124" s="225"/>
      <c r="ETF124" s="225"/>
      <c r="ETG124" s="225"/>
      <c r="ETH124" s="225"/>
      <c r="ETI124" s="225"/>
      <c r="ETJ124" s="225"/>
      <c r="ETK124" s="225"/>
      <c r="ETL124" s="225"/>
      <c r="ETM124" s="225"/>
      <c r="ETN124" s="225"/>
      <c r="ETO124" s="225"/>
      <c r="ETP124" s="225"/>
      <c r="ETQ124" s="225"/>
      <c r="ETR124" s="225"/>
      <c r="ETS124" s="225"/>
      <c r="ETT124" s="225"/>
      <c r="ETU124" s="225"/>
      <c r="ETV124" s="225"/>
      <c r="ETW124" s="225"/>
      <c r="ETX124" s="225"/>
      <c r="ETY124" s="225"/>
      <c r="ETZ124" s="225"/>
      <c r="EUA124" s="225"/>
      <c r="EUB124" s="225"/>
      <c r="EUC124" s="225"/>
      <c r="EUD124" s="225"/>
      <c r="EUE124" s="225"/>
      <c r="EUF124" s="225"/>
      <c r="EUG124" s="225"/>
      <c r="EUH124" s="225"/>
      <c r="EUI124" s="225"/>
      <c r="EUJ124" s="225"/>
      <c r="EUK124" s="225"/>
      <c r="EUL124" s="225"/>
      <c r="EUM124" s="225"/>
      <c r="EUN124" s="225"/>
      <c r="EUO124" s="225"/>
      <c r="EUP124" s="225"/>
      <c r="EUQ124" s="225"/>
      <c r="EUR124" s="225"/>
      <c r="EUS124" s="225"/>
      <c r="EUT124" s="225"/>
      <c r="EUU124" s="225"/>
      <c r="EUV124" s="225"/>
      <c r="EUW124" s="225"/>
      <c r="EUX124" s="225"/>
      <c r="EUY124" s="225"/>
      <c r="EUZ124" s="225"/>
      <c r="EVA124" s="225"/>
      <c r="EVB124" s="225"/>
      <c r="EVC124" s="225"/>
      <c r="EVD124" s="225"/>
      <c r="EVE124" s="225"/>
      <c r="EVF124" s="225"/>
      <c r="EVG124" s="225"/>
      <c r="EVH124" s="225"/>
      <c r="EVI124" s="225"/>
      <c r="EVJ124" s="225"/>
      <c r="EVK124" s="225"/>
      <c r="EVL124" s="225"/>
      <c r="EVM124" s="225"/>
      <c r="EVN124" s="225"/>
      <c r="EVO124" s="225"/>
      <c r="EVP124" s="225"/>
      <c r="EVQ124" s="225"/>
      <c r="EVR124" s="225"/>
      <c r="EVS124" s="225"/>
      <c r="EVT124" s="225"/>
      <c r="EVU124" s="225"/>
      <c r="EVV124" s="225"/>
      <c r="EVW124" s="225"/>
      <c r="EVX124" s="225"/>
      <c r="EVY124" s="225"/>
      <c r="EVZ124" s="225"/>
      <c r="EWA124" s="225"/>
      <c r="EWB124" s="225"/>
      <c r="EWC124" s="225"/>
      <c r="EWD124" s="225"/>
      <c r="EWE124" s="225"/>
      <c r="EWF124" s="225"/>
      <c r="EWG124" s="225"/>
      <c r="EWH124" s="225"/>
      <c r="EWI124" s="225"/>
      <c r="EWJ124" s="225"/>
      <c r="EWK124" s="225"/>
      <c r="EWL124" s="225"/>
      <c r="EWM124" s="225"/>
      <c r="EWN124" s="225"/>
      <c r="EWO124" s="225"/>
      <c r="EWP124" s="225"/>
      <c r="EWQ124" s="225"/>
      <c r="EWR124" s="225"/>
      <c r="EWS124" s="225"/>
      <c r="EWT124" s="225"/>
      <c r="EWU124" s="225"/>
      <c r="EWV124" s="225"/>
      <c r="EWW124" s="225"/>
      <c r="EWX124" s="225"/>
      <c r="EWY124" s="225"/>
      <c r="EWZ124" s="225"/>
      <c r="EXA124" s="225"/>
      <c r="EXB124" s="225"/>
      <c r="EXC124" s="225"/>
      <c r="EXD124" s="225"/>
      <c r="EXE124" s="225"/>
      <c r="EXF124" s="225"/>
      <c r="EXG124" s="225"/>
      <c r="EXH124" s="225"/>
      <c r="EXI124" s="225"/>
      <c r="EXJ124" s="225"/>
      <c r="EXK124" s="225"/>
      <c r="EXL124" s="225"/>
      <c r="EXM124" s="225"/>
      <c r="EXN124" s="225"/>
      <c r="EXO124" s="225"/>
      <c r="EXP124" s="225"/>
      <c r="EXQ124" s="225"/>
      <c r="EXR124" s="225"/>
      <c r="EXS124" s="225"/>
      <c r="EXT124" s="225"/>
      <c r="EXU124" s="225"/>
      <c r="EXV124" s="225"/>
      <c r="EXW124" s="225"/>
      <c r="EXX124" s="225"/>
      <c r="EXY124" s="225"/>
      <c r="EXZ124" s="225"/>
      <c r="EYA124" s="225"/>
      <c r="EYB124" s="225"/>
      <c r="EYC124" s="225"/>
      <c r="EYD124" s="225"/>
      <c r="EYE124" s="225"/>
      <c r="EYF124" s="225"/>
      <c r="EYG124" s="225"/>
      <c r="EYH124" s="225"/>
      <c r="EYI124" s="225"/>
      <c r="EYJ124" s="225"/>
      <c r="EYK124" s="225"/>
      <c r="EYL124" s="225"/>
      <c r="EYM124" s="225"/>
      <c r="EYN124" s="225"/>
      <c r="EYO124" s="225"/>
      <c r="EYP124" s="225"/>
      <c r="EYQ124" s="225"/>
      <c r="EYR124" s="225"/>
      <c r="EYS124" s="225"/>
      <c r="EYT124" s="225"/>
      <c r="EYU124" s="225"/>
      <c r="EYV124" s="225"/>
      <c r="EYW124" s="225"/>
      <c r="EYX124" s="225"/>
      <c r="EYY124" s="225"/>
      <c r="EYZ124" s="225"/>
      <c r="EZA124" s="225"/>
      <c r="EZB124" s="225"/>
      <c r="EZC124" s="225"/>
      <c r="EZD124" s="225"/>
      <c r="EZE124" s="225"/>
      <c r="EZF124" s="225"/>
      <c r="EZG124" s="225"/>
      <c r="EZH124" s="225"/>
      <c r="EZI124" s="225"/>
      <c r="EZJ124" s="225"/>
      <c r="EZK124" s="225"/>
      <c r="EZL124" s="225"/>
      <c r="EZM124" s="225"/>
      <c r="EZN124" s="225"/>
      <c r="EZO124" s="225"/>
      <c r="EZP124" s="225"/>
      <c r="EZQ124" s="225"/>
      <c r="EZR124" s="225"/>
      <c r="EZS124" s="225"/>
      <c r="EZT124" s="225"/>
      <c r="EZU124" s="225"/>
      <c r="EZV124" s="225"/>
      <c r="EZW124" s="225"/>
      <c r="EZX124" s="225"/>
      <c r="EZY124" s="225"/>
      <c r="EZZ124" s="225"/>
      <c r="FAA124" s="225"/>
      <c r="FAB124" s="225"/>
      <c r="FAC124" s="225"/>
      <c r="FAD124" s="225"/>
      <c r="FAE124" s="225"/>
      <c r="FAF124" s="225"/>
      <c r="FAG124" s="225"/>
      <c r="FAH124" s="225"/>
      <c r="FAI124" s="225"/>
      <c r="FAJ124" s="225"/>
      <c r="FAK124" s="225"/>
      <c r="FAL124" s="225"/>
      <c r="FAM124" s="225"/>
      <c r="FAN124" s="225"/>
      <c r="FAO124" s="225"/>
      <c r="FAP124" s="225"/>
      <c r="FAQ124" s="225"/>
      <c r="FAR124" s="225"/>
      <c r="FAS124" s="225"/>
      <c r="FAT124" s="225"/>
      <c r="FAU124" s="225"/>
      <c r="FAV124" s="225"/>
      <c r="FAW124" s="225"/>
      <c r="FAX124" s="225"/>
      <c r="FAY124" s="225"/>
      <c r="FAZ124" s="225"/>
      <c r="FBA124" s="225"/>
      <c r="FBB124" s="225"/>
      <c r="FBC124" s="225"/>
      <c r="FBD124" s="225"/>
      <c r="FBE124" s="225"/>
      <c r="FBF124" s="225"/>
      <c r="FBG124" s="225"/>
      <c r="FBH124" s="225"/>
      <c r="FBI124" s="225"/>
      <c r="FBJ124" s="225"/>
      <c r="FBK124" s="225"/>
      <c r="FBL124" s="225"/>
      <c r="FBM124" s="225"/>
      <c r="FBN124" s="225"/>
      <c r="FBO124" s="225"/>
      <c r="FBP124" s="225"/>
      <c r="FBQ124" s="225"/>
      <c r="FBR124" s="225"/>
      <c r="FBS124" s="225"/>
      <c r="FBT124" s="225"/>
      <c r="FBU124" s="225"/>
      <c r="FBV124" s="225"/>
      <c r="FBW124" s="225"/>
      <c r="FBX124" s="225"/>
      <c r="FBY124" s="225"/>
      <c r="FBZ124" s="225"/>
      <c r="FCA124" s="225"/>
      <c r="FCB124" s="225"/>
      <c r="FCC124" s="225"/>
      <c r="FCD124" s="225"/>
      <c r="FCE124" s="225"/>
      <c r="FCF124" s="225"/>
      <c r="FCG124" s="225"/>
      <c r="FCH124" s="225"/>
      <c r="FCI124" s="225"/>
      <c r="FCJ124" s="225"/>
      <c r="FCK124" s="225"/>
      <c r="FCL124" s="225"/>
      <c r="FCM124" s="225"/>
      <c r="FCN124" s="225"/>
      <c r="FCO124" s="225"/>
      <c r="FCP124" s="225"/>
      <c r="FCQ124" s="225"/>
      <c r="FCR124" s="225"/>
      <c r="FCS124" s="225"/>
      <c r="FCT124" s="225"/>
      <c r="FCU124" s="225"/>
      <c r="FCV124" s="225"/>
      <c r="FCW124" s="225"/>
      <c r="FCX124" s="225"/>
      <c r="FCY124" s="225"/>
      <c r="FCZ124" s="225"/>
      <c r="FDA124" s="225"/>
      <c r="FDB124" s="225"/>
      <c r="FDC124" s="225"/>
      <c r="FDD124" s="225"/>
      <c r="FDE124" s="225"/>
      <c r="FDF124" s="225"/>
      <c r="FDG124" s="225"/>
      <c r="FDH124" s="225"/>
      <c r="FDI124" s="225"/>
      <c r="FDJ124" s="225"/>
      <c r="FDK124" s="225"/>
      <c r="FDL124" s="225"/>
      <c r="FDM124" s="225"/>
      <c r="FDN124" s="225"/>
      <c r="FDO124" s="225"/>
      <c r="FDP124" s="225"/>
      <c r="FDQ124" s="225"/>
      <c r="FDR124" s="225"/>
      <c r="FDS124" s="225"/>
      <c r="FDT124" s="225"/>
      <c r="FDU124" s="225"/>
      <c r="FDV124" s="225"/>
      <c r="FDW124" s="225"/>
      <c r="FDX124" s="225"/>
      <c r="FDY124" s="225"/>
      <c r="FDZ124" s="225"/>
      <c r="FEA124" s="225"/>
      <c r="FEB124" s="225"/>
      <c r="FEC124" s="225"/>
      <c r="FED124" s="225"/>
      <c r="FEE124" s="225"/>
      <c r="FEF124" s="225"/>
      <c r="FEG124" s="225"/>
      <c r="FEH124" s="225"/>
      <c r="FEI124" s="225"/>
      <c r="FEJ124" s="225"/>
      <c r="FEK124" s="225"/>
      <c r="FEL124" s="225"/>
      <c r="FEM124" s="225"/>
      <c r="FEN124" s="225"/>
      <c r="FEO124" s="225"/>
      <c r="FEP124" s="225"/>
      <c r="FEQ124" s="225"/>
      <c r="FER124" s="225"/>
      <c r="FES124" s="225"/>
      <c r="FET124" s="225"/>
      <c r="FEU124" s="225"/>
      <c r="FEV124" s="225"/>
      <c r="FEW124" s="225"/>
      <c r="FEX124" s="225"/>
      <c r="FEY124" s="225"/>
      <c r="FEZ124" s="225"/>
      <c r="FFA124" s="225"/>
      <c r="FFB124" s="225"/>
      <c r="FFC124" s="225"/>
      <c r="FFD124" s="225"/>
      <c r="FFE124" s="225"/>
      <c r="FFF124" s="225"/>
      <c r="FFG124" s="225"/>
      <c r="FFH124" s="225"/>
      <c r="FFI124" s="225"/>
      <c r="FFJ124" s="225"/>
      <c r="FFK124" s="225"/>
      <c r="FFL124" s="225"/>
      <c r="FFM124" s="225"/>
      <c r="FFN124" s="225"/>
      <c r="FFO124" s="225"/>
      <c r="FFP124" s="225"/>
      <c r="FFQ124" s="225"/>
      <c r="FFR124" s="225"/>
      <c r="FFS124" s="225"/>
      <c r="FFT124" s="225"/>
      <c r="FFU124" s="225"/>
      <c r="FFV124" s="225"/>
      <c r="FFW124" s="225"/>
      <c r="FFX124" s="225"/>
      <c r="FFY124" s="225"/>
      <c r="FFZ124" s="225"/>
      <c r="FGA124" s="225"/>
      <c r="FGB124" s="225"/>
      <c r="FGC124" s="225"/>
      <c r="FGD124" s="225"/>
      <c r="FGE124" s="225"/>
      <c r="FGF124" s="225"/>
      <c r="FGG124" s="225"/>
      <c r="FGH124" s="225"/>
      <c r="FGI124" s="225"/>
      <c r="FGJ124" s="225"/>
      <c r="FGK124" s="225"/>
      <c r="FGL124" s="225"/>
      <c r="FGM124" s="225"/>
      <c r="FGN124" s="225"/>
      <c r="FGO124" s="225"/>
      <c r="FGP124" s="225"/>
      <c r="FGQ124" s="225"/>
      <c r="FGR124" s="225"/>
      <c r="FGS124" s="225"/>
      <c r="FGT124" s="225"/>
      <c r="FGU124" s="225"/>
      <c r="FGV124" s="225"/>
      <c r="FGW124" s="225"/>
      <c r="FGX124" s="225"/>
      <c r="FGY124" s="225"/>
      <c r="FGZ124" s="225"/>
      <c r="FHA124" s="225"/>
      <c r="FHB124" s="225"/>
      <c r="FHC124" s="225"/>
      <c r="FHD124" s="225"/>
      <c r="FHE124" s="225"/>
      <c r="FHF124" s="225"/>
      <c r="FHG124" s="225"/>
      <c r="FHH124" s="225"/>
      <c r="FHI124" s="225"/>
      <c r="FHJ124" s="225"/>
      <c r="FHK124" s="225"/>
      <c r="FHL124" s="225"/>
      <c r="FHM124" s="225"/>
      <c r="FHN124" s="225"/>
      <c r="FHO124" s="225"/>
      <c r="FHP124" s="225"/>
      <c r="FHQ124" s="225"/>
      <c r="FHR124" s="225"/>
      <c r="FHS124" s="225"/>
      <c r="FHT124" s="225"/>
      <c r="FHU124" s="225"/>
      <c r="FHV124" s="225"/>
      <c r="FHW124" s="225"/>
      <c r="FHX124" s="225"/>
      <c r="FHY124" s="225"/>
      <c r="FHZ124" s="225"/>
      <c r="FIA124" s="225"/>
      <c r="FIB124" s="225"/>
      <c r="FIC124" s="225"/>
      <c r="FID124" s="225"/>
      <c r="FIE124" s="225"/>
      <c r="FIF124" s="225"/>
      <c r="FIG124" s="225"/>
      <c r="FIH124" s="225"/>
      <c r="FII124" s="225"/>
      <c r="FIJ124" s="225"/>
      <c r="FIK124" s="225"/>
      <c r="FIL124" s="225"/>
      <c r="FIM124" s="225"/>
      <c r="FIN124" s="225"/>
      <c r="FIO124" s="225"/>
      <c r="FIP124" s="225"/>
      <c r="FIQ124" s="225"/>
      <c r="FIR124" s="225"/>
      <c r="FIS124" s="225"/>
      <c r="FIT124" s="225"/>
      <c r="FIU124" s="225"/>
      <c r="FIV124" s="225"/>
      <c r="FIW124" s="225"/>
      <c r="FIX124" s="225"/>
      <c r="FIY124" s="225"/>
      <c r="FIZ124" s="225"/>
      <c r="FJA124" s="225"/>
      <c r="FJB124" s="225"/>
      <c r="FJC124" s="225"/>
      <c r="FJD124" s="225"/>
      <c r="FJE124" s="225"/>
      <c r="FJF124" s="225"/>
      <c r="FJG124" s="225"/>
      <c r="FJH124" s="225"/>
      <c r="FJI124" s="225"/>
      <c r="FJJ124" s="225"/>
      <c r="FJK124" s="225"/>
      <c r="FJL124" s="225"/>
      <c r="FJM124" s="225"/>
      <c r="FJN124" s="225"/>
      <c r="FJO124" s="225"/>
      <c r="FJP124" s="225"/>
      <c r="FJQ124" s="225"/>
      <c r="FJR124" s="225"/>
      <c r="FJS124" s="225"/>
      <c r="FJT124" s="225"/>
      <c r="FJU124" s="225"/>
      <c r="FJV124" s="225"/>
      <c r="FJW124" s="225"/>
      <c r="FJX124" s="225"/>
      <c r="FJY124" s="225"/>
      <c r="FJZ124" s="225"/>
      <c r="FKA124" s="225"/>
      <c r="FKB124" s="225"/>
      <c r="FKC124" s="225"/>
      <c r="FKD124" s="225"/>
      <c r="FKE124" s="225"/>
      <c r="FKF124" s="225"/>
      <c r="FKG124" s="225"/>
      <c r="FKH124" s="225"/>
      <c r="FKI124" s="225"/>
      <c r="FKJ124" s="225"/>
      <c r="FKK124" s="225"/>
      <c r="FKL124" s="225"/>
      <c r="FKM124" s="225"/>
      <c r="FKN124" s="225"/>
      <c r="FKO124" s="225"/>
      <c r="FKP124" s="225"/>
      <c r="FKQ124" s="225"/>
      <c r="FKR124" s="225"/>
      <c r="FKS124" s="225"/>
      <c r="FKT124" s="225"/>
      <c r="FKU124" s="225"/>
      <c r="FKV124" s="225"/>
      <c r="FKW124" s="225"/>
      <c r="FKX124" s="225"/>
      <c r="FKY124" s="225"/>
      <c r="FKZ124" s="225"/>
      <c r="FLA124" s="225"/>
      <c r="FLB124" s="225"/>
      <c r="FLC124" s="225"/>
      <c r="FLD124" s="225"/>
      <c r="FLE124" s="225"/>
      <c r="FLF124" s="225"/>
      <c r="FLG124" s="225"/>
      <c r="FLH124" s="225"/>
      <c r="FLI124" s="225"/>
      <c r="FLJ124" s="225"/>
      <c r="FLK124" s="225"/>
      <c r="FLL124" s="225"/>
      <c r="FLM124" s="225"/>
      <c r="FLN124" s="225"/>
      <c r="FLO124" s="225"/>
      <c r="FLP124" s="225"/>
      <c r="FLQ124" s="225"/>
      <c r="FLR124" s="225"/>
      <c r="FLS124" s="225"/>
      <c r="FLT124" s="225"/>
      <c r="FLU124" s="225"/>
      <c r="FLV124" s="225"/>
      <c r="FLW124" s="225"/>
      <c r="FLX124" s="225"/>
      <c r="FLY124" s="225"/>
      <c r="FLZ124" s="225"/>
      <c r="FMA124" s="225"/>
      <c r="FMB124" s="225"/>
      <c r="FMC124" s="225"/>
      <c r="FMD124" s="225"/>
      <c r="FME124" s="225"/>
      <c r="FMF124" s="225"/>
      <c r="FMG124" s="225"/>
      <c r="FMH124" s="225"/>
      <c r="FMI124" s="225"/>
      <c r="FMJ124" s="225"/>
      <c r="FMK124" s="225"/>
      <c r="FML124" s="225"/>
      <c r="FMM124" s="225"/>
      <c r="FMN124" s="225"/>
      <c r="FMO124" s="225"/>
      <c r="FMP124" s="225"/>
      <c r="FMQ124" s="225"/>
      <c r="FMR124" s="225"/>
      <c r="FMS124" s="225"/>
      <c r="FMT124" s="225"/>
      <c r="FMU124" s="225"/>
      <c r="FMV124" s="225"/>
      <c r="FMW124" s="225"/>
      <c r="FMX124" s="225"/>
      <c r="FMY124" s="225"/>
      <c r="FMZ124" s="225"/>
      <c r="FNA124" s="225"/>
      <c r="FNB124" s="225"/>
      <c r="FNC124" s="225"/>
      <c r="FND124" s="225"/>
      <c r="FNE124" s="225"/>
      <c r="FNF124" s="225"/>
      <c r="FNG124" s="225"/>
      <c r="FNH124" s="225"/>
      <c r="FNI124" s="225"/>
      <c r="FNJ124" s="225"/>
      <c r="FNK124" s="225"/>
      <c r="FNL124" s="225"/>
      <c r="FNM124" s="225"/>
      <c r="FNN124" s="225"/>
      <c r="FNO124" s="225"/>
      <c r="FNP124" s="225"/>
      <c r="FNQ124" s="225"/>
      <c r="FNR124" s="225"/>
      <c r="FNS124" s="225"/>
      <c r="FNT124" s="225"/>
      <c r="FNU124" s="225"/>
      <c r="FNV124" s="225"/>
      <c r="FNW124" s="225"/>
      <c r="FNX124" s="225"/>
      <c r="FNY124" s="225"/>
      <c r="FNZ124" s="225"/>
      <c r="FOA124" s="225"/>
      <c r="FOB124" s="225"/>
      <c r="FOC124" s="225"/>
      <c r="FOD124" s="225"/>
      <c r="FOE124" s="225"/>
      <c r="FOF124" s="225"/>
      <c r="FOG124" s="225"/>
      <c r="FOH124" s="225"/>
      <c r="FOI124" s="225"/>
      <c r="FOJ124" s="225"/>
      <c r="FOK124" s="225"/>
      <c r="FOL124" s="225"/>
      <c r="FOM124" s="225"/>
      <c r="FON124" s="225"/>
      <c r="FOO124" s="225"/>
      <c r="FOP124" s="225"/>
      <c r="FOQ124" s="225"/>
      <c r="FOR124" s="225"/>
      <c r="FOS124" s="225"/>
      <c r="FOT124" s="225"/>
      <c r="FOU124" s="225"/>
      <c r="FOV124" s="225"/>
      <c r="FOW124" s="225"/>
      <c r="FOX124" s="225"/>
      <c r="FOY124" s="225"/>
      <c r="FOZ124" s="225"/>
      <c r="FPA124" s="225"/>
      <c r="FPB124" s="225"/>
      <c r="FPC124" s="225"/>
      <c r="FPD124" s="225"/>
      <c r="FPE124" s="225"/>
      <c r="FPF124" s="225"/>
      <c r="FPG124" s="225"/>
      <c r="FPH124" s="225"/>
      <c r="FPI124" s="225"/>
      <c r="FPJ124" s="225"/>
      <c r="FPK124" s="225"/>
      <c r="FPL124" s="225"/>
      <c r="FPM124" s="225"/>
      <c r="FPN124" s="225"/>
      <c r="FPO124" s="225"/>
      <c r="FPP124" s="225"/>
      <c r="FPQ124" s="225"/>
      <c r="FPR124" s="225"/>
      <c r="FPS124" s="225"/>
      <c r="FPT124" s="225"/>
      <c r="FPU124" s="225"/>
      <c r="FPV124" s="225"/>
      <c r="FPW124" s="225"/>
      <c r="FPX124" s="225"/>
      <c r="FPY124" s="225"/>
      <c r="FPZ124" s="225"/>
      <c r="FQA124" s="225"/>
      <c r="FQB124" s="225"/>
      <c r="FQC124" s="225"/>
      <c r="FQD124" s="225"/>
      <c r="FQE124" s="225"/>
      <c r="FQF124" s="225"/>
      <c r="FQG124" s="225"/>
      <c r="FQH124" s="225"/>
      <c r="FQI124" s="225"/>
      <c r="FQJ124" s="225"/>
      <c r="FQK124" s="225"/>
      <c r="FQL124" s="225"/>
      <c r="FQM124" s="225"/>
      <c r="FQN124" s="225"/>
      <c r="FQO124" s="225"/>
      <c r="FQP124" s="225"/>
      <c r="FQQ124" s="225"/>
      <c r="FQR124" s="225"/>
      <c r="FQS124" s="225"/>
      <c r="FQT124" s="225"/>
      <c r="FQU124" s="225"/>
      <c r="FQV124" s="225"/>
      <c r="FQW124" s="225"/>
      <c r="FQX124" s="225"/>
      <c r="FQY124" s="225"/>
      <c r="FQZ124" s="225"/>
      <c r="FRA124" s="225"/>
      <c r="FRB124" s="225"/>
      <c r="FRC124" s="225"/>
      <c r="FRD124" s="225"/>
      <c r="FRE124" s="225"/>
      <c r="FRF124" s="225"/>
      <c r="FRG124" s="225"/>
      <c r="FRH124" s="225"/>
      <c r="FRI124" s="225"/>
      <c r="FRJ124" s="225"/>
      <c r="FRK124" s="225"/>
      <c r="FRL124" s="225"/>
      <c r="FRM124" s="225"/>
      <c r="FRN124" s="225"/>
      <c r="FRO124" s="225"/>
      <c r="FRP124" s="225"/>
      <c r="FRQ124" s="225"/>
      <c r="FRR124" s="225"/>
      <c r="FRS124" s="225"/>
      <c r="FRT124" s="225"/>
      <c r="FRU124" s="225"/>
      <c r="FRV124" s="225"/>
      <c r="FRW124" s="225"/>
      <c r="FRX124" s="225"/>
      <c r="FRY124" s="225"/>
      <c r="FRZ124" s="225"/>
      <c r="FSA124" s="225"/>
      <c r="FSB124" s="225"/>
      <c r="FSC124" s="225"/>
      <c r="FSD124" s="225"/>
      <c r="FSE124" s="225"/>
      <c r="FSF124" s="225"/>
      <c r="FSG124" s="225"/>
      <c r="FSH124" s="225"/>
      <c r="FSI124" s="225"/>
      <c r="FSJ124" s="225"/>
      <c r="FSK124" s="225"/>
      <c r="FSL124" s="225"/>
      <c r="FSM124" s="225"/>
      <c r="FSN124" s="225"/>
      <c r="FSO124" s="225"/>
      <c r="FSP124" s="225"/>
      <c r="FSQ124" s="225"/>
      <c r="FSR124" s="225"/>
      <c r="FSS124" s="225"/>
      <c r="FST124" s="225"/>
      <c r="FSU124" s="225"/>
      <c r="FSV124" s="225"/>
      <c r="FSW124" s="225"/>
      <c r="FSX124" s="225"/>
      <c r="FSY124" s="225"/>
      <c r="FSZ124" s="225"/>
      <c r="FTA124" s="225"/>
      <c r="FTB124" s="225"/>
      <c r="FTC124" s="225"/>
      <c r="FTD124" s="225"/>
      <c r="FTE124" s="225"/>
      <c r="FTF124" s="225"/>
      <c r="FTG124" s="225"/>
      <c r="FTH124" s="225"/>
      <c r="FTI124" s="225"/>
      <c r="FTJ124" s="225"/>
      <c r="FTK124" s="225"/>
      <c r="FTL124" s="225"/>
      <c r="FTM124" s="225"/>
      <c r="FTN124" s="225"/>
      <c r="FTO124" s="225"/>
      <c r="FTP124" s="225"/>
      <c r="FTQ124" s="225"/>
      <c r="FTR124" s="225"/>
      <c r="FTS124" s="225"/>
      <c r="FTT124" s="225"/>
      <c r="FTU124" s="225"/>
      <c r="FTV124" s="225"/>
      <c r="FTW124" s="225"/>
      <c r="FTX124" s="225"/>
      <c r="FTY124" s="225"/>
      <c r="FTZ124" s="225"/>
      <c r="FUA124" s="225"/>
      <c r="FUB124" s="225"/>
      <c r="FUC124" s="225"/>
      <c r="FUD124" s="225"/>
      <c r="FUE124" s="225"/>
      <c r="FUF124" s="225"/>
      <c r="FUG124" s="225"/>
      <c r="FUH124" s="225"/>
      <c r="FUI124" s="225"/>
      <c r="FUJ124" s="225"/>
      <c r="FUK124" s="225"/>
      <c r="FUL124" s="225"/>
      <c r="FUM124" s="225"/>
      <c r="FUN124" s="225"/>
      <c r="FUO124" s="225"/>
      <c r="FUP124" s="225"/>
      <c r="FUQ124" s="225"/>
      <c r="FUR124" s="225"/>
      <c r="FUS124" s="225"/>
      <c r="FUT124" s="225"/>
      <c r="FUU124" s="225"/>
      <c r="FUV124" s="225"/>
      <c r="FUW124" s="225"/>
      <c r="FUX124" s="225"/>
      <c r="FUY124" s="225"/>
      <c r="FUZ124" s="225"/>
      <c r="FVA124" s="225"/>
      <c r="FVB124" s="225"/>
      <c r="FVC124" s="225"/>
      <c r="FVD124" s="225"/>
      <c r="FVE124" s="225"/>
      <c r="FVF124" s="225"/>
      <c r="FVG124" s="225"/>
      <c r="FVH124" s="225"/>
      <c r="FVI124" s="225"/>
      <c r="FVJ124" s="225"/>
      <c r="FVK124" s="225"/>
      <c r="FVL124" s="225"/>
      <c r="FVM124" s="225"/>
      <c r="FVN124" s="225"/>
      <c r="FVO124" s="225"/>
      <c r="FVP124" s="225"/>
      <c r="FVQ124" s="225"/>
      <c r="FVR124" s="225"/>
      <c r="FVS124" s="225"/>
      <c r="FVT124" s="225"/>
      <c r="FVU124" s="225"/>
      <c r="FVV124" s="225"/>
      <c r="FVW124" s="225"/>
      <c r="FVX124" s="225"/>
      <c r="FVY124" s="225"/>
      <c r="FVZ124" s="225"/>
      <c r="FWA124" s="225"/>
      <c r="FWB124" s="225"/>
      <c r="FWC124" s="225"/>
      <c r="FWD124" s="225"/>
      <c r="FWE124" s="225"/>
      <c r="FWF124" s="225"/>
      <c r="FWG124" s="225"/>
      <c r="FWH124" s="225"/>
      <c r="FWI124" s="225"/>
      <c r="FWJ124" s="225"/>
      <c r="FWK124" s="225"/>
      <c r="FWL124" s="225"/>
      <c r="FWM124" s="225"/>
      <c r="FWN124" s="225"/>
      <c r="FWO124" s="225"/>
      <c r="FWP124" s="225"/>
      <c r="FWQ124" s="225"/>
      <c r="FWR124" s="225"/>
      <c r="FWS124" s="225"/>
      <c r="FWT124" s="225"/>
      <c r="FWU124" s="225"/>
      <c r="FWV124" s="225"/>
      <c r="FWW124" s="225"/>
      <c r="FWX124" s="225"/>
      <c r="FWY124" s="225"/>
      <c r="FWZ124" s="225"/>
      <c r="FXA124" s="225"/>
      <c r="FXB124" s="225"/>
      <c r="FXC124" s="225"/>
      <c r="FXD124" s="225"/>
      <c r="FXE124" s="225"/>
      <c r="FXF124" s="225"/>
      <c r="FXG124" s="225"/>
      <c r="FXH124" s="225"/>
      <c r="FXI124" s="225"/>
      <c r="FXJ124" s="225"/>
      <c r="FXK124" s="225"/>
      <c r="FXL124" s="225"/>
      <c r="FXM124" s="225"/>
      <c r="FXN124" s="225"/>
      <c r="FXO124" s="225"/>
      <c r="FXP124" s="225"/>
      <c r="FXQ124" s="225"/>
      <c r="FXR124" s="225"/>
      <c r="FXS124" s="225"/>
      <c r="FXT124" s="225"/>
      <c r="FXU124" s="225"/>
      <c r="FXV124" s="225"/>
      <c r="FXW124" s="225"/>
      <c r="FXX124" s="225"/>
      <c r="FXY124" s="225"/>
      <c r="FXZ124" s="225"/>
      <c r="FYA124" s="225"/>
      <c r="FYB124" s="225"/>
      <c r="FYC124" s="225"/>
      <c r="FYD124" s="225"/>
      <c r="FYE124" s="225"/>
      <c r="FYF124" s="225"/>
      <c r="FYG124" s="225"/>
      <c r="FYH124" s="225"/>
      <c r="FYI124" s="225"/>
      <c r="FYJ124" s="225"/>
      <c r="FYK124" s="225"/>
      <c r="FYL124" s="225"/>
      <c r="FYM124" s="225"/>
      <c r="FYN124" s="225"/>
      <c r="FYO124" s="225"/>
      <c r="FYP124" s="225"/>
      <c r="FYQ124" s="225"/>
      <c r="FYR124" s="225"/>
      <c r="FYS124" s="225"/>
      <c r="FYT124" s="225"/>
      <c r="FYU124" s="225"/>
      <c r="FYV124" s="225"/>
      <c r="FYW124" s="225"/>
      <c r="FYX124" s="225"/>
      <c r="FYY124" s="225"/>
      <c r="FYZ124" s="225"/>
      <c r="FZA124" s="225"/>
      <c r="FZB124" s="225"/>
      <c r="FZC124" s="225"/>
      <c r="FZD124" s="225"/>
      <c r="FZE124" s="225"/>
      <c r="FZF124" s="225"/>
      <c r="FZG124" s="225"/>
      <c r="FZH124" s="225"/>
      <c r="FZI124" s="225"/>
      <c r="FZJ124" s="225"/>
      <c r="FZK124" s="225"/>
      <c r="FZL124" s="225"/>
      <c r="FZM124" s="225"/>
      <c r="FZN124" s="225"/>
      <c r="FZO124" s="225"/>
      <c r="FZP124" s="225"/>
      <c r="FZQ124" s="225"/>
      <c r="FZR124" s="225"/>
      <c r="FZS124" s="225"/>
      <c r="FZT124" s="225"/>
      <c r="FZU124" s="225"/>
      <c r="FZV124" s="225"/>
      <c r="FZW124" s="225"/>
      <c r="FZX124" s="225"/>
      <c r="FZY124" s="225"/>
      <c r="FZZ124" s="225"/>
      <c r="GAA124" s="225"/>
      <c r="GAB124" s="225"/>
      <c r="GAC124" s="225"/>
      <c r="GAD124" s="225"/>
      <c r="GAE124" s="225"/>
      <c r="GAF124" s="225"/>
      <c r="GAG124" s="225"/>
      <c r="GAH124" s="225"/>
      <c r="GAI124" s="225"/>
      <c r="GAJ124" s="225"/>
      <c r="GAK124" s="225"/>
      <c r="GAL124" s="225"/>
      <c r="GAM124" s="225"/>
      <c r="GAN124" s="225"/>
      <c r="GAO124" s="225"/>
      <c r="GAP124" s="225"/>
      <c r="GAQ124" s="225"/>
      <c r="GAR124" s="225"/>
      <c r="GAS124" s="225"/>
      <c r="GAT124" s="225"/>
      <c r="GAU124" s="225"/>
      <c r="GAV124" s="225"/>
      <c r="GAW124" s="225"/>
      <c r="GAX124" s="225"/>
      <c r="GAY124" s="225"/>
      <c r="GAZ124" s="225"/>
      <c r="GBA124" s="225"/>
      <c r="GBB124" s="225"/>
      <c r="GBC124" s="225"/>
      <c r="GBD124" s="225"/>
      <c r="GBE124" s="225"/>
      <c r="GBF124" s="225"/>
      <c r="GBG124" s="225"/>
      <c r="GBH124" s="225"/>
      <c r="GBI124" s="225"/>
      <c r="GBJ124" s="225"/>
      <c r="GBK124" s="225"/>
      <c r="GBL124" s="225"/>
      <c r="GBM124" s="225"/>
      <c r="GBN124" s="225"/>
      <c r="GBO124" s="225"/>
      <c r="GBP124" s="225"/>
      <c r="GBQ124" s="225"/>
      <c r="GBR124" s="225"/>
      <c r="GBS124" s="225"/>
      <c r="GBT124" s="225"/>
      <c r="GBU124" s="225"/>
      <c r="GBV124" s="225"/>
      <c r="GBW124" s="225"/>
      <c r="GBX124" s="225"/>
      <c r="GBY124" s="225"/>
      <c r="GBZ124" s="225"/>
      <c r="GCA124" s="225"/>
      <c r="GCB124" s="225"/>
      <c r="GCC124" s="225"/>
      <c r="GCD124" s="225"/>
      <c r="GCE124" s="225"/>
      <c r="GCF124" s="225"/>
      <c r="GCG124" s="225"/>
      <c r="GCH124" s="225"/>
      <c r="GCI124" s="225"/>
      <c r="GCJ124" s="225"/>
      <c r="GCK124" s="225"/>
      <c r="GCL124" s="225"/>
      <c r="GCM124" s="225"/>
      <c r="GCN124" s="225"/>
      <c r="GCO124" s="225"/>
      <c r="GCP124" s="225"/>
      <c r="GCQ124" s="225"/>
      <c r="GCR124" s="225"/>
      <c r="GCS124" s="225"/>
      <c r="GCT124" s="225"/>
      <c r="GCU124" s="225"/>
      <c r="GCV124" s="225"/>
      <c r="GCW124" s="225"/>
      <c r="GCX124" s="225"/>
      <c r="GCY124" s="225"/>
      <c r="GCZ124" s="225"/>
      <c r="GDA124" s="225"/>
      <c r="GDB124" s="225"/>
      <c r="GDC124" s="225"/>
      <c r="GDD124" s="225"/>
      <c r="GDE124" s="225"/>
      <c r="GDF124" s="225"/>
      <c r="GDG124" s="225"/>
      <c r="GDH124" s="225"/>
      <c r="GDI124" s="225"/>
      <c r="GDJ124" s="225"/>
      <c r="GDK124" s="225"/>
      <c r="GDL124" s="225"/>
      <c r="GDM124" s="225"/>
      <c r="GDN124" s="225"/>
      <c r="GDO124" s="225"/>
      <c r="GDP124" s="225"/>
      <c r="GDQ124" s="225"/>
      <c r="GDR124" s="225"/>
      <c r="GDS124" s="225"/>
      <c r="GDT124" s="225"/>
      <c r="GDU124" s="225"/>
      <c r="GDV124" s="225"/>
      <c r="GDW124" s="225"/>
      <c r="GDX124" s="225"/>
      <c r="GDY124" s="225"/>
      <c r="GDZ124" s="225"/>
      <c r="GEA124" s="225"/>
      <c r="GEB124" s="225"/>
      <c r="GEC124" s="225"/>
      <c r="GED124" s="225"/>
      <c r="GEE124" s="225"/>
      <c r="GEF124" s="225"/>
      <c r="GEG124" s="225"/>
      <c r="GEH124" s="225"/>
      <c r="GEI124" s="225"/>
      <c r="GEJ124" s="225"/>
      <c r="GEK124" s="225"/>
      <c r="GEL124" s="225"/>
      <c r="GEM124" s="225"/>
      <c r="GEN124" s="225"/>
      <c r="GEO124" s="225"/>
      <c r="GEP124" s="225"/>
      <c r="GEQ124" s="225"/>
      <c r="GER124" s="225"/>
      <c r="GES124" s="225"/>
      <c r="GET124" s="225"/>
      <c r="GEU124" s="225"/>
      <c r="GEV124" s="225"/>
      <c r="GEW124" s="225"/>
      <c r="GEX124" s="225"/>
      <c r="GEY124" s="225"/>
      <c r="GEZ124" s="225"/>
      <c r="GFA124" s="225"/>
      <c r="GFB124" s="225"/>
      <c r="GFC124" s="225"/>
      <c r="GFD124" s="225"/>
      <c r="GFE124" s="225"/>
      <c r="GFF124" s="225"/>
      <c r="GFG124" s="225"/>
      <c r="GFH124" s="225"/>
      <c r="GFI124" s="225"/>
      <c r="GFJ124" s="225"/>
      <c r="GFK124" s="225"/>
      <c r="GFL124" s="225"/>
      <c r="GFM124" s="225"/>
      <c r="GFN124" s="225"/>
      <c r="GFO124" s="225"/>
      <c r="GFP124" s="225"/>
      <c r="GFQ124" s="225"/>
      <c r="GFR124" s="225"/>
      <c r="GFS124" s="225"/>
      <c r="GFT124" s="225"/>
      <c r="GFU124" s="225"/>
      <c r="GFV124" s="225"/>
      <c r="GFW124" s="225"/>
      <c r="GFX124" s="225"/>
      <c r="GFY124" s="225"/>
      <c r="GFZ124" s="225"/>
      <c r="GGA124" s="225"/>
      <c r="GGB124" s="225"/>
      <c r="GGC124" s="225"/>
      <c r="GGD124" s="225"/>
      <c r="GGE124" s="225"/>
      <c r="GGF124" s="225"/>
      <c r="GGG124" s="225"/>
      <c r="GGH124" s="225"/>
      <c r="GGI124" s="225"/>
      <c r="GGJ124" s="225"/>
      <c r="GGK124" s="225"/>
      <c r="GGL124" s="225"/>
      <c r="GGM124" s="225"/>
      <c r="GGN124" s="225"/>
      <c r="GGO124" s="225"/>
      <c r="GGP124" s="225"/>
      <c r="GGQ124" s="225"/>
      <c r="GGR124" s="225"/>
      <c r="GGS124" s="225"/>
      <c r="GGT124" s="225"/>
      <c r="GGU124" s="225"/>
      <c r="GGV124" s="225"/>
      <c r="GGW124" s="225"/>
      <c r="GGX124" s="225"/>
      <c r="GGY124" s="225"/>
      <c r="GGZ124" s="225"/>
      <c r="GHA124" s="225"/>
      <c r="GHB124" s="225"/>
      <c r="GHC124" s="225"/>
      <c r="GHD124" s="225"/>
      <c r="GHE124" s="225"/>
      <c r="GHF124" s="225"/>
      <c r="GHG124" s="225"/>
      <c r="GHH124" s="225"/>
      <c r="GHI124" s="225"/>
      <c r="GHJ124" s="225"/>
      <c r="GHK124" s="225"/>
      <c r="GHL124" s="225"/>
      <c r="GHM124" s="225"/>
      <c r="GHN124" s="225"/>
      <c r="GHO124" s="225"/>
      <c r="GHP124" s="225"/>
      <c r="GHQ124" s="225"/>
      <c r="GHR124" s="225"/>
      <c r="GHS124" s="225"/>
      <c r="GHT124" s="225"/>
      <c r="GHU124" s="225"/>
      <c r="GHV124" s="225"/>
      <c r="GHW124" s="225"/>
      <c r="GHX124" s="225"/>
      <c r="GHY124" s="225"/>
      <c r="GHZ124" s="225"/>
      <c r="GIA124" s="225"/>
      <c r="GIB124" s="225"/>
      <c r="GIC124" s="225"/>
      <c r="GID124" s="225"/>
      <c r="GIE124" s="225"/>
      <c r="GIF124" s="225"/>
      <c r="GIG124" s="225"/>
      <c r="GIH124" s="225"/>
      <c r="GII124" s="225"/>
      <c r="GIJ124" s="225"/>
      <c r="GIK124" s="225"/>
      <c r="GIL124" s="225"/>
      <c r="GIM124" s="225"/>
      <c r="GIN124" s="225"/>
      <c r="GIO124" s="225"/>
      <c r="GIP124" s="225"/>
      <c r="GIQ124" s="225"/>
      <c r="GIR124" s="225"/>
      <c r="GIS124" s="225"/>
      <c r="GIT124" s="225"/>
      <c r="GIU124" s="225"/>
      <c r="GIV124" s="225"/>
      <c r="GIW124" s="225"/>
      <c r="GIX124" s="225"/>
      <c r="GIY124" s="225"/>
      <c r="GIZ124" s="225"/>
      <c r="GJA124" s="225"/>
      <c r="GJB124" s="225"/>
      <c r="GJC124" s="225"/>
      <c r="GJD124" s="225"/>
      <c r="GJE124" s="225"/>
      <c r="GJF124" s="225"/>
      <c r="GJG124" s="225"/>
      <c r="GJH124" s="225"/>
      <c r="GJI124" s="225"/>
      <c r="GJJ124" s="225"/>
      <c r="GJK124" s="225"/>
      <c r="GJL124" s="225"/>
      <c r="GJM124" s="225"/>
      <c r="GJN124" s="225"/>
      <c r="GJO124" s="225"/>
      <c r="GJP124" s="225"/>
      <c r="GJQ124" s="225"/>
      <c r="GJR124" s="225"/>
      <c r="GJS124" s="225"/>
      <c r="GJT124" s="225"/>
      <c r="GJU124" s="225"/>
      <c r="GJV124" s="225"/>
      <c r="GJW124" s="225"/>
      <c r="GJX124" s="225"/>
      <c r="GJY124" s="225"/>
      <c r="GJZ124" s="225"/>
      <c r="GKA124" s="225"/>
      <c r="GKB124" s="225"/>
      <c r="GKC124" s="225"/>
      <c r="GKD124" s="225"/>
      <c r="GKE124" s="225"/>
      <c r="GKF124" s="225"/>
      <c r="GKG124" s="225"/>
      <c r="GKH124" s="225"/>
      <c r="GKI124" s="225"/>
      <c r="GKJ124" s="225"/>
      <c r="GKK124" s="225"/>
      <c r="GKL124" s="225"/>
      <c r="GKM124" s="225"/>
      <c r="GKN124" s="225"/>
      <c r="GKO124" s="225"/>
      <c r="GKP124" s="225"/>
      <c r="GKQ124" s="225"/>
      <c r="GKR124" s="225"/>
      <c r="GKS124" s="225"/>
      <c r="GKT124" s="225"/>
      <c r="GKU124" s="225"/>
      <c r="GKV124" s="225"/>
      <c r="GKW124" s="225"/>
      <c r="GKX124" s="225"/>
      <c r="GKY124" s="225"/>
      <c r="GKZ124" s="225"/>
      <c r="GLA124" s="225"/>
      <c r="GLB124" s="225"/>
      <c r="GLC124" s="225"/>
      <c r="GLD124" s="225"/>
      <c r="GLE124" s="225"/>
      <c r="GLF124" s="225"/>
      <c r="GLG124" s="225"/>
      <c r="GLH124" s="225"/>
      <c r="GLI124" s="225"/>
      <c r="GLJ124" s="225"/>
      <c r="GLK124" s="225"/>
      <c r="GLL124" s="225"/>
      <c r="GLM124" s="225"/>
      <c r="GLN124" s="225"/>
      <c r="GLO124" s="225"/>
      <c r="GLP124" s="225"/>
      <c r="GLQ124" s="225"/>
      <c r="GLR124" s="225"/>
      <c r="GLS124" s="225"/>
      <c r="GLT124" s="225"/>
      <c r="GLU124" s="225"/>
      <c r="GLV124" s="225"/>
      <c r="GLW124" s="225"/>
      <c r="GLX124" s="225"/>
      <c r="GLY124" s="225"/>
      <c r="GLZ124" s="225"/>
      <c r="GMA124" s="225"/>
      <c r="GMB124" s="225"/>
      <c r="GMC124" s="225"/>
      <c r="GMD124" s="225"/>
      <c r="GME124" s="225"/>
      <c r="GMF124" s="225"/>
      <c r="GMG124" s="225"/>
      <c r="GMH124" s="225"/>
      <c r="GMI124" s="225"/>
      <c r="GMJ124" s="225"/>
      <c r="GMK124" s="225"/>
      <c r="GML124" s="225"/>
      <c r="GMM124" s="225"/>
      <c r="GMN124" s="225"/>
      <c r="GMO124" s="225"/>
      <c r="GMP124" s="225"/>
      <c r="GMQ124" s="225"/>
      <c r="GMR124" s="225"/>
      <c r="GMS124" s="225"/>
      <c r="GMT124" s="225"/>
      <c r="GMU124" s="225"/>
      <c r="GMV124" s="225"/>
      <c r="GMW124" s="225"/>
      <c r="GMX124" s="225"/>
      <c r="GMY124" s="225"/>
      <c r="GMZ124" s="225"/>
      <c r="GNA124" s="225"/>
      <c r="GNB124" s="225"/>
      <c r="GNC124" s="225"/>
      <c r="GND124" s="225"/>
      <c r="GNE124" s="225"/>
      <c r="GNF124" s="225"/>
      <c r="GNG124" s="225"/>
      <c r="GNH124" s="225"/>
      <c r="GNI124" s="225"/>
      <c r="GNJ124" s="225"/>
      <c r="GNK124" s="225"/>
      <c r="GNL124" s="225"/>
      <c r="GNM124" s="225"/>
      <c r="GNN124" s="225"/>
      <c r="GNO124" s="225"/>
      <c r="GNP124" s="225"/>
      <c r="GNQ124" s="225"/>
      <c r="GNR124" s="225"/>
      <c r="GNS124" s="225"/>
      <c r="GNT124" s="225"/>
      <c r="GNU124" s="225"/>
      <c r="GNV124" s="225"/>
      <c r="GNW124" s="225"/>
      <c r="GNX124" s="225"/>
      <c r="GNY124" s="225"/>
      <c r="GNZ124" s="225"/>
      <c r="GOA124" s="225"/>
      <c r="GOB124" s="225"/>
      <c r="GOC124" s="225"/>
      <c r="GOD124" s="225"/>
      <c r="GOE124" s="225"/>
      <c r="GOF124" s="225"/>
      <c r="GOG124" s="225"/>
      <c r="GOH124" s="225"/>
      <c r="GOI124" s="225"/>
      <c r="GOJ124" s="225"/>
      <c r="GOK124" s="225"/>
      <c r="GOL124" s="225"/>
      <c r="GOM124" s="225"/>
      <c r="GON124" s="225"/>
      <c r="GOO124" s="225"/>
      <c r="GOP124" s="225"/>
      <c r="GOQ124" s="225"/>
      <c r="GOR124" s="225"/>
      <c r="GOS124" s="225"/>
      <c r="GOT124" s="225"/>
      <c r="GOU124" s="225"/>
      <c r="GOV124" s="225"/>
      <c r="GOW124" s="225"/>
      <c r="GOX124" s="225"/>
      <c r="GOY124" s="225"/>
      <c r="GOZ124" s="225"/>
      <c r="GPA124" s="225"/>
      <c r="GPB124" s="225"/>
      <c r="GPC124" s="225"/>
      <c r="GPD124" s="225"/>
      <c r="GPE124" s="225"/>
      <c r="GPF124" s="225"/>
      <c r="GPG124" s="225"/>
      <c r="GPH124" s="225"/>
      <c r="GPI124" s="225"/>
      <c r="GPJ124" s="225"/>
      <c r="GPK124" s="225"/>
      <c r="GPL124" s="225"/>
      <c r="GPM124" s="225"/>
      <c r="GPN124" s="225"/>
      <c r="GPO124" s="225"/>
      <c r="GPP124" s="225"/>
      <c r="GPQ124" s="225"/>
      <c r="GPR124" s="225"/>
      <c r="GPS124" s="225"/>
      <c r="GPT124" s="225"/>
      <c r="GPU124" s="225"/>
      <c r="GPV124" s="225"/>
      <c r="GPW124" s="225"/>
      <c r="GPX124" s="225"/>
      <c r="GPY124" s="225"/>
      <c r="GPZ124" s="225"/>
      <c r="GQA124" s="225"/>
      <c r="GQB124" s="225"/>
      <c r="GQC124" s="225"/>
      <c r="GQD124" s="225"/>
      <c r="GQE124" s="225"/>
      <c r="GQF124" s="225"/>
      <c r="GQG124" s="225"/>
      <c r="GQH124" s="225"/>
      <c r="GQI124" s="225"/>
      <c r="GQJ124" s="225"/>
      <c r="GQK124" s="225"/>
      <c r="GQL124" s="225"/>
      <c r="GQM124" s="225"/>
      <c r="GQN124" s="225"/>
      <c r="GQO124" s="225"/>
      <c r="GQP124" s="225"/>
      <c r="GQQ124" s="225"/>
      <c r="GQR124" s="225"/>
      <c r="GQS124" s="225"/>
      <c r="GQT124" s="225"/>
      <c r="GQU124" s="225"/>
      <c r="GQV124" s="225"/>
      <c r="GQW124" s="225"/>
      <c r="GQX124" s="225"/>
      <c r="GQY124" s="225"/>
      <c r="GQZ124" s="225"/>
      <c r="GRA124" s="225"/>
      <c r="GRB124" s="225"/>
      <c r="GRC124" s="225"/>
      <c r="GRD124" s="225"/>
      <c r="GRE124" s="225"/>
      <c r="GRF124" s="225"/>
      <c r="GRG124" s="225"/>
      <c r="GRH124" s="225"/>
      <c r="GRI124" s="225"/>
      <c r="GRJ124" s="225"/>
      <c r="GRK124" s="225"/>
      <c r="GRL124" s="225"/>
      <c r="GRM124" s="225"/>
      <c r="GRN124" s="225"/>
      <c r="GRO124" s="225"/>
      <c r="GRP124" s="225"/>
      <c r="GRQ124" s="225"/>
      <c r="GRR124" s="225"/>
      <c r="GRS124" s="225"/>
      <c r="GRT124" s="225"/>
      <c r="GRU124" s="225"/>
      <c r="GRV124" s="225"/>
      <c r="GRW124" s="225"/>
      <c r="GRX124" s="225"/>
      <c r="GRY124" s="225"/>
      <c r="GRZ124" s="225"/>
      <c r="GSA124" s="225"/>
      <c r="GSB124" s="225"/>
      <c r="GSC124" s="225"/>
      <c r="GSD124" s="225"/>
      <c r="GSE124" s="225"/>
      <c r="GSF124" s="225"/>
      <c r="GSG124" s="225"/>
      <c r="GSH124" s="225"/>
      <c r="GSI124" s="225"/>
      <c r="GSJ124" s="225"/>
      <c r="GSK124" s="225"/>
      <c r="GSL124" s="225"/>
      <c r="GSM124" s="225"/>
      <c r="GSN124" s="225"/>
      <c r="GSO124" s="225"/>
      <c r="GSP124" s="225"/>
      <c r="GSQ124" s="225"/>
      <c r="GSR124" s="225"/>
      <c r="GSS124" s="225"/>
      <c r="GST124" s="225"/>
      <c r="GSU124" s="225"/>
      <c r="GSV124" s="225"/>
      <c r="GSW124" s="225"/>
      <c r="GSX124" s="225"/>
      <c r="GSY124" s="225"/>
      <c r="GSZ124" s="225"/>
      <c r="GTA124" s="225"/>
      <c r="GTB124" s="225"/>
      <c r="GTC124" s="225"/>
      <c r="GTD124" s="225"/>
      <c r="GTE124" s="225"/>
      <c r="GTF124" s="225"/>
      <c r="GTG124" s="225"/>
      <c r="GTH124" s="225"/>
      <c r="GTI124" s="225"/>
      <c r="GTJ124" s="225"/>
      <c r="GTK124" s="225"/>
      <c r="GTL124" s="225"/>
      <c r="GTM124" s="225"/>
      <c r="GTN124" s="225"/>
      <c r="GTO124" s="225"/>
      <c r="GTP124" s="225"/>
      <c r="GTQ124" s="225"/>
      <c r="GTR124" s="225"/>
      <c r="GTS124" s="225"/>
      <c r="GTT124" s="225"/>
      <c r="GTU124" s="225"/>
      <c r="GTV124" s="225"/>
      <c r="GTW124" s="225"/>
      <c r="GTX124" s="225"/>
      <c r="GTY124" s="225"/>
      <c r="GTZ124" s="225"/>
      <c r="GUA124" s="225"/>
      <c r="GUB124" s="225"/>
      <c r="GUC124" s="225"/>
      <c r="GUD124" s="225"/>
      <c r="GUE124" s="225"/>
      <c r="GUF124" s="225"/>
      <c r="GUG124" s="225"/>
      <c r="GUH124" s="225"/>
      <c r="GUI124" s="225"/>
      <c r="GUJ124" s="225"/>
      <c r="GUK124" s="225"/>
      <c r="GUL124" s="225"/>
      <c r="GUM124" s="225"/>
      <c r="GUN124" s="225"/>
      <c r="GUO124" s="225"/>
      <c r="GUP124" s="225"/>
      <c r="GUQ124" s="225"/>
      <c r="GUR124" s="225"/>
      <c r="GUS124" s="225"/>
      <c r="GUT124" s="225"/>
      <c r="GUU124" s="225"/>
      <c r="GUV124" s="225"/>
      <c r="GUW124" s="225"/>
      <c r="GUX124" s="225"/>
      <c r="GUY124" s="225"/>
      <c r="GUZ124" s="225"/>
      <c r="GVA124" s="225"/>
      <c r="GVB124" s="225"/>
      <c r="GVC124" s="225"/>
      <c r="GVD124" s="225"/>
      <c r="GVE124" s="225"/>
      <c r="GVF124" s="225"/>
      <c r="GVG124" s="225"/>
      <c r="GVH124" s="225"/>
      <c r="GVI124" s="225"/>
      <c r="GVJ124" s="225"/>
      <c r="GVK124" s="225"/>
      <c r="GVL124" s="225"/>
      <c r="GVM124" s="225"/>
      <c r="GVN124" s="225"/>
      <c r="GVO124" s="225"/>
      <c r="GVP124" s="225"/>
      <c r="GVQ124" s="225"/>
      <c r="GVR124" s="225"/>
      <c r="GVS124" s="225"/>
      <c r="GVT124" s="225"/>
      <c r="GVU124" s="225"/>
      <c r="GVV124" s="225"/>
      <c r="GVW124" s="225"/>
      <c r="GVX124" s="225"/>
      <c r="GVY124" s="225"/>
      <c r="GVZ124" s="225"/>
      <c r="GWA124" s="225"/>
      <c r="GWB124" s="225"/>
      <c r="GWC124" s="225"/>
      <c r="GWD124" s="225"/>
      <c r="GWE124" s="225"/>
      <c r="GWF124" s="225"/>
      <c r="GWG124" s="225"/>
      <c r="GWH124" s="225"/>
      <c r="GWI124" s="225"/>
      <c r="GWJ124" s="225"/>
      <c r="GWK124" s="225"/>
      <c r="GWL124" s="225"/>
      <c r="GWM124" s="225"/>
      <c r="GWN124" s="225"/>
      <c r="GWO124" s="225"/>
      <c r="GWP124" s="225"/>
      <c r="GWQ124" s="225"/>
      <c r="GWR124" s="225"/>
      <c r="GWS124" s="225"/>
      <c r="GWT124" s="225"/>
      <c r="GWU124" s="225"/>
      <c r="GWV124" s="225"/>
      <c r="GWW124" s="225"/>
      <c r="GWX124" s="225"/>
      <c r="GWY124" s="225"/>
      <c r="GWZ124" s="225"/>
      <c r="GXA124" s="225"/>
      <c r="GXB124" s="225"/>
      <c r="GXC124" s="225"/>
      <c r="GXD124" s="225"/>
      <c r="GXE124" s="225"/>
      <c r="GXF124" s="225"/>
      <c r="GXG124" s="225"/>
      <c r="GXH124" s="225"/>
      <c r="GXI124" s="225"/>
      <c r="GXJ124" s="225"/>
      <c r="GXK124" s="225"/>
      <c r="GXL124" s="225"/>
      <c r="GXM124" s="225"/>
      <c r="GXN124" s="225"/>
      <c r="GXO124" s="225"/>
      <c r="GXP124" s="225"/>
      <c r="GXQ124" s="225"/>
      <c r="GXR124" s="225"/>
      <c r="GXS124" s="225"/>
      <c r="GXT124" s="225"/>
      <c r="GXU124" s="225"/>
      <c r="GXV124" s="225"/>
      <c r="GXW124" s="225"/>
      <c r="GXX124" s="225"/>
      <c r="GXY124" s="225"/>
      <c r="GXZ124" s="225"/>
      <c r="GYA124" s="225"/>
      <c r="GYB124" s="225"/>
      <c r="GYC124" s="225"/>
      <c r="GYD124" s="225"/>
      <c r="GYE124" s="225"/>
      <c r="GYF124" s="225"/>
      <c r="GYG124" s="225"/>
      <c r="GYH124" s="225"/>
      <c r="GYI124" s="225"/>
      <c r="GYJ124" s="225"/>
      <c r="GYK124" s="225"/>
      <c r="GYL124" s="225"/>
      <c r="GYM124" s="225"/>
      <c r="GYN124" s="225"/>
      <c r="GYO124" s="225"/>
      <c r="GYP124" s="225"/>
      <c r="GYQ124" s="225"/>
      <c r="GYR124" s="225"/>
      <c r="GYS124" s="225"/>
      <c r="GYT124" s="225"/>
      <c r="GYU124" s="225"/>
      <c r="GYV124" s="225"/>
      <c r="GYW124" s="225"/>
      <c r="GYX124" s="225"/>
      <c r="GYY124" s="225"/>
      <c r="GYZ124" s="225"/>
      <c r="GZA124" s="225"/>
      <c r="GZB124" s="225"/>
      <c r="GZC124" s="225"/>
      <c r="GZD124" s="225"/>
      <c r="GZE124" s="225"/>
      <c r="GZF124" s="225"/>
      <c r="GZG124" s="225"/>
      <c r="GZH124" s="225"/>
      <c r="GZI124" s="225"/>
      <c r="GZJ124" s="225"/>
      <c r="GZK124" s="225"/>
      <c r="GZL124" s="225"/>
      <c r="GZM124" s="225"/>
      <c r="GZN124" s="225"/>
      <c r="GZO124" s="225"/>
      <c r="GZP124" s="225"/>
      <c r="GZQ124" s="225"/>
      <c r="GZR124" s="225"/>
      <c r="GZS124" s="225"/>
      <c r="GZT124" s="225"/>
      <c r="GZU124" s="225"/>
      <c r="GZV124" s="225"/>
      <c r="GZW124" s="225"/>
      <c r="GZX124" s="225"/>
      <c r="GZY124" s="225"/>
      <c r="GZZ124" s="225"/>
      <c r="HAA124" s="225"/>
      <c r="HAB124" s="225"/>
      <c r="HAC124" s="225"/>
      <c r="HAD124" s="225"/>
      <c r="HAE124" s="225"/>
      <c r="HAF124" s="225"/>
      <c r="HAG124" s="225"/>
      <c r="HAH124" s="225"/>
      <c r="HAI124" s="225"/>
      <c r="HAJ124" s="225"/>
      <c r="HAK124" s="225"/>
      <c r="HAL124" s="225"/>
      <c r="HAM124" s="225"/>
      <c r="HAN124" s="225"/>
      <c r="HAO124" s="225"/>
      <c r="HAP124" s="225"/>
      <c r="HAQ124" s="225"/>
      <c r="HAR124" s="225"/>
      <c r="HAS124" s="225"/>
      <c r="HAT124" s="225"/>
      <c r="HAU124" s="225"/>
      <c r="HAV124" s="225"/>
      <c r="HAW124" s="225"/>
      <c r="HAX124" s="225"/>
      <c r="HAY124" s="225"/>
      <c r="HAZ124" s="225"/>
      <c r="HBA124" s="225"/>
      <c r="HBB124" s="225"/>
      <c r="HBC124" s="225"/>
      <c r="HBD124" s="225"/>
      <c r="HBE124" s="225"/>
      <c r="HBF124" s="225"/>
      <c r="HBG124" s="225"/>
      <c r="HBH124" s="225"/>
      <c r="HBI124" s="225"/>
      <c r="HBJ124" s="225"/>
      <c r="HBK124" s="225"/>
      <c r="HBL124" s="225"/>
      <c r="HBM124" s="225"/>
      <c r="HBN124" s="225"/>
      <c r="HBO124" s="225"/>
      <c r="HBP124" s="225"/>
      <c r="HBQ124" s="225"/>
      <c r="HBR124" s="225"/>
      <c r="HBS124" s="225"/>
      <c r="HBT124" s="225"/>
      <c r="HBU124" s="225"/>
      <c r="HBV124" s="225"/>
      <c r="HBW124" s="225"/>
      <c r="HBX124" s="225"/>
      <c r="HBY124" s="225"/>
      <c r="HBZ124" s="225"/>
      <c r="HCA124" s="225"/>
      <c r="HCB124" s="225"/>
      <c r="HCC124" s="225"/>
      <c r="HCD124" s="225"/>
      <c r="HCE124" s="225"/>
      <c r="HCF124" s="225"/>
      <c r="HCG124" s="225"/>
      <c r="HCH124" s="225"/>
      <c r="HCI124" s="225"/>
      <c r="HCJ124" s="225"/>
      <c r="HCK124" s="225"/>
      <c r="HCL124" s="225"/>
      <c r="HCM124" s="225"/>
      <c r="HCN124" s="225"/>
      <c r="HCO124" s="225"/>
      <c r="HCP124" s="225"/>
      <c r="HCQ124" s="225"/>
      <c r="HCR124" s="225"/>
      <c r="HCS124" s="225"/>
      <c r="HCT124" s="225"/>
      <c r="HCU124" s="225"/>
      <c r="HCV124" s="225"/>
      <c r="HCW124" s="225"/>
      <c r="HCX124" s="225"/>
      <c r="HCY124" s="225"/>
      <c r="HCZ124" s="225"/>
      <c r="HDA124" s="225"/>
      <c r="HDB124" s="225"/>
      <c r="HDC124" s="225"/>
      <c r="HDD124" s="225"/>
      <c r="HDE124" s="225"/>
      <c r="HDF124" s="225"/>
      <c r="HDG124" s="225"/>
      <c r="HDH124" s="225"/>
      <c r="HDI124" s="225"/>
      <c r="HDJ124" s="225"/>
      <c r="HDK124" s="225"/>
      <c r="HDL124" s="225"/>
      <c r="HDM124" s="225"/>
      <c r="HDN124" s="225"/>
      <c r="HDO124" s="225"/>
      <c r="HDP124" s="225"/>
      <c r="HDQ124" s="225"/>
      <c r="HDR124" s="225"/>
      <c r="HDS124" s="225"/>
      <c r="HDT124" s="225"/>
      <c r="HDU124" s="225"/>
      <c r="HDV124" s="225"/>
      <c r="HDW124" s="225"/>
      <c r="HDX124" s="225"/>
      <c r="HDY124" s="225"/>
      <c r="HDZ124" s="225"/>
      <c r="HEA124" s="225"/>
      <c r="HEB124" s="225"/>
      <c r="HEC124" s="225"/>
      <c r="HED124" s="225"/>
      <c r="HEE124" s="225"/>
      <c r="HEF124" s="225"/>
      <c r="HEG124" s="225"/>
      <c r="HEH124" s="225"/>
      <c r="HEI124" s="225"/>
      <c r="HEJ124" s="225"/>
      <c r="HEK124" s="225"/>
      <c r="HEL124" s="225"/>
      <c r="HEM124" s="225"/>
      <c r="HEN124" s="225"/>
      <c r="HEO124" s="225"/>
      <c r="HEP124" s="225"/>
      <c r="HEQ124" s="225"/>
      <c r="HER124" s="225"/>
      <c r="HES124" s="225"/>
      <c r="HET124" s="225"/>
      <c r="HEU124" s="225"/>
      <c r="HEV124" s="225"/>
      <c r="HEW124" s="225"/>
      <c r="HEX124" s="225"/>
      <c r="HEY124" s="225"/>
      <c r="HEZ124" s="225"/>
      <c r="HFA124" s="225"/>
      <c r="HFB124" s="225"/>
      <c r="HFC124" s="225"/>
      <c r="HFD124" s="225"/>
      <c r="HFE124" s="225"/>
      <c r="HFF124" s="225"/>
      <c r="HFG124" s="225"/>
      <c r="HFH124" s="225"/>
      <c r="HFI124" s="225"/>
      <c r="HFJ124" s="225"/>
      <c r="HFK124" s="225"/>
      <c r="HFL124" s="225"/>
      <c r="HFM124" s="225"/>
      <c r="HFN124" s="225"/>
      <c r="HFO124" s="225"/>
      <c r="HFP124" s="225"/>
      <c r="HFQ124" s="225"/>
      <c r="HFR124" s="225"/>
      <c r="HFS124" s="225"/>
      <c r="HFT124" s="225"/>
      <c r="HFU124" s="225"/>
      <c r="HFV124" s="225"/>
      <c r="HFW124" s="225"/>
      <c r="HFX124" s="225"/>
      <c r="HFY124" s="225"/>
      <c r="HFZ124" s="225"/>
      <c r="HGA124" s="225"/>
      <c r="HGB124" s="225"/>
      <c r="HGC124" s="225"/>
      <c r="HGD124" s="225"/>
      <c r="HGE124" s="225"/>
      <c r="HGF124" s="225"/>
      <c r="HGG124" s="225"/>
      <c r="HGH124" s="225"/>
      <c r="HGI124" s="225"/>
      <c r="HGJ124" s="225"/>
      <c r="HGK124" s="225"/>
      <c r="HGL124" s="225"/>
      <c r="HGM124" s="225"/>
      <c r="HGN124" s="225"/>
      <c r="HGO124" s="225"/>
      <c r="HGP124" s="225"/>
      <c r="HGQ124" s="225"/>
      <c r="HGR124" s="225"/>
      <c r="HGS124" s="225"/>
      <c r="HGT124" s="225"/>
      <c r="HGU124" s="225"/>
      <c r="HGV124" s="225"/>
      <c r="HGW124" s="225"/>
      <c r="HGX124" s="225"/>
      <c r="HGY124" s="225"/>
      <c r="HGZ124" s="225"/>
      <c r="HHA124" s="225"/>
      <c r="HHB124" s="225"/>
      <c r="HHC124" s="225"/>
      <c r="HHD124" s="225"/>
      <c r="HHE124" s="225"/>
      <c r="HHF124" s="225"/>
      <c r="HHG124" s="225"/>
      <c r="HHH124" s="225"/>
      <c r="HHI124" s="225"/>
      <c r="HHJ124" s="225"/>
      <c r="HHK124" s="225"/>
      <c r="HHL124" s="225"/>
      <c r="HHM124" s="225"/>
      <c r="HHN124" s="225"/>
      <c r="HHO124" s="225"/>
      <c r="HHP124" s="225"/>
      <c r="HHQ124" s="225"/>
      <c r="HHR124" s="225"/>
      <c r="HHS124" s="225"/>
      <c r="HHT124" s="225"/>
      <c r="HHU124" s="225"/>
      <c r="HHV124" s="225"/>
      <c r="HHW124" s="225"/>
      <c r="HHX124" s="225"/>
      <c r="HHY124" s="225"/>
      <c r="HHZ124" s="225"/>
      <c r="HIA124" s="225"/>
      <c r="HIB124" s="225"/>
      <c r="HIC124" s="225"/>
      <c r="HID124" s="225"/>
      <c r="HIE124" s="225"/>
      <c r="HIF124" s="225"/>
      <c r="HIG124" s="225"/>
      <c r="HIH124" s="225"/>
      <c r="HII124" s="225"/>
      <c r="HIJ124" s="225"/>
      <c r="HIK124" s="225"/>
      <c r="HIL124" s="225"/>
      <c r="HIM124" s="225"/>
      <c r="HIN124" s="225"/>
      <c r="HIO124" s="225"/>
      <c r="HIP124" s="225"/>
      <c r="HIQ124" s="225"/>
      <c r="HIR124" s="225"/>
      <c r="HIS124" s="225"/>
      <c r="HIT124" s="225"/>
      <c r="HIU124" s="225"/>
      <c r="HIV124" s="225"/>
      <c r="HIW124" s="225"/>
      <c r="HIX124" s="225"/>
      <c r="HIY124" s="225"/>
      <c r="HIZ124" s="225"/>
      <c r="HJA124" s="225"/>
      <c r="HJB124" s="225"/>
      <c r="HJC124" s="225"/>
      <c r="HJD124" s="225"/>
      <c r="HJE124" s="225"/>
      <c r="HJF124" s="225"/>
      <c r="HJG124" s="225"/>
      <c r="HJH124" s="225"/>
      <c r="HJI124" s="225"/>
      <c r="HJJ124" s="225"/>
      <c r="HJK124" s="225"/>
      <c r="HJL124" s="225"/>
      <c r="HJM124" s="225"/>
      <c r="HJN124" s="225"/>
      <c r="HJO124" s="225"/>
      <c r="HJP124" s="225"/>
      <c r="HJQ124" s="225"/>
      <c r="HJR124" s="225"/>
      <c r="HJS124" s="225"/>
      <c r="HJT124" s="225"/>
      <c r="HJU124" s="225"/>
      <c r="HJV124" s="225"/>
      <c r="HJW124" s="225"/>
      <c r="HJX124" s="225"/>
      <c r="HJY124" s="225"/>
      <c r="HJZ124" s="225"/>
      <c r="HKA124" s="225"/>
      <c r="HKB124" s="225"/>
      <c r="HKC124" s="225"/>
      <c r="HKD124" s="225"/>
      <c r="HKE124" s="225"/>
      <c r="HKF124" s="225"/>
      <c r="HKG124" s="225"/>
      <c r="HKH124" s="225"/>
      <c r="HKI124" s="225"/>
      <c r="HKJ124" s="225"/>
      <c r="HKK124" s="225"/>
      <c r="HKL124" s="225"/>
      <c r="HKM124" s="225"/>
      <c r="HKN124" s="225"/>
      <c r="HKO124" s="225"/>
      <c r="HKP124" s="225"/>
      <c r="HKQ124" s="225"/>
      <c r="HKR124" s="225"/>
      <c r="HKS124" s="225"/>
      <c r="HKT124" s="225"/>
      <c r="HKU124" s="225"/>
      <c r="HKV124" s="225"/>
      <c r="HKW124" s="225"/>
      <c r="HKX124" s="225"/>
      <c r="HKY124" s="225"/>
      <c r="HKZ124" s="225"/>
      <c r="HLA124" s="225"/>
      <c r="HLB124" s="225"/>
      <c r="HLC124" s="225"/>
      <c r="HLD124" s="225"/>
      <c r="HLE124" s="225"/>
      <c r="HLF124" s="225"/>
      <c r="HLG124" s="225"/>
      <c r="HLH124" s="225"/>
      <c r="HLI124" s="225"/>
      <c r="HLJ124" s="225"/>
      <c r="HLK124" s="225"/>
      <c r="HLL124" s="225"/>
      <c r="HLM124" s="225"/>
      <c r="HLN124" s="225"/>
      <c r="HLO124" s="225"/>
      <c r="HLP124" s="225"/>
      <c r="HLQ124" s="225"/>
      <c r="HLR124" s="225"/>
      <c r="HLS124" s="225"/>
      <c r="HLT124" s="225"/>
      <c r="HLU124" s="225"/>
      <c r="HLV124" s="225"/>
      <c r="HLW124" s="225"/>
      <c r="HLX124" s="225"/>
      <c r="HLY124" s="225"/>
      <c r="HLZ124" s="225"/>
      <c r="HMA124" s="225"/>
      <c r="HMB124" s="225"/>
      <c r="HMC124" s="225"/>
      <c r="HMD124" s="225"/>
      <c r="HME124" s="225"/>
      <c r="HMF124" s="225"/>
      <c r="HMG124" s="225"/>
      <c r="HMH124" s="225"/>
      <c r="HMI124" s="225"/>
      <c r="HMJ124" s="225"/>
      <c r="HMK124" s="225"/>
      <c r="HML124" s="225"/>
      <c r="HMM124" s="225"/>
      <c r="HMN124" s="225"/>
      <c r="HMO124" s="225"/>
      <c r="HMP124" s="225"/>
      <c r="HMQ124" s="225"/>
      <c r="HMR124" s="225"/>
      <c r="HMS124" s="225"/>
      <c r="HMT124" s="225"/>
      <c r="HMU124" s="225"/>
      <c r="HMV124" s="225"/>
      <c r="HMW124" s="225"/>
      <c r="HMX124" s="225"/>
      <c r="HMY124" s="225"/>
      <c r="HMZ124" s="225"/>
      <c r="HNA124" s="225"/>
      <c r="HNB124" s="225"/>
      <c r="HNC124" s="225"/>
      <c r="HND124" s="225"/>
      <c r="HNE124" s="225"/>
      <c r="HNF124" s="225"/>
      <c r="HNG124" s="225"/>
      <c r="HNH124" s="225"/>
      <c r="HNI124" s="225"/>
      <c r="HNJ124" s="225"/>
      <c r="HNK124" s="225"/>
      <c r="HNL124" s="225"/>
      <c r="HNM124" s="225"/>
      <c r="HNN124" s="225"/>
      <c r="HNO124" s="225"/>
      <c r="HNP124" s="225"/>
      <c r="HNQ124" s="225"/>
      <c r="HNR124" s="225"/>
      <c r="HNS124" s="225"/>
      <c r="HNT124" s="225"/>
      <c r="HNU124" s="225"/>
      <c r="HNV124" s="225"/>
      <c r="HNW124" s="225"/>
      <c r="HNX124" s="225"/>
      <c r="HNY124" s="225"/>
      <c r="HNZ124" s="225"/>
      <c r="HOA124" s="225"/>
      <c r="HOB124" s="225"/>
      <c r="HOC124" s="225"/>
      <c r="HOD124" s="225"/>
      <c r="HOE124" s="225"/>
      <c r="HOF124" s="225"/>
      <c r="HOG124" s="225"/>
      <c r="HOH124" s="225"/>
      <c r="HOI124" s="225"/>
      <c r="HOJ124" s="225"/>
      <c r="HOK124" s="225"/>
      <c r="HOL124" s="225"/>
      <c r="HOM124" s="225"/>
      <c r="HON124" s="225"/>
      <c r="HOO124" s="225"/>
      <c r="HOP124" s="225"/>
      <c r="HOQ124" s="225"/>
      <c r="HOR124" s="225"/>
      <c r="HOS124" s="225"/>
      <c r="HOT124" s="225"/>
      <c r="HOU124" s="225"/>
      <c r="HOV124" s="225"/>
      <c r="HOW124" s="225"/>
      <c r="HOX124" s="225"/>
      <c r="HOY124" s="225"/>
      <c r="HOZ124" s="225"/>
      <c r="HPA124" s="225"/>
      <c r="HPB124" s="225"/>
      <c r="HPC124" s="225"/>
      <c r="HPD124" s="225"/>
      <c r="HPE124" s="225"/>
      <c r="HPF124" s="225"/>
      <c r="HPG124" s="225"/>
      <c r="HPH124" s="225"/>
      <c r="HPI124" s="225"/>
      <c r="HPJ124" s="225"/>
      <c r="HPK124" s="225"/>
      <c r="HPL124" s="225"/>
      <c r="HPM124" s="225"/>
      <c r="HPN124" s="225"/>
      <c r="HPO124" s="225"/>
      <c r="HPP124" s="225"/>
      <c r="HPQ124" s="225"/>
      <c r="HPR124" s="225"/>
      <c r="HPS124" s="225"/>
      <c r="HPT124" s="225"/>
      <c r="HPU124" s="225"/>
      <c r="HPV124" s="225"/>
      <c r="HPW124" s="225"/>
      <c r="HPX124" s="225"/>
      <c r="HPY124" s="225"/>
      <c r="HPZ124" s="225"/>
      <c r="HQA124" s="225"/>
      <c r="HQB124" s="225"/>
      <c r="HQC124" s="225"/>
      <c r="HQD124" s="225"/>
      <c r="HQE124" s="225"/>
      <c r="HQF124" s="225"/>
      <c r="HQG124" s="225"/>
      <c r="HQH124" s="225"/>
      <c r="HQI124" s="225"/>
      <c r="HQJ124" s="225"/>
      <c r="HQK124" s="225"/>
      <c r="HQL124" s="225"/>
      <c r="HQM124" s="225"/>
      <c r="HQN124" s="225"/>
      <c r="HQO124" s="225"/>
      <c r="HQP124" s="225"/>
      <c r="HQQ124" s="225"/>
      <c r="HQR124" s="225"/>
      <c r="HQS124" s="225"/>
      <c r="HQT124" s="225"/>
      <c r="HQU124" s="225"/>
      <c r="HQV124" s="225"/>
      <c r="HQW124" s="225"/>
      <c r="HQX124" s="225"/>
      <c r="HQY124" s="225"/>
      <c r="HQZ124" s="225"/>
      <c r="HRA124" s="225"/>
      <c r="HRB124" s="225"/>
      <c r="HRC124" s="225"/>
      <c r="HRD124" s="225"/>
      <c r="HRE124" s="225"/>
      <c r="HRF124" s="225"/>
      <c r="HRG124" s="225"/>
      <c r="HRH124" s="225"/>
      <c r="HRI124" s="225"/>
      <c r="HRJ124" s="225"/>
      <c r="HRK124" s="225"/>
      <c r="HRL124" s="225"/>
      <c r="HRM124" s="225"/>
      <c r="HRN124" s="225"/>
      <c r="HRO124" s="225"/>
      <c r="HRP124" s="225"/>
      <c r="HRQ124" s="225"/>
      <c r="HRR124" s="225"/>
      <c r="HRS124" s="225"/>
      <c r="HRT124" s="225"/>
      <c r="HRU124" s="225"/>
      <c r="HRV124" s="225"/>
      <c r="HRW124" s="225"/>
      <c r="HRX124" s="225"/>
      <c r="HRY124" s="225"/>
      <c r="HRZ124" s="225"/>
      <c r="HSA124" s="225"/>
      <c r="HSB124" s="225"/>
      <c r="HSC124" s="225"/>
      <c r="HSD124" s="225"/>
      <c r="HSE124" s="225"/>
      <c r="HSF124" s="225"/>
      <c r="HSG124" s="225"/>
      <c r="HSH124" s="225"/>
      <c r="HSI124" s="225"/>
      <c r="HSJ124" s="225"/>
      <c r="HSK124" s="225"/>
      <c r="HSL124" s="225"/>
      <c r="HSM124" s="225"/>
      <c r="HSN124" s="225"/>
      <c r="HSO124" s="225"/>
      <c r="HSP124" s="225"/>
      <c r="HSQ124" s="225"/>
      <c r="HSR124" s="225"/>
      <c r="HSS124" s="225"/>
      <c r="HST124" s="225"/>
      <c r="HSU124" s="225"/>
      <c r="HSV124" s="225"/>
      <c r="HSW124" s="225"/>
      <c r="HSX124" s="225"/>
      <c r="HSY124" s="225"/>
      <c r="HSZ124" s="225"/>
      <c r="HTA124" s="225"/>
      <c r="HTB124" s="225"/>
      <c r="HTC124" s="225"/>
      <c r="HTD124" s="225"/>
      <c r="HTE124" s="225"/>
      <c r="HTF124" s="225"/>
      <c r="HTG124" s="225"/>
      <c r="HTH124" s="225"/>
      <c r="HTI124" s="225"/>
      <c r="HTJ124" s="225"/>
      <c r="HTK124" s="225"/>
      <c r="HTL124" s="225"/>
      <c r="HTM124" s="225"/>
      <c r="HTN124" s="225"/>
      <c r="HTO124" s="225"/>
      <c r="HTP124" s="225"/>
      <c r="HTQ124" s="225"/>
      <c r="HTR124" s="225"/>
      <c r="HTS124" s="225"/>
      <c r="HTT124" s="225"/>
      <c r="HTU124" s="225"/>
      <c r="HTV124" s="225"/>
      <c r="HTW124" s="225"/>
      <c r="HTX124" s="225"/>
      <c r="HTY124" s="225"/>
      <c r="HTZ124" s="225"/>
      <c r="HUA124" s="225"/>
      <c r="HUB124" s="225"/>
      <c r="HUC124" s="225"/>
      <c r="HUD124" s="225"/>
      <c r="HUE124" s="225"/>
      <c r="HUF124" s="225"/>
      <c r="HUG124" s="225"/>
      <c r="HUH124" s="225"/>
      <c r="HUI124" s="225"/>
      <c r="HUJ124" s="225"/>
      <c r="HUK124" s="225"/>
      <c r="HUL124" s="225"/>
      <c r="HUM124" s="225"/>
      <c r="HUN124" s="225"/>
      <c r="HUO124" s="225"/>
      <c r="HUP124" s="225"/>
      <c r="HUQ124" s="225"/>
      <c r="HUR124" s="225"/>
      <c r="HUS124" s="225"/>
      <c r="HUT124" s="225"/>
      <c r="HUU124" s="225"/>
      <c r="HUV124" s="225"/>
      <c r="HUW124" s="225"/>
      <c r="HUX124" s="225"/>
      <c r="HUY124" s="225"/>
      <c r="HUZ124" s="225"/>
      <c r="HVA124" s="225"/>
      <c r="HVB124" s="225"/>
      <c r="HVC124" s="225"/>
      <c r="HVD124" s="225"/>
      <c r="HVE124" s="225"/>
      <c r="HVF124" s="225"/>
      <c r="HVG124" s="225"/>
      <c r="HVH124" s="225"/>
      <c r="HVI124" s="225"/>
      <c r="HVJ124" s="225"/>
      <c r="HVK124" s="225"/>
      <c r="HVL124" s="225"/>
      <c r="HVM124" s="225"/>
      <c r="HVN124" s="225"/>
      <c r="HVO124" s="225"/>
      <c r="HVP124" s="225"/>
      <c r="HVQ124" s="225"/>
      <c r="HVR124" s="225"/>
      <c r="HVS124" s="225"/>
      <c r="HVT124" s="225"/>
      <c r="HVU124" s="225"/>
      <c r="HVV124" s="225"/>
      <c r="HVW124" s="225"/>
      <c r="HVX124" s="225"/>
      <c r="HVY124" s="225"/>
      <c r="HVZ124" s="225"/>
      <c r="HWA124" s="225"/>
      <c r="HWB124" s="225"/>
      <c r="HWC124" s="225"/>
      <c r="HWD124" s="225"/>
      <c r="HWE124" s="225"/>
      <c r="HWF124" s="225"/>
      <c r="HWG124" s="225"/>
      <c r="HWH124" s="225"/>
      <c r="HWI124" s="225"/>
      <c r="HWJ124" s="225"/>
      <c r="HWK124" s="225"/>
      <c r="HWL124" s="225"/>
      <c r="HWM124" s="225"/>
      <c r="HWN124" s="225"/>
      <c r="HWO124" s="225"/>
      <c r="HWP124" s="225"/>
      <c r="HWQ124" s="225"/>
      <c r="HWR124" s="225"/>
      <c r="HWS124" s="225"/>
      <c r="HWT124" s="225"/>
      <c r="HWU124" s="225"/>
      <c r="HWV124" s="225"/>
      <c r="HWW124" s="225"/>
      <c r="HWX124" s="225"/>
      <c r="HWY124" s="225"/>
      <c r="HWZ124" s="225"/>
      <c r="HXA124" s="225"/>
      <c r="HXB124" s="225"/>
      <c r="HXC124" s="225"/>
      <c r="HXD124" s="225"/>
      <c r="HXE124" s="225"/>
      <c r="HXF124" s="225"/>
      <c r="HXG124" s="225"/>
      <c r="HXH124" s="225"/>
      <c r="HXI124" s="225"/>
      <c r="HXJ124" s="225"/>
      <c r="HXK124" s="225"/>
      <c r="HXL124" s="225"/>
      <c r="HXM124" s="225"/>
      <c r="HXN124" s="225"/>
      <c r="HXO124" s="225"/>
      <c r="HXP124" s="225"/>
      <c r="HXQ124" s="225"/>
      <c r="HXR124" s="225"/>
      <c r="HXS124" s="225"/>
      <c r="HXT124" s="225"/>
      <c r="HXU124" s="225"/>
      <c r="HXV124" s="225"/>
      <c r="HXW124" s="225"/>
      <c r="HXX124" s="225"/>
      <c r="HXY124" s="225"/>
      <c r="HXZ124" s="225"/>
      <c r="HYA124" s="225"/>
      <c r="HYB124" s="225"/>
      <c r="HYC124" s="225"/>
      <c r="HYD124" s="225"/>
      <c r="HYE124" s="225"/>
      <c r="HYF124" s="225"/>
      <c r="HYG124" s="225"/>
      <c r="HYH124" s="225"/>
      <c r="HYI124" s="225"/>
      <c r="HYJ124" s="225"/>
      <c r="HYK124" s="225"/>
      <c r="HYL124" s="225"/>
      <c r="HYM124" s="225"/>
      <c r="HYN124" s="225"/>
      <c r="HYO124" s="225"/>
      <c r="HYP124" s="225"/>
      <c r="HYQ124" s="225"/>
      <c r="HYR124" s="225"/>
      <c r="HYS124" s="225"/>
      <c r="HYT124" s="225"/>
      <c r="HYU124" s="225"/>
      <c r="HYV124" s="225"/>
      <c r="HYW124" s="225"/>
      <c r="HYX124" s="225"/>
      <c r="HYY124" s="225"/>
      <c r="HYZ124" s="225"/>
      <c r="HZA124" s="225"/>
      <c r="HZB124" s="225"/>
      <c r="HZC124" s="225"/>
      <c r="HZD124" s="225"/>
      <c r="HZE124" s="225"/>
      <c r="HZF124" s="225"/>
      <c r="HZG124" s="225"/>
      <c r="HZH124" s="225"/>
      <c r="HZI124" s="225"/>
      <c r="HZJ124" s="225"/>
      <c r="HZK124" s="225"/>
      <c r="HZL124" s="225"/>
      <c r="HZM124" s="225"/>
      <c r="HZN124" s="225"/>
      <c r="HZO124" s="225"/>
      <c r="HZP124" s="225"/>
      <c r="HZQ124" s="225"/>
      <c r="HZR124" s="225"/>
      <c r="HZS124" s="225"/>
      <c r="HZT124" s="225"/>
      <c r="HZU124" s="225"/>
      <c r="HZV124" s="225"/>
      <c r="HZW124" s="225"/>
      <c r="HZX124" s="225"/>
      <c r="HZY124" s="225"/>
      <c r="HZZ124" s="225"/>
      <c r="IAA124" s="225"/>
      <c r="IAB124" s="225"/>
      <c r="IAC124" s="225"/>
      <c r="IAD124" s="225"/>
      <c r="IAE124" s="225"/>
      <c r="IAF124" s="225"/>
      <c r="IAG124" s="225"/>
      <c r="IAH124" s="225"/>
      <c r="IAI124" s="225"/>
      <c r="IAJ124" s="225"/>
      <c r="IAK124" s="225"/>
      <c r="IAL124" s="225"/>
      <c r="IAM124" s="225"/>
      <c r="IAN124" s="225"/>
      <c r="IAO124" s="225"/>
      <c r="IAP124" s="225"/>
      <c r="IAQ124" s="225"/>
      <c r="IAR124" s="225"/>
      <c r="IAS124" s="225"/>
      <c r="IAT124" s="225"/>
      <c r="IAU124" s="225"/>
      <c r="IAV124" s="225"/>
      <c r="IAW124" s="225"/>
      <c r="IAX124" s="225"/>
      <c r="IAY124" s="225"/>
      <c r="IAZ124" s="225"/>
      <c r="IBA124" s="225"/>
      <c r="IBB124" s="225"/>
      <c r="IBC124" s="225"/>
      <c r="IBD124" s="225"/>
      <c r="IBE124" s="225"/>
      <c r="IBF124" s="225"/>
      <c r="IBG124" s="225"/>
      <c r="IBH124" s="225"/>
      <c r="IBI124" s="225"/>
      <c r="IBJ124" s="225"/>
      <c r="IBK124" s="225"/>
      <c r="IBL124" s="225"/>
      <c r="IBM124" s="225"/>
      <c r="IBN124" s="225"/>
      <c r="IBO124" s="225"/>
      <c r="IBP124" s="225"/>
      <c r="IBQ124" s="225"/>
      <c r="IBR124" s="225"/>
      <c r="IBS124" s="225"/>
      <c r="IBT124" s="225"/>
      <c r="IBU124" s="225"/>
      <c r="IBV124" s="225"/>
      <c r="IBW124" s="225"/>
      <c r="IBX124" s="225"/>
      <c r="IBY124" s="225"/>
      <c r="IBZ124" s="225"/>
      <c r="ICA124" s="225"/>
      <c r="ICB124" s="225"/>
      <c r="ICC124" s="225"/>
      <c r="ICD124" s="225"/>
      <c r="ICE124" s="225"/>
      <c r="ICF124" s="225"/>
      <c r="ICG124" s="225"/>
      <c r="ICH124" s="225"/>
      <c r="ICI124" s="225"/>
      <c r="ICJ124" s="225"/>
      <c r="ICK124" s="225"/>
      <c r="ICL124" s="225"/>
      <c r="ICM124" s="225"/>
      <c r="ICN124" s="225"/>
      <c r="ICO124" s="225"/>
      <c r="ICP124" s="225"/>
      <c r="ICQ124" s="225"/>
      <c r="ICR124" s="225"/>
      <c r="ICS124" s="225"/>
      <c r="ICT124" s="225"/>
      <c r="ICU124" s="225"/>
      <c r="ICV124" s="225"/>
      <c r="ICW124" s="225"/>
      <c r="ICX124" s="225"/>
      <c r="ICY124" s="225"/>
      <c r="ICZ124" s="225"/>
      <c r="IDA124" s="225"/>
      <c r="IDB124" s="225"/>
      <c r="IDC124" s="225"/>
      <c r="IDD124" s="225"/>
      <c r="IDE124" s="225"/>
      <c r="IDF124" s="225"/>
      <c r="IDG124" s="225"/>
      <c r="IDH124" s="225"/>
      <c r="IDI124" s="225"/>
      <c r="IDJ124" s="225"/>
      <c r="IDK124" s="225"/>
      <c r="IDL124" s="225"/>
      <c r="IDM124" s="225"/>
      <c r="IDN124" s="225"/>
      <c r="IDO124" s="225"/>
      <c r="IDP124" s="225"/>
      <c r="IDQ124" s="225"/>
      <c r="IDR124" s="225"/>
      <c r="IDS124" s="225"/>
      <c r="IDT124" s="225"/>
      <c r="IDU124" s="225"/>
      <c r="IDV124" s="225"/>
      <c r="IDW124" s="225"/>
      <c r="IDX124" s="225"/>
      <c r="IDY124" s="225"/>
      <c r="IDZ124" s="225"/>
      <c r="IEA124" s="225"/>
      <c r="IEB124" s="225"/>
      <c r="IEC124" s="225"/>
      <c r="IED124" s="225"/>
      <c r="IEE124" s="225"/>
      <c r="IEF124" s="225"/>
      <c r="IEG124" s="225"/>
      <c r="IEH124" s="225"/>
      <c r="IEI124" s="225"/>
      <c r="IEJ124" s="225"/>
      <c r="IEK124" s="225"/>
      <c r="IEL124" s="225"/>
      <c r="IEM124" s="225"/>
      <c r="IEN124" s="225"/>
      <c r="IEO124" s="225"/>
      <c r="IEP124" s="225"/>
      <c r="IEQ124" s="225"/>
      <c r="IER124" s="225"/>
      <c r="IES124" s="225"/>
      <c r="IET124" s="225"/>
      <c r="IEU124" s="225"/>
      <c r="IEV124" s="225"/>
      <c r="IEW124" s="225"/>
      <c r="IEX124" s="225"/>
      <c r="IEY124" s="225"/>
      <c r="IEZ124" s="225"/>
      <c r="IFA124" s="225"/>
      <c r="IFB124" s="225"/>
      <c r="IFC124" s="225"/>
      <c r="IFD124" s="225"/>
      <c r="IFE124" s="225"/>
      <c r="IFF124" s="225"/>
      <c r="IFG124" s="225"/>
      <c r="IFH124" s="225"/>
      <c r="IFI124" s="225"/>
      <c r="IFJ124" s="225"/>
      <c r="IFK124" s="225"/>
      <c r="IFL124" s="225"/>
      <c r="IFM124" s="225"/>
      <c r="IFN124" s="225"/>
      <c r="IFO124" s="225"/>
      <c r="IFP124" s="225"/>
      <c r="IFQ124" s="225"/>
      <c r="IFR124" s="225"/>
      <c r="IFS124" s="225"/>
      <c r="IFT124" s="225"/>
      <c r="IFU124" s="225"/>
      <c r="IFV124" s="225"/>
      <c r="IFW124" s="225"/>
      <c r="IFX124" s="225"/>
      <c r="IFY124" s="225"/>
      <c r="IFZ124" s="225"/>
      <c r="IGA124" s="225"/>
      <c r="IGB124" s="225"/>
      <c r="IGC124" s="225"/>
      <c r="IGD124" s="225"/>
      <c r="IGE124" s="225"/>
      <c r="IGF124" s="225"/>
      <c r="IGG124" s="225"/>
      <c r="IGH124" s="225"/>
      <c r="IGI124" s="225"/>
      <c r="IGJ124" s="225"/>
      <c r="IGK124" s="225"/>
      <c r="IGL124" s="225"/>
      <c r="IGM124" s="225"/>
      <c r="IGN124" s="225"/>
      <c r="IGO124" s="225"/>
      <c r="IGP124" s="225"/>
      <c r="IGQ124" s="225"/>
      <c r="IGR124" s="225"/>
      <c r="IGS124" s="225"/>
      <c r="IGT124" s="225"/>
      <c r="IGU124" s="225"/>
      <c r="IGV124" s="225"/>
      <c r="IGW124" s="225"/>
      <c r="IGX124" s="225"/>
      <c r="IGY124" s="225"/>
      <c r="IGZ124" s="225"/>
      <c r="IHA124" s="225"/>
      <c r="IHB124" s="225"/>
      <c r="IHC124" s="225"/>
      <c r="IHD124" s="225"/>
      <c r="IHE124" s="225"/>
      <c r="IHF124" s="225"/>
      <c r="IHG124" s="225"/>
      <c r="IHH124" s="225"/>
      <c r="IHI124" s="225"/>
      <c r="IHJ124" s="225"/>
      <c r="IHK124" s="225"/>
      <c r="IHL124" s="225"/>
      <c r="IHM124" s="225"/>
      <c r="IHN124" s="225"/>
      <c r="IHO124" s="225"/>
      <c r="IHP124" s="225"/>
      <c r="IHQ124" s="225"/>
      <c r="IHR124" s="225"/>
      <c r="IHS124" s="225"/>
      <c r="IHT124" s="225"/>
      <c r="IHU124" s="225"/>
      <c r="IHV124" s="225"/>
      <c r="IHW124" s="225"/>
      <c r="IHX124" s="225"/>
      <c r="IHY124" s="225"/>
      <c r="IHZ124" s="225"/>
      <c r="IIA124" s="225"/>
      <c r="IIB124" s="225"/>
      <c r="IIC124" s="225"/>
      <c r="IID124" s="225"/>
      <c r="IIE124" s="225"/>
      <c r="IIF124" s="225"/>
      <c r="IIG124" s="225"/>
      <c r="IIH124" s="225"/>
      <c r="III124" s="225"/>
      <c r="IIJ124" s="225"/>
      <c r="IIK124" s="225"/>
      <c r="IIL124" s="225"/>
      <c r="IIM124" s="225"/>
      <c r="IIN124" s="225"/>
      <c r="IIO124" s="225"/>
      <c r="IIP124" s="225"/>
      <c r="IIQ124" s="225"/>
      <c r="IIR124" s="225"/>
      <c r="IIS124" s="225"/>
      <c r="IIT124" s="225"/>
      <c r="IIU124" s="225"/>
      <c r="IIV124" s="225"/>
      <c r="IIW124" s="225"/>
      <c r="IIX124" s="225"/>
      <c r="IIY124" s="225"/>
      <c r="IIZ124" s="225"/>
      <c r="IJA124" s="225"/>
      <c r="IJB124" s="225"/>
      <c r="IJC124" s="225"/>
      <c r="IJD124" s="225"/>
      <c r="IJE124" s="225"/>
      <c r="IJF124" s="225"/>
      <c r="IJG124" s="225"/>
      <c r="IJH124" s="225"/>
      <c r="IJI124" s="225"/>
      <c r="IJJ124" s="225"/>
      <c r="IJK124" s="225"/>
      <c r="IJL124" s="225"/>
      <c r="IJM124" s="225"/>
      <c r="IJN124" s="225"/>
      <c r="IJO124" s="225"/>
      <c r="IJP124" s="225"/>
      <c r="IJQ124" s="225"/>
      <c r="IJR124" s="225"/>
      <c r="IJS124" s="225"/>
      <c r="IJT124" s="225"/>
      <c r="IJU124" s="225"/>
      <c r="IJV124" s="225"/>
      <c r="IJW124" s="225"/>
      <c r="IJX124" s="225"/>
      <c r="IJY124" s="225"/>
      <c r="IJZ124" s="225"/>
      <c r="IKA124" s="225"/>
      <c r="IKB124" s="225"/>
      <c r="IKC124" s="225"/>
      <c r="IKD124" s="225"/>
      <c r="IKE124" s="225"/>
      <c r="IKF124" s="225"/>
      <c r="IKG124" s="225"/>
      <c r="IKH124" s="225"/>
      <c r="IKI124" s="225"/>
      <c r="IKJ124" s="225"/>
      <c r="IKK124" s="225"/>
      <c r="IKL124" s="225"/>
      <c r="IKM124" s="225"/>
      <c r="IKN124" s="225"/>
      <c r="IKO124" s="225"/>
      <c r="IKP124" s="225"/>
      <c r="IKQ124" s="225"/>
      <c r="IKR124" s="225"/>
      <c r="IKS124" s="225"/>
      <c r="IKT124" s="225"/>
      <c r="IKU124" s="225"/>
      <c r="IKV124" s="225"/>
      <c r="IKW124" s="225"/>
      <c r="IKX124" s="225"/>
      <c r="IKY124" s="225"/>
      <c r="IKZ124" s="225"/>
      <c r="ILA124" s="225"/>
      <c r="ILB124" s="225"/>
      <c r="ILC124" s="225"/>
      <c r="ILD124" s="225"/>
      <c r="ILE124" s="225"/>
      <c r="ILF124" s="225"/>
      <c r="ILG124" s="225"/>
      <c r="ILH124" s="225"/>
      <c r="ILI124" s="225"/>
      <c r="ILJ124" s="225"/>
      <c r="ILK124" s="225"/>
      <c r="ILL124" s="225"/>
      <c r="ILM124" s="225"/>
      <c r="ILN124" s="225"/>
      <c r="ILO124" s="225"/>
      <c r="ILP124" s="225"/>
      <c r="ILQ124" s="225"/>
      <c r="ILR124" s="225"/>
      <c r="ILS124" s="225"/>
      <c r="ILT124" s="225"/>
      <c r="ILU124" s="225"/>
      <c r="ILV124" s="225"/>
      <c r="ILW124" s="225"/>
      <c r="ILX124" s="225"/>
      <c r="ILY124" s="225"/>
      <c r="ILZ124" s="225"/>
      <c r="IMA124" s="225"/>
      <c r="IMB124" s="225"/>
      <c r="IMC124" s="225"/>
      <c r="IMD124" s="225"/>
      <c r="IME124" s="225"/>
      <c r="IMF124" s="225"/>
      <c r="IMG124" s="225"/>
      <c r="IMH124" s="225"/>
      <c r="IMI124" s="225"/>
      <c r="IMJ124" s="225"/>
      <c r="IMK124" s="225"/>
      <c r="IML124" s="225"/>
      <c r="IMM124" s="225"/>
      <c r="IMN124" s="225"/>
      <c r="IMO124" s="225"/>
      <c r="IMP124" s="225"/>
      <c r="IMQ124" s="225"/>
      <c r="IMR124" s="225"/>
      <c r="IMS124" s="225"/>
      <c r="IMT124" s="225"/>
      <c r="IMU124" s="225"/>
      <c r="IMV124" s="225"/>
      <c r="IMW124" s="225"/>
      <c r="IMX124" s="225"/>
      <c r="IMY124" s="225"/>
      <c r="IMZ124" s="225"/>
      <c r="INA124" s="225"/>
      <c r="INB124" s="225"/>
      <c r="INC124" s="225"/>
      <c r="IND124" s="225"/>
      <c r="INE124" s="225"/>
      <c r="INF124" s="225"/>
      <c r="ING124" s="225"/>
      <c r="INH124" s="225"/>
      <c r="INI124" s="225"/>
      <c r="INJ124" s="225"/>
      <c r="INK124" s="225"/>
      <c r="INL124" s="225"/>
      <c r="INM124" s="225"/>
      <c r="INN124" s="225"/>
      <c r="INO124" s="225"/>
      <c r="INP124" s="225"/>
      <c r="INQ124" s="225"/>
      <c r="INR124" s="225"/>
      <c r="INS124" s="225"/>
      <c r="INT124" s="225"/>
      <c r="INU124" s="225"/>
      <c r="INV124" s="225"/>
      <c r="INW124" s="225"/>
      <c r="INX124" s="225"/>
      <c r="INY124" s="225"/>
      <c r="INZ124" s="225"/>
      <c r="IOA124" s="225"/>
      <c r="IOB124" s="225"/>
      <c r="IOC124" s="225"/>
      <c r="IOD124" s="225"/>
      <c r="IOE124" s="225"/>
      <c r="IOF124" s="225"/>
      <c r="IOG124" s="225"/>
      <c r="IOH124" s="225"/>
      <c r="IOI124" s="225"/>
      <c r="IOJ124" s="225"/>
      <c r="IOK124" s="225"/>
      <c r="IOL124" s="225"/>
      <c r="IOM124" s="225"/>
      <c r="ION124" s="225"/>
      <c r="IOO124" s="225"/>
      <c r="IOP124" s="225"/>
      <c r="IOQ124" s="225"/>
      <c r="IOR124" s="225"/>
      <c r="IOS124" s="225"/>
      <c r="IOT124" s="225"/>
      <c r="IOU124" s="225"/>
      <c r="IOV124" s="225"/>
      <c r="IOW124" s="225"/>
      <c r="IOX124" s="225"/>
      <c r="IOY124" s="225"/>
      <c r="IOZ124" s="225"/>
      <c r="IPA124" s="225"/>
      <c r="IPB124" s="225"/>
      <c r="IPC124" s="225"/>
      <c r="IPD124" s="225"/>
      <c r="IPE124" s="225"/>
      <c r="IPF124" s="225"/>
      <c r="IPG124" s="225"/>
      <c r="IPH124" s="225"/>
      <c r="IPI124" s="225"/>
      <c r="IPJ124" s="225"/>
      <c r="IPK124" s="225"/>
      <c r="IPL124" s="225"/>
      <c r="IPM124" s="225"/>
      <c r="IPN124" s="225"/>
      <c r="IPO124" s="225"/>
      <c r="IPP124" s="225"/>
      <c r="IPQ124" s="225"/>
      <c r="IPR124" s="225"/>
      <c r="IPS124" s="225"/>
      <c r="IPT124" s="225"/>
      <c r="IPU124" s="225"/>
      <c r="IPV124" s="225"/>
      <c r="IPW124" s="225"/>
      <c r="IPX124" s="225"/>
      <c r="IPY124" s="225"/>
      <c r="IPZ124" s="225"/>
      <c r="IQA124" s="225"/>
      <c r="IQB124" s="225"/>
      <c r="IQC124" s="225"/>
      <c r="IQD124" s="225"/>
      <c r="IQE124" s="225"/>
      <c r="IQF124" s="225"/>
      <c r="IQG124" s="225"/>
      <c r="IQH124" s="225"/>
      <c r="IQI124" s="225"/>
      <c r="IQJ124" s="225"/>
      <c r="IQK124" s="225"/>
      <c r="IQL124" s="225"/>
      <c r="IQM124" s="225"/>
      <c r="IQN124" s="225"/>
      <c r="IQO124" s="225"/>
      <c r="IQP124" s="225"/>
      <c r="IQQ124" s="225"/>
      <c r="IQR124" s="225"/>
      <c r="IQS124" s="225"/>
      <c r="IQT124" s="225"/>
      <c r="IQU124" s="225"/>
      <c r="IQV124" s="225"/>
      <c r="IQW124" s="225"/>
      <c r="IQX124" s="225"/>
      <c r="IQY124" s="225"/>
      <c r="IQZ124" s="225"/>
      <c r="IRA124" s="225"/>
      <c r="IRB124" s="225"/>
      <c r="IRC124" s="225"/>
      <c r="IRD124" s="225"/>
      <c r="IRE124" s="225"/>
      <c r="IRF124" s="225"/>
      <c r="IRG124" s="225"/>
      <c r="IRH124" s="225"/>
      <c r="IRI124" s="225"/>
      <c r="IRJ124" s="225"/>
      <c r="IRK124" s="225"/>
      <c r="IRL124" s="225"/>
      <c r="IRM124" s="225"/>
      <c r="IRN124" s="225"/>
      <c r="IRO124" s="225"/>
      <c r="IRP124" s="225"/>
      <c r="IRQ124" s="225"/>
      <c r="IRR124" s="225"/>
      <c r="IRS124" s="225"/>
      <c r="IRT124" s="225"/>
      <c r="IRU124" s="225"/>
      <c r="IRV124" s="225"/>
      <c r="IRW124" s="225"/>
      <c r="IRX124" s="225"/>
      <c r="IRY124" s="225"/>
      <c r="IRZ124" s="225"/>
      <c r="ISA124" s="225"/>
      <c r="ISB124" s="225"/>
      <c r="ISC124" s="225"/>
      <c r="ISD124" s="225"/>
      <c r="ISE124" s="225"/>
      <c r="ISF124" s="225"/>
      <c r="ISG124" s="225"/>
      <c r="ISH124" s="225"/>
      <c r="ISI124" s="225"/>
      <c r="ISJ124" s="225"/>
      <c r="ISK124" s="225"/>
      <c r="ISL124" s="225"/>
      <c r="ISM124" s="225"/>
      <c r="ISN124" s="225"/>
      <c r="ISO124" s="225"/>
      <c r="ISP124" s="225"/>
      <c r="ISQ124" s="225"/>
      <c r="ISR124" s="225"/>
      <c r="ISS124" s="225"/>
      <c r="IST124" s="225"/>
      <c r="ISU124" s="225"/>
      <c r="ISV124" s="225"/>
      <c r="ISW124" s="225"/>
      <c r="ISX124" s="225"/>
      <c r="ISY124" s="225"/>
      <c r="ISZ124" s="225"/>
      <c r="ITA124" s="225"/>
      <c r="ITB124" s="225"/>
      <c r="ITC124" s="225"/>
      <c r="ITD124" s="225"/>
      <c r="ITE124" s="225"/>
      <c r="ITF124" s="225"/>
      <c r="ITG124" s="225"/>
      <c r="ITH124" s="225"/>
      <c r="ITI124" s="225"/>
      <c r="ITJ124" s="225"/>
      <c r="ITK124" s="225"/>
      <c r="ITL124" s="225"/>
      <c r="ITM124" s="225"/>
      <c r="ITN124" s="225"/>
      <c r="ITO124" s="225"/>
      <c r="ITP124" s="225"/>
      <c r="ITQ124" s="225"/>
      <c r="ITR124" s="225"/>
      <c r="ITS124" s="225"/>
      <c r="ITT124" s="225"/>
      <c r="ITU124" s="225"/>
      <c r="ITV124" s="225"/>
      <c r="ITW124" s="225"/>
      <c r="ITX124" s="225"/>
      <c r="ITY124" s="225"/>
      <c r="ITZ124" s="225"/>
      <c r="IUA124" s="225"/>
      <c r="IUB124" s="225"/>
      <c r="IUC124" s="225"/>
      <c r="IUD124" s="225"/>
      <c r="IUE124" s="225"/>
      <c r="IUF124" s="225"/>
      <c r="IUG124" s="225"/>
      <c r="IUH124" s="225"/>
      <c r="IUI124" s="225"/>
      <c r="IUJ124" s="225"/>
      <c r="IUK124" s="225"/>
      <c r="IUL124" s="225"/>
      <c r="IUM124" s="225"/>
      <c r="IUN124" s="225"/>
      <c r="IUO124" s="225"/>
      <c r="IUP124" s="225"/>
      <c r="IUQ124" s="225"/>
      <c r="IUR124" s="225"/>
      <c r="IUS124" s="225"/>
      <c r="IUT124" s="225"/>
      <c r="IUU124" s="225"/>
      <c r="IUV124" s="225"/>
      <c r="IUW124" s="225"/>
      <c r="IUX124" s="225"/>
      <c r="IUY124" s="225"/>
      <c r="IUZ124" s="225"/>
      <c r="IVA124" s="225"/>
      <c r="IVB124" s="225"/>
      <c r="IVC124" s="225"/>
      <c r="IVD124" s="225"/>
      <c r="IVE124" s="225"/>
      <c r="IVF124" s="225"/>
      <c r="IVG124" s="225"/>
      <c r="IVH124" s="225"/>
      <c r="IVI124" s="225"/>
      <c r="IVJ124" s="225"/>
      <c r="IVK124" s="225"/>
      <c r="IVL124" s="225"/>
      <c r="IVM124" s="225"/>
      <c r="IVN124" s="225"/>
      <c r="IVO124" s="225"/>
      <c r="IVP124" s="225"/>
      <c r="IVQ124" s="225"/>
      <c r="IVR124" s="225"/>
      <c r="IVS124" s="225"/>
      <c r="IVT124" s="225"/>
      <c r="IVU124" s="225"/>
      <c r="IVV124" s="225"/>
      <c r="IVW124" s="225"/>
      <c r="IVX124" s="225"/>
      <c r="IVY124" s="225"/>
      <c r="IVZ124" s="225"/>
      <c r="IWA124" s="225"/>
      <c r="IWB124" s="225"/>
      <c r="IWC124" s="225"/>
      <c r="IWD124" s="225"/>
      <c r="IWE124" s="225"/>
      <c r="IWF124" s="225"/>
      <c r="IWG124" s="225"/>
      <c r="IWH124" s="225"/>
      <c r="IWI124" s="225"/>
      <c r="IWJ124" s="225"/>
      <c r="IWK124" s="225"/>
      <c r="IWL124" s="225"/>
      <c r="IWM124" s="225"/>
      <c r="IWN124" s="225"/>
      <c r="IWO124" s="225"/>
      <c r="IWP124" s="225"/>
      <c r="IWQ124" s="225"/>
      <c r="IWR124" s="225"/>
      <c r="IWS124" s="225"/>
      <c r="IWT124" s="225"/>
      <c r="IWU124" s="225"/>
      <c r="IWV124" s="225"/>
      <c r="IWW124" s="225"/>
      <c r="IWX124" s="225"/>
      <c r="IWY124" s="225"/>
      <c r="IWZ124" s="225"/>
      <c r="IXA124" s="225"/>
      <c r="IXB124" s="225"/>
      <c r="IXC124" s="225"/>
      <c r="IXD124" s="225"/>
      <c r="IXE124" s="225"/>
      <c r="IXF124" s="225"/>
      <c r="IXG124" s="225"/>
      <c r="IXH124" s="225"/>
      <c r="IXI124" s="225"/>
      <c r="IXJ124" s="225"/>
      <c r="IXK124" s="225"/>
      <c r="IXL124" s="225"/>
      <c r="IXM124" s="225"/>
      <c r="IXN124" s="225"/>
      <c r="IXO124" s="225"/>
      <c r="IXP124" s="225"/>
      <c r="IXQ124" s="225"/>
      <c r="IXR124" s="225"/>
      <c r="IXS124" s="225"/>
      <c r="IXT124" s="225"/>
      <c r="IXU124" s="225"/>
      <c r="IXV124" s="225"/>
      <c r="IXW124" s="225"/>
      <c r="IXX124" s="225"/>
      <c r="IXY124" s="225"/>
      <c r="IXZ124" s="225"/>
      <c r="IYA124" s="225"/>
      <c r="IYB124" s="225"/>
      <c r="IYC124" s="225"/>
      <c r="IYD124" s="225"/>
      <c r="IYE124" s="225"/>
      <c r="IYF124" s="225"/>
      <c r="IYG124" s="225"/>
      <c r="IYH124" s="225"/>
      <c r="IYI124" s="225"/>
      <c r="IYJ124" s="225"/>
      <c r="IYK124" s="225"/>
      <c r="IYL124" s="225"/>
      <c r="IYM124" s="225"/>
      <c r="IYN124" s="225"/>
      <c r="IYO124" s="225"/>
      <c r="IYP124" s="225"/>
      <c r="IYQ124" s="225"/>
      <c r="IYR124" s="225"/>
      <c r="IYS124" s="225"/>
      <c r="IYT124" s="225"/>
      <c r="IYU124" s="225"/>
      <c r="IYV124" s="225"/>
      <c r="IYW124" s="225"/>
      <c r="IYX124" s="225"/>
      <c r="IYY124" s="225"/>
      <c r="IYZ124" s="225"/>
      <c r="IZA124" s="225"/>
      <c r="IZB124" s="225"/>
      <c r="IZC124" s="225"/>
      <c r="IZD124" s="225"/>
      <c r="IZE124" s="225"/>
      <c r="IZF124" s="225"/>
      <c r="IZG124" s="225"/>
      <c r="IZH124" s="225"/>
      <c r="IZI124" s="225"/>
      <c r="IZJ124" s="225"/>
      <c r="IZK124" s="225"/>
      <c r="IZL124" s="225"/>
      <c r="IZM124" s="225"/>
      <c r="IZN124" s="225"/>
      <c r="IZO124" s="225"/>
      <c r="IZP124" s="225"/>
      <c r="IZQ124" s="225"/>
      <c r="IZR124" s="225"/>
      <c r="IZS124" s="225"/>
      <c r="IZT124" s="225"/>
      <c r="IZU124" s="225"/>
      <c r="IZV124" s="225"/>
      <c r="IZW124" s="225"/>
      <c r="IZX124" s="225"/>
      <c r="IZY124" s="225"/>
      <c r="IZZ124" s="225"/>
      <c r="JAA124" s="225"/>
      <c r="JAB124" s="225"/>
      <c r="JAC124" s="225"/>
      <c r="JAD124" s="225"/>
      <c r="JAE124" s="225"/>
      <c r="JAF124" s="225"/>
      <c r="JAG124" s="225"/>
      <c r="JAH124" s="225"/>
      <c r="JAI124" s="225"/>
      <c r="JAJ124" s="225"/>
      <c r="JAK124" s="225"/>
      <c r="JAL124" s="225"/>
      <c r="JAM124" s="225"/>
      <c r="JAN124" s="225"/>
      <c r="JAO124" s="225"/>
      <c r="JAP124" s="225"/>
      <c r="JAQ124" s="225"/>
      <c r="JAR124" s="225"/>
      <c r="JAS124" s="225"/>
      <c r="JAT124" s="225"/>
      <c r="JAU124" s="225"/>
      <c r="JAV124" s="225"/>
      <c r="JAW124" s="225"/>
      <c r="JAX124" s="225"/>
      <c r="JAY124" s="225"/>
      <c r="JAZ124" s="225"/>
      <c r="JBA124" s="225"/>
      <c r="JBB124" s="225"/>
      <c r="JBC124" s="225"/>
      <c r="JBD124" s="225"/>
      <c r="JBE124" s="225"/>
      <c r="JBF124" s="225"/>
      <c r="JBG124" s="225"/>
      <c r="JBH124" s="225"/>
      <c r="JBI124" s="225"/>
      <c r="JBJ124" s="225"/>
      <c r="JBK124" s="225"/>
      <c r="JBL124" s="225"/>
      <c r="JBM124" s="225"/>
      <c r="JBN124" s="225"/>
      <c r="JBO124" s="225"/>
      <c r="JBP124" s="225"/>
      <c r="JBQ124" s="225"/>
      <c r="JBR124" s="225"/>
      <c r="JBS124" s="225"/>
      <c r="JBT124" s="225"/>
      <c r="JBU124" s="225"/>
      <c r="JBV124" s="225"/>
      <c r="JBW124" s="225"/>
      <c r="JBX124" s="225"/>
      <c r="JBY124" s="225"/>
      <c r="JBZ124" s="225"/>
      <c r="JCA124" s="225"/>
      <c r="JCB124" s="225"/>
      <c r="JCC124" s="225"/>
      <c r="JCD124" s="225"/>
      <c r="JCE124" s="225"/>
      <c r="JCF124" s="225"/>
      <c r="JCG124" s="225"/>
      <c r="JCH124" s="225"/>
      <c r="JCI124" s="225"/>
      <c r="JCJ124" s="225"/>
      <c r="JCK124" s="225"/>
      <c r="JCL124" s="225"/>
      <c r="JCM124" s="225"/>
      <c r="JCN124" s="225"/>
      <c r="JCO124" s="225"/>
      <c r="JCP124" s="225"/>
      <c r="JCQ124" s="225"/>
      <c r="JCR124" s="225"/>
      <c r="JCS124" s="225"/>
      <c r="JCT124" s="225"/>
      <c r="JCU124" s="225"/>
      <c r="JCV124" s="225"/>
      <c r="JCW124" s="225"/>
      <c r="JCX124" s="225"/>
      <c r="JCY124" s="225"/>
      <c r="JCZ124" s="225"/>
      <c r="JDA124" s="225"/>
      <c r="JDB124" s="225"/>
      <c r="JDC124" s="225"/>
      <c r="JDD124" s="225"/>
      <c r="JDE124" s="225"/>
      <c r="JDF124" s="225"/>
      <c r="JDG124" s="225"/>
      <c r="JDH124" s="225"/>
      <c r="JDI124" s="225"/>
      <c r="JDJ124" s="225"/>
      <c r="JDK124" s="225"/>
      <c r="JDL124" s="225"/>
      <c r="JDM124" s="225"/>
      <c r="JDN124" s="225"/>
      <c r="JDO124" s="225"/>
      <c r="JDP124" s="225"/>
      <c r="JDQ124" s="225"/>
      <c r="JDR124" s="225"/>
      <c r="JDS124" s="225"/>
      <c r="JDT124" s="225"/>
      <c r="JDU124" s="225"/>
      <c r="JDV124" s="225"/>
      <c r="JDW124" s="225"/>
      <c r="JDX124" s="225"/>
      <c r="JDY124" s="225"/>
      <c r="JDZ124" s="225"/>
      <c r="JEA124" s="225"/>
      <c r="JEB124" s="225"/>
      <c r="JEC124" s="225"/>
      <c r="JED124" s="225"/>
      <c r="JEE124" s="225"/>
      <c r="JEF124" s="225"/>
      <c r="JEG124" s="225"/>
      <c r="JEH124" s="225"/>
      <c r="JEI124" s="225"/>
      <c r="JEJ124" s="225"/>
      <c r="JEK124" s="225"/>
      <c r="JEL124" s="225"/>
      <c r="JEM124" s="225"/>
      <c r="JEN124" s="225"/>
      <c r="JEO124" s="225"/>
      <c r="JEP124" s="225"/>
      <c r="JEQ124" s="225"/>
      <c r="JER124" s="225"/>
      <c r="JES124" s="225"/>
      <c r="JET124" s="225"/>
      <c r="JEU124" s="225"/>
      <c r="JEV124" s="225"/>
      <c r="JEW124" s="225"/>
      <c r="JEX124" s="225"/>
      <c r="JEY124" s="225"/>
      <c r="JEZ124" s="225"/>
      <c r="JFA124" s="225"/>
      <c r="JFB124" s="225"/>
      <c r="JFC124" s="225"/>
      <c r="JFD124" s="225"/>
      <c r="JFE124" s="225"/>
      <c r="JFF124" s="225"/>
      <c r="JFG124" s="225"/>
      <c r="JFH124" s="225"/>
      <c r="JFI124" s="225"/>
      <c r="JFJ124" s="225"/>
      <c r="JFK124" s="225"/>
      <c r="JFL124" s="225"/>
      <c r="JFM124" s="225"/>
      <c r="JFN124" s="225"/>
      <c r="JFO124" s="225"/>
      <c r="JFP124" s="225"/>
      <c r="JFQ124" s="225"/>
      <c r="JFR124" s="225"/>
      <c r="JFS124" s="225"/>
      <c r="JFT124" s="225"/>
      <c r="JFU124" s="225"/>
      <c r="JFV124" s="225"/>
      <c r="JFW124" s="225"/>
      <c r="JFX124" s="225"/>
      <c r="JFY124" s="225"/>
      <c r="JFZ124" s="225"/>
      <c r="JGA124" s="225"/>
      <c r="JGB124" s="225"/>
      <c r="JGC124" s="225"/>
      <c r="JGD124" s="225"/>
      <c r="JGE124" s="225"/>
      <c r="JGF124" s="225"/>
      <c r="JGG124" s="225"/>
      <c r="JGH124" s="225"/>
      <c r="JGI124" s="225"/>
      <c r="JGJ124" s="225"/>
      <c r="JGK124" s="225"/>
      <c r="JGL124" s="225"/>
      <c r="JGM124" s="225"/>
      <c r="JGN124" s="225"/>
      <c r="JGO124" s="225"/>
      <c r="JGP124" s="225"/>
      <c r="JGQ124" s="225"/>
      <c r="JGR124" s="225"/>
      <c r="JGS124" s="225"/>
      <c r="JGT124" s="225"/>
      <c r="JGU124" s="225"/>
      <c r="JGV124" s="225"/>
      <c r="JGW124" s="225"/>
      <c r="JGX124" s="225"/>
      <c r="JGY124" s="225"/>
      <c r="JGZ124" s="225"/>
      <c r="JHA124" s="225"/>
      <c r="JHB124" s="225"/>
      <c r="JHC124" s="225"/>
      <c r="JHD124" s="225"/>
      <c r="JHE124" s="225"/>
      <c r="JHF124" s="225"/>
      <c r="JHG124" s="225"/>
      <c r="JHH124" s="225"/>
      <c r="JHI124" s="225"/>
      <c r="JHJ124" s="225"/>
      <c r="JHK124" s="225"/>
      <c r="JHL124" s="225"/>
      <c r="JHM124" s="225"/>
      <c r="JHN124" s="225"/>
      <c r="JHO124" s="225"/>
      <c r="JHP124" s="225"/>
      <c r="JHQ124" s="225"/>
      <c r="JHR124" s="225"/>
      <c r="JHS124" s="225"/>
      <c r="JHT124" s="225"/>
      <c r="JHU124" s="225"/>
      <c r="JHV124" s="225"/>
      <c r="JHW124" s="225"/>
      <c r="JHX124" s="225"/>
      <c r="JHY124" s="225"/>
      <c r="JHZ124" s="225"/>
      <c r="JIA124" s="225"/>
      <c r="JIB124" s="225"/>
      <c r="JIC124" s="225"/>
      <c r="JID124" s="225"/>
      <c r="JIE124" s="225"/>
      <c r="JIF124" s="225"/>
      <c r="JIG124" s="225"/>
      <c r="JIH124" s="225"/>
      <c r="JII124" s="225"/>
      <c r="JIJ124" s="225"/>
      <c r="JIK124" s="225"/>
      <c r="JIL124" s="225"/>
      <c r="JIM124" s="225"/>
      <c r="JIN124" s="225"/>
      <c r="JIO124" s="225"/>
      <c r="JIP124" s="225"/>
      <c r="JIQ124" s="225"/>
      <c r="JIR124" s="225"/>
      <c r="JIS124" s="225"/>
      <c r="JIT124" s="225"/>
      <c r="JIU124" s="225"/>
      <c r="JIV124" s="225"/>
      <c r="JIW124" s="225"/>
      <c r="JIX124" s="225"/>
      <c r="JIY124" s="225"/>
      <c r="JIZ124" s="225"/>
      <c r="JJA124" s="225"/>
      <c r="JJB124" s="225"/>
      <c r="JJC124" s="225"/>
      <c r="JJD124" s="225"/>
      <c r="JJE124" s="225"/>
      <c r="JJF124" s="225"/>
      <c r="JJG124" s="225"/>
      <c r="JJH124" s="225"/>
      <c r="JJI124" s="225"/>
      <c r="JJJ124" s="225"/>
      <c r="JJK124" s="225"/>
      <c r="JJL124" s="225"/>
      <c r="JJM124" s="225"/>
      <c r="JJN124" s="225"/>
      <c r="JJO124" s="225"/>
      <c r="JJP124" s="225"/>
      <c r="JJQ124" s="225"/>
      <c r="JJR124" s="225"/>
      <c r="JJS124" s="225"/>
      <c r="JJT124" s="225"/>
      <c r="JJU124" s="225"/>
      <c r="JJV124" s="225"/>
      <c r="JJW124" s="225"/>
      <c r="JJX124" s="225"/>
      <c r="JJY124" s="225"/>
      <c r="JJZ124" s="225"/>
      <c r="JKA124" s="225"/>
      <c r="JKB124" s="225"/>
      <c r="JKC124" s="225"/>
      <c r="JKD124" s="225"/>
      <c r="JKE124" s="225"/>
      <c r="JKF124" s="225"/>
      <c r="JKG124" s="225"/>
      <c r="JKH124" s="225"/>
      <c r="JKI124" s="225"/>
      <c r="JKJ124" s="225"/>
      <c r="JKK124" s="225"/>
      <c r="JKL124" s="225"/>
      <c r="JKM124" s="225"/>
      <c r="JKN124" s="225"/>
      <c r="JKO124" s="225"/>
      <c r="JKP124" s="225"/>
      <c r="JKQ124" s="225"/>
      <c r="JKR124" s="225"/>
      <c r="JKS124" s="225"/>
      <c r="JKT124" s="225"/>
      <c r="JKU124" s="225"/>
      <c r="JKV124" s="225"/>
      <c r="JKW124" s="225"/>
      <c r="JKX124" s="225"/>
      <c r="JKY124" s="225"/>
      <c r="JKZ124" s="225"/>
      <c r="JLA124" s="225"/>
      <c r="JLB124" s="225"/>
      <c r="JLC124" s="225"/>
      <c r="JLD124" s="225"/>
      <c r="JLE124" s="225"/>
      <c r="JLF124" s="225"/>
      <c r="JLG124" s="225"/>
      <c r="JLH124" s="225"/>
      <c r="JLI124" s="225"/>
      <c r="JLJ124" s="225"/>
      <c r="JLK124" s="225"/>
      <c r="JLL124" s="225"/>
      <c r="JLM124" s="225"/>
      <c r="JLN124" s="225"/>
      <c r="JLO124" s="225"/>
      <c r="JLP124" s="225"/>
      <c r="JLQ124" s="225"/>
      <c r="JLR124" s="225"/>
      <c r="JLS124" s="225"/>
      <c r="JLT124" s="225"/>
      <c r="JLU124" s="225"/>
      <c r="JLV124" s="225"/>
      <c r="JLW124" s="225"/>
      <c r="JLX124" s="225"/>
      <c r="JLY124" s="225"/>
      <c r="JLZ124" s="225"/>
      <c r="JMA124" s="225"/>
      <c r="JMB124" s="225"/>
      <c r="JMC124" s="225"/>
      <c r="JMD124" s="225"/>
      <c r="JME124" s="225"/>
      <c r="JMF124" s="225"/>
      <c r="JMG124" s="225"/>
      <c r="JMH124" s="225"/>
      <c r="JMI124" s="225"/>
      <c r="JMJ124" s="225"/>
      <c r="JMK124" s="225"/>
      <c r="JML124" s="225"/>
      <c r="JMM124" s="225"/>
      <c r="JMN124" s="225"/>
      <c r="JMO124" s="225"/>
      <c r="JMP124" s="225"/>
      <c r="JMQ124" s="225"/>
      <c r="JMR124" s="225"/>
      <c r="JMS124" s="225"/>
      <c r="JMT124" s="225"/>
      <c r="JMU124" s="225"/>
      <c r="JMV124" s="225"/>
      <c r="JMW124" s="225"/>
      <c r="JMX124" s="225"/>
      <c r="JMY124" s="225"/>
      <c r="JMZ124" s="225"/>
      <c r="JNA124" s="225"/>
      <c r="JNB124" s="225"/>
      <c r="JNC124" s="225"/>
      <c r="JND124" s="225"/>
      <c r="JNE124" s="225"/>
      <c r="JNF124" s="225"/>
      <c r="JNG124" s="225"/>
      <c r="JNH124" s="225"/>
      <c r="JNI124" s="225"/>
      <c r="JNJ124" s="225"/>
      <c r="JNK124" s="225"/>
      <c r="JNL124" s="225"/>
      <c r="JNM124" s="225"/>
      <c r="JNN124" s="225"/>
      <c r="JNO124" s="225"/>
      <c r="JNP124" s="225"/>
      <c r="JNQ124" s="225"/>
      <c r="JNR124" s="225"/>
      <c r="JNS124" s="225"/>
      <c r="JNT124" s="225"/>
      <c r="JNU124" s="225"/>
      <c r="JNV124" s="225"/>
      <c r="JNW124" s="225"/>
      <c r="JNX124" s="225"/>
      <c r="JNY124" s="225"/>
      <c r="JNZ124" s="225"/>
      <c r="JOA124" s="225"/>
      <c r="JOB124" s="225"/>
      <c r="JOC124" s="225"/>
      <c r="JOD124" s="225"/>
      <c r="JOE124" s="225"/>
      <c r="JOF124" s="225"/>
      <c r="JOG124" s="225"/>
      <c r="JOH124" s="225"/>
      <c r="JOI124" s="225"/>
      <c r="JOJ124" s="225"/>
      <c r="JOK124" s="225"/>
      <c r="JOL124" s="225"/>
      <c r="JOM124" s="225"/>
      <c r="JON124" s="225"/>
      <c r="JOO124" s="225"/>
      <c r="JOP124" s="225"/>
      <c r="JOQ124" s="225"/>
      <c r="JOR124" s="225"/>
      <c r="JOS124" s="225"/>
      <c r="JOT124" s="225"/>
      <c r="JOU124" s="225"/>
      <c r="JOV124" s="225"/>
      <c r="JOW124" s="225"/>
      <c r="JOX124" s="225"/>
      <c r="JOY124" s="225"/>
      <c r="JOZ124" s="225"/>
      <c r="JPA124" s="225"/>
      <c r="JPB124" s="225"/>
      <c r="JPC124" s="225"/>
      <c r="JPD124" s="225"/>
      <c r="JPE124" s="225"/>
      <c r="JPF124" s="225"/>
      <c r="JPG124" s="225"/>
      <c r="JPH124" s="225"/>
      <c r="JPI124" s="225"/>
      <c r="JPJ124" s="225"/>
      <c r="JPK124" s="225"/>
      <c r="JPL124" s="225"/>
      <c r="JPM124" s="225"/>
      <c r="JPN124" s="225"/>
      <c r="JPO124" s="225"/>
      <c r="JPP124" s="225"/>
      <c r="JPQ124" s="225"/>
      <c r="JPR124" s="225"/>
      <c r="JPS124" s="225"/>
      <c r="JPT124" s="225"/>
      <c r="JPU124" s="225"/>
      <c r="JPV124" s="225"/>
      <c r="JPW124" s="225"/>
      <c r="JPX124" s="225"/>
      <c r="JPY124" s="225"/>
      <c r="JPZ124" s="225"/>
      <c r="JQA124" s="225"/>
      <c r="JQB124" s="225"/>
      <c r="JQC124" s="225"/>
      <c r="JQD124" s="225"/>
      <c r="JQE124" s="225"/>
      <c r="JQF124" s="225"/>
      <c r="JQG124" s="225"/>
      <c r="JQH124" s="225"/>
      <c r="JQI124" s="225"/>
      <c r="JQJ124" s="225"/>
      <c r="JQK124" s="225"/>
      <c r="JQL124" s="225"/>
      <c r="JQM124" s="225"/>
      <c r="JQN124" s="225"/>
      <c r="JQO124" s="225"/>
      <c r="JQP124" s="225"/>
      <c r="JQQ124" s="225"/>
      <c r="JQR124" s="225"/>
      <c r="JQS124" s="225"/>
      <c r="JQT124" s="225"/>
      <c r="JQU124" s="225"/>
      <c r="JQV124" s="225"/>
      <c r="JQW124" s="225"/>
      <c r="JQX124" s="225"/>
      <c r="JQY124" s="225"/>
      <c r="JQZ124" s="225"/>
      <c r="JRA124" s="225"/>
      <c r="JRB124" s="225"/>
      <c r="JRC124" s="225"/>
      <c r="JRD124" s="225"/>
      <c r="JRE124" s="225"/>
      <c r="JRF124" s="225"/>
      <c r="JRG124" s="225"/>
      <c r="JRH124" s="225"/>
      <c r="JRI124" s="225"/>
      <c r="JRJ124" s="225"/>
      <c r="JRK124" s="225"/>
      <c r="JRL124" s="225"/>
      <c r="JRM124" s="225"/>
      <c r="JRN124" s="225"/>
      <c r="JRO124" s="225"/>
      <c r="JRP124" s="225"/>
      <c r="JRQ124" s="225"/>
      <c r="JRR124" s="225"/>
      <c r="JRS124" s="225"/>
      <c r="JRT124" s="225"/>
      <c r="JRU124" s="225"/>
      <c r="JRV124" s="225"/>
      <c r="JRW124" s="225"/>
      <c r="JRX124" s="225"/>
      <c r="JRY124" s="225"/>
      <c r="JRZ124" s="225"/>
      <c r="JSA124" s="225"/>
      <c r="JSB124" s="225"/>
      <c r="JSC124" s="225"/>
      <c r="JSD124" s="225"/>
      <c r="JSE124" s="225"/>
      <c r="JSF124" s="225"/>
      <c r="JSG124" s="225"/>
      <c r="JSH124" s="225"/>
      <c r="JSI124" s="225"/>
      <c r="JSJ124" s="225"/>
      <c r="JSK124" s="225"/>
      <c r="JSL124" s="225"/>
      <c r="JSM124" s="225"/>
      <c r="JSN124" s="225"/>
      <c r="JSO124" s="225"/>
      <c r="JSP124" s="225"/>
      <c r="JSQ124" s="225"/>
      <c r="JSR124" s="225"/>
      <c r="JSS124" s="225"/>
      <c r="JST124" s="225"/>
      <c r="JSU124" s="225"/>
      <c r="JSV124" s="225"/>
      <c r="JSW124" s="225"/>
      <c r="JSX124" s="225"/>
      <c r="JSY124" s="225"/>
      <c r="JSZ124" s="225"/>
      <c r="JTA124" s="225"/>
      <c r="JTB124" s="225"/>
      <c r="JTC124" s="225"/>
      <c r="JTD124" s="225"/>
      <c r="JTE124" s="225"/>
      <c r="JTF124" s="225"/>
      <c r="JTG124" s="225"/>
      <c r="JTH124" s="225"/>
      <c r="JTI124" s="225"/>
      <c r="JTJ124" s="225"/>
      <c r="JTK124" s="225"/>
      <c r="JTL124" s="225"/>
      <c r="JTM124" s="225"/>
      <c r="JTN124" s="225"/>
      <c r="JTO124" s="225"/>
      <c r="JTP124" s="225"/>
      <c r="JTQ124" s="225"/>
      <c r="JTR124" s="225"/>
      <c r="JTS124" s="225"/>
      <c r="JTT124" s="225"/>
      <c r="JTU124" s="225"/>
      <c r="JTV124" s="225"/>
      <c r="JTW124" s="225"/>
      <c r="JTX124" s="225"/>
      <c r="JTY124" s="225"/>
      <c r="JTZ124" s="225"/>
      <c r="JUA124" s="225"/>
      <c r="JUB124" s="225"/>
      <c r="JUC124" s="225"/>
      <c r="JUD124" s="225"/>
      <c r="JUE124" s="225"/>
      <c r="JUF124" s="225"/>
      <c r="JUG124" s="225"/>
      <c r="JUH124" s="225"/>
      <c r="JUI124" s="225"/>
      <c r="JUJ124" s="225"/>
      <c r="JUK124" s="225"/>
      <c r="JUL124" s="225"/>
      <c r="JUM124" s="225"/>
      <c r="JUN124" s="225"/>
      <c r="JUO124" s="225"/>
      <c r="JUP124" s="225"/>
      <c r="JUQ124" s="225"/>
      <c r="JUR124" s="225"/>
      <c r="JUS124" s="225"/>
      <c r="JUT124" s="225"/>
      <c r="JUU124" s="225"/>
      <c r="JUV124" s="225"/>
      <c r="JUW124" s="225"/>
      <c r="JUX124" s="225"/>
      <c r="JUY124" s="225"/>
      <c r="JUZ124" s="225"/>
      <c r="JVA124" s="225"/>
      <c r="JVB124" s="225"/>
      <c r="JVC124" s="225"/>
      <c r="JVD124" s="225"/>
      <c r="JVE124" s="225"/>
      <c r="JVF124" s="225"/>
      <c r="JVG124" s="225"/>
      <c r="JVH124" s="225"/>
      <c r="JVI124" s="225"/>
      <c r="JVJ124" s="225"/>
      <c r="JVK124" s="225"/>
      <c r="JVL124" s="225"/>
      <c r="JVM124" s="225"/>
      <c r="JVN124" s="225"/>
      <c r="JVO124" s="225"/>
      <c r="JVP124" s="225"/>
      <c r="JVQ124" s="225"/>
      <c r="JVR124" s="225"/>
      <c r="JVS124" s="225"/>
      <c r="JVT124" s="225"/>
      <c r="JVU124" s="225"/>
      <c r="JVV124" s="225"/>
      <c r="JVW124" s="225"/>
      <c r="JVX124" s="225"/>
      <c r="JVY124" s="225"/>
      <c r="JVZ124" s="225"/>
      <c r="JWA124" s="225"/>
      <c r="JWB124" s="225"/>
      <c r="JWC124" s="225"/>
      <c r="JWD124" s="225"/>
      <c r="JWE124" s="225"/>
      <c r="JWF124" s="225"/>
      <c r="JWG124" s="225"/>
      <c r="JWH124" s="225"/>
      <c r="JWI124" s="225"/>
      <c r="JWJ124" s="225"/>
      <c r="JWK124" s="225"/>
      <c r="JWL124" s="225"/>
      <c r="JWM124" s="225"/>
      <c r="JWN124" s="225"/>
      <c r="JWO124" s="225"/>
      <c r="JWP124" s="225"/>
      <c r="JWQ124" s="225"/>
      <c r="JWR124" s="225"/>
      <c r="JWS124" s="225"/>
      <c r="JWT124" s="225"/>
      <c r="JWU124" s="225"/>
      <c r="JWV124" s="225"/>
      <c r="JWW124" s="225"/>
      <c r="JWX124" s="225"/>
      <c r="JWY124" s="225"/>
      <c r="JWZ124" s="225"/>
      <c r="JXA124" s="225"/>
      <c r="JXB124" s="225"/>
      <c r="JXC124" s="225"/>
      <c r="JXD124" s="225"/>
      <c r="JXE124" s="225"/>
      <c r="JXF124" s="225"/>
      <c r="JXG124" s="225"/>
      <c r="JXH124" s="225"/>
      <c r="JXI124" s="225"/>
      <c r="JXJ124" s="225"/>
      <c r="JXK124" s="225"/>
      <c r="JXL124" s="225"/>
      <c r="JXM124" s="225"/>
      <c r="JXN124" s="225"/>
      <c r="JXO124" s="225"/>
      <c r="JXP124" s="225"/>
      <c r="JXQ124" s="225"/>
      <c r="JXR124" s="225"/>
      <c r="JXS124" s="225"/>
      <c r="JXT124" s="225"/>
      <c r="JXU124" s="225"/>
      <c r="JXV124" s="225"/>
      <c r="JXW124" s="225"/>
      <c r="JXX124" s="225"/>
      <c r="JXY124" s="225"/>
      <c r="JXZ124" s="225"/>
      <c r="JYA124" s="225"/>
      <c r="JYB124" s="225"/>
      <c r="JYC124" s="225"/>
      <c r="JYD124" s="225"/>
      <c r="JYE124" s="225"/>
      <c r="JYF124" s="225"/>
      <c r="JYG124" s="225"/>
      <c r="JYH124" s="225"/>
      <c r="JYI124" s="225"/>
      <c r="JYJ124" s="225"/>
      <c r="JYK124" s="225"/>
      <c r="JYL124" s="225"/>
      <c r="JYM124" s="225"/>
      <c r="JYN124" s="225"/>
      <c r="JYO124" s="225"/>
      <c r="JYP124" s="225"/>
      <c r="JYQ124" s="225"/>
      <c r="JYR124" s="225"/>
      <c r="JYS124" s="225"/>
      <c r="JYT124" s="225"/>
      <c r="JYU124" s="225"/>
      <c r="JYV124" s="225"/>
      <c r="JYW124" s="225"/>
      <c r="JYX124" s="225"/>
      <c r="JYY124" s="225"/>
      <c r="JYZ124" s="225"/>
      <c r="JZA124" s="225"/>
      <c r="JZB124" s="225"/>
      <c r="JZC124" s="225"/>
      <c r="JZD124" s="225"/>
      <c r="JZE124" s="225"/>
      <c r="JZF124" s="225"/>
      <c r="JZG124" s="225"/>
      <c r="JZH124" s="225"/>
      <c r="JZI124" s="225"/>
      <c r="JZJ124" s="225"/>
      <c r="JZK124" s="225"/>
      <c r="JZL124" s="225"/>
      <c r="JZM124" s="225"/>
      <c r="JZN124" s="225"/>
      <c r="JZO124" s="225"/>
      <c r="JZP124" s="225"/>
      <c r="JZQ124" s="225"/>
      <c r="JZR124" s="225"/>
      <c r="JZS124" s="225"/>
      <c r="JZT124" s="225"/>
      <c r="JZU124" s="225"/>
      <c r="JZV124" s="225"/>
      <c r="JZW124" s="225"/>
      <c r="JZX124" s="225"/>
      <c r="JZY124" s="225"/>
      <c r="JZZ124" s="225"/>
      <c r="KAA124" s="225"/>
      <c r="KAB124" s="225"/>
      <c r="KAC124" s="225"/>
      <c r="KAD124" s="225"/>
      <c r="KAE124" s="225"/>
      <c r="KAF124" s="225"/>
      <c r="KAG124" s="225"/>
      <c r="KAH124" s="225"/>
      <c r="KAI124" s="225"/>
      <c r="KAJ124" s="225"/>
      <c r="KAK124" s="225"/>
      <c r="KAL124" s="225"/>
      <c r="KAM124" s="225"/>
      <c r="KAN124" s="225"/>
      <c r="KAO124" s="225"/>
      <c r="KAP124" s="225"/>
      <c r="KAQ124" s="225"/>
      <c r="KAR124" s="225"/>
      <c r="KAS124" s="225"/>
      <c r="KAT124" s="225"/>
      <c r="KAU124" s="225"/>
      <c r="KAV124" s="225"/>
      <c r="KAW124" s="225"/>
      <c r="KAX124" s="225"/>
      <c r="KAY124" s="225"/>
      <c r="KAZ124" s="225"/>
      <c r="KBA124" s="225"/>
      <c r="KBB124" s="225"/>
      <c r="KBC124" s="225"/>
      <c r="KBD124" s="225"/>
      <c r="KBE124" s="225"/>
      <c r="KBF124" s="225"/>
      <c r="KBG124" s="225"/>
      <c r="KBH124" s="225"/>
      <c r="KBI124" s="225"/>
      <c r="KBJ124" s="225"/>
      <c r="KBK124" s="225"/>
      <c r="KBL124" s="225"/>
      <c r="KBM124" s="225"/>
      <c r="KBN124" s="225"/>
      <c r="KBO124" s="225"/>
      <c r="KBP124" s="225"/>
      <c r="KBQ124" s="225"/>
      <c r="KBR124" s="225"/>
      <c r="KBS124" s="225"/>
      <c r="KBT124" s="225"/>
      <c r="KBU124" s="225"/>
      <c r="KBV124" s="225"/>
      <c r="KBW124" s="225"/>
      <c r="KBX124" s="225"/>
      <c r="KBY124" s="225"/>
      <c r="KBZ124" s="225"/>
      <c r="KCA124" s="225"/>
      <c r="KCB124" s="225"/>
      <c r="KCC124" s="225"/>
      <c r="KCD124" s="225"/>
      <c r="KCE124" s="225"/>
      <c r="KCF124" s="225"/>
      <c r="KCG124" s="225"/>
      <c r="KCH124" s="225"/>
      <c r="KCI124" s="225"/>
      <c r="KCJ124" s="225"/>
      <c r="KCK124" s="225"/>
      <c r="KCL124" s="225"/>
      <c r="KCM124" s="225"/>
      <c r="KCN124" s="225"/>
      <c r="KCO124" s="225"/>
      <c r="KCP124" s="225"/>
      <c r="KCQ124" s="225"/>
      <c r="KCR124" s="225"/>
      <c r="KCS124" s="225"/>
      <c r="KCT124" s="225"/>
      <c r="KCU124" s="225"/>
      <c r="KCV124" s="225"/>
      <c r="KCW124" s="225"/>
      <c r="KCX124" s="225"/>
      <c r="KCY124" s="225"/>
      <c r="KCZ124" s="225"/>
      <c r="KDA124" s="225"/>
      <c r="KDB124" s="225"/>
      <c r="KDC124" s="225"/>
      <c r="KDD124" s="225"/>
      <c r="KDE124" s="225"/>
      <c r="KDF124" s="225"/>
      <c r="KDG124" s="225"/>
      <c r="KDH124" s="225"/>
      <c r="KDI124" s="225"/>
      <c r="KDJ124" s="225"/>
      <c r="KDK124" s="225"/>
      <c r="KDL124" s="225"/>
      <c r="KDM124" s="225"/>
      <c r="KDN124" s="225"/>
      <c r="KDO124" s="225"/>
      <c r="KDP124" s="225"/>
      <c r="KDQ124" s="225"/>
      <c r="KDR124" s="225"/>
      <c r="KDS124" s="225"/>
      <c r="KDT124" s="225"/>
      <c r="KDU124" s="225"/>
      <c r="KDV124" s="225"/>
      <c r="KDW124" s="225"/>
      <c r="KDX124" s="225"/>
      <c r="KDY124" s="225"/>
      <c r="KDZ124" s="225"/>
      <c r="KEA124" s="225"/>
      <c r="KEB124" s="225"/>
      <c r="KEC124" s="225"/>
      <c r="KED124" s="225"/>
      <c r="KEE124" s="225"/>
      <c r="KEF124" s="225"/>
      <c r="KEG124" s="225"/>
      <c r="KEH124" s="225"/>
      <c r="KEI124" s="225"/>
      <c r="KEJ124" s="225"/>
      <c r="KEK124" s="225"/>
      <c r="KEL124" s="225"/>
      <c r="KEM124" s="225"/>
      <c r="KEN124" s="225"/>
      <c r="KEO124" s="225"/>
      <c r="KEP124" s="225"/>
      <c r="KEQ124" s="225"/>
      <c r="KER124" s="225"/>
      <c r="KES124" s="225"/>
      <c r="KET124" s="225"/>
      <c r="KEU124" s="225"/>
      <c r="KEV124" s="225"/>
      <c r="KEW124" s="225"/>
      <c r="KEX124" s="225"/>
      <c r="KEY124" s="225"/>
      <c r="KEZ124" s="225"/>
      <c r="KFA124" s="225"/>
      <c r="KFB124" s="225"/>
      <c r="KFC124" s="225"/>
      <c r="KFD124" s="225"/>
      <c r="KFE124" s="225"/>
      <c r="KFF124" s="225"/>
      <c r="KFG124" s="225"/>
      <c r="KFH124" s="225"/>
      <c r="KFI124" s="225"/>
      <c r="KFJ124" s="225"/>
      <c r="KFK124" s="225"/>
      <c r="KFL124" s="225"/>
      <c r="KFM124" s="225"/>
      <c r="KFN124" s="225"/>
      <c r="KFO124" s="225"/>
      <c r="KFP124" s="225"/>
      <c r="KFQ124" s="225"/>
      <c r="KFR124" s="225"/>
      <c r="KFS124" s="225"/>
      <c r="KFT124" s="225"/>
      <c r="KFU124" s="225"/>
      <c r="KFV124" s="225"/>
      <c r="KFW124" s="225"/>
      <c r="KFX124" s="225"/>
      <c r="KFY124" s="225"/>
      <c r="KFZ124" s="225"/>
      <c r="KGA124" s="225"/>
      <c r="KGB124" s="225"/>
      <c r="KGC124" s="225"/>
      <c r="KGD124" s="225"/>
      <c r="KGE124" s="225"/>
      <c r="KGF124" s="225"/>
      <c r="KGG124" s="225"/>
      <c r="KGH124" s="225"/>
      <c r="KGI124" s="225"/>
      <c r="KGJ124" s="225"/>
      <c r="KGK124" s="225"/>
      <c r="KGL124" s="225"/>
      <c r="KGM124" s="225"/>
      <c r="KGN124" s="225"/>
      <c r="KGO124" s="225"/>
      <c r="KGP124" s="225"/>
      <c r="KGQ124" s="225"/>
      <c r="KGR124" s="225"/>
      <c r="KGS124" s="225"/>
      <c r="KGT124" s="225"/>
      <c r="KGU124" s="225"/>
      <c r="KGV124" s="225"/>
      <c r="KGW124" s="225"/>
      <c r="KGX124" s="225"/>
      <c r="KGY124" s="225"/>
      <c r="KGZ124" s="225"/>
      <c r="KHA124" s="225"/>
      <c r="KHB124" s="225"/>
      <c r="KHC124" s="225"/>
      <c r="KHD124" s="225"/>
      <c r="KHE124" s="225"/>
      <c r="KHF124" s="225"/>
      <c r="KHG124" s="225"/>
      <c r="KHH124" s="225"/>
      <c r="KHI124" s="225"/>
      <c r="KHJ124" s="225"/>
      <c r="KHK124" s="225"/>
      <c r="KHL124" s="225"/>
      <c r="KHM124" s="225"/>
      <c r="KHN124" s="225"/>
      <c r="KHO124" s="225"/>
      <c r="KHP124" s="225"/>
      <c r="KHQ124" s="225"/>
      <c r="KHR124" s="225"/>
      <c r="KHS124" s="225"/>
      <c r="KHT124" s="225"/>
      <c r="KHU124" s="225"/>
      <c r="KHV124" s="225"/>
      <c r="KHW124" s="225"/>
      <c r="KHX124" s="225"/>
      <c r="KHY124" s="225"/>
      <c r="KHZ124" s="225"/>
      <c r="KIA124" s="225"/>
      <c r="KIB124" s="225"/>
      <c r="KIC124" s="225"/>
      <c r="KID124" s="225"/>
      <c r="KIE124" s="225"/>
      <c r="KIF124" s="225"/>
      <c r="KIG124" s="225"/>
      <c r="KIH124" s="225"/>
      <c r="KII124" s="225"/>
      <c r="KIJ124" s="225"/>
      <c r="KIK124" s="225"/>
      <c r="KIL124" s="225"/>
      <c r="KIM124" s="225"/>
      <c r="KIN124" s="225"/>
      <c r="KIO124" s="225"/>
      <c r="KIP124" s="225"/>
      <c r="KIQ124" s="225"/>
      <c r="KIR124" s="225"/>
      <c r="KIS124" s="225"/>
      <c r="KIT124" s="225"/>
      <c r="KIU124" s="225"/>
      <c r="KIV124" s="225"/>
      <c r="KIW124" s="225"/>
      <c r="KIX124" s="225"/>
      <c r="KIY124" s="225"/>
      <c r="KIZ124" s="225"/>
      <c r="KJA124" s="225"/>
      <c r="KJB124" s="225"/>
      <c r="KJC124" s="225"/>
      <c r="KJD124" s="225"/>
      <c r="KJE124" s="225"/>
      <c r="KJF124" s="225"/>
      <c r="KJG124" s="225"/>
      <c r="KJH124" s="225"/>
      <c r="KJI124" s="225"/>
      <c r="KJJ124" s="225"/>
      <c r="KJK124" s="225"/>
      <c r="KJL124" s="225"/>
      <c r="KJM124" s="225"/>
      <c r="KJN124" s="225"/>
      <c r="KJO124" s="225"/>
      <c r="KJP124" s="225"/>
      <c r="KJQ124" s="225"/>
      <c r="KJR124" s="225"/>
      <c r="KJS124" s="225"/>
      <c r="KJT124" s="225"/>
      <c r="KJU124" s="225"/>
      <c r="KJV124" s="225"/>
      <c r="KJW124" s="225"/>
      <c r="KJX124" s="225"/>
      <c r="KJY124" s="225"/>
      <c r="KJZ124" s="225"/>
      <c r="KKA124" s="225"/>
      <c r="KKB124" s="225"/>
      <c r="KKC124" s="225"/>
      <c r="KKD124" s="225"/>
      <c r="KKE124" s="225"/>
      <c r="KKF124" s="225"/>
      <c r="KKG124" s="225"/>
      <c r="KKH124" s="225"/>
      <c r="KKI124" s="225"/>
      <c r="KKJ124" s="225"/>
      <c r="KKK124" s="225"/>
      <c r="KKL124" s="225"/>
      <c r="KKM124" s="225"/>
      <c r="KKN124" s="225"/>
      <c r="KKO124" s="225"/>
      <c r="KKP124" s="225"/>
      <c r="KKQ124" s="225"/>
      <c r="KKR124" s="225"/>
      <c r="KKS124" s="225"/>
      <c r="KKT124" s="225"/>
      <c r="KKU124" s="225"/>
      <c r="KKV124" s="225"/>
      <c r="KKW124" s="225"/>
      <c r="KKX124" s="225"/>
      <c r="KKY124" s="225"/>
      <c r="KKZ124" s="225"/>
      <c r="KLA124" s="225"/>
      <c r="KLB124" s="225"/>
      <c r="KLC124" s="225"/>
      <c r="KLD124" s="225"/>
      <c r="KLE124" s="225"/>
      <c r="KLF124" s="225"/>
      <c r="KLG124" s="225"/>
      <c r="KLH124" s="225"/>
      <c r="KLI124" s="225"/>
      <c r="KLJ124" s="225"/>
      <c r="KLK124" s="225"/>
      <c r="KLL124" s="225"/>
      <c r="KLM124" s="225"/>
      <c r="KLN124" s="225"/>
      <c r="KLO124" s="225"/>
      <c r="KLP124" s="225"/>
      <c r="KLQ124" s="225"/>
      <c r="KLR124" s="225"/>
      <c r="KLS124" s="225"/>
      <c r="KLT124" s="225"/>
      <c r="KLU124" s="225"/>
      <c r="KLV124" s="225"/>
      <c r="KLW124" s="225"/>
      <c r="KLX124" s="225"/>
      <c r="KLY124" s="225"/>
      <c r="KLZ124" s="225"/>
      <c r="KMA124" s="225"/>
      <c r="KMB124" s="225"/>
      <c r="KMC124" s="225"/>
      <c r="KMD124" s="225"/>
      <c r="KME124" s="225"/>
      <c r="KMF124" s="225"/>
      <c r="KMG124" s="225"/>
      <c r="KMH124" s="225"/>
      <c r="KMI124" s="225"/>
      <c r="KMJ124" s="225"/>
      <c r="KMK124" s="225"/>
      <c r="KML124" s="225"/>
      <c r="KMM124" s="225"/>
      <c r="KMN124" s="225"/>
      <c r="KMO124" s="225"/>
      <c r="KMP124" s="225"/>
      <c r="KMQ124" s="225"/>
      <c r="KMR124" s="225"/>
      <c r="KMS124" s="225"/>
      <c r="KMT124" s="225"/>
      <c r="KMU124" s="225"/>
      <c r="KMV124" s="225"/>
      <c r="KMW124" s="225"/>
      <c r="KMX124" s="225"/>
      <c r="KMY124" s="225"/>
      <c r="KMZ124" s="225"/>
      <c r="KNA124" s="225"/>
      <c r="KNB124" s="225"/>
      <c r="KNC124" s="225"/>
      <c r="KND124" s="225"/>
      <c r="KNE124" s="225"/>
      <c r="KNF124" s="225"/>
      <c r="KNG124" s="225"/>
      <c r="KNH124" s="225"/>
      <c r="KNI124" s="225"/>
      <c r="KNJ124" s="225"/>
      <c r="KNK124" s="225"/>
      <c r="KNL124" s="225"/>
      <c r="KNM124" s="225"/>
      <c r="KNN124" s="225"/>
      <c r="KNO124" s="225"/>
      <c r="KNP124" s="225"/>
      <c r="KNQ124" s="225"/>
      <c r="KNR124" s="225"/>
      <c r="KNS124" s="225"/>
      <c r="KNT124" s="225"/>
      <c r="KNU124" s="225"/>
      <c r="KNV124" s="225"/>
      <c r="KNW124" s="225"/>
      <c r="KNX124" s="225"/>
      <c r="KNY124" s="225"/>
      <c r="KNZ124" s="225"/>
      <c r="KOA124" s="225"/>
      <c r="KOB124" s="225"/>
      <c r="KOC124" s="225"/>
      <c r="KOD124" s="225"/>
      <c r="KOE124" s="225"/>
      <c r="KOF124" s="225"/>
      <c r="KOG124" s="225"/>
      <c r="KOH124" s="225"/>
      <c r="KOI124" s="225"/>
      <c r="KOJ124" s="225"/>
      <c r="KOK124" s="225"/>
      <c r="KOL124" s="225"/>
      <c r="KOM124" s="225"/>
      <c r="KON124" s="225"/>
      <c r="KOO124" s="225"/>
      <c r="KOP124" s="225"/>
      <c r="KOQ124" s="225"/>
      <c r="KOR124" s="225"/>
      <c r="KOS124" s="225"/>
      <c r="KOT124" s="225"/>
      <c r="KOU124" s="225"/>
      <c r="KOV124" s="225"/>
      <c r="KOW124" s="225"/>
      <c r="KOX124" s="225"/>
      <c r="KOY124" s="225"/>
      <c r="KOZ124" s="225"/>
      <c r="KPA124" s="225"/>
      <c r="KPB124" s="225"/>
      <c r="KPC124" s="225"/>
      <c r="KPD124" s="225"/>
      <c r="KPE124" s="225"/>
      <c r="KPF124" s="225"/>
      <c r="KPG124" s="225"/>
      <c r="KPH124" s="225"/>
      <c r="KPI124" s="225"/>
      <c r="KPJ124" s="225"/>
      <c r="KPK124" s="225"/>
      <c r="KPL124" s="225"/>
      <c r="KPM124" s="225"/>
      <c r="KPN124" s="225"/>
      <c r="KPO124" s="225"/>
      <c r="KPP124" s="225"/>
      <c r="KPQ124" s="225"/>
      <c r="KPR124" s="225"/>
      <c r="KPS124" s="225"/>
      <c r="KPT124" s="225"/>
      <c r="KPU124" s="225"/>
      <c r="KPV124" s="225"/>
      <c r="KPW124" s="225"/>
      <c r="KPX124" s="225"/>
      <c r="KPY124" s="225"/>
      <c r="KPZ124" s="225"/>
      <c r="KQA124" s="225"/>
      <c r="KQB124" s="225"/>
      <c r="KQC124" s="225"/>
      <c r="KQD124" s="225"/>
      <c r="KQE124" s="225"/>
      <c r="KQF124" s="225"/>
      <c r="KQG124" s="225"/>
      <c r="KQH124" s="225"/>
      <c r="KQI124" s="225"/>
      <c r="KQJ124" s="225"/>
      <c r="KQK124" s="225"/>
      <c r="KQL124" s="225"/>
      <c r="KQM124" s="225"/>
      <c r="KQN124" s="225"/>
      <c r="KQO124" s="225"/>
      <c r="KQP124" s="225"/>
      <c r="KQQ124" s="225"/>
      <c r="KQR124" s="225"/>
      <c r="KQS124" s="225"/>
      <c r="KQT124" s="225"/>
      <c r="KQU124" s="225"/>
      <c r="KQV124" s="225"/>
      <c r="KQW124" s="225"/>
      <c r="KQX124" s="225"/>
      <c r="KQY124" s="225"/>
      <c r="KQZ124" s="225"/>
      <c r="KRA124" s="225"/>
      <c r="KRB124" s="225"/>
      <c r="KRC124" s="225"/>
      <c r="KRD124" s="225"/>
      <c r="KRE124" s="225"/>
      <c r="KRF124" s="225"/>
      <c r="KRG124" s="225"/>
      <c r="KRH124" s="225"/>
      <c r="KRI124" s="225"/>
      <c r="KRJ124" s="225"/>
      <c r="KRK124" s="225"/>
      <c r="KRL124" s="225"/>
      <c r="KRM124" s="225"/>
      <c r="KRN124" s="225"/>
      <c r="KRO124" s="225"/>
      <c r="KRP124" s="225"/>
      <c r="KRQ124" s="225"/>
      <c r="KRR124" s="225"/>
      <c r="KRS124" s="225"/>
      <c r="KRT124" s="225"/>
      <c r="KRU124" s="225"/>
      <c r="KRV124" s="225"/>
      <c r="KRW124" s="225"/>
      <c r="KRX124" s="225"/>
      <c r="KRY124" s="225"/>
      <c r="KRZ124" s="225"/>
      <c r="KSA124" s="225"/>
      <c r="KSB124" s="225"/>
      <c r="KSC124" s="225"/>
      <c r="KSD124" s="225"/>
      <c r="KSE124" s="225"/>
      <c r="KSF124" s="225"/>
      <c r="KSG124" s="225"/>
      <c r="KSH124" s="225"/>
      <c r="KSI124" s="225"/>
      <c r="KSJ124" s="225"/>
      <c r="KSK124" s="225"/>
      <c r="KSL124" s="225"/>
      <c r="KSM124" s="225"/>
      <c r="KSN124" s="225"/>
      <c r="KSO124" s="225"/>
      <c r="KSP124" s="225"/>
      <c r="KSQ124" s="225"/>
      <c r="KSR124" s="225"/>
      <c r="KSS124" s="225"/>
      <c r="KST124" s="225"/>
      <c r="KSU124" s="225"/>
      <c r="KSV124" s="225"/>
      <c r="KSW124" s="225"/>
      <c r="KSX124" s="225"/>
      <c r="KSY124" s="225"/>
      <c r="KSZ124" s="225"/>
      <c r="KTA124" s="225"/>
      <c r="KTB124" s="225"/>
      <c r="KTC124" s="225"/>
      <c r="KTD124" s="225"/>
      <c r="KTE124" s="225"/>
      <c r="KTF124" s="225"/>
      <c r="KTG124" s="225"/>
      <c r="KTH124" s="225"/>
      <c r="KTI124" s="225"/>
      <c r="KTJ124" s="225"/>
      <c r="KTK124" s="225"/>
      <c r="KTL124" s="225"/>
      <c r="KTM124" s="225"/>
      <c r="KTN124" s="225"/>
      <c r="KTO124" s="225"/>
      <c r="KTP124" s="225"/>
      <c r="KTQ124" s="225"/>
      <c r="KTR124" s="225"/>
      <c r="KTS124" s="225"/>
      <c r="KTT124" s="225"/>
      <c r="KTU124" s="225"/>
      <c r="KTV124" s="225"/>
      <c r="KTW124" s="225"/>
      <c r="KTX124" s="225"/>
      <c r="KTY124" s="225"/>
      <c r="KTZ124" s="225"/>
      <c r="KUA124" s="225"/>
      <c r="KUB124" s="225"/>
      <c r="KUC124" s="225"/>
      <c r="KUD124" s="225"/>
      <c r="KUE124" s="225"/>
      <c r="KUF124" s="225"/>
      <c r="KUG124" s="225"/>
      <c r="KUH124" s="225"/>
      <c r="KUI124" s="225"/>
      <c r="KUJ124" s="225"/>
      <c r="KUK124" s="225"/>
      <c r="KUL124" s="225"/>
      <c r="KUM124" s="225"/>
      <c r="KUN124" s="225"/>
      <c r="KUO124" s="225"/>
      <c r="KUP124" s="225"/>
      <c r="KUQ124" s="225"/>
      <c r="KUR124" s="225"/>
      <c r="KUS124" s="225"/>
      <c r="KUT124" s="225"/>
      <c r="KUU124" s="225"/>
      <c r="KUV124" s="225"/>
      <c r="KUW124" s="225"/>
      <c r="KUX124" s="225"/>
      <c r="KUY124" s="225"/>
      <c r="KUZ124" s="225"/>
      <c r="KVA124" s="225"/>
      <c r="KVB124" s="225"/>
      <c r="KVC124" s="225"/>
      <c r="KVD124" s="225"/>
      <c r="KVE124" s="225"/>
      <c r="KVF124" s="225"/>
      <c r="KVG124" s="225"/>
      <c r="KVH124" s="225"/>
      <c r="KVI124" s="225"/>
      <c r="KVJ124" s="225"/>
      <c r="KVK124" s="225"/>
      <c r="KVL124" s="225"/>
      <c r="KVM124" s="225"/>
      <c r="KVN124" s="225"/>
      <c r="KVO124" s="225"/>
      <c r="KVP124" s="225"/>
      <c r="KVQ124" s="225"/>
      <c r="KVR124" s="225"/>
      <c r="KVS124" s="225"/>
      <c r="KVT124" s="225"/>
      <c r="KVU124" s="225"/>
      <c r="KVV124" s="225"/>
      <c r="KVW124" s="225"/>
      <c r="KVX124" s="225"/>
      <c r="KVY124" s="225"/>
      <c r="KVZ124" s="225"/>
      <c r="KWA124" s="225"/>
      <c r="KWB124" s="225"/>
      <c r="KWC124" s="225"/>
      <c r="KWD124" s="225"/>
      <c r="KWE124" s="225"/>
      <c r="KWF124" s="225"/>
      <c r="KWG124" s="225"/>
      <c r="KWH124" s="225"/>
      <c r="KWI124" s="225"/>
      <c r="KWJ124" s="225"/>
      <c r="KWK124" s="225"/>
      <c r="KWL124" s="225"/>
      <c r="KWM124" s="225"/>
      <c r="KWN124" s="225"/>
      <c r="KWO124" s="225"/>
      <c r="KWP124" s="225"/>
      <c r="KWQ124" s="225"/>
      <c r="KWR124" s="225"/>
      <c r="KWS124" s="225"/>
      <c r="KWT124" s="225"/>
      <c r="KWU124" s="225"/>
      <c r="KWV124" s="225"/>
      <c r="KWW124" s="225"/>
      <c r="KWX124" s="225"/>
      <c r="KWY124" s="225"/>
      <c r="KWZ124" s="225"/>
      <c r="KXA124" s="225"/>
      <c r="KXB124" s="225"/>
      <c r="KXC124" s="225"/>
      <c r="KXD124" s="225"/>
      <c r="KXE124" s="225"/>
      <c r="KXF124" s="225"/>
      <c r="KXG124" s="225"/>
      <c r="KXH124" s="225"/>
      <c r="KXI124" s="225"/>
      <c r="KXJ124" s="225"/>
      <c r="KXK124" s="225"/>
      <c r="KXL124" s="225"/>
      <c r="KXM124" s="225"/>
      <c r="KXN124" s="225"/>
      <c r="KXO124" s="225"/>
      <c r="KXP124" s="225"/>
      <c r="KXQ124" s="225"/>
      <c r="KXR124" s="225"/>
      <c r="KXS124" s="225"/>
      <c r="KXT124" s="225"/>
      <c r="KXU124" s="225"/>
      <c r="KXV124" s="225"/>
      <c r="KXW124" s="225"/>
      <c r="KXX124" s="225"/>
      <c r="KXY124" s="225"/>
      <c r="KXZ124" s="225"/>
      <c r="KYA124" s="225"/>
      <c r="KYB124" s="225"/>
      <c r="KYC124" s="225"/>
      <c r="KYD124" s="225"/>
      <c r="KYE124" s="225"/>
      <c r="KYF124" s="225"/>
      <c r="KYG124" s="225"/>
      <c r="KYH124" s="225"/>
      <c r="KYI124" s="225"/>
      <c r="KYJ124" s="225"/>
      <c r="KYK124" s="225"/>
      <c r="KYL124" s="225"/>
      <c r="KYM124" s="225"/>
      <c r="KYN124" s="225"/>
      <c r="KYO124" s="225"/>
      <c r="KYP124" s="225"/>
      <c r="KYQ124" s="225"/>
      <c r="KYR124" s="225"/>
      <c r="KYS124" s="225"/>
      <c r="KYT124" s="225"/>
      <c r="KYU124" s="225"/>
      <c r="KYV124" s="225"/>
      <c r="KYW124" s="225"/>
      <c r="KYX124" s="225"/>
      <c r="KYY124" s="225"/>
      <c r="KYZ124" s="225"/>
      <c r="KZA124" s="225"/>
      <c r="KZB124" s="225"/>
      <c r="KZC124" s="225"/>
      <c r="KZD124" s="225"/>
      <c r="KZE124" s="225"/>
      <c r="KZF124" s="225"/>
      <c r="KZG124" s="225"/>
      <c r="KZH124" s="225"/>
      <c r="KZI124" s="225"/>
      <c r="KZJ124" s="225"/>
      <c r="KZK124" s="225"/>
      <c r="KZL124" s="225"/>
      <c r="KZM124" s="225"/>
      <c r="KZN124" s="225"/>
      <c r="KZO124" s="225"/>
      <c r="KZP124" s="225"/>
      <c r="KZQ124" s="225"/>
      <c r="KZR124" s="225"/>
      <c r="KZS124" s="225"/>
      <c r="KZT124" s="225"/>
      <c r="KZU124" s="225"/>
      <c r="KZV124" s="225"/>
      <c r="KZW124" s="225"/>
      <c r="KZX124" s="225"/>
      <c r="KZY124" s="225"/>
      <c r="KZZ124" s="225"/>
      <c r="LAA124" s="225"/>
      <c r="LAB124" s="225"/>
      <c r="LAC124" s="225"/>
      <c r="LAD124" s="225"/>
      <c r="LAE124" s="225"/>
      <c r="LAF124" s="225"/>
      <c r="LAG124" s="225"/>
      <c r="LAH124" s="225"/>
      <c r="LAI124" s="225"/>
      <c r="LAJ124" s="225"/>
      <c r="LAK124" s="225"/>
      <c r="LAL124" s="225"/>
      <c r="LAM124" s="225"/>
      <c r="LAN124" s="225"/>
      <c r="LAO124" s="225"/>
      <c r="LAP124" s="225"/>
      <c r="LAQ124" s="225"/>
      <c r="LAR124" s="225"/>
      <c r="LAS124" s="225"/>
      <c r="LAT124" s="225"/>
      <c r="LAU124" s="225"/>
      <c r="LAV124" s="225"/>
      <c r="LAW124" s="225"/>
      <c r="LAX124" s="225"/>
      <c r="LAY124" s="225"/>
      <c r="LAZ124" s="225"/>
      <c r="LBA124" s="225"/>
      <c r="LBB124" s="225"/>
      <c r="LBC124" s="225"/>
      <c r="LBD124" s="225"/>
      <c r="LBE124" s="225"/>
      <c r="LBF124" s="225"/>
      <c r="LBG124" s="225"/>
      <c r="LBH124" s="225"/>
      <c r="LBI124" s="225"/>
      <c r="LBJ124" s="225"/>
      <c r="LBK124" s="225"/>
      <c r="LBL124" s="225"/>
      <c r="LBM124" s="225"/>
      <c r="LBN124" s="225"/>
      <c r="LBO124" s="225"/>
      <c r="LBP124" s="225"/>
      <c r="LBQ124" s="225"/>
      <c r="LBR124" s="225"/>
      <c r="LBS124" s="225"/>
      <c r="LBT124" s="225"/>
      <c r="LBU124" s="225"/>
      <c r="LBV124" s="225"/>
      <c r="LBW124" s="225"/>
      <c r="LBX124" s="225"/>
      <c r="LBY124" s="225"/>
      <c r="LBZ124" s="225"/>
      <c r="LCA124" s="225"/>
      <c r="LCB124" s="225"/>
      <c r="LCC124" s="225"/>
      <c r="LCD124" s="225"/>
      <c r="LCE124" s="225"/>
      <c r="LCF124" s="225"/>
      <c r="LCG124" s="225"/>
      <c r="LCH124" s="225"/>
      <c r="LCI124" s="225"/>
      <c r="LCJ124" s="225"/>
      <c r="LCK124" s="225"/>
      <c r="LCL124" s="225"/>
      <c r="LCM124" s="225"/>
      <c r="LCN124" s="225"/>
      <c r="LCO124" s="225"/>
      <c r="LCP124" s="225"/>
      <c r="LCQ124" s="225"/>
      <c r="LCR124" s="225"/>
      <c r="LCS124" s="225"/>
      <c r="LCT124" s="225"/>
      <c r="LCU124" s="225"/>
      <c r="LCV124" s="225"/>
      <c r="LCW124" s="225"/>
      <c r="LCX124" s="225"/>
      <c r="LCY124" s="225"/>
      <c r="LCZ124" s="225"/>
      <c r="LDA124" s="225"/>
      <c r="LDB124" s="225"/>
      <c r="LDC124" s="225"/>
      <c r="LDD124" s="225"/>
      <c r="LDE124" s="225"/>
      <c r="LDF124" s="225"/>
      <c r="LDG124" s="225"/>
      <c r="LDH124" s="225"/>
      <c r="LDI124" s="225"/>
      <c r="LDJ124" s="225"/>
      <c r="LDK124" s="225"/>
      <c r="LDL124" s="225"/>
      <c r="LDM124" s="225"/>
      <c r="LDN124" s="225"/>
      <c r="LDO124" s="225"/>
      <c r="LDP124" s="225"/>
      <c r="LDQ124" s="225"/>
      <c r="LDR124" s="225"/>
      <c r="LDS124" s="225"/>
      <c r="LDT124" s="225"/>
      <c r="LDU124" s="225"/>
      <c r="LDV124" s="225"/>
      <c r="LDW124" s="225"/>
      <c r="LDX124" s="225"/>
      <c r="LDY124" s="225"/>
      <c r="LDZ124" s="225"/>
      <c r="LEA124" s="225"/>
      <c r="LEB124" s="225"/>
      <c r="LEC124" s="225"/>
      <c r="LED124" s="225"/>
      <c r="LEE124" s="225"/>
      <c r="LEF124" s="225"/>
      <c r="LEG124" s="225"/>
      <c r="LEH124" s="225"/>
      <c r="LEI124" s="225"/>
      <c r="LEJ124" s="225"/>
      <c r="LEK124" s="225"/>
      <c r="LEL124" s="225"/>
      <c r="LEM124" s="225"/>
      <c r="LEN124" s="225"/>
      <c r="LEO124" s="225"/>
      <c r="LEP124" s="225"/>
      <c r="LEQ124" s="225"/>
      <c r="LER124" s="225"/>
      <c r="LES124" s="225"/>
      <c r="LET124" s="225"/>
      <c r="LEU124" s="225"/>
      <c r="LEV124" s="225"/>
      <c r="LEW124" s="225"/>
      <c r="LEX124" s="225"/>
      <c r="LEY124" s="225"/>
      <c r="LEZ124" s="225"/>
      <c r="LFA124" s="225"/>
      <c r="LFB124" s="225"/>
      <c r="LFC124" s="225"/>
      <c r="LFD124" s="225"/>
      <c r="LFE124" s="225"/>
      <c r="LFF124" s="225"/>
      <c r="LFG124" s="225"/>
      <c r="LFH124" s="225"/>
      <c r="LFI124" s="225"/>
      <c r="LFJ124" s="225"/>
      <c r="LFK124" s="225"/>
      <c r="LFL124" s="225"/>
      <c r="LFM124" s="225"/>
      <c r="LFN124" s="225"/>
      <c r="LFO124" s="225"/>
      <c r="LFP124" s="225"/>
      <c r="LFQ124" s="225"/>
      <c r="LFR124" s="225"/>
      <c r="LFS124" s="225"/>
      <c r="LFT124" s="225"/>
      <c r="LFU124" s="225"/>
      <c r="LFV124" s="225"/>
      <c r="LFW124" s="225"/>
      <c r="LFX124" s="225"/>
      <c r="LFY124" s="225"/>
      <c r="LFZ124" s="225"/>
      <c r="LGA124" s="225"/>
      <c r="LGB124" s="225"/>
      <c r="LGC124" s="225"/>
      <c r="LGD124" s="225"/>
      <c r="LGE124" s="225"/>
      <c r="LGF124" s="225"/>
      <c r="LGG124" s="225"/>
      <c r="LGH124" s="225"/>
      <c r="LGI124" s="225"/>
      <c r="LGJ124" s="225"/>
      <c r="LGK124" s="225"/>
      <c r="LGL124" s="225"/>
      <c r="LGM124" s="225"/>
      <c r="LGN124" s="225"/>
      <c r="LGO124" s="225"/>
      <c r="LGP124" s="225"/>
      <c r="LGQ124" s="225"/>
      <c r="LGR124" s="225"/>
      <c r="LGS124" s="225"/>
      <c r="LGT124" s="225"/>
      <c r="LGU124" s="225"/>
      <c r="LGV124" s="225"/>
      <c r="LGW124" s="225"/>
      <c r="LGX124" s="225"/>
      <c r="LGY124" s="225"/>
      <c r="LGZ124" s="225"/>
      <c r="LHA124" s="225"/>
      <c r="LHB124" s="225"/>
      <c r="LHC124" s="225"/>
      <c r="LHD124" s="225"/>
      <c r="LHE124" s="225"/>
      <c r="LHF124" s="225"/>
      <c r="LHG124" s="225"/>
      <c r="LHH124" s="225"/>
      <c r="LHI124" s="225"/>
      <c r="LHJ124" s="225"/>
      <c r="LHK124" s="225"/>
      <c r="LHL124" s="225"/>
      <c r="LHM124" s="225"/>
      <c r="LHN124" s="225"/>
      <c r="LHO124" s="225"/>
      <c r="LHP124" s="225"/>
      <c r="LHQ124" s="225"/>
      <c r="LHR124" s="225"/>
      <c r="LHS124" s="225"/>
      <c r="LHT124" s="225"/>
      <c r="LHU124" s="225"/>
      <c r="LHV124" s="225"/>
      <c r="LHW124" s="225"/>
      <c r="LHX124" s="225"/>
      <c r="LHY124" s="225"/>
      <c r="LHZ124" s="225"/>
      <c r="LIA124" s="225"/>
      <c r="LIB124" s="225"/>
      <c r="LIC124" s="225"/>
      <c r="LID124" s="225"/>
      <c r="LIE124" s="225"/>
      <c r="LIF124" s="225"/>
      <c r="LIG124" s="225"/>
      <c r="LIH124" s="225"/>
      <c r="LII124" s="225"/>
      <c r="LIJ124" s="225"/>
      <c r="LIK124" s="225"/>
      <c r="LIL124" s="225"/>
      <c r="LIM124" s="225"/>
      <c r="LIN124" s="225"/>
      <c r="LIO124" s="225"/>
      <c r="LIP124" s="225"/>
      <c r="LIQ124" s="225"/>
      <c r="LIR124" s="225"/>
      <c r="LIS124" s="225"/>
      <c r="LIT124" s="225"/>
      <c r="LIU124" s="225"/>
      <c r="LIV124" s="225"/>
      <c r="LIW124" s="225"/>
      <c r="LIX124" s="225"/>
      <c r="LIY124" s="225"/>
      <c r="LIZ124" s="225"/>
      <c r="LJA124" s="225"/>
      <c r="LJB124" s="225"/>
      <c r="LJC124" s="225"/>
      <c r="LJD124" s="225"/>
      <c r="LJE124" s="225"/>
      <c r="LJF124" s="225"/>
      <c r="LJG124" s="225"/>
      <c r="LJH124" s="225"/>
      <c r="LJI124" s="225"/>
      <c r="LJJ124" s="225"/>
      <c r="LJK124" s="225"/>
      <c r="LJL124" s="225"/>
      <c r="LJM124" s="225"/>
      <c r="LJN124" s="225"/>
      <c r="LJO124" s="225"/>
      <c r="LJP124" s="225"/>
      <c r="LJQ124" s="225"/>
      <c r="LJR124" s="225"/>
      <c r="LJS124" s="225"/>
      <c r="LJT124" s="225"/>
      <c r="LJU124" s="225"/>
      <c r="LJV124" s="225"/>
      <c r="LJW124" s="225"/>
      <c r="LJX124" s="225"/>
      <c r="LJY124" s="225"/>
      <c r="LJZ124" s="225"/>
      <c r="LKA124" s="225"/>
      <c r="LKB124" s="225"/>
      <c r="LKC124" s="225"/>
      <c r="LKD124" s="225"/>
      <c r="LKE124" s="225"/>
      <c r="LKF124" s="225"/>
      <c r="LKG124" s="225"/>
      <c r="LKH124" s="225"/>
      <c r="LKI124" s="225"/>
      <c r="LKJ124" s="225"/>
      <c r="LKK124" s="225"/>
      <c r="LKL124" s="225"/>
      <c r="LKM124" s="225"/>
      <c r="LKN124" s="225"/>
      <c r="LKO124" s="225"/>
      <c r="LKP124" s="225"/>
      <c r="LKQ124" s="225"/>
      <c r="LKR124" s="225"/>
      <c r="LKS124" s="225"/>
      <c r="LKT124" s="225"/>
      <c r="LKU124" s="225"/>
      <c r="LKV124" s="225"/>
      <c r="LKW124" s="225"/>
      <c r="LKX124" s="225"/>
      <c r="LKY124" s="225"/>
      <c r="LKZ124" s="225"/>
      <c r="LLA124" s="225"/>
      <c r="LLB124" s="225"/>
      <c r="LLC124" s="225"/>
      <c r="LLD124" s="225"/>
      <c r="LLE124" s="225"/>
      <c r="LLF124" s="225"/>
      <c r="LLG124" s="225"/>
      <c r="LLH124" s="225"/>
      <c r="LLI124" s="225"/>
      <c r="LLJ124" s="225"/>
      <c r="LLK124" s="225"/>
      <c r="LLL124" s="225"/>
      <c r="LLM124" s="225"/>
      <c r="LLN124" s="225"/>
      <c r="LLO124" s="225"/>
      <c r="LLP124" s="225"/>
      <c r="LLQ124" s="225"/>
      <c r="LLR124" s="225"/>
      <c r="LLS124" s="225"/>
      <c r="LLT124" s="225"/>
      <c r="LLU124" s="225"/>
      <c r="LLV124" s="225"/>
      <c r="LLW124" s="225"/>
      <c r="LLX124" s="225"/>
      <c r="LLY124" s="225"/>
      <c r="LLZ124" s="225"/>
      <c r="LMA124" s="225"/>
      <c r="LMB124" s="225"/>
      <c r="LMC124" s="225"/>
      <c r="LMD124" s="225"/>
      <c r="LME124" s="225"/>
      <c r="LMF124" s="225"/>
      <c r="LMG124" s="225"/>
      <c r="LMH124" s="225"/>
      <c r="LMI124" s="225"/>
      <c r="LMJ124" s="225"/>
      <c r="LMK124" s="225"/>
      <c r="LML124" s="225"/>
      <c r="LMM124" s="225"/>
      <c r="LMN124" s="225"/>
      <c r="LMO124" s="225"/>
      <c r="LMP124" s="225"/>
      <c r="LMQ124" s="225"/>
      <c r="LMR124" s="225"/>
      <c r="LMS124" s="225"/>
      <c r="LMT124" s="225"/>
      <c r="LMU124" s="225"/>
      <c r="LMV124" s="225"/>
      <c r="LMW124" s="225"/>
      <c r="LMX124" s="225"/>
      <c r="LMY124" s="225"/>
      <c r="LMZ124" s="225"/>
      <c r="LNA124" s="225"/>
      <c r="LNB124" s="225"/>
      <c r="LNC124" s="225"/>
      <c r="LND124" s="225"/>
      <c r="LNE124" s="225"/>
      <c r="LNF124" s="225"/>
      <c r="LNG124" s="225"/>
      <c r="LNH124" s="225"/>
      <c r="LNI124" s="225"/>
      <c r="LNJ124" s="225"/>
      <c r="LNK124" s="225"/>
      <c r="LNL124" s="225"/>
      <c r="LNM124" s="225"/>
      <c r="LNN124" s="225"/>
      <c r="LNO124" s="225"/>
      <c r="LNP124" s="225"/>
      <c r="LNQ124" s="225"/>
      <c r="LNR124" s="225"/>
      <c r="LNS124" s="225"/>
      <c r="LNT124" s="225"/>
      <c r="LNU124" s="225"/>
      <c r="LNV124" s="225"/>
      <c r="LNW124" s="225"/>
      <c r="LNX124" s="225"/>
      <c r="LNY124" s="225"/>
      <c r="LNZ124" s="225"/>
      <c r="LOA124" s="225"/>
      <c r="LOB124" s="225"/>
      <c r="LOC124" s="225"/>
      <c r="LOD124" s="225"/>
      <c r="LOE124" s="225"/>
      <c r="LOF124" s="225"/>
      <c r="LOG124" s="225"/>
      <c r="LOH124" s="225"/>
      <c r="LOI124" s="225"/>
      <c r="LOJ124" s="225"/>
      <c r="LOK124" s="225"/>
      <c r="LOL124" s="225"/>
      <c r="LOM124" s="225"/>
      <c r="LON124" s="225"/>
      <c r="LOO124" s="225"/>
      <c r="LOP124" s="225"/>
      <c r="LOQ124" s="225"/>
      <c r="LOR124" s="225"/>
      <c r="LOS124" s="225"/>
      <c r="LOT124" s="225"/>
      <c r="LOU124" s="225"/>
      <c r="LOV124" s="225"/>
      <c r="LOW124" s="225"/>
      <c r="LOX124" s="225"/>
      <c r="LOY124" s="225"/>
      <c r="LOZ124" s="225"/>
      <c r="LPA124" s="225"/>
      <c r="LPB124" s="225"/>
      <c r="LPC124" s="225"/>
      <c r="LPD124" s="225"/>
      <c r="LPE124" s="225"/>
      <c r="LPF124" s="225"/>
      <c r="LPG124" s="225"/>
      <c r="LPH124" s="225"/>
      <c r="LPI124" s="225"/>
      <c r="LPJ124" s="225"/>
      <c r="LPK124" s="225"/>
      <c r="LPL124" s="225"/>
      <c r="LPM124" s="225"/>
      <c r="LPN124" s="225"/>
      <c r="LPO124" s="225"/>
      <c r="LPP124" s="225"/>
      <c r="LPQ124" s="225"/>
      <c r="LPR124" s="225"/>
      <c r="LPS124" s="225"/>
      <c r="LPT124" s="225"/>
      <c r="LPU124" s="225"/>
      <c r="LPV124" s="225"/>
      <c r="LPW124" s="225"/>
      <c r="LPX124" s="225"/>
      <c r="LPY124" s="225"/>
      <c r="LPZ124" s="225"/>
      <c r="LQA124" s="225"/>
      <c r="LQB124" s="225"/>
      <c r="LQC124" s="225"/>
      <c r="LQD124" s="225"/>
      <c r="LQE124" s="225"/>
      <c r="LQF124" s="225"/>
      <c r="LQG124" s="225"/>
      <c r="LQH124" s="225"/>
      <c r="LQI124" s="225"/>
      <c r="LQJ124" s="225"/>
      <c r="LQK124" s="225"/>
      <c r="LQL124" s="225"/>
      <c r="LQM124" s="225"/>
      <c r="LQN124" s="225"/>
      <c r="LQO124" s="225"/>
      <c r="LQP124" s="225"/>
      <c r="LQQ124" s="225"/>
      <c r="LQR124" s="225"/>
      <c r="LQS124" s="225"/>
      <c r="LQT124" s="225"/>
      <c r="LQU124" s="225"/>
      <c r="LQV124" s="225"/>
      <c r="LQW124" s="225"/>
      <c r="LQX124" s="225"/>
      <c r="LQY124" s="225"/>
      <c r="LQZ124" s="225"/>
      <c r="LRA124" s="225"/>
      <c r="LRB124" s="225"/>
      <c r="LRC124" s="225"/>
      <c r="LRD124" s="225"/>
      <c r="LRE124" s="225"/>
      <c r="LRF124" s="225"/>
      <c r="LRG124" s="225"/>
      <c r="LRH124" s="225"/>
      <c r="LRI124" s="225"/>
      <c r="LRJ124" s="225"/>
      <c r="LRK124" s="225"/>
      <c r="LRL124" s="225"/>
      <c r="LRM124" s="225"/>
      <c r="LRN124" s="225"/>
      <c r="LRO124" s="225"/>
      <c r="LRP124" s="225"/>
      <c r="LRQ124" s="225"/>
      <c r="LRR124" s="225"/>
      <c r="LRS124" s="225"/>
      <c r="LRT124" s="225"/>
      <c r="LRU124" s="225"/>
      <c r="LRV124" s="225"/>
      <c r="LRW124" s="225"/>
      <c r="LRX124" s="225"/>
      <c r="LRY124" s="225"/>
      <c r="LRZ124" s="225"/>
      <c r="LSA124" s="225"/>
      <c r="LSB124" s="225"/>
      <c r="LSC124" s="225"/>
      <c r="LSD124" s="225"/>
      <c r="LSE124" s="225"/>
      <c r="LSF124" s="225"/>
      <c r="LSG124" s="225"/>
      <c r="LSH124" s="225"/>
      <c r="LSI124" s="225"/>
      <c r="LSJ124" s="225"/>
      <c r="LSK124" s="225"/>
      <c r="LSL124" s="225"/>
      <c r="LSM124" s="225"/>
      <c r="LSN124" s="225"/>
      <c r="LSO124" s="225"/>
      <c r="LSP124" s="225"/>
      <c r="LSQ124" s="225"/>
      <c r="LSR124" s="225"/>
      <c r="LSS124" s="225"/>
      <c r="LST124" s="225"/>
      <c r="LSU124" s="225"/>
      <c r="LSV124" s="225"/>
      <c r="LSW124" s="225"/>
      <c r="LSX124" s="225"/>
      <c r="LSY124" s="225"/>
      <c r="LSZ124" s="225"/>
      <c r="LTA124" s="225"/>
      <c r="LTB124" s="225"/>
      <c r="LTC124" s="225"/>
      <c r="LTD124" s="225"/>
      <c r="LTE124" s="225"/>
      <c r="LTF124" s="225"/>
      <c r="LTG124" s="225"/>
      <c r="LTH124" s="225"/>
      <c r="LTI124" s="225"/>
      <c r="LTJ124" s="225"/>
      <c r="LTK124" s="225"/>
      <c r="LTL124" s="225"/>
      <c r="LTM124" s="225"/>
      <c r="LTN124" s="225"/>
      <c r="LTO124" s="225"/>
      <c r="LTP124" s="225"/>
      <c r="LTQ124" s="225"/>
      <c r="LTR124" s="225"/>
      <c r="LTS124" s="225"/>
      <c r="LTT124" s="225"/>
      <c r="LTU124" s="225"/>
      <c r="LTV124" s="225"/>
      <c r="LTW124" s="225"/>
      <c r="LTX124" s="225"/>
      <c r="LTY124" s="225"/>
      <c r="LTZ124" s="225"/>
      <c r="LUA124" s="225"/>
      <c r="LUB124" s="225"/>
      <c r="LUC124" s="225"/>
      <c r="LUD124" s="225"/>
      <c r="LUE124" s="225"/>
      <c r="LUF124" s="225"/>
      <c r="LUG124" s="225"/>
      <c r="LUH124" s="225"/>
      <c r="LUI124" s="225"/>
      <c r="LUJ124" s="225"/>
      <c r="LUK124" s="225"/>
      <c r="LUL124" s="225"/>
      <c r="LUM124" s="225"/>
      <c r="LUN124" s="225"/>
      <c r="LUO124" s="225"/>
      <c r="LUP124" s="225"/>
      <c r="LUQ124" s="225"/>
      <c r="LUR124" s="225"/>
      <c r="LUS124" s="225"/>
      <c r="LUT124" s="225"/>
      <c r="LUU124" s="225"/>
      <c r="LUV124" s="225"/>
      <c r="LUW124" s="225"/>
      <c r="LUX124" s="225"/>
      <c r="LUY124" s="225"/>
      <c r="LUZ124" s="225"/>
      <c r="LVA124" s="225"/>
      <c r="LVB124" s="225"/>
      <c r="LVC124" s="225"/>
      <c r="LVD124" s="225"/>
      <c r="LVE124" s="225"/>
      <c r="LVF124" s="225"/>
      <c r="LVG124" s="225"/>
      <c r="LVH124" s="225"/>
      <c r="LVI124" s="225"/>
      <c r="LVJ124" s="225"/>
      <c r="LVK124" s="225"/>
      <c r="LVL124" s="225"/>
      <c r="LVM124" s="225"/>
      <c r="LVN124" s="225"/>
      <c r="LVO124" s="225"/>
      <c r="LVP124" s="225"/>
      <c r="LVQ124" s="225"/>
      <c r="LVR124" s="225"/>
      <c r="LVS124" s="225"/>
      <c r="LVT124" s="225"/>
      <c r="LVU124" s="225"/>
      <c r="LVV124" s="225"/>
      <c r="LVW124" s="225"/>
      <c r="LVX124" s="225"/>
      <c r="LVY124" s="225"/>
      <c r="LVZ124" s="225"/>
      <c r="LWA124" s="225"/>
      <c r="LWB124" s="225"/>
      <c r="LWC124" s="225"/>
      <c r="LWD124" s="225"/>
      <c r="LWE124" s="225"/>
      <c r="LWF124" s="225"/>
      <c r="LWG124" s="225"/>
      <c r="LWH124" s="225"/>
      <c r="LWI124" s="225"/>
      <c r="LWJ124" s="225"/>
      <c r="LWK124" s="225"/>
      <c r="LWL124" s="225"/>
      <c r="LWM124" s="225"/>
      <c r="LWN124" s="225"/>
      <c r="LWO124" s="225"/>
      <c r="LWP124" s="225"/>
      <c r="LWQ124" s="225"/>
      <c r="LWR124" s="225"/>
      <c r="LWS124" s="225"/>
      <c r="LWT124" s="225"/>
      <c r="LWU124" s="225"/>
      <c r="LWV124" s="225"/>
      <c r="LWW124" s="225"/>
      <c r="LWX124" s="225"/>
      <c r="LWY124" s="225"/>
      <c r="LWZ124" s="225"/>
      <c r="LXA124" s="225"/>
      <c r="LXB124" s="225"/>
      <c r="LXC124" s="225"/>
      <c r="LXD124" s="225"/>
      <c r="LXE124" s="225"/>
      <c r="LXF124" s="225"/>
      <c r="LXG124" s="225"/>
      <c r="LXH124" s="225"/>
      <c r="LXI124" s="225"/>
      <c r="LXJ124" s="225"/>
      <c r="LXK124" s="225"/>
      <c r="LXL124" s="225"/>
      <c r="LXM124" s="225"/>
      <c r="LXN124" s="225"/>
      <c r="LXO124" s="225"/>
      <c r="LXP124" s="225"/>
      <c r="LXQ124" s="225"/>
      <c r="LXR124" s="225"/>
      <c r="LXS124" s="225"/>
      <c r="LXT124" s="225"/>
      <c r="LXU124" s="225"/>
      <c r="LXV124" s="225"/>
      <c r="LXW124" s="225"/>
      <c r="LXX124" s="225"/>
      <c r="LXY124" s="225"/>
      <c r="LXZ124" s="225"/>
      <c r="LYA124" s="225"/>
      <c r="LYB124" s="225"/>
      <c r="LYC124" s="225"/>
      <c r="LYD124" s="225"/>
      <c r="LYE124" s="225"/>
      <c r="LYF124" s="225"/>
      <c r="LYG124" s="225"/>
      <c r="LYH124" s="225"/>
      <c r="LYI124" s="225"/>
      <c r="LYJ124" s="225"/>
      <c r="LYK124" s="225"/>
      <c r="LYL124" s="225"/>
      <c r="LYM124" s="225"/>
      <c r="LYN124" s="225"/>
      <c r="LYO124" s="225"/>
      <c r="LYP124" s="225"/>
      <c r="LYQ124" s="225"/>
      <c r="LYR124" s="225"/>
      <c r="LYS124" s="225"/>
      <c r="LYT124" s="225"/>
      <c r="LYU124" s="225"/>
      <c r="LYV124" s="225"/>
      <c r="LYW124" s="225"/>
      <c r="LYX124" s="225"/>
      <c r="LYY124" s="225"/>
      <c r="LYZ124" s="225"/>
      <c r="LZA124" s="225"/>
      <c r="LZB124" s="225"/>
      <c r="LZC124" s="225"/>
      <c r="LZD124" s="225"/>
      <c r="LZE124" s="225"/>
      <c r="LZF124" s="225"/>
      <c r="LZG124" s="225"/>
      <c r="LZH124" s="225"/>
      <c r="LZI124" s="225"/>
      <c r="LZJ124" s="225"/>
      <c r="LZK124" s="225"/>
      <c r="LZL124" s="225"/>
      <c r="LZM124" s="225"/>
      <c r="LZN124" s="225"/>
      <c r="LZO124" s="225"/>
      <c r="LZP124" s="225"/>
      <c r="LZQ124" s="225"/>
      <c r="LZR124" s="225"/>
      <c r="LZS124" s="225"/>
      <c r="LZT124" s="225"/>
      <c r="LZU124" s="225"/>
      <c r="LZV124" s="225"/>
      <c r="LZW124" s="225"/>
      <c r="LZX124" s="225"/>
      <c r="LZY124" s="225"/>
      <c r="LZZ124" s="225"/>
      <c r="MAA124" s="225"/>
      <c r="MAB124" s="225"/>
      <c r="MAC124" s="225"/>
      <c r="MAD124" s="225"/>
      <c r="MAE124" s="225"/>
      <c r="MAF124" s="225"/>
      <c r="MAG124" s="225"/>
      <c r="MAH124" s="225"/>
      <c r="MAI124" s="225"/>
      <c r="MAJ124" s="225"/>
      <c r="MAK124" s="225"/>
      <c r="MAL124" s="225"/>
      <c r="MAM124" s="225"/>
      <c r="MAN124" s="225"/>
      <c r="MAO124" s="225"/>
      <c r="MAP124" s="225"/>
      <c r="MAQ124" s="225"/>
      <c r="MAR124" s="225"/>
      <c r="MAS124" s="225"/>
      <c r="MAT124" s="225"/>
      <c r="MAU124" s="225"/>
      <c r="MAV124" s="225"/>
      <c r="MAW124" s="225"/>
      <c r="MAX124" s="225"/>
      <c r="MAY124" s="225"/>
      <c r="MAZ124" s="225"/>
      <c r="MBA124" s="225"/>
      <c r="MBB124" s="225"/>
      <c r="MBC124" s="225"/>
      <c r="MBD124" s="225"/>
      <c r="MBE124" s="225"/>
      <c r="MBF124" s="225"/>
      <c r="MBG124" s="225"/>
      <c r="MBH124" s="225"/>
      <c r="MBI124" s="225"/>
      <c r="MBJ124" s="225"/>
      <c r="MBK124" s="225"/>
      <c r="MBL124" s="225"/>
      <c r="MBM124" s="225"/>
      <c r="MBN124" s="225"/>
      <c r="MBO124" s="225"/>
      <c r="MBP124" s="225"/>
      <c r="MBQ124" s="225"/>
      <c r="MBR124" s="225"/>
      <c r="MBS124" s="225"/>
      <c r="MBT124" s="225"/>
      <c r="MBU124" s="225"/>
      <c r="MBV124" s="225"/>
      <c r="MBW124" s="225"/>
      <c r="MBX124" s="225"/>
      <c r="MBY124" s="225"/>
      <c r="MBZ124" s="225"/>
      <c r="MCA124" s="225"/>
      <c r="MCB124" s="225"/>
      <c r="MCC124" s="225"/>
      <c r="MCD124" s="225"/>
      <c r="MCE124" s="225"/>
      <c r="MCF124" s="225"/>
      <c r="MCG124" s="225"/>
      <c r="MCH124" s="225"/>
      <c r="MCI124" s="225"/>
      <c r="MCJ124" s="225"/>
      <c r="MCK124" s="225"/>
      <c r="MCL124" s="225"/>
      <c r="MCM124" s="225"/>
      <c r="MCN124" s="225"/>
      <c r="MCO124" s="225"/>
      <c r="MCP124" s="225"/>
      <c r="MCQ124" s="225"/>
      <c r="MCR124" s="225"/>
      <c r="MCS124" s="225"/>
      <c r="MCT124" s="225"/>
      <c r="MCU124" s="225"/>
      <c r="MCV124" s="225"/>
      <c r="MCW124" s="225"/>
      <c r="MCX124" s="225"/>
      <c r="MCY124" s="225"/>
      <c r="MCZ124" s="225"/>
      <c r="MDA124" s="225"/>
      <c r="MDB124" s="225"/>
      <c r="MDC124" s="225"/>
      <c r="MDD124" s="225"/>
      <c r="MDE124" s="225"/>
      <c r="MDF124" s="225"/>
      <c r="MDG124" s="225"/>
      <c r="MDH124" s="225"/>
      <c r="MDI124" s="225"/>
      <c r="MDJ124" s="225"/>
      <c r="MDK124" s="225"/>
      <c r="MDL124" s="225"/>
      <c r="MDM124" s="225"/>
      <c r="MDN124" s="225"/>
      <c r="MDO124" s="225"/>
      <c r="MDP124" s="225"/>
      <c r="MDQ124" s="225"/>
      <c r="MDR124" s="225"/>
      <c r="MDS124" s="225"/>
      <c r="MDT124" s="225"/>
      <c r="MDU124" s="225"/>
      <c r="MDV124" s="225"/>
      <c r="MDW124" s="225"/>
      <c r="MDX124" s="225"/>
      <c r="MDY124" s="225"/>
      <c r="MDZ124" s="225"/>
      <c r="MEA124" s="225"/>
      <c r="MEB124" s="225"/>
      <c r="MEC124" s="225"/>
      <c r="MED124" s="225"/>
      <c r="MEE124" s="225"/>
      <c r="MEF124" s="225"/>
      <c r="MEG124" s="225"/>
      <c r="MEH124" s="225"/>
      <c r="MEI124" s="225"/>
      <c r="MEJ124" s="225"/>
      <c r="MEK124" s="225"/>
      <c r="MEL124" s="225"/>
      <c r="MEM124" s="225"/>
      <c r="MEN124" s="225"/>
      <c r="MEO124" s="225"/>
      <c r="MEP124" s="225"/>
      <c r="MEQ124" s="225"/>
      <c r="MER124" s="225"/>
      <c r="MES124" s="225"/>
      <c r="MET124" s="225"/>
      <c r="MEU124" s="225"/>
      <c r="MEV124" s="225"/>
      <c r="MEW124" s="225"/>
      <c r="MEX124" s="225"/>
      <c r="MEY124" s="225"/>
      <c r="MEZ124" s="225"/>
      <c r="MFA124" s="225"/>
      <c r="MFB124" s="225"/>
      <c r="MFC124" s="225"/>
      <c r="MFD124" s="225"/>
      <c r="MFE124" s="225"/>
      <c r="MFF124" s="225"/>
      <c r="MFG124" s="225"/>
      <c r="MFH124" s="225"/>
      <c r="MFI124" s="225"/>
      <c r="MFJ124" s="225"/>
      <c r="MFK124" s="225"/>
      <c r="MFL124" s="225"/>
      <c r="MFM124" s="225"/>
      <c r="MFN124" s="225"/>
      <c r="MFO124" s="225"/>
      <c r="MFP124" s="225"/>
      <c r="MFQ124" s="225"/>
      <c r="MFR124" s="225"/>
      <c r="MFS124" s="225"/>
      <c r="MFT124" s="225"/>
      <c r="MFU124" s="225"/>
      <c r="MFV124" s="225"/>
      <c r="MFW124" s="225"/>
      <c r="MFX124" s="225"/>
      <c r="MFY124" s="225"/>
      <c r="MFZ124" s="225"/>
      <c r="MGA124" s="225"/>
      <c r="MGB124" s="225"/>
      <c r="MGC124" s="225"/>
      <c r="MGD124" s="225"/>
      <c r="MGE124" s="225"/>
      <c r="MGF124" s="225"/>
      <c r="MGG124" s="225"/>
      <c r="MGH124" s="225"/>
      <c r="MGI124" s="225"/>
      <c r="MGJ124" s="225"/>
      <c r="MGK124" s="225"/>
      <c r="MGL124" s="225"/>
      <c r="MGM124" s="225"/>
      <c r="MGN124" s="225"/>
      <c r="MGO124" s="225"/>
      <c r="MGP124" s="225"/>
      <c r="MGQ124" s="225"/>
      <c r="MGR124" s="225"/>
      <c r="MGS124" s="225"/>
      <c r="MGT124" s="225"/>
      <c r="MGU124" s="225"/>
      <c r="MGV124" s="225"/>
      <c r="MGW124" s="225"/>
      <c r="MGX124" s="225"/>
      <c r="MGY124" s="225"/>
      <c r="MGZ124" s="225"/>
      <c r="MHA124" s="225"/>
      <c r="MHB124" s="225"/>
      <c r="MHC124" s="225"/>
      <c r="MHD124" s="225"/>
      <c r="MHE124" s="225"/>
      <c r="MHF124" s="225"/>
      <c r="MHG124" s="225"/>
      <c r="MHH124" s="225"/>
      <c r="MHI124" s="225"/>
      <c r="MHJ124" s="225"/>
      <c r="MHK124" s="225"/>
      <c r="MHL124" s="225"/>
      <c r="MHM124" s="225"/>
      <c r="MHN124" s="225"/>
      <c r="MHO124" s="225"/>
      <c r="MHP124" s="225"/>
      <c r="MHQ124" s="225"/>
      <c r="MHR124" s="225"/>
      <c r="MHS124" s="225"/>
      <c r="MHT124" s="225"/>
      <c r="MHU124" s="225"/>
      <c r="MHV124" s="225"/>
      <c r="MHW124" s="225"/>
      <c r="MHX124" s="225"/>
      <c r="MHY124" s="225"/>
      <c r="MHZ124" s="225"/>
      <c r="MIA124" s="225"/>
      <c r="MIB124" s="225"/>
      <c r="MIC124" s="225"/>
      <c r="MID124" s="225"/>
      <c r="MIE124" s="225"/>
      <c r="MIF124" s="225"/>
      <c r="MIG124" s="225"/>
      <c r="MIH124" s="225"/>
      <c r="MII124" s="225"/>
      <c r="MIJ124" s="225"/>
      <c r="MIK124" s="225"/>
      <c r="MIL124" s="225"/>
      <c r="MIM124" s="225"/>
      <c r="MIN124" s="225"/>
      <c r="MIO124" s="225"/>
      <c r="MIP124" s="225"/>
      <c r="MIQ124" s="225"/>
      <c r="MIR124" s="225"/>
      <c r="MIS124" s="225"/>
      <c r="MIT124" s="225"/>
      <c r="MIU124" s="225"/>
      <c r="MIV124" s="225"/>
      <c r="MIW124" s="225"/>
      <c r="MIX124" s="225"/>
      <c r="MIY124" s="225"/>
      <c r="MIZ124" s="225"/>
      <c r="MJA124" s="225"/>
      <c r="MJB124" s="225"/>
      <c r="MJC124" s="225"/>
      <c r="MJD124" s="225"/>
      <c r="MJE124" s="225"/>
      <c r="MJF124" s="225"/>
      <c r="MJG124" s="225"/>
      <c r="MJH124" s="225"/>
      <c r="MJI124" s="225"/>
      <c r="MJJ124" s="225"/>
      <c r="MJK124" s="225"/>
      <c r="MJL124" s="225"/>
      <c r="MJM124" s="225"/>
      <c r="MJN124" s="225"/>
      <c r="MJO124" s="225"/>
      <c r="MJP124" s="225"/>
      <c r="MJQ124" s="225"/>
      <c r="MJR124" s="225"/>
      <c r="MJS124" s="225"/>
      <c r="MJT124" s="225"/>
      <c r="MJU124" s="225"/>
      <c r="MJV124" s="225"/>
      <c r="MJW124" s="225"/>
      <c r="MJX124" s="225"/>
      <c r="MJY124" s="225"/>
      <c r="MJZ124" s="225"/>
      <c r="MKA124" s="225"/>
      <c r="MKB124" s="225"/>
      <c r="MKC124" s="225"/>
      <c r="MKD124" s="225"/>
      <c r="MKE124" s="225"/>
      <c r="MKF124" s="225"/>
      <c r="MKG124" s="225"/>
      <c r="MKH124" s="225"/>
      <c r="MKI124" s="225"/>
      <c r="MKJ124" s="225"/>
      <c r="MKK124" s="225"/>
      <c r="MKL124" s="225"/>
      <c r="MKM124" s="225"/>
      <c r="MKN124" s="225"/>
      <c r="MKO124" s="225"/>
      <c r="MKP124" s="225"/>
      <c r="MKQ124" s="225"/>
      <c r="MKR124" s="225"/>
      <c r="MKS124" s="225"/>
      <c r="MKT124" s="225"/>
      <c r="MKU124" s="225"/>
      <c r="MKV124" s="225"/>
      <c r="MKW124" s="225"/>
      <c r="MKX124" s="225"/>
      <c r="MKY124" s="225"/>
      <c r="MKZ124" s="225"/>
      <c r="MLA124" s="225"/>
      <c r="MLB124" s="225"/>
      <c r="MLC124" s="225"/>
      <c r="MLD124" s="225"/>
      <c r="MLE124" s="225"/>
      <c r="MLF124" s="225"/>
      <c r="MLG124" s="225"/>
      <c r="MLH124" s="225"/>
      <c r="MLI124" s="225"/>
      <c r="MLJ124" s="225"/>
      <c r="MLK124" s="225"/>
      <c r="MLL124" s="225"/>
      <c r="MLM124" s="225"/>
      <c r="MLN124" s="225"/>
      <c r="MLO124" s="225"/>
      <c r="MLP124" s="225"/>
      <c r="MLQ124" s="225"/>
      <c r="MLR124" s="225"/>
      <c r="MLS124" s="225"/>
      <c r="MLT124" s="225"/>
      <c r="MLU124" s="225"/>
      <c r="MLV124" s="225"/>
      <c r="MLW124" s="225"/>
      <c r="MLX124" s="225"/>
      <c r="MLY124" s="225"/>
      <c r="MLZ124" s="225"/>
      <c r="MMA124" s="225"/>
      <c r="MMB124" s="225"/>
      <c r="MMC124" s="225"/>
      <c r="MMD124" s="225"/>
      <c r="MME124" s="225"/>
      <c r="MMF124" s="225"/>
      <c r="MMG124" s="225"/>
      <c r="MMH124" s="225"/>
      <c r="MMI124" s="225"/>
      <c r="MMJ124" s="225"/>
      <c r="MMK124" s="225"/>
      <c r="MML124" s="225"/>
      <c r="MMM124" s="225"/>
      <c r="MMN124" s="225"/>
      <c r="MMO124" s="225"/>
      <c r="MMP124" s="225"/>
      <c r="MMQ124" s="225"/>
      <c r="MMR124" s="225"/>
      <c r="MMS124" s="225"/>
      <c r="MMT124" s="225"/>
      <c r="MMU124" s="225"/>
      <c r="MMV124" s="225"/>
      <c r="MMW124" s="225"/>
      <c r="MMX124" s="225"/>
      <c r="MMY124" s="225"/>
      <c r="MMZ124" s="225"/>
      <c r="MNA124" s="225"/>
      <c r="MNB124" s="225"/>
      <c r="MNC124" s="225"/>
      <c r="MND124" s="225"/>
      <c r="MNE124" s="225"/>
      <c r="MNF124" s="225"/>
      <c r="MNG124" s="225"/>
      <c r="MNH124" s="225"/>
      <c r="MNI124" s="225"/>
      <c r="MNJ124" s="225"/>
      <c r="MNK124" s="225"/>
      <c r="MNL124" s="225"/>
      <c r="MNM124" s="225"/>
      <c r="MNN124" s="225"/>
      <c r="MNO124" s="225"/>
      <c r="MNP124" s="225"/>
      <c r="MNQ124" s="225"/>
      <c r="MNR124" s="225"/>
      <c r="MNS124" s="225"/>
      <c r="MNT124" s="225"/>
      <c r="MNU124" s="225"/>
      <c r="MNV124" s="225"/>
      <c r="MNW124" s="225"/>
      <c r="MNX124" s="225"/>
      <c r="MNY124" s="225"/>
      <c r="MNZ124" s="225"/>
      <c r="MOA124" s="225"/>
      <c r="MOB124" s="225"/>
      <c r="MOC124" s="225"/>
      <c r="MOD124" s="225"/>
      <c r="MOE124" s="225"/>
      <c r="MOF124" s="225"/>
      <c r="MOG124" s="225"/>
      <c r="MOH124" s="225"/>
      <c r="MOI124" s="225"/>
      <c r="MOJ124" s="225"/>
      <c r="MOK124" s="225"/>
      <c r="MOL124" s="225"/>
      <c r="MOM124" s="225"/>
      <c r="MON124" s="225"/>
      <c r="MOO124" s="225"/>
      <c r="MOP124" s="225"/>
      <c r="MOQ124" s="225"/>
      <c r="MOR124" s="225"/>
      <c r="MOS124" s="225"/>
      <c r="MOT124" s="225"/>
      <c r="MOU124" s="225"/>
      <c r="MOV124" s="225"/>
      <c r="MOW124" s="225"/>
      <c r="MOX124" s="225"/>
      <c r="MOY124" s="225"/>
      <c r="MOZ124" s="225"/>
      <c r="MPA124" s="225"/>
      <c r="MPB124" s="225"/>
      <c r="MPC124" s="225"/>
      <c r="MPD124" s="225"/>
      <c r="MPE124" s="225"/>
      <c r="MPF124" s="225"/>
      <c r="MPG124" s="225"/>
      <c r="MPH124" s="225"/>
      <c r="MPI124" s="225"/>
      <c r="MPJ124" s="225"/>
      <c r="MPK124" s="225"/>
      <c r="MPL124" s="225"/>
      <c r="MPM124" s="225"/>
      <c r="MPN124" s="225"/>
      <c r="MPO124" s="225"/>
      <c r="MPP124" s="225"/>
      <c r="MPQ124" s="225"/>
      <c r="MPR124" s="225"/>
      <c r="MPS124" s="225"/>
      <c r="MPT124" s="225"/>
      <c r="MPU124" s="225"/>
      <c r="MPV124" s="225"/>
      <c r="MPW124" s="225"/>
      <c r="MPX124" s="225"/>
      <c r="MPY124" s="225"/>
      <c r="MPZ124" s="225"/>
      <c r="MQA124" s="225"/>
      <c r="MQB124" s="225"/>
      <c r="MQC124" s="225"/>
      <c r="MQD124" s="225"/>
      <c r="MQE124" s="225"/>
      <c r="MQF124" s="225"/>
      <c r="MQG124" s="225"/>
      <c r="MQH124" s="225"/>
      <c r="MQI124" s="225"/>
      <c r="MQJ124" s="225"/>
      <c r="MQK124" s="225"/>
      <c r="MQL124" s="225"/>
      <c r="MQM124" s="225"/>
      <c r="MQN124" s="225"/>
      <c r="MQO124" s="225"/>
      <c r="MQP124" s="225"/>
      <c r="MQQ124" s="225"/>
      <c r="MQR124" s="225"/>
      <c r="MQS124" s="225"/>
      <c r="MQT124" s="225"/>
      <c r="MQU124" s="225"/>
      <c r="MQV124" s="225"/>
      <c r="MQW124" s="225"/>
      <c r="MQX124" s="225"/>
      <c r="MQY124" s="225"/>
      <c r="MQZ124" s="225"/>
      <c r="MRA124" s="225"/>
      <c r="MRB124" s="225"/>
      <c r="MRC124" s="225"/>
      <c r="MRD124" s="225"/>
      <c r="MRE124" s="225"/>
      <c r="MRF124" s="225"/>
      <c r="MRG124" s="225"/>
      <c r="MRH124" s="225"/>
      <c r="MRI124" s="225"/>
      <c r="MRJ124" s="225"/>
      <c r="MRK124" s="225"/>
      <c r="MRL124" s="225"/>
      <c r="MRM124" s="225"/>
      <c r="MRN124" s="225"/>
      <c r="MRO124" s="225"/>
      <c r="MRP124" s="225"/>
      <c r="MRQ124" s="225"/>
      <c r="MRR124" s="225"/>
      <c r="MRS124" s="225"/>
      <c r="MRT124" s="225"/>
      <c r="MRU124" s="225"/>
      <c r="MRV124" s="225"/>
      <c r="MRW124" s="225"/>
      <c r="MRX124" s="225"/>
      <c r="MRY124" s="225"/>
      <c r="MRZ124" s="225"/>
      <c r="MSA124" s="225"/>
      <c r="MSB124" s="225"/>
      <c r="MSC124" s="225"/>
      <c r="MSD124" s="225"/>
      <c r="MSE124" s="225"/>
      <c r="MSF124" s="225"/>
      <c r="MSG124" s="225"/>
      <c r="MSH124" s="225"/>
      <c r="MSI124" s="225"/>
      <c r="MSJ124" s="225"/>
      <c r="MSK124" s="225"/>
      <c r="MSL124" s="225"/>
      <c r="MSM124" s="225"/>
      <c r="MSN124" s="225"/>
      <c r="MSO124" s="225"/>
      <c r="MSP124" s="225"/>
      <c r="MSQ124" s="225"/>
      <c r="MSR124" s="225"/>
      <c r="MSS124" s="225"/>
      <c r="MST124" s="225"/>
      <c r="MSU124" s="225"/>
      <c r="MSV124" s="225"/>
      <c r="MSW124" s="225"/>
      <c r="MSX124" s="225"/>
      <c r="MSY124" s="225"/>
      <c r="MSZ124" s="225"/>
      <c r="MTA124" s="225"/>
      <c r="MTB124" s="225"/>
      <c r="MTC124" s="225"/>
      <c r="MTD124" s="225"/>
      <c r="MTE124" s="225"/>
      <c r="MTF124" s="225"/>
      <c r="MTG124" s="225"/>
      <c r="MTH124" s="225"/>
      <c r="MTI124" s="225"/>
      <c r="MTJ124" s="225"/>
      <c r="MTK124" s="225"/>
      <c r="MTL124" s="225"/>
      <c r="MTM124" s="225"/>
      <c r="MTN124" s="225"/>
      <c r="MTO124" s="225"/>
      <c r="MTP124" s="225"/>
      <c r="MTQ124" s="225"/>
      <c r="MTR124" s="225"/>
      <c r="MTS124" s="225"/>
      <c r="MTT124" s="225"/>
      <c r="MTU124" s="225"/>
      <c r="MTV124" s="225"/>
      <c r="MTW124" s="225"/>
      <c r="MTX124" s="225"/>
      <c r="MTY124" s="225"/>
      <c r="MTZ124" s="225"/>
      <c r="MUA124" s="225"/>
      <c r="MUB124" s="225"/>
      <c r="MUC124" s="225"/>
      <c r="MUD124" s="225"/>
      <c r="MUE124" s="225"/>
      <c r="MUF124" s="225"/>
      <c r="MUG124" s="225"/>
      <c r="MUH124" s="225"/>
      <c r="MUI124" s="225"/>
      <c r="MUJ124" s="225"/>
      <c r="MUK124" s="225"/>
      <c r="MUL124" s="225"/>
      <c r="MUM124" s="225"/>
      <c r="MUN124" s="225"/>
      <c r="MUO124" s="225"/>
      <c r="MUP124" s="225"/>
      <c r="MUQ124" s="225"/>
      <c r="MUR124" s="225"/>
      <c r="MUS124" s="225"/>
      <c r="MUT124" s="225"/>
      <c r="MUU124" s="225"/>
      <c r="MUV124" s="225"/>
      <c r="MUW124" s="225"/>
      <c r="MUX124" s="225"/>
      <c r="MUY124" s="225"/>
      <c r="MUZ124" s="225"/>
      <c r="MVA124" s="225"/>
      <c r="MVB124" s="225"/>
      <c r="MVC124" s="225"/>
      <c r="MVD124" s="225"/>
      <c r="MVE124" s="225"/>
      <c r="MVF124" s="225"/>
      <c r="MVG124" s="225"/>
      <c r="MVH124" s="225"/>
      <c r="MVI124" s="225"/>
      <c r="MVJ124" s="225"/>
      <c r="MVK124" s="225"/>
      <c r="MVL124" s="225"/>
      <c r="MVM124" s="225"/>
      <c r="MVN124" s="225"/>
      <c r="MVO124" s="225"/>
      <c r="MVP124" s="225"/>
      <c r="MVQ124" s="225"/>
      <c r="MVR124" s="225"/>
      <c r="MVS124" s="225"/>
      <c r="MVT124" s="225"/>
      <c r="MVU124" s="225"/>
      <c r="MVV124" s="225"/>
      <c r="MVW124" s="225"/>
      <c r="MVX124" s="225"/>
      <c r="MVY124" s="225"/>
      <c r="MVZ124" s="225"/>
      <c r="MWA124" s="225"/>
      <c r="MWB124" s="225"/>
      <c r="MWC124" s="225"/>
      <c r="MWD124" s="225"/>
      <c r="MWE124" s="225"/>
      <c r="MWF124" s="225"/>
      <c r="MWG124" s="225"/>
      <c r="MWH124" s="225"/>
      <c r="MWI124" s="225"/>
      <c r="MWJ124" s="225"/>
      <c r="MWK124" s="225"/>
      <c r="MWL124" s="225"/>
      <c r="MWM124" s="225"/>
      <c r="MWN124" s="225"/>
      <c r="MWO124" s="225"/>
      <c r="MWP124" s="225"/>
      <c r="MWQ124" s="225"/>
      <c r="MWR124" s="225"/>
      <c r="MWS124" s="225"/>
      <c r="MWT124" s="225"/>
      <c r="MWU124" s="225"/>
      <c r="MWV124" s="225"/>
      <c r="MWW124" s="225"/>
      <c r="MWX124" s="225"/>
      <c r="MWY124" s="225"/>
      <c r="MWZ124" s="225"/>
      <c r="MXA124" s="225"/>
      <c r="MXB124" s="225"/>
      <c r="MXC124" s="225"/>
      <c r="MXD124" s="225"/>
      <c r="MXE124" s="225"/>
      <c r="MXF124" s="225"/>
      <c r="MXG124" s="225"/>
      <c r="MXH124" s="225"/>
      <c r="MXI124" s="225"/>
      <c r="MXJ124" s="225"/>
      <c r="MXK124" s="225"/>
      <c r="MXL124" s="225"/>
      <c r="MXM124" s="225"/>
      <c r="MXN124" s="225"/>
      <c r="MXO124" s="225"/>
      <c r="MXP124" s="225"/>
      <c r="MXQ124" s="225"/>
      <c r="MXR124" s="225"/>
      <c r="MXS124" s="225"/>
      <c r="MXT124" s="225"/>
      <c r="MXU124" s="225"/>
      <c r="MXV124" s="225"/>
      <c r="MXW124" s="225"/>
      <c r="MXX124" s="225"/>
      <c r="MXY124" s="225"/>
      <c r="MXZ124" s="225"/>
      <c r="MYA124" s="225"/>
      <c r="MYB124" s="225"/>
      <c r="MYC124" s="225"/>
      <c r="MYD124" s="225"/>
      <c r="MYE124" s="225"/>
      <c r="MYF124" s="225"/>
      <c r="MYG124" s="225"/>
      <c r="MYH124" s="225"/>
      <c r="MYI124" s="225"/>
      <c r="MYJ124" s="225"/>
      <c r="MYK124" s="225"/>
      <c r="MYL124" s="225"/>
      <c r="MYM124" s="225"/>
      <c r="MYN124" s="225"/>
      <c r="MYO124" s="225"/>
      <c r="MYP124" s="225"/>
      <c r="MYQ124" s="225"/>
      <c r="MYR124" s="225"/>
      <c r="MYS124" s="225"/>
      <c r="MYT124" s="225"/>
      <c r="MYU124" s="225"/>
      <c r="MYV124" s="225"/>
      <c r="MYW124" s="225"/>
      <c r="MYX124" s="225"/>
      <c r="MYY124" s="225"/>
      <c r="MYZ124" s="225"/>
      <c r="MZA124" s="225"/>
      <c r="MZB124" s="225"/>
      <c r="MZC124" s="225"/>
      <c r="MZD124" s="225"/>
      <c r="MZE124" s="225"/>
      <c r="MZF124" s="225"/>
      <c r="MZG124" s="225"/>
      <c r="MZH124" s="225"/>
      <c r="MZI124" s="225"/>
      <c r="MZJ124" s="225"/>
      <c r="MZK124" s="225"/>
      <c r="MZL124" s="225"/>
      <c r="MZM124" s="225"/>
      <c r="MZN124" s="225"/>
      <c r="MZO124" s="225"/>
      <c r="MZP124" s="225"/>
      <c r="MZQ124" s="225"/>
      <c r="MZR124" s="225"/>
      <c r="MZS124" s="225"/>
      <c r="MZT124" s="225"/>
      <c r="MZU124" s="225"/>
      <c r="MZV124" s="225"/>
      <c r="MZW124" s="225"/>
      <c r="MZX124" s="225"/>
      <c r="MZY124" s="225"/>
      <c r="MZZ124" s="225"/>
      <c r="NAA124" s="225"/>
      <c r="NAB124" s="225"/>
      <c r="NAC124" s="225"/>
      <c r="NAD124" s="225"/>
      <c r="NAE124" s="225"/>
      <c r="NAF124" s="225"/>
      <c r="NAG124" s="225"/>
      <c r="NAH124" s="225"/>
      <c r="NAI124" s="225"/>
      <c r="NAJ124" s="225"/>
      <c r="NAK124" s="225"/>
      <c r="NAL124" s="225"/>
      <c r="NAM124" s="225"/>
      <c r="NAN124" s="225"/>
      <c r="NAO124" s="225"/>
      <c r="NAP124" s="225"/>
      <c r="NAQ124" s="225"/>
      <c r="NAR124" s="225"/>
      <c r="NAS124" s="225"/>
      <c r="NAT124" s="225"/>
      <c r="NAU124" s="225"/>
      <c r="NAV124" s="225"/>
      <c r="NAW124" s="225"/>
      <c r="NAX124" s="225"/>
      <c r="NAY124" s="225"/>
      <c r="NAZ124" s="225"/>
      <c r="NBA124" s="225"/>
      <c r="NBB124" s="225"/>
      <c r="NBC124" s="225"/>
      <c r="NBD124" s="225"/>
      <c r="NBE124" s="225"/>
      <c r="NBF124" s="225"/>
      <c r="NBG124" s="225"/>
      <c r="NBH124" s="225"/>
      <c r="NBI124" s="225"/>
      <c r="NBJ124" s="225"/>
      <c r="NBK124" s="225"/>
      <c r="NBL124" s="225"/>
      <c r="NBM124" s="225"/>
      <c r="NBN124" s="225"/>
      <c r="NBO124" s="225"/>
      <c r="NBP124" s="225"/>
      <c r="NBQ124" s="225"/>
      <c r="NBR124" s="225"/>
      <c r="NBS124" s="225"/>
      <c r="NBT124" s="225"/>
      <c r="NBU124" s="225"/>
      <c r="NBV124" s="225"/>
      <c r="NBW124" s="225"/>
      <c r="NBX124" s="225"/>
      <c r="NBY124" s="225"/>
      <c r="NBZ124" s="225"/>
      <c r="NCA124" s="225"/>
      <c r="NCB124" s="225"/>
      <c r="NCC124" s="225"/>
      <c r="NCD124" s="225"/>
      <c r="NCE124" s="225"/>
      <c r="NCF124" s="225"/>
      <c r="NCG124" s="225"/>
      <c r="NCH124" s="225"/>
      <c r="NCI124" s="225"/>
      <c r="NCJ124" s="225"/>
      <c r="NCK124" s="225"/>
      <c r="NCL124" s="225"/>
      <c r="NCM124" s="225"/>
      <c r="NCN124" s="225"/>
      <c r="NCO124" s="225"/>
      <c r="NCP124" s="225"/>
      <c r="NCQ124" s="225"/>
      <c r="NCR124" s="225"/>
      <c r="NCS124" s="225"/>
      <c r="NCT124" s="225"/>
      <c r="NCU124" s="225"/>
      <c r="NCV124" s="225"/>
      <c r="NCW124" s="225"/>
      <c r="NCX124" s="225"/>
      <c r="NCY124" s="225"/>
      <c r="NCZ124" s="225"/>
      <c r="NDA124" s="225"/>
      <c r="NDB124" s="225"/>
      <c r="NDC124" s="225"/>
      <c r="NDD124" s="225"/>
      <c r="NDE124" s="225"/>
      <c r="NDF124" s="225"/>
      <c r="NDG124" s="225"/>
      <c r="NDH124" s="225"/>
      <c r="NDI124" s="225"/>
      <c r="NDJ124" s="225"/>
      <c r="NDK124" s="225"/>
      <c r="NDL124" s="225"/>
      <c r="NDM124" s="225"/>
      <c r="NDN124" s="225"/>
      <c r="NDO124" s="225"/>
      <c r="NDP124" s="225"/>
      <c r="NDQ124" s="225"/>
      <c r="NDR124" s="225"/>
      <c r="NDS124" s="225"/>
      <c r="NDT124" s="225"/>
      <c r="NDU124" s="225"/>
      <c r="NDV124" s="225"/>
      <c r="NDW124" s="225"/>
      <c r="NDX124" s="225"/>
      <c r="NDY124" s="225"/>
      <c r="NDZ124" s="225"/>
      <c r="NEA124" s="225"/>
      <c r="NEB124" s="225"/>
      <c r="NEC124" s="225"/>
      <c r="NED124" s="225"/>
      <c r="NEE124" s="225"/>
      <c r="NEF124" s="225"/>
      <c r="NEG124" s="225"/>
      <c r="NEH124" s="225"/>
      <c r="NEI124" s="225"/>
      <c r="NEJ124" s="225"/>
      <c r="NEK124" s="225"/>
      <c r="NEL124" s="225"/>
      <c r="NEM124" s="225"/>
      <c r="NEN124" s="225"/>
      <c r="NEO124" s="225"/>
      <c r="NEP124" s="225"/>
      <c r="NEQ124" s="225"/>
      <c r="NER124" s="225"/>
      <c r="NES124" s="225"/>
      <c r="NET124" s="225"/>
      <c r="NEU124" s="225"/>
      <c r="NEV124" s="225"/>
      <c r="NEW124" s="225"/>
      <c r="NEX124" s="225"/>
      <c r="NEY124" s="225"/>
      <c r="NEZ124" s="225"/>
      <c r="NFA124" s="225"/>
      <c r="NFB124" s="225"/>
      <c r="NFC124" s="225"/>
      <c r="NFD124" s="225"/>
      <c r="NFE124" s="225"/>
      <c r="NFF124" s="225"/>
      <c r="NFG124" s="225"/>
      <c r="NFH124" s="225"/>
      <c r="NFI124" s="225"/>
      <c r="NFJ124" s="225"/>
      <c r="NFK124" s="225"/>
      <c r="NFL124" s="225"/>
      <c r="NFM124" s="225"/>
      <c r="NFN124" s="225"/>
      <c r="NFO124" s="225"/>
      <c r="NFP124" s="225"/>
      <c r="NFQ124" s="225"/>
      <c r="NFR124" s="225"/>
      <c r="NFS124" s="225"/>
      <c r="NFT124" s="225"/>
      <c r="NFU124" s="225"/>
      <c r="NFV124" s="225"/>
      <c r="NFW124" s="225"/>
      <c r="NFX124" s="225"/>
      <c r="NFY124" s="225"/>
      <c r="NFZ124" s="225"/>
      <c r="NGA124" s="225"/>
      <c r="NGB124" s="225"/>
      <c r="NGC124" s="225"/>
      <c r="NGD124" s="225"/>
      <c r="NGE124" s="225"/>
      <c r="NGF124" s="225"/>
      <c r="NGG124" s="225"/>
      <c r="NGH124" s="225"/>
      <c r="NGI124" s="225"/>
      <c r="NGJ124" s="225"/>
      <c r="NGK124" s="225"/>
      <c r="NGL124" s="225"/>
      <c r="NGM124" s="225"/>
      <c r="NGN124" s="225"/>
      <c r="NGO124" s="225"/>
      <c r="NGP124" s="225"/>
      <c r="NGQ124" s="225"/>
      <c r="NGR124" s="225"/>
      <c r="NGS124" s="225"/>
      <c r="NGT124" s="225"/>
      <c r="NGU124" s="225"/>
      <c r="NGV124" s="225"/>
      <c r="NGW124" s="225"/>
      <c r="NGX124" s="225"/>
      <c r="NGY124" s="225"/>
      <c r="NGZ124" s="225"/>
      <c r="NHA124" s="225"/>
      <c r="NHB124" s="225"/>
      <c r="NHC124" s="225"/>
      <c r="NHD124" s="225"/>
      <c r="NHE124" s="225"/>
      <c r="NHF124" s="225"/>
      <c r="NHG124" s="225"/>
      <c r="NHH124" s="225"/>
      <c r="NHI124" s="225"/>
      <c r="NHJ124" s="225"/>
      <c r="NHK124" s="225"/>
      <c r="NHL124" s="225"/>
      <c r="NHM124" s="225"/>
      <c r="NHN124" s="225"/>
      <c r="NHO124" s="225"/>
      <c r="NHP124" s="225"/>
      <c r="NHQ124" s="225"/>
      <c r="NHR124" s="225"/>
      <c r="NHS124" s="225"/>
      <c r="NHT124" s="225"/>
      <c r="NHU124" s="225"/>
      <c r="NHV124" s="225"/>
      <c r="NHW124" s="225"/>
      <c r="NHX124" s="225"/>
      <c r="NHY124" s="225"/>
      <c r="NHZ124" s="225"/>
      <c r="NIA124" s="225"/>
      <c r="NIB124" s="225"/>
      <c r="NIC124" s="225"/>
      <c r="NID124" s="225"/>
      <c r="NIE124" s="225"/>
      <c r="NIF124" s="225"/>
      <c r="NIG124" s="225"/>
      <c r="NIH124" s="225"/>
      <c r="NII124" s="225"/>
      <c r="NIJ124" s="225"/>
      <c r="NIK124" s="225"/>
      <c r="NIL124" s="225"/>
      <c r="NIM124" s="225"/>
      <c r="NIN124" s="225"/>
      <c r="NIO124" s="225"/>
      <c r="NIP124" s="225"/>
      <c r="NIQ124" s="225"/>
      <c r="NIR124" s="225"/>
      <c r="NIS124" s="225"/>
      <c r="NIT124" s="225"/>
      <c r="NIU124" s="225"/>
      <c r="NIV124" s="225"/>
      <c r="NIW124" s="225"/>
      <c r="NIX124" s="225"/>
      <c r="NIY124" s="225"/>
      <c r="NIZ124" s="225"/>
      <c r="NJA124" s="225"/>
      <c r="NJB124" s="225"/>
      <c r="NJC124" s="225"/>
      <c r="NJD124" s="225"/>
      <c r="NJE124" s="225"/>
      <c r="NJF124" s="225"/>
      <c r="NJG124" s="225"/>
      <c r="NJH124" s="225"/>
      <c r="NJI124" s="225"/>
      <c r="NJJ124" s="225"/>
      <c r="NJK124" s="225"/>
      <c r="NJL124" s="225"/>
      <c r="NJM124" s="225"/>
      <c r="NJN124" s="225"/>
      <c r="NJO124" s="225"/>
      <c r="NJP124" s="225"/>
      <c r="NJQ124" s="225"/>
      <c r="NJR124" s="225"/>
      <c r="NJS124" s="225"/>
      <c r="NJT124" s="225"/>
      <c r="NJU124" s="225"/>
      <c r="NJV124" s="225"/>
      <c r="NJW124" s="225"/>
      <c r="NJX124" s="225"/>
      <c r="NJY124" s="225"/>
      <c r="NJZ124" s="225"/>
      <c r="NKA124" s="225"/>
      <c r="NKB124" s="225"/>
      <c r="NKC124" s="225"/>
      <c r="NKD124" s="225"/>
      <c r="NKE124" s="225"/>
      <c r="NKF124" s="225"/>
      <c r="NKG124" s="225"/>
      <c r="NKH124" s="225"/>
      <c r="NKI124" s="225"/>
      <c r="NKJ124" s="225"/>
      <c r="NKK124" s="225"/>
      <c r="NKL124" s="225"/>
      <c r="NKM124" s="225"/>
      <c r="NKN124" s="225"/>
      <c r="NKO124" s="225"/>
      <c r="NKP124" s="225"/>
      <c r="NKQ124" s="225"/>
      <c r="NKR124" s="225"/>
      <c r="NKS124" s="225"/>
      <c r="NKT124" s="225"/>
      <c r="NKU124" s="225"/>
      <c r="NKV124" s="225"/>
      <c r="NKW124" s="225"/>
      <c r="NKX124" s="225"/>
      <c r="NKY124" s="225"/>
      <c r="NKZ124" s="225"/>
      <c r="NLA124" s="225"/>
      <c r="NLB124" s="225"/>
      <c r="NLC124" s="225"/>
      <c r="NLD124" s="225"/>
      <c r="NLE124" s="225"/>
      <c r="NLF124" s="225"/>
      <c r="NLG124" s="225"/>
      <c r="NLH124" s="225"/>
      <c r="NLI124" s="225"/>
      <c r="NLJ124" s="225"/>
      <c r="NLK124" s="225"/>
      <c r="NLL124" s="225"/>
      <c r="NLM124" s="225"/>
      <c r="NLN124" s="225"/>
      <c r="NLO124" s="225"/>
      <c r="NLP124" s="225"/>
      <c r="NLQ124" s="225"/>
      <c r="NLR124" s="225"/>
      <c r="NLS124" s="225"/>
      <c r="NLT124" s="225"/>
      <c r="NLU124" s="225"/>
      <c r="NLV124" s="225"/>
      <c r="NLW124" s="225"/>
      <c r="NLX124" s="225"/>
      <c r="NLY124" s="225"/>
      <c r="NLZ124" s="225"/>
      <c r="NMA124" s="225"/>
      <c r="NMB124" s="225"/>
      <c r="NMC124" s="225"/>
      <c r="NMD124" s="225"/>
      <c r="NME124" s="225"/>
      <c r="NMF124" s="225"/>
      <c r="NMG124" s="225"/>
      <c r="NMH124" s="225"/>
      <c r="NMI124" s="225"/>
      <c r="NMJ124" s="225"/>
      <c r="NMK124" s="225"/>
      <c r="NML124" s="225"/>
      <c r="NMM124" s="225"/>
      <c r="NMN124" s="225"/>
      <c r="NMO124" s="225"/>
      <c r="NMP124" s="225"/>
      <c r="NMQ124" s="225"/>
      <c r="NMR124" s="225"/>
      <c r="NMS124" s="225"/>
      <c r="NMT124" s="225"/>
      <c r="NMU124" s="225"/>
      <c r="NMV124" s="225"/>
      <c r="NMW124" s="225"/>
      <c r="NMX124" s="225"/>
      <c r="NMY124" s="225"/>
      <c r="NMZ124" s="225"/>
      <c r="NNA124" s="225"/>
      <c r="NNB124" s="225"/>
      <c r="NNC124" s="225"/>
      <c r="NND124" s="225"/>
      <c r="NNE124" s="225"/>
      <c r="NNF124" s="225"/>
      <c r="NNG124" s="225"/>
      <c r="NNH124" s="225"/>
      <c r="NNI124" s="225"/>
      <c r="NNJ124" s="225"/>
      <c r="NNK124" s="225"/>
      <c r="NNL124" s="225"/>
      <c r="NNM124" s="225"/>
      <c r="NNN124" s="225"/>
      <c r="NNO124" s="225"/>
      <c r="NNP124" s="225"/>
      <c r="NNQ124" s="225"/>
      <c r="NNR124" s="225"/>
      <c r="NNS124" s="225"/>
      <c r="NNT124" s="225"/>
      <c r="NNU124" s="225"/>
      <c r="NNV124" s="225"/>
      <c r="NNW124" s="225"/>
      <c r="NNX124" s="225"/>
      <c r="NNY124" s="225"/>
      <c r="NNZ124" s="225"/>
      <c r="NOA124" s="225"/>
      <c r="NOB124" s="225"/>
      <c r="NOC124" s="225"/>
      <c r="NOD124" s="225"/>
      <c r="NOE124" s="225"/>
      <c r="NOF124" s="225"/>
      <c r="NOG124" s="225"/>
      <c r="NOH124" s="225"/>
      <c r="NOI124" s="225"/>
      <c r="NOJ124" s="225"/>
      <c r="NOK124" s="225"/>
      <c r="NOL124" s="225"/>
      <c r="NOM124" s="225"/>
      <c r="NON124" s="225"/>
      <c r="NOO124" s="225"/>
      <c r="NOP124" s="225"/>
      <c r="NOQ124" s="225"/>
      <c r="NOR124" s="225"/>
      <c r="NOS124" s="225"/>
      <c r="NOT124" s="225"/>
      <c r="NOU124" s="225"/>
      <c r="NOV124" s="225"/>
      <c r="NOW124" s="225"/>
      <c r="NOX124" s="225"/>
      <c r="NOY124" s="225"/>
      <c r="NOZ124" s="225"/>
      <c r="NPA124" s="225"/>
      <c r="NPB124" s="225"/>
      <c r="NPC124" s="225"/>
      <c r="NPD124" s="225"/>
      <c r="NPE124" s="225"/>
      <c r="NPF124" s="225"/>
      <c r="NPG124" s="225"/>
      <c r="NPH124" s="225"/>
      <c r="NPI124" s="225"/>
      <c r="NPJ124" s="225"/>
      <c r="NPK124" s="225"/>
      <c r="NPL124" s="225"/>
      <c r="NPM124" s="225"/>
      <c r="NPN124" s="225"/>
      <c r="NPO124" s="225"/>
      <c r="NPP124" s="225"/>
      <c r="NPQ124" s="225"/>
      <c r="NPR124" s="225"/>
      <c r="NPS124" s="225"/>
      <c r="NPT124" s="225"/>
      <c r="NPU124" s="225"/>
      <c r="NPV124" s="225"/>
      <c r="NPW124" s="225"/>
      <c r="NPX124" s="225"/>
      <c r="NPY124" s="225"/>
      <c r="NPZ124" s="225"/>
      <c r="NQA124" s="225"/>
      <c r="NQB124" s="225"/>
      <c r="NQC124" s="225"/>
      <c r="NQD124" s="225"/>
      <c r="NQE124" s="225"/>
      <c r="NQF124" s="225"/>
      <c r="NQG124" s="225"/>
      <c r="NQH124" s="225"/>
      <c r="NQI124" s="225"/>
      <c r="NQJ124" s="225"/>
      <c r="NQK124" s="225"/>
      <c r="NQL124" s="225"/>
      <c r="NQM124" s="225"/>
      <c r="NQN124" s="225"/>
      <c r="NQO124" s="225"/>
      <c r="NQP124" s="225"/>
      <c r="NQQ124" s="225"/>
      <c r="NQR124" s="225"/>
      <c r="NQS124" s="225"/>
      <c r="NQT124" s="225"/>
      <c r="NQU124" s="225"/>
      <c r="NQV124" s="225"/>
      <c r="NQW124" s="225"/>
      <c r="NQX124" s="225"/>
      <c r="NQY124" s="225"/>
      <c r="NQZ124" s="225"/>
      <c r="NRA124" s="225"/>
      <c r="NRB124" s="225"/>
      <c r="NRC124" s="225"/>
      <c r="NRD124" s="225"/>
      <c r="NRE124" s="225"/>
      <c r="NRF124" s="225"/>
      <c r="NRG124" s="225"/>
      <c r="NRH124" s="225"/>
      <c r="NRI124" s="225"/>
      <c r="NRJ124" s="225"/>
      <c r="NRK124" s="225"/>
      <c r="NRL124" s="225"/>
      <c r="NRM124" s="225"/>
      <c r="NRN124" s="225"/>
      <c r="NRO124" s="225"/>
      <c r="NRP124" s="225"/>
      <c r="NRQ124" s="225"/>
      <c r="NRR124" s="225"/>
      <c r="NRS124" s="225"/>
      <c r="NRT124" s="225"/>
      <c r="NRU124" s="225"/>
      <c r="NRV124" s="225"/>
      <c r="NRW124" s="225"/>
      <c r="NRX124" s="225"/>
      <c r="NRY124" s="225"/>
      <c r="NRZ124" s="225"/>
      <c r="NSA124" s="225"/>
      <c r="NSB124" s="225"/>
      <c r="NSC124" s="225"/>
      <c r="NSD124" s="225"/>
      <c r="NSE124" s="225"/>
      <c r="NSF124" s="225"/>
      <c r="NSG124" s="225"/>
      <c r="NSH124" s="225"/>
      <c r="NSI124" s="225"/>
      <c r="NSJ124" s="225"/>
      <c r="NSK124" s="225"/>
      <c r="NSL124" s="225"/>
      <c r="NSM124" s="225"/>
      <c r="NSN124" s="225"/>
      <c r="NSO124" s="225"/>
      <c r="NSP124" s="225"/>
      <c r="NSQ124" s="225"/>
      <c r="NSR124" s="225"/>
      <c r="NSS124" s="225"/>
      <c r="NST124" s="225"/>
      <c r="NSU124" s="225"/>
      <c r="NSV124" s="225"/>
      <c r="NSW124" s="225"/>
      <c r="NSX124" s="225"/>
      <c r="NSY124" s="225"/>
      <c r="NSZ124" s="225"/>
      <c r="NTA124" s="225"/>
      <c r="NTB124" s="225"/>
      <c r="NTC124" s="225"/>
      <c r="NTD124" s="225"/>
      <c r="NTE124" s="225"/>
      <c r="NTF124" s="225"/>
      <c r="NTG124" s="225"/>
      <c r="NTH124" s="225"/>
      <c r="NTI124" s="225"/>
      <c r="NTJ124" s="225"/>
      <c r="NTK124" s="225"/>
      <c r="NTL124" s="225"/>
      <c r="NTM124" s="225"/>
      <c r="NTN124" s="225"/>
      <c r="NTO124" s="225"/>
      <c r="NTP124" s="225"/>
      <c r="NTQ124" s="225"/>
      <c r="NTR124" s="225"/>
      <c r="NTS124" s="225"/>
      <c r="NTT124" s="225"/>
      <c r="NTU124" s="225"/>
      <c r="NTV124" s="225"/>
      <c r="NTW124" s="225"/>
      <c r="NTX124" s="225"/>
      <c r="NTY124" s="225"/>
      <c r="NTZ124" s="225"/>
      <c r="NUA124" s="225"/>
      <c r="NUB124" s="225"/>
      <c r="NUC124" s="225"/>
      <c r="NUD124" s="225"/>
      <c r="NUE124" s="225"/>
      <c r="NUF124" s="225"/>
      <c r="NUG124" s="225"/>
      <c r="NUH124" s="225"/>
      <c r="NUI124" s="225"/>
      <c r="NUJ124" s="225"/>
      <c r="NUK124" s="225"/>
      <c r="NUL124" s="225"/>
      <c r="NUM124" s="225"/>
      <c r="NUN124" s="225"/>
      <c r="NUO124" s="225"/>
      <c r="NUP124" s="225"/>
      <c r="NUQ124" s="225"/>
      <c r="NUR124" s="225"/>
      <c r="NUS124" s="225"/>
      <c r="NUT124" s="225"/>
      <c r="NUU124" s="225"/>
      <c r="NUV124" s="225"/>
      <c r="NUW124" s="225"/>
      <c r="NUX124" s="225"/>
      <c r="NUY124" s="225"/>
      <c r="NUZ124" s="225"/>
      <c r="NVA124" s="225"/>
      <c r="NVB124" s="225"/>
      <c r="NVC124" s="225"/>
      <c r="NVD124" s="225"/>
      <c r="NVE124" s="225"/>
      <c r="NVF124" s="225"/>
      <c r="NVG124" s="225"/>
      <c r="NVH124" s="225"/>
      <c r="NVI124" s="225"/>
      <c r="NVJ124" s="225"/>
      <c r="NVK124" s="225"/>
      <c r="NVL124" s="225"/>
      <c r="NVM124" s="225"/>
      <c r="NVN124" s="225"/>
      <c r="NVO124" s="225"/>
      <c r="NVP124" s="225"/>
      <c r="NVQ124" s="225"/>
      <c r="NVR124" s="225"/>
      <c r="NVS124" s="225"/>
      <c r="NVT124" s="225"/>
      <c r="NVU124" s="225"/>
      <c r="NVV124" s="225"/>
      <c r="NVW124" s="225"/>
      <c r="NVX124" s="225"/>
      <c r="NVY124" s="225"/>
      <c r="NVZ124" s="225"/>
      <c r="NWA124" s="225"/>
      <c r="NWB124" s="225"/>
      <c r="NWC124" s="225"/>
      <c r="NWD124" s="225"/>
      <c r="NWE124" s="225"/>
      <c r="NWF124" s="225"/>
      <c r="NWG124" s="225"/>
      <c r="NWH124" s="225"/>
      <c r="NWI124" s="225"/>
      <c r="NWJ124" s="225"/>
      <c r="NWK124" s="225"/>
      <c r="NWL124" s="225"/>
      <c r="NWM124" s="225"/>
      <c r="NWN124" s="225"/>
      <c r="NWO124" s="225"/>
      <c r="NWP124" s="225"/>
      <c r="NWQ124" s="225"/>
      <c r="NWR124" s="225"/>
      <c r="NWS124" s="225"/>
      <c r="NWT124" s="225"/>
      <c r="NWU124" s="225"/>
      <c r="NWV124" s="225"/>
      <c r="NWW124" s="225"/>
      <c r="NWX124" s="225"/>
      <c r="NWY124" s="225"/>
      <c r="NWZ124" s="225"/>
      <c r="NXA124" s="225"/>
      <c r="NXB124" s="225"/>
      <c r="NXC124" s="225"/>
      <c r="NXD124" s="225"/>
      <c r="NXE124" s="225"/>
      <c r="NXF124" s="225"/>
      <c r="NXG124" s="225"/>
      <c r="NXH124" s="225"/>
      <c r="NXI124" s="225"/>
      <c r="NXJ124" s="225"/>
      <c r="NXK124" s="225"/>
      <c r="NXL124" s="225"/>
      <c r="NXM124" s="225"/>
      <c r="NXN124" s="225"/>
      <c r="NXO124" s="225"/>
      <c r="NXP124" s="225"/>
      <c r="NXQ124" s="225"/>
      <c r="NXR124" s="225"/>
      <c r="NXS124" s="225"/>
      <c r="NXT124" s="225"/>
      <c r="NXU124" s="225"/>
      <c r="NXV124" s="225"/>
      <c r="NXW124" s="225"/>
      <c r="NXX124" s="225"/>
      <c r="NXY124" s="225"/>
      <c r="NXZ124" s="225"/>
      <c r="NYA124" s="225"/>
      <c r="NYB124" s="225"/>
      <c r="NYC124" s="225"/>
      <c r="NYD124" s="225"/>
      <c r="NYE124" s="225"/>
      <c r="NYF124" s="225"/>
      <c r="NYG124" s="225"/>
      <c r="NYH124" s="225"/>
      <c r="NYI124" s="225"/>
      <c r="NYJ124" s="225"/>
      <c r="NYK124" s="225"/>
      <c r="NYL124" s="225"/>
      <c r="NYM124" s="225"/>
      <c r="NYN124" s="225"/>
      <c r="NYO124" s="225"/>
      <c r="NYP124" s="225"/>
      <c r="NYQ124" s="225"/>
      <c r="NYR124" s="225"/>
      <c r="NYS124" s="225"/>
      <c r="NYT124" s="225"/>
      <c r="NYU124" s="225"/>
      <c r="NYV124" s="225"/>
      <c r="NYW124" s="225"/>
      <c r="NYX124" s="225"/>
      <c r="NYY124" s="225"/>
      <c r="NYZ124" s="225"/>
      <c r="NZA124" s="225"/>
      <c r="NZB124" s="225"/>
      <c r="NZC124" s="225"/>
      <c r="NZD124" s="225"/>
      <c r="NZE124" s="225"/>
      <c r="NZF124" s="225"/>
      <c r="NZG124" s="225"/>
      <c r="NZH124" s="225"/>
      <c r="NZI124" s="225"/>
      <c r="NZJ124" s="225"/>
      <c r="NZK124" s="225"/>
      <c r="NZL124" s="225"/>
      <c r="NZM124" s="225"/>
      <c r="NZN124" s="225"/>
      <c r="NZO124" s="225"/>
      <c r="NZP124" s="225"/>
      <c r="NZQ124" s="225"/>
      <c r="NZR124" s="225"/>
      <c r="NZS124" s="225"/>
      <c r="NZT124" s="225"/>
      <c r="NZU124" s="225"/>
      <c r="NZV124" s="225"/>
      <c r="NZW124" s="225"/>
      <c r="NZX124" s="225"/>
      <c r="NZY124" s="225"/>
      <c r="NZZ124" s="225"/>
      <c r="OAA124" s="225"/>
      <c r="OAB124" s="225"/>
      <c r="OAC124" s="225"/>
      <c r="OAD124" s="225"/>
      <c r="OAE124" s="225"/>
      <c r="OAF124" s="225"/>
      <c r="OAG124" s="225"/>
      <c r="OAH124" s="225"/>
      <c r="OAI124" s="225"/>
      <c r="OAJ124" s="225"/>
      <c r="OAK124" s="225"/>
      <c r="OAL124" s="225"/>
      <c r="OAM124" s="225"/>
      <c r="OAN124" s="225"/>
      <c r="OAO124" s="225"/>
      <c r="OAP124" s="225"/>
      <c r="OAQ124" s="225"/>
      <c r="OAR124" s="225"/>
      <c r="OAS124" s="225"/>
      <c r="OAT124" s="225"/>
      <c r="OAU124" s="225"/>
      <c r="OAV124" s="225"/>
      <c r="OAW124" s="225"/>
      <c r="OAX124" s="225"/>
      <c r="OAY124" s="225"/>
      <c r="OAZ124" s="225"/>
      <c r="OBA124" s="225"/>
      <c r="OBB124" s="225"/>
      <c r="OBC124" s="225"/>
      <c r="OBD124" s="225"/>
      <c r="OBE124" s="225"/>
      <c r="OBF124" s="225"/>
      <c r="OBG124" s="225"/>
      <c r="OBH124" s="225"/>
      <c r="OBI124" s="225"/>
      <c r="OBJ124" s="225"/>
      <c r="OBK124" s="225"/>
      <c r="OBL124" s="225"/>
      <c r="OBM124" s="225"/>
      <c r="OBN124" s="225"/>
      <c r="OBO124" s="225"/>
      <c r="OBP124" s="225"/>
      <c r="OBQ124" s="225"/>
      <c r="OBR124" s="225"/>
      <c r="OBS124" s="225"/>
      <c r="OBT124" s="225"/>
      <c r="OBU124" s="225"/>
      <c r="OBV124" s="225"/>
      <c r="OBW124" s="225"/>
      <c r="OBX124" s="225"/>
      <c r="OBY124" s="225"/>
      <c r="OBZ124" s="225"/>
      <c r="OCA124" s="225"/>
      <c r="OCB124" s="225"/>
      <c r="OCC124" s="225"/>
      <c r="OCD124" s="225"/>
      <c r="OCE124" s="225"/>
      <c r="OCF124" s="225"/>
      <c r="OCG124" s="225"/>
      <c r="OCH124" s="225"/>
      <c r="OCI124" s="225"/>
      <c r="OCJ124" s="225"/>
      <c r="OCK124" s="225"/>
      <c r="OCL124" s="225"/>
      <c r="OCM124" s="225"/>
      <c r="OCN124" s="225"/>
      <c r="OCO124" s="225"/>
      <c r="OCP124" s="225"/>
      <c r="OCQ124" s="225"/>
      <c r="OCR124" s="225"/>
      <c r="OCS124" s="225"/>
      <c r="OCT124" s="225"/>
      <c r="OCU124" s="225"/>
      <c r="OCV124" s="225"/>
      <c r="OCW124" s="225"/>
      <c r="OCX124" s="225"/>
      <c r="OCY124" s="225"/>
      <c r="OCZ124" s="225"/>
      <c r="ODA124" s="225"/>
      <c r="ODB124" s="225"/>
      <c r="ODC124" s="225"/>
      <c r="ODD124" s="225"/>
      <c r="ODE124" s="225"/>
      <c r="ODF124" s="225"/>
      <c r="ODG124" s="225"/>
      <c r="ODH124" s="225"/>
      <c r="ODI124" s="225"/>
      <c r="ODJ124" s="225"/>
      <c r="ODK124" s="225"/>
      <c r="ODL124" s="225"/>
      <c r="ODM124" s="225"/>
      <c r="ODN124" s="225"/>
      <c r="ODO124" s="225"/>
      <c r="ODP124" s="225"/>
      <c r="ODQ124" s="225"/>
      <c r="ODR124" s="225"/>
      <c r="ODS124" s="225"/>
      <c r="ODT124" s="225"/>
      <c r="ODU124" s="225"/>
      <c r="ODV124" s="225"/>
      <c r="ODW124" s="225"/>
      <c r="ODX124" s="225"/>
      <c r="ODY124" s="225"/>
      <c r="ODZ124" s="225"/>
      <c r="OEA124" s="225"/>
      <c r="OEB124" s="225"/>
      <c r="OEC124" s="225"/>
      <c r="OED124" s="225"/>
      <c r="OEE124" s="225"/>
      <c r="OEF124" s="225"/>
      <c r="OEG124" s="225"/>
      <c r="OEH124" s="225"/>
      <c r="OEI124" s="225"/>
      <c r="OEJ124" s="225"/>
      <c r="OEK124" s="225"/>
      <c r="OEL124" s="225"/>
      <c r="OEM124" s="225"/>
      <c r="OEN124" s="225"/>
      <c r="OEO124" s="225"/>
      <c r="OEP124" s="225"/>
      <c r="OEQ124" s="225"/>
      <c r="OER124" s="225"/>
      <c r="OES124" s="225"/>
      <c r="OET124" s="225"/>
      <c r="OEU124" s="225"/>
      <c r="OEV124" s="225"/>
      <c r="OEW124" s="225"/>
      <c r="OEX124" s="225"/>
      <c r="OEY124" s="225"/>
      <c r="OEZ124" s="225"/>
      <c r="OFA124" s="225"/>
      <c r="OFB124" s="225"/>
      <c r="OFC124" s="225"/>
      <c r="OFD124" s="225"/>
      <c r="OFE124" s="225"/>
      <c r="OFF124" s="225"/>
      <c r="OFG124" s="225"/>
      <c r="OFH124" s="225"/>
      <c r="OFI124" s="225"/>
      <c r="OFJ124" s="225"/>
      <c r="OFK124" s="225"/>
      <c r="OFL124" s="225"/>
      <c r="OFM124" s="225"/>
      <c r="OFN124" s="225"/>
      <c r="OFO124" s="225"/>
      <c r="OFP124" s="225"/>
      <c r="OFQ124" s="225"/>
      <c r="OFR124" s="225"/>
      <c r="OFS124" s="225"/>
      <c r="OFT124" s="225"/>
      <c r="OFU124" s="225"/>
      <c r="OFV124" s="225"/>
      <c r="OFW124" s="225"/>
      <c r="OFX124" s="225"/>
      <c r="OFY124" s="225"/>
      <c r="OFZ124" s="225"/>
      <c r="OGA124" s="225"/>
      <c r="OGB124" s="225"/>
      <c r="OGC124" s="225"/>
      <c r="OGD124" s="225"/>
      <c r="OGE124" s="225"/>
      <c r="OGF124" s="225"/>
      <c r="OGG124" s="225"/>
      <c r="OGH124" s="225"/>
      <c r="OGI124" s="225"/>
      <c r="OGJ124" s="225"/>
      <c r="OGK124" s="225"/>
      <c r="OGL124" s="225"/>
      <c r="OGM124" s="225"/>
      <c r="OGN124" s="225"/>
      <c r="OGO124" s="225"/>
      <c r="OGP124" s="225"/>
      <c r="OGQ124" s="225"/>
      <c r="OGR124" s="225"/>
      <c r="OGS124" s="225"/>
      <c r="OGT124" s="225"/>
      <c r="OGU124" s="225"/>
      <c r="OGV124" s="225"/>
      <c r="OGW124" s="225"/>
      <c r="OGX124" s="225"/>
      <c r="OGY124" s="225"/>
      <c r="OGZ124" s="225"/>
      <c r="OHA124" s="225"/>
      <c r="OHB124" s="225"/>
      <c r="OHC124" s="225"/>
      <c r="OHD124" s="225"/>
      <c r="OHE124" s="225"/>
      <c r="OHF124" s="225"/>
      <c r="OHG124" s="225"/>
      <c r="OHH124" s="225"/>
      <c r="OHI124" s="225"/>
      <c r="OHJ124" s="225"/>
      <c r="OHK124" s="225"/>
      <c r="OHL124" s="225"/>
      <c r="OHM124" s="225"/>
      <c r="OHN124" s="225"/>
      <c r="OHO124" s="225"/>
      <c r="OHP124" s="225"/>
      <c r="OHQ124" s="225"/>
      <c r="OHR124" s="225"/>
      <c r="OHS124" s="225"/>
      <c r="OHT124" s="225"/>
      <c r="OHU124" s="225"/>
      <c r="OHV124" s="225"/>
      <c r="OHW124" s="225"/>
      <c r="OHX124" s="225"/>
      <c r="OHY124" s="225"/>
      <c r="OHZ124" s="225"/>
      <c r="OIA124" s="225"/>
      <c r="OIB124" s="225"/>
      <c r="OIC124" s="225"/>
      <c r="OID124" s="225"/>
      <c r="OIE124" s="225"/>
      <c r="OIF124" s="225"/>
      <c r="OIG124" s="225"/>
      <c r="OIH124" s="225"/>
      <c r="OII124" s="225"/>
      <c r="OIJ124" s="225"/>
      <c r="OIK124" s="225"/>
      <c r="OIL124" s="225"/>
      <c r="OIM124" s="225"/>
      <c r="OIN124" s="225"/>
      <c r="OIO124" s="225"/>
      <c r="OIP124" s="225"/>
      <c r="OIQ124" s="225"/>
      <c r="OIR124" s="225"/>
      <c r="OIS124" s="225"/>
      <c r="OIT124" s="225"/>
      <c r="OIU124" s="225"/>
      <c r="OIV124" s="225"/>
      <c r="OIW124" s="225"/>
      <c r="OIX124" s="225"/>
      <c r="OIY124" s="225"/>
      <c r="OIZ124" s="225"/>
      <c r="OJA124" s="225"/>
      <c r="OJB124" s="225"/>
      <c r="OJC124" s="225"/>
      <c r="OJD124" s="225"/>
      <c r="OJE124" s="225"/>
      <c r="OJF124" s="225"/>
      <c r="OJG124" s="225"/>
      <c r="OJH124" s="225"/>
      <c r="OJI124" s="225"/>
      <c r="OJJ124" s="225"/>
      <c r="OJK124" s="225"/>
      <c r="OJL124" s="225"/>
      <c r="OJM124" s="225"/>
      <c r="OJN124" s="225"/>
      <c r="OJO124" s="225"/>
      <c r="OJP124" s="225"/>
      <c r="OJQ124" s="225"/>
      <c r="OJR124" s="225"/>
      <c r="OJS124" s="225"/>
      <c r="OJT124" s="225"/>
      <c r="OJU124" s="225"/>
      <c r="OJV124" s="225"/>
      <c r="OJW124" s="225"/>
      <c r="OJX124" s="225"/>
      <c r="OJY124" s="225"/>
      <c r="OJZ124" s="225"/>
      <c r="OKA124" s="225"/>
      <c r="OKB124" s="225"/>
      <c r="OKC124" s="225"/>
      <c r="OKD124" s="225"/>
      <c r="OKE124" s="225"/>
      <c r="OKF124" s="225"/>
      <c r="OKG124" s="225"/>
      <c r="OKH124" s="225"/>
      <c r="OKI124" s="225"/>
      <c r="OKJ124" s="225"/>
      <c r="OKK124" s="225"/>
      <c r="OKL124" s="225"/>
      <c r="OKM124" s="225"/>
      <c r="OKN124" s="225"/>
      <c r="OKO124" s="225"/>
      <c r="OKP124" s="225"/>
      <c r="OKQ124" s="225"/>
      <c r="OKR124" s="225"/>
      <c r="OKS124" s="225"/>
      <c r="OKT124" s="225"/>
      <c r="OKU124" s="225"/>
      <c r="OKV124" s="225"/>
      <c r="OKW124" s="225"/>
      <c r="OKX124" s="225"/>
      <c r="OKY124" s="225"/>
      <c r="OKZ124" s="225"/>
      <c r="OLA124" s="225"/>
      <c r="OLB124" s="225"/>
      <c r="OLC124" s="225"/>
      <c r="OLD124" s="225"/>
      <c r="OLE124" s="225"/>
      <c r="OLF124" s="225"/>
      <c r="OLG124" s="225"/>
      <c r="OLH124" s="225"/>
      <c r="OLI124" s="225"/>
      <c r="OLJ124" s="225"/>
      <c r="OLK124" s="225"/>
      <c r="OLL124" s="225"/>
      <c r="OLM124" s="225"/>
      <c r="OLN124" s="225"/>
      <c r="OLO124" s="225"/>
      <c r="OLP124" s="225"/>
      <c r="OLQ124" s="225"/>
      <c r="OLR124" s="225"/>
      <c r="OLS124" s="225"/>
      <c r="OLT124" s="225"/>
      <c r="OLU124" s="225"/>
      <c r="OLV124" s="225"/>
      <c r="OLW124" s="225"/>
      <c r="OLX124" s="225"/>
      <c r="OLY124" s="225"/>
      <c r="OLZ124" s="225"/>
      <c r="OMA124" s="225"/>
      <c r="OMB124" s="225"/>
      <c r="OMC124" s="225"/>
      <c r="OMD124" s="225"/>
      <c r="OME124" s="225"/>
      <c r="OMF124" s="225"/>
      <c r="OMG124" s="225"/>
      <c r="OMH124" s="225"/>
      <c r="OMI124" s="225"/>
      <c r="OMJ124" s="225"/>
      <c r="OMK124" s="225"/>
      <c r="OML124" s="225"/>
      <c r="OMM124" s="225"/>
      <c r="OMN124" s="225"/>
      <c r="OMO124" s="225"/>
      <c r="OMP124" s="225"/>
      <c r="OMQ124" s="225"/>
      <c r="OMR124" s="225"/>
      <c r="OMS124" s="225"/>
      <c r="OMT124" s="225"/>
      <c r="OMU124" s="225"/>
      <c r="OMV124" s="225"/>
      <c r="OMW124" s="225"/>
      <c r="OMX124" s="225"/>
      <c r="OMY124" s="225"/>
      <c r="OMZ124" s="225"/>
      <c r="ONA124" s="225"/>
      <c r="ONB124" s="225"/>
      <c r="ONC124" s="225"/>
      <c r="OND124" s="225"/>
      <c r="ONE124" s="225"/>
      <c r="ONF124" s="225"/>
      <c r="ONG124" s="225"/>
      <c r="ONH124" s="225"/>
      <c r="ONI124" s="225"/>
      <c r="ONJ124" s="225"/>
      <c r="ONK124" s="225"/>
      <c r="ONL124" s="225"/>
      <c r="ONM124" s="225"/>
      <c r="ONN124" s="225"/>
      <c r="ONO124" s="225"/>
      <c r="ONP124" s="225"/>
      <c r="ONQ124" s="225"/>
      <c r="ONR124" s="225"/>
      <c r="ONS124" s="225"/>
      <c r="ONT124" s="225"/>
      <c r="ONU124" s="225"/>
      <c r="ONV124" s="225"/>
      <c r="ONW124" s="225"/>
      <c r="ONX124" s="225"/>
      <c r="ONY124" s="225"/>
      <c r="ONZ124" s="225"/>
      <c r="OOA124" s="225"/>
      <c r="OOB124" s="225"/>
      <c r="OOC124" s="225"/>
      <c r="OOD124" s="225"/>
      <c r="OOE124" s="225"/>
      <c r="OOF124" s="225"/>
      <c r="OOG124" s="225"/>
      <c r="OOH124" s="225"/>
      <c r="OOI124" s="225"/>
      <c r="OOJ124" s="225"/>
      <c r="OOK124" s="225"/>
      <c r="OOL124" s="225"/>
      <c r="OOM124" s="225"/>
      <c r="OON124" s="225"/>
      <c r="OOO124" s="225"/>
      <c r="OOP124" s="225"/>
      <c r="OOQ124" s="225"/>
      <c r="OOR124" s="225"/>
      <c r="OOS124" s="225"/>
      <c r="OOT124" s="225"/>
      <c r="OOU124" s="225"/>
      <c r="OOV124" s="225"/>
      <c r="OOW124" s="225"/>
      <c r="OOX124" s="225"/>
      <c r="OOY124" s="225"/>
      <c r="OOZ124" s="225"/>
      <c r="OPA124" s="225"/>
      <c r="OPB124" s="225"/>
      <c r="OPC124" s="225"/>
      <c r="OPD124" s="225"/>
      <c r="OPE124" s="225"/>
      <c r="OPF124" s="225"/>
      <c r="OPG124" s="225"/>
      <c r="OPH124" s="225"/>
      <c r="OPI124" s="225"/>
      <c r="OPJ124" s="225"/>
      <c r="OPK124" s="225"/>
      <c r="OPL124" s="225"/>
      <c r="OPM124" s="225"/>
      <c r="OPN124" s="225"/>
      <c r="OPO124" s="225"/>
      <c r="OPP124" s="225"/>
      <c r="OPQ124" s="225"/>
      <c r="OPR124" s="225"/>
      <c r="OPS124" s="225"/>
      <c r="OPT124" s="225"/>
      <c r="OPU124" s="225"/>
      <c r="OPV124" s="225"/>
      <c r="OPW124" s="225"/>
      <c r="OPX124" s="225"/>
      <c r="OPY124" s="225"/>
      <c r="OPZ124" s="225"/>
      <c r="OQA124" s="225"/>
      <c r="OQB124" s="225"/>
      <c r="OQC124" s="225"/>
      <c r="OQD124" s="225"/>
      <c r="OQE124" s="225"/>
      <c r="OQF124" s="225"/>
      <c r="OQG124" s="225"/>
      <c r="OQH124" s="225"/>
      <c r="OQI124" s="225"/>
      <c r="OQJ124" s="225"/>
      <c r="OQK124" s="225"/>
      <c r="OQL124" s="225"/>
      <c r="OQM124" s="225"/>
      <c r="OQN124" s="225"/>
      <c r="OQO124" s="225"/>
      <c r="OQP124" s="225"/>
      <c r="OQQ124" s="225"/>
      <c r="OQR124" s="225"/>
      <c r="OQS124" s="225"/>
      <c r="OQT124" s="225"/>
      <c r="OQU124" s="225"/>
      <c r="OQV124" s="225"/>
      <c r="OQW124" s="225"/>
      <c r="OQX124" s="225"/>
      <c r="OQY124" s="225"/>
      <c r="OQZ124" s="225"/>
      <c r="ORA124" s="225"/>
      <c r="ORB124" s="225"/>
      <c r="ORC124" s="225"/>
      <c r="ORD124" s="225"/>
      <c r="ORE124" s="225"/>
      <c r="ORF124" s="225"/>
      <c r="ORG124" s="225"/>
      <c r="ORH124" s="225"/>
      <c r="ORI124" s="225"/>
      <c r="ORJ124" s="225"/>
      <c r="ORK124" s="225"/>
      <c r="ORL124" s="225"/>
      <c r="ORM124" s="225"/>
      <c r="ORN124" s="225"/>
      <c r="ORO124" s="225"/>
      <c r="ORP124" s="225"/>
      <c r="ORQ124" s="225"/>
      <c r="ORR124" s="225"/>
      <c r="ORS124" s="225"/>
      <c r="ORT124" s="225"/>
      <c r="ORU124" s="225"/>
      <c r="ORV124" s="225"/>
      <c r="ORW124" s="225"/>
      <c r="ORX124" s="225"/>
      <c r="ORY124" s="225"/>
      <c r="ORZ124" s="225"/>
      <c r="OSA124" s="225"/>
      <c r="OSB124" s="225"/>
      <c r="OSC124" s="225"/>
      <c r="OSD124" s="225"/>
      <c r="OSE124" s="225"/>
      <c r="OSF124" s="225"/>
      <c r="OSG124" s="225"/>
      <c r="OSH124" s="225"/>
      <c r="OSI124" s="225"/>
      <c r="OSJ124" s="225"/>
      <c r="OSK124" s="225"/>
      <c r="OSL124" s="225"/>
      <c r="OSM124" s="225"/>
      <c r="OSN124" s="225"/>
      <c r="OSO124" s="225"/>
      <c r="OSP124" s="225"/>
      <c r="OSQ124" s="225"/>
      <c r="OSR124" s="225"/>
      <c r="OSS124" s="225"/>
      <c r="OST124" s="225"/>
      <c r="OSU124" s="225"/>
      <c r="OSV124" s="225"/>
      <c r="OSW124" s="225"/>
      <c r="OSX124" s="225"/>
      <c r="OSY124" s="225"/>
      <c r="OSZ124" s="225"/>
      <c r="OTA124" s="225"/>
      <c r="OTB124" s="225"/>
      <c r="OTC124" s="225"/>
      <c r="OTD124" s="225"/>
      <c r="OTE124" s="225"/>
      <c r="OTF124" s="225"/>
      <c r="OTG124" s="225"/>
      <c r="OTH124" s="225"/>
      <c r="OTI124" s="225"/>
      <c r="OTJ124" s="225"/>
      <c r="OTK124" s="225"/>
      <c r="OTL124" s="225"/>
      <c r="OTM124" s="225"/>
      <c r="OTN124" s="225"/>
      <c r="OTO124" s="225"/>
      <c r="OTP124" s="225"/>
      <c r="OTQ124" s="225"/>
      <c r="OTR124" s="225"/>
      <c r="OTS124" s="225"/>
      <c r="OTT124" s="225"/>
      <c r="OTU124" s="225"/>
      <c r="OTV124" s="225"/>
      <c r="OTW124" s="225"/>
      <c r="OTX124" s="225"/>
      <c r="OTY124" s="225"/>
      <c r="OTZ124" s="225"/>
      <c r="OUA124" s="225"/>
      <c r="OUB124" s="225"/>
      <c r="OUC124" s="225"/>
      <c r="OUD124" s="225"/>
      <c r="OUE124" s="225"/>
      <c r="OUF124" s="225"/>
      <c r="OUG124" s="225"/>
      <c r="OUH124" s="225"/>
      <c r="OUI124" s="225"/>
      <c r="OUJ124" s="225"/>
      <c r="OUK124" s="225"/>
      <c r="OUL124" s="225"/>
      <c r="OUM124" s="225"/>
      <c r="OUN124" s="225"/>
      <c r="OUO124" s="225"/>
      <c r="OUP124" s="225"/>
      <c r="OUQ124" s="225"/>
      <c r="OUR124" s="225"/>
      <c r="OUS124" s="225"/>
      <c r="OUT124" s="225"/>
      <c r="OUU124" s="225"/>
      <c r="OUV124" s="225"/>
      <c r="OUW124" s="225"/>
      <c r="OUX124" s="225"/>
      <c r="OUY124" s="225"/>
      <c r="OUZ124" s="225"/>
      <c r="OVA124" s="225"/>
      <c r="OVB124" s="225"/>
      <c r="OVC124" s="225"/>
      <c r="OVD124" s="225"/>
      <c r="OVE124" s="225"/>
      <c r="OVF124" s="225"/>
      <c r="OVG124" s="225"/>
      <c r="OVH124" s="225"/>
      <c r="OVI124" s="225"/>
      <c r="OVJ124" s="225"/>
      <c r="OVK124" s="225"/>
      <c r="OVL124" s="225"/>
      <c r="OVM124" s="225"/>
      <c r="OVN124" s="225"/>
      <c r="OVO124" s="225"/>
      <c r="OVP124" s="225"/>
      <c r="OVQ124" s="225"/>
      <c r="OVR124" s="225"/>
      <c r="OVS124" s="225"/>
      <c r="OVT124" s="225"/>
      <c r="OVU124" s="225"/>
      <c r="OVV124" s="225"/>
      <c r="OVW124" s="225"/>
      <c r="OVX124" s="225"/>
      <c r="OVY124" s="225"/>
      <c r="OVZ124" s="225"/>
      <c r="OWA124" s="225"/>
      <c r="OWB124" s="225"/>
      <c r="OWC124" s="225"/>
      <c r="OWD124" s="225"/>
      <c r="OWE124" s="225"/>
      <c r="OWF124" s="225"/>
      <c r="OWG124" s="225"/>
      <c r="OWH124" s="225"/>
      <c r="OWI124" s="225"/>
      <c r="OWJ124" s="225"/>
      <c r="OWK124" s="225"/>
      <c r="OWL124" s="225"/>
      <c r="OWM124" s="225"/>
      <c r="OWN124" s="225"/>
      <c r="OWO124" s="225"/>
      <c r="OWP124" s="225"/>
      <c r="OWQ124" s="225"/>
      <c r="OWR124" s="225"/>
      <c r="OWS124" s="225"/>
      <c r="OWT124" s="225"/>
      <c r="OWU124" s="225"/>
      <c r="OWV124" s="225"/>
      <c r="OWW124" s="225"/>
      <c r="OWX124" s="225"/>
      <c r="OWY124" s="225"/>
      <c r="OWZ124" s="225"/>
      <c r="OXA124" s="225"/>
      <c r="OXB124" s="225"/>
      <c r="OXC124" s="225"/>
      <c r="OXD124" s="225"/>
      <c r="OXE124" s="225"/>
      <c r="OXF124" s="225"/>
      <c r="OXG124" s="225"/>
      <c r="OXH124" s="225"/>
      <c r="OXI124" s="225"/>
      <c r="OXJ124" s="225"/>
      <c r="OXK124" s="225"/>
      <c r="OXL124" s="225"/>
      <c r="OXM124" s="225"/>
      <c r="OXN124" s="225"/>
      <c r="OXO124" s="225"/>
      <c r="OXP124" s="225"/>
      <c r="OXQ124" s="225"/>
      <c r="OXR124" s="225"/>
      <c r="OXS124" s="225"/>
      <c r="OXT124" s="225"/>
      <c r="OXU124" s="225"/>
      <c r="OXV124" s="225"/>
      <c r="OXW124" s="225"/>
      <c r="OXX124" s="225"/>
      <c r="OXY124" s="225"/>
      <c r="OXZ124" s="225"/>
      <c r="OYA124" s="225"/>
      <c r="OYB124" s="225"/>
      <c r="OYC124" s="225"/>
      <c r="OYD124" s="225"/>
      <c r="OYE124" s="225"/>
      <c r="OYF124" s="225"/>
      <c r="OYG124" s="225"/>
      <c r="OYH124" s="225"/>
      <c r="OYI124" s="225"/>
      <c r="OYJ124" s="225"/>
      <c r="OYK124" s="225"/>
      <c r="OYL124" s="225"/>
      <c r="OYM124" s="225"/>
      <c r="OYN124" s="225"/>
      <c r="OYO124" s="225"/>
      <c r="OYP124" s="225"/>
      <c r="OYQ124" s="225"/>
      <c r="OYR124" s="225"/>
      <c r="OYS124" s="225"/>
      <c r="OYT124" s="225"/>
      <c r="OYU124" s="225"/>
      <c r="OYV124" s="225"/>
      <c r="OYW124" s="225"/>
      <c r="OYX124" s="225"/>
      <c r="OYY124" s="225"/>
      <c r="OYZ124" s="225"/>
      <c r="OZA124" s="225"/>
      <c r="OZB124" s="225"/>
      <c r="OZC124" s="225"/>
      <c r="OZD124" s="225"/>
      <c r="OZE124" s="225"/>
      <c r="OZF124" s="225"/>
      <c r="OZG124" s="225"/>
      <c r="OZH124" s="225"/>
      <c r="OZI124" s="225"/>
      <c r="OZJ124" s="225"/>
      <c r="OZK124" s="225"/>
      <c r="OZL124" s="225"/>
      <c r="OZM124" s="225"/>
      <c r="OZN124" s="225"/>
      <c r="OZO124" s="225"/>
      <c r="OZP124" s="225"/>
      <c r="OZQ124" s="225"/>
      <c r="OZR124" s="225"/>
      <c r="OZS124" s="225"/>
      <c r="OZT124" s="225"/>
      <c r="OZU124" s="225"/>
      <c r="OZV124" s="225"/>
      <c r="OZW124" s="225"/>
      <c r="OZX124" s="225"/>
      <c r="OZY124" s="225"/>
      <c r="OZZ124" s="225"/>
      <c r="PAA124" s="225"/>
      <c r="PAB124" s="225"/>
      <c r="PAC124" s="225"/>
      <c r="PAD124" s="225"/>
      <c r="PAE124" s="225"/>
      <c r="PAF124" s="225"/>
      <c r="PAG124" s="225"/>
      <c r="PAH124" s="225"/>
      <c r="PAI124" s="225"/>
      <c r="PAJ124" s="225"/>
      <c r="PAK124" s="225"/>
      <c r="PAL124" s="225"/>
      <c r="PAM124" s="225"/>
      <c r="PAN124" s="225"/>
      <c r="PAO124" s="225"/>
      <c r="PAP124" s="225"/>
      <c r="PAQ124" s="225"/>
      <c r="PAR124" s="225"/>
      <c r="PAS124" s="225"/>
      <c r="PAT124" s="225"/>
      <c r="PAU124" s="225"/>
      <c r="PAV124" s="225"/>
      <c r="PAW124" s="225"/>
      <c r="PAX124" s="225"/>
      <c r="PAY124" s="225"/>
      <c r="PAZ124" s="225"/>
      <c r="PBA124" s="225"/>
      <c r="PBB124" s="225"/>
      <c r="PBC124" s="225"/>
      <c r="PBD124" s="225"/>
      <c r="PBE124" s="225"/>
      <c r="PBF124" s="225"/>
      <c r="PBG124" s="225"/>
      <c r="PBH124" s="225"/>
      <c r="PBI124" s="225"/>
      <c r="PBJ124" s="225"/>
      <c r="PBK124" s="225"/>
      <c r="PBL124" s="225"/>
      <c r="PBM124" s="225"/>
      <c r="PBN124" s="225"/>
      <c r="PBO124" s="225"/>
      <c r="PBP124" s="225"/>
      <c r="PBQ124" s="225"/>
      <c r="PBR124" s="225"/>
      <c r="PBS124" s="225"/>
      <c r="PBT124" s="225"/>
      <c r="PBU124" s="225"/>
      <c r="PBV124" s="225"/>
      <c r="PBW124" s="225"/>
      <c r="PBX124" s="225"/>
      <c r="PBY124" s="225"/>
      <c r="PBZ124" s="225"/>
      <c r="PCA124" s="225"/>
      <c r="PCB124" s="225"/>
      <c r="PCC124" s="225"/>
      <c r="PCD124" s="225"/>
      <c r="PCE124" s="225"/>
      <c r="PCF124" s="225"/>
      <c r="PCG124" s="225"/>
      <c r="PCH124" s="225"/>
      <c r="PCI124" s="225"/>
      <c r="PCJ124" s="225"/>
      <c r="PCK124" s="225"/>
      <c r="PCL124" s="225"/>
      <c r="PCM124" s="225"/>
      <c r="PCN124" s="225"/>
      <c r="PCO124" s="225"/>
      <c r="PCP124" s="225"/>
      <c r="PCQ124" s="225"/>
      <c r="PCR124" s="225"/>
      <c r="PCS124" s="225"/>
      <c r="PCT124" s="225"/>
      <c r="PCU124" s="225"/>
      <c r="PCV124" s="225"/>
      <c r="PCW124" s="225"/>
      <c r="PCX124" s="225"/>
      <c r="PCY124" s="225"/>
      <c r="PCZ124" s="225"/>
      <c r="PDA124" s="225"/>
      <c r="PDB124" s="225"/>
      <c r="PDC124" s="225"/>
      <c r="PDD124" s="225"/>
      <c r="PDE124" s="225"/>
      <c r="PDF124" s="225"/>
      <c r="PDG124" s="225"/>
      <c r="PDH124" s="225"/>
      <c r="PDI124" s="225"/>
      <c r="PDJ124" s="225"/>
      <c r="PDK124" s="225"/>
      <c r="PDL124" s="225"/>
      <c r="PDM124" s="225"/>
      <c r="PDN124" s="225"/>
      <c r="PDO124" s="225"/>
      <c r="PDP124" s="225"/>
      <c r="PDQ124" s="225"/>
      <c r="PDR124" s="225"/>
      <c r="PDS124" s="225"/>
      <c r="PDT124" s="225"/>
      <c r="PDU124" s="225"/>
      <c r="PDV124" s="225"/>
      <c r="PDW124" s="225"/>
      <c r="PDX124" s="225"/>
      <c r="PDY124" s="225"/>
      <c r="PDZ124" s="225"/>
      <c r="PEA124" s="225"/>
      <c r="PEB124" s="225"/>
      <c r="PEC124" s="225"/>
      <c r="PED124" s="225"/>
      <c r="PEE124" s="225"/>
      <c r="PEF124" s="225"/>
      <c r="PEG124" s="225"/>
      <c r="PEH124" s="225"/>
      <c r="PEI124" s="225"/>
      <c r="PEJ124" s="225"/>
      <c r="PEK124" s="225"/>
      <c r="PEL124" s="225"/>
      <c r="PEM124" s="225"/>
      <c r="PEN124" s="225"/>
      <c r="PEO124" s="225"/>
      <c r="PEP124" s="225"/>
      <c r="PEQ124" s="225"/>
      <c r="PER124" s="225"/>
      <c r="PES124" s="225"/>
      <c r="PET124" s="225"/>
      <c r="PEU124" s="225"/>
      <c r="PEV124" s="225"/>
      <c r="PEW124" s="225"/>
      <c r="PEX124" s="225"/>
      <c r="PEY124" s="225"/>
      <c r="PEZ124" s="225"/>
      <c r="PFA124" s="225"/>
      <c r="PFB124" s="225"/>
      <c r="PFC124" s="225"/>
      <c r="PFD124" s="225"/>
      <c r="PFE124" s="225"/>
      <c r="PFF124" s="225"/>
      <c r="PFG124" s="225"/>
      <c r="PFH124" s="225"/>
      <c r="PFI124" s="225"/>
      <c r="PFJ124" s="225"/>
      <c r="PFK124" s="225"/>
      <c r="PFL124" s="225"/>
      <c r="PFM124" s="225"/>
      <c r="PFN124" s="225"/>
      <c r="PFO124" s="225"/>
      <c r="PFP124" s="225"/>
      <c r="PFQ124" s="225"/>
      <c r="PFR124" s="225"/>
      <c r="PFS124" s="225"/>
      <c r="PFT124" s="225"/>
      <c r="PFU124" s="225"/>
      <c r="PFV124" s="225"/>
      <c r="PFW124" s="225"/>
      <c r="PFX124" s="225"/>
      <c r="PFY124" s="225"/>
      <c r="PFZ124" s="225"/>
      <c r="PGA124" s="225"/>
      <c r="PGB124" s="225"/>
      <c r="PGC124" s="225"/>
      <c r="PGD124" s="225"/>
      <c r="PGE124" s="225"/>
      <c r="PGF124" s="225"/>
      <c r="PGG124" s="225"/>
      <c r="PGH124" s="225"/>
      <c r="PGI124" s="225"/>
      <c r="PGJ124" s="225"/>
      <c r="PGK124" s="225"/>
      <c r="PGL124" s="225"/>
      <c r="PGM124" s="225"/>
      <c r="PGN124" s="225"/>
      <c r="PGO124" s="225"/>
      <c r="PGP124" s="225"/>
      <c r="PGQ124" s="225"/>
      <c r="PGR124" s="225"/>
      <c r="PGS124" s="225"/>
      <c r="PGT124" s="225"/>
      <c r="PGU124" s="225"/>
      <c r="PGV124" s="225"/>
      <c r="PGW124" s="225"/>
      <c r="PGX124" s="225"/>
      <c r="PGY124" s="225"/>
      <c r="PGZ124" s="225"/>
      <c r="PHA124" s="225"/>
      <c r="PHB124" s="225"/>
      <c r="PHC124" s="225"/>
      <c r="PHD124" s="225"/>
      <c r="PHE124" s="225"/>
      <c r="PHF124" s="225"/>
      <c r="PHG124" s="225"/>
      <c r="PHH124" s="225"/>
      <c r="PHI124" s="225"/>
      <c r="PHJ124" s="225"/>
      <c r="PHK124" s="225"/>
      <c r="PHL124" s="225"/>
      <c r="PHM124" s="225"/>
      <c r="PHN124" s="225"/>
      <c r="PHO124" s="225"/>
      <c r="PHP124" s="225"/>
      <c r="PHQ124" s="225"/>
      <c r="PHR124" s="225"/>
      <c r="PHS124" s="225"/>
      <c r="PHT124" s="225"/>
      <c r="PHU124" s="225"/>
      <c r="PHV124" s="225"/>
      <c r="PHW124" s="225"/>
      <c r="PHX124" s="225"/>
      <c r="PHY124" s="225"/>
      <c r="PHZ124" s="225"/>
      <c r="PIA124" s="225"/>
      <c r="PIB124" s="225"/>
      <c r="PIC124" s="225"/>
      <c r="PID124" s="225"/>
      <c r="PIE124" s="225"/>
      <c r="PIF124" s="225"/>
      <c r="PIG124" s="225"/>
      <c r="PIH124" s="225"/>
      <c r="PII124" s="225"/>
      <c r="PIJ124" s="225"/>
      <c r="PIK124" s="225"/>
      <c r="PIL124" s="225"/>
      <c r="PIM124" s="225"/>
      <c r="PIN124" s="225"/>
      <c r="PIO124" s="225"/>
      <c r="PIP124" s="225"/>
      <c r="PIQ124" s="225"/>
      <c r="PIR124" s="225"/>
      <c r="PIS124" s="225"/>
      <c r="PIT124" s="225"/>
      <c r="PIU124" s="225"/>
      <c r="PIV124" s="225"/>
      <c r="PIW124" s="225"/>
      <c r="PIX124" s="225"/>
      <c r="PIY124" s="225"/>
      <c r="PIZ124" s="225"/>
      <c r="PJA124" s="225"/>
      <c r="PJB124" s="225"/>
      <c r="PJC124" s="225"/>
      <c r="PJD124" s="225"/>
      <c r="PJE124" s="225"/>
      <c r="PJF124" s="225"/>
      <c r="PJG124" s="225"/>
      <c r="PJH124" s="225"/>
      <c r="PJI124" s="225"/>
      <c r="PJJ124" s="225"/>
      <c r="PJK124" s="225"/>
      <c r="PJL124" s="225"/>
      <c r="PJM124" s="225"/>
      <c r="PJN124" s="225"/>
      <c r="PJO124" s="225"/>
      <c r="PJP124" s="225"/>
      <c r="PJQ124" s="225"/>
      <c r="PJR124" s="225"/>
      <c r="PJS124" s="225"/>
      <c r="PJT124" s="225"/>
      <c r="PJU124" s="225"/>
      <c r="PJV124" s="225"/>
      <c r="PJW124" s="225"/>
      <c r="PJX124" s="225"/>
      <c r="PJY124" s="225"/>
      <c r="PJZ124" s="225"/>
      <c r="PKA124" s="225"/>
      <c r="PKB124" s="225"/>
      <c r="PKC124" s="225"/>
      <c r="PKD124" s="225"/>
      <c r="PKE124" s="225"/>
      <c r="PKF124" s="225"/>
      <c r="PKG124" s="225"/>
      <c r="PKH124" s="225"/>
      <c r="PKI124" s="225"/>
      <c r="PKJ124" s="225"/>
      <c r="PKK124" s="225"/>
      <c r="PKL124" s="225"/>
      <c r="PKM124" s="225"/>
      <c r="PKN124" s="225"/>
      <c r="PKO124" s="225"/>
      <c r="PKP124" s="225"/>
      <c r="PKQ124" s="225"/>
      <c r="PKR124" s="225"/>
      <c r="PKS124" s="225"/>
      <c r="PKT124" s="225"/>
      <c r="PKU124" s="225"/>
      <c r="PKV124" s="225"/>
      <c r="PKW124" s="225"/>
      <c r="PKX124" s="225"/>
      <c r="PKY124" s="225"/>
      <c r="PKZ124" s="225"/>
      <c r="PLA124" s="225"/>
      <c r="PLB124" s="225"/>
      <c r="PLC124" s="225"/>
      <c r="PLD124" s="225"/>
      <c r="PLE124" s="225"/>
      <c r="PLF124" s="225"/>
      <c r="PLG124" s="225"/>
      <c r="PLH124" s="225"/>
      <c r="PLI124" s="225"/>
      <c r="PLJ124" s="225"/>
      <c r="PLK124" s="225"/>
      <c r="PLL124" s="225"/>
      <c r="PLM124" s="225"/>
      <c r="PLN124" s="225"/>
      <c r="PLO124" s="225"/>
      <c r="PLP124" s="225"/>
      <c r="PLQ124" s="225"/>
      <c r="PLR124" s="225"/>
      <c r="PLS124" s="225"/>
      <c r="PLT124" s="225"/>
      <c r="PLU124" s="225"/>
      <c r="PLV124" s="225"/>
      <c r="PLW124" s="225"/>
      <c r="PLX124" s="225"/>
      <c r="PLY124" s="225"/>
      <c r="PLZ124" s="225"/>
      <c r="PMA124" s="225"/>
      <c r="PMB124" s="225"/>
      <c r="PMC124" s="225"/>
      <c r="PMD124" s="225"/>
      <c r="PME124" s="225"/>
      <c r="PMF124" s="225"/>
      <c r="PMG124" s="225"/>
      <c r="PMH124" s="225"/>
      <c r="PMI124" s="225"/>
      <c r="PMJ124" s="225"/>
      <c r="PMK124" s="225"/>
      <c r="PML124" s="225"/>
      <c r="PMM124" s="225"/>
      <c r="PMN124" s="225"/>
      <c r="PMO124" s="225"/>
      <c r="PMP124" s="225"/>
      <c r="PMQ124" s="225"/>
      <c r="PMR124" s="225"/>
      <c r="PMS124" s="225"/>
      <c r="PMT124" s="225"/>
      <c r="PMU124" s="225"/>
      <c r="PMV124" s="225"/>
      <c r="PMW124" s="225"/>
      <c r="PMX124" s="225"/>
      <c r="PMY124" s="225"/>
      <c r="PMZ124" s="225"/>
      <c r="PNA124" s="225"/>
      <c r="PNB124" s="225"/>
      <c r="PNC124" s="225"/>
      <c r="PND124" s="225"/>
      <c r="PNE124" s="225"/>
      <c r="PNF124" s="225"/>
      <c r="PNG124" s="225"/>
      <c r="PNH124" s="225"/>
      <c r="PNI124" s="225"/>
      <c r="PNJ124" s="225"/>
      <c r="PNK124" s="225"/>
      <c r="PNL124" s="225"/>
      <c r="PNM124" s="225"/>
      <c r="PNN124" s="225"/>
      <c r="PNO124" s="225"/>
      <c r="PNP124" s="225"/>
      <c r="PNQ124" s="225"/>
      <c r="PNR124" s="225"/>
      <c r="PNS124" s="225"/>
      <c r="PNT124" s="225"/>
      <c r="PNU124" s="225"/>
      <c r="PNV124" s="225"/>
      <c r="PNW124" s="225"/>
      <c r="PNX124" s="225"/>
      <c r="PNY124" s="225"/>
      <c r="PNZ124" s="225"/>
      <c r="POA124" s="225"/>
      <c r="POB124" s="225"/>
      <c r="POC124" s="225"/>
      <c r="POD124" s="225"/>
      <c r="POE124" s="225"/>
      <c r="POF124" s="225"/>
      <c r="POG124" s="225"/>
      <c r="POH124" s="225"/>
      <c r="POI124" s="225"/>
      <c r="POJ124" s="225"/>
      <c r="POK124" s="225"/>
      <c r="POL124" s="225"/>
      <c r="POM124" s="225"/>
      <c r="PON124" s="225"/>
      <c r="POO124" s="225"/>
      <c r="POP124" s="225"/>
      <c r="POQ124" s="225"/>
      <c r="POR124" s="225"/>
      <c r="POS124" s="225"/>
      <c r="POT124" s="225"/>
      <c r="POU124" s="225"/>
      <c r="POV124" s="225"/>
      <c r="POW124" s="225"/>
      <c r="POX124" s="225"/>
      <c r="POY124" s="225"/>
      <c r="POZ124" s="225"/>
      <c r="PPA124" s="225"/>
      <c r="PPB124" s="225"/>
      <c r="PPC124" s="225"/>
      <c r="PPD124" s="225"/>
      <c r="PPE124" s="225"/>
      <c r="PPF124" s="225"/>
      <c r="PPG124" s="225"/>
      <c r="PPH124" s="225"/>
      <c r="PPI124" s="225"/>
      <c r="PPJ124" s="225"/>
      <c r="PPK124" s="225"/>
      <c r="PPL124" s="225"/>
      <c r="PPM124" s="225"/>
      <c r="PPN124" s="225"/>
      <c r="PPO124" s="225"/>
      <c r="PPP124" s="225"/>
      <c r="PPQ124" s="225"/>
      <c r="PPR124" s="225"/>
      <c r="PPS124" s="225"/>
      <c r="PPT124" s="225"/>
      <c r="PPU124" s="225"/>
      <c r="PPV124" s="225"/>
      <c r="PPW124" s="225"/>
      <c r="PPX124" s="225"/>
      <c r="PPY124" s="225"/>
      <c r="PPZ124" s="225"/>
      <c r="PQA124" s="225"/>
      <c r="PQB124" s="225"/>
      <c r="PQC124" s="225"/>
      <c r="PQD124" s="225"/>
      <c r="PQE124" s="225"/>
      <c r="PQF124" s="225"/>
      <c r="PQG124" s="225"/>
      <c r="PQH124" s="225"/>
      <c r="PQI124" s="225"/>
      <c r="PQJ124" s="225"/>
      <c r="PQK124" s="225"/>
      <c r="PQL124" s="225"/>
      <c r="PQM124" s="225"/>
      <c r="PQN124" s="225"/>
      <c r="PQO124" s="225"/>
      <c r="PQP124" s="225"/>
      <c r="PQQ124" s="225"/>
      <c r="PQR124" s="225"/>
      <c r="PQS124" s="225"/>
      <c r="PQT124" s="225"/>
      <c r="PQU124" s="225"/>
      <c r="PQV124" s="225"/>
      <c r="PQW124" s="225"/>
      <c r="PQX124" s="225"/>
      <c r="PQY124" s="225"/>
      <c r="PQZ124" s="225"/>
      <c r="PRA124" s="225"/>
      <c r="PRB124" s="225"/>
      <c r="PRC124" s="225"/>
      <c r="PRD124" s="225"/>
      <c r="PRE124" s="225"/>
      <c r="PRF124" s="225"/>
      <c r="PRG124" s="225"/>
      <c r="PRH124" s="225"/>
      <c r="PRI124" s="225"/>
      <c r="PRJ124" s="225"/>
      <c r="PRK124" s="225"/>
      <c r="PRL124" s="225"/>
      <c r="PRM124" s="225"/>
      <c r="PRN124" s="225"/>
      <c r="PRO124" s="225"/>
      <c r="PRP124" s="225"/>
      <c r="PRQ124" s="225"/>
      <c r="PRR124" s="225"/>
      <c r="PRS124" s="225"/>
      <c r="PRT124" s="225"/>
      <c r="PRU124" s="225"/>
      <c r="PRV124" s="225"/>
      <c r="PRW124" s="225"/>
      <c r="PRX124" s="225"/>
      <c r="PRY124" s="225"/>
      <c r="PRZ124" s="225"/>
      <c r="PSA124" s="225"/>
      <c r="PSB124" s="225"/>
      <c r="PSC124" s="225"/>
      <c r="PSD124" s="225"/>
      <c r="PSE124" s="225"/>
      <c r="PSF124" s="225"/>
      <c r="PSG124" s="225"/>
      <c r="PSH124" s="225"/>
      <c r="PSI124" s="225"/>
      <c r="PSJ124" s="225"/>
      <c r="PSK124" s="225"/>
      <c r="PSL124" s="225"/>
      <c r="PSM124" s="225"/>
      <c r="PSN124" s="225"/>
      <c r="PSO124" s="225"/>
      <c r="PSP124" s="225"/>
      <c r="PSQ124" s="225"/>
      <c r="PSR124" s="225"/>
      <c r="PSS124" s="225"/>
      <c r="PST124" s="225"/>
      <c r="PSU124" s="225"/>
      <c r="PSV124" s="225"/>
      <c r="PSW124" s="225"/>
      <c r="PSX124" s="225"/>
      <c r="PSY124" s="225"/>
      <c r="PSZ124" s="225"/>
      <c r="PTA124" s="225"/>
      <c r="PTB124" s="225"/>
      <c r="PTC124" s="225"/>
      <c r="PTD124" s="225"/>
      <c r="PTE124" s="225"/>
      <c r="PTF124" s="225"/>
      <c r="PTG124" s="225"/>
      <c r="PTH124" s="225"/>
      <c r="PTI124" s="225"/>
      <c r="PTJ124" s="225"/>
      <c r="PTK124" s="225"/>
      <c r="PTL124" s="225"/>
      <c r="PTM124" s="225"/>
      <c r="PTN124" s="225"/>
      <c r="PTO124" s="225"/>
      <c r="PTP124" s="225"/>
      <c r="PTQ124" s="225"/>
      <c r="PTR124" s="225"/>
      <c r="PTS124" s="225"/>
      <c r="PTT124" s="225"/>
      <c r="PTU124" s="225"/>
      <c r="PTV124" s="225"/>
      <c r="PTW124" s="225"/>
      <c r="PTX124" s="225"/>
      <c r="PTY124" s="225"/>
      <c r="PTZ124" s="225"/>
      <c r="PUA124" s="225"/>
      <c r="PUB124" s="225"/>
      <c r="PUC124" s="225"/>
      <c r="PUD124" s="225"/>
      <c r="PUE124" s="225"/>
      <c r="PUF124" s="225"/>
      <c r="PUG124" s="225"/>
      <c r="PUH124" s="225"/>
      <c r="PUI124" s="225"/>
      <c r="PUJ124" s="225"/>
      <c r="PUK124" s="225"/>
      <c r="PUL124" s="225"/>
      <c r="PUM124" s="225"/>
      <c r="PUN124" s="225"/>
      <c r="PUO124" s="225"/>
      <c r="PUP124" s="225"/>
      <c r="PUQ124" s="225"/>
      <c r="PUR124" s="225"/>
      <c r="PUS124" s="225"/>
      <c r="PUT124" s="225"/>
      <c r="PUU124" s="225"/>
      <c r="PUV124" s="225"/>
      <c r="PUW124" s="225"/>
      <c r="PUX124" s="225"/>
      <c r="PUY124" s="225"/>
      <c r="PUZ124" s="225"/>
      <c r="PVA124" s="225"/>
      <c r="PVB124" s="225"/>
      <c r="PVC124" s="225"/>
      <c r="PVD124" s="225"/>
      <c r="PVE124" s="225"/>
      <c r="PVF124" s="225"/>
      <c r="PVG124" s="225"/>
      <c r="PVH124" s="225"/>
      <c r="PVI124" s="225"/>
      <c r="PVJ124" s="225"/>
      <c r="PVK124" s="225"/>
      <c r="PVL124" s="225"/>
      <c r="PVM124" s="225"/>
      <c r="PVN124" s="225"/>
      <c r="PVO124" s="225"/>
      <c r="PVP124" s="225"/>
      <c r="PVQ124" s="225"/>
      <c r="PVR124" s="225"/>
      <c r="PVS124" s="225"/>
      <c r="PVT124" s="225"/>
      <c r="PVU124" s="225"/>
      <c r="PVV124" s="225"/>
      <c r="PVW124" s="225"/>
      <c r="PVX124" s="225"/>
      <c r="PVY124" s="225"/>
      <c r="PVZ124" s="225"/>
      <c r="PWA124" s="225"/>
      <c r="PWB124" s="225"/>
      <c r="PWC124" s="225"/>
      <c r="PWD124" s="225"/>
      <c r="PWE124" s="225"/>
      <c r="PWF124" s="225"/>
      <c r="PWG124" s="225"/>
      <c r="PWH124" s="225"/>
      <c r="PWI124" s="225"/>
      <c r="PWJ124" s="225"/>
      <c r="PWK124" s="225"/>
      <c r="PWL124" s="225"/>
      <c r="PWM124" s="225"/>
      <c r="PWN124" s="225"/>
      <c r="PWO124" s="225"/>
      <c r="PWP124" s="225"/>
      <c r="PWQ124" s="225"/>
      <c r="PWR124" s="225"/>
      <c r="PWS124" s="225"/>
      <c r="PWT124" s="225"/>
      <c r="PWU124" s="225"/>
      <c r="PWV124" s="225"/>
      <c r="PWW124" s="225"/>
      <c r="PWX124" s="225"/>
      <c r="PWY124" s="225"/>
      <c r="PWZ124" s="225"/>
      <c r="PXA124" s="225"/>
      <c r="PXB124" s="225"/>
      <c r="PXC124" s="225"/>
      <c r="PXD124" s="225"/>
      <c r="PXE124" s="225"/>
      <c r="PXF124" s="225"/>
      <c r="PXG124" s="225"/>
      <c r="PXH124" s="225"/>
      <c r="PXI124" s="225"/>
      <c r="PXJ124" s="225"/>
      <c r="PXK124" s="225"/>
      <c r="PXL124" s="225"/>
      <c r="PXM124" s="225"/>
      <c r="PXN124" s="225"/>
      <c r="PXO124" s="225"/>
      <c r="PXP124" s="225"/>
      <c r="PXQ124" s="225"/>
      <c r="PXR124" s="225"/>
      <c r="PXS124" s="225"/>
      <c r="PXT124" s="225"/>
      <c r="PXU124" s="225"/>
      <c r="PXV124" s="225"/>
      <c r="PXW124" s="225"/>
      <c r="PXX124" s="225"/>
      <c r="PXY124" s="225"/>
      <c r="PXZ124" s="225"/>
      <c r="PYA124" s="225"/>
      <c r="PYB124" s="225"/>
      <c r="PYC124" s="225"/>
      <c r="PYD124" s="225"/>
      <c r="PYE124" s="225"/>
      <c r="PYF124" s="225"/>
      <c r="PYG124" s="225"/>
      <c r="PYH124" s="225"/>
      <c r="PYI124" s="225"/>
      <c r="PYJ124" s="225"/>
      <c r="PYK124" s="225"/>
      <c r="PYL124" s="225"/>
      <c r="PYM124" s="225"/>
      <c r="PYN124" s="225"/>
      <c r="PYO124" s="225"/>
      <c r="PYP124" s="225"/>
      <c r="PYQ124" s="225"/>
      <c r="PYR124" s="225"/>
      <c r="PYS124" s="225"/>
      <c r="PYT124" s="225"/>
      <c r="PYU124" s="225"/>
      <c r="PYV124" s="225"/>
      <c r="PYW124" s="225"/>
      <c r="PYX124" s="225"/>
      <c r="PYY124" s="225"/>
      <c r="PYZ124" s="225"/>
      <c r="PZA124" s="225"/>
      <c r="PZB124" s="225"/>
      <c r="PZC124" s="225"/>
      <c r="PZD124" s="225"/>
      <c r="PZE124" s="225"/>
      <c r="PZF124" s="225"/>
      <c r="PZG124" s="225"/>
      <c r="PZH124" s="225"/>
      <c r="PZI124" s="225"/>
      <c r="PZJ124" s="225"/>
      <c r="PZK124" s="225"/>
      <c r="PZL124" s="225"/>
      <c r="PZM124" s="225"/>
      <c r="PZN124" s="225"/>
      <c r="PZO124" s="225"/>
      <c r="PZP124" s="225"/>
      <c r="PZQ124" s="225"/>
      <c r="PZR124" s="225"/>
      <c r="PZS124" s="225"/>
      <c r="PZT124" s="225"/>
      <c r="PZU124" s="225"/>
      <c r="PZV124" s="225"/>
      <c r="PZW124" s="225"/>
      <c r="PZX124" s="225"/>
      <c r="PZY124" s="225"/>
      <c r="PZZ124" s="225"/>
      <c r="QAA124" s="225"/>
      <c r="QAB124" s="225"/>
      <c r="QAC124" s="225"/>
      <c r="QAD124" s="225"/>
      <c r="QAE124" s="225"/>
      <c r="QAF124" s="225"/>
      <c r="QAG124" s="225"/>
      <c r="QAH124" s="225"/>
      <c r="QAI124" s="225"/>
      <c r="QAJ124" s="225"/>
      <c r="QAK124" s="225"/>
      <c r="QAL124" s="225"/>
      <c r="QAM124" s="225"/>
      <c r="QAN124" s="225"/>
      <c r="QAO124" s="225"/>
      <c r="QAP124" s="225"/>
      <c r="QAQ124" s="225"/>
      <c r="QAR124" s="225"/>
      <c r="QAS124" s="225"/>
      <c r="QAT124" s="225"/>
      <c r="QAU124" s="225"/>
      <c r="QAV124" s="225"/>
      <c r="QAW124" s="225"/>
      <c r="QAX124" s="225"/>
      <c r="QAY124" s="225"/>
      <c r="QAZ124" s="225"/>
      <c r="QBA124" s="225"/>
      <c r="QBB124" s="225"/>
      <c r="QBC124" s="225"/>
      <c r="QBD124" s="225"/>
      <c r="QBE124" s="225"/>
      <c r="QBF124" s="225"/>
      <c r="QBG124" s="225"/>
      <c r="QBH124" s="225"/>
      <c r="QBI124" s="225"/>
      <c r="QBJ124" s="225"/>
      <c r="QBK124" s="225"/>
      <c r="QBL124" s="225"/>
      <c r="QBM124" s="225"/>
      <c r="QBN124" s="225"/>
      <c r="QBO124" s="225"/>
      <c r="QBP124" s="225"/>
      <c r="QBQ124" s="225"/>
      <c r="QBR124" s="225"/>
      <c r="QBS124" s="225"/>
      <c r="QBT124" s="225"/>
      <c r="QBU124" s="225"/>
      <c r="QBV124" s="225"/>
      <c r="QBW124" s="225"/>
      <c r="QBX124" s="225"/>
      <c r="QBY124" s="225"/>
      <c r="QBZ124" s="225"/>
      <c r="QCA124" s="225"/>
      <c r="QCB124" s="225"/>
      <c r="QCC124" s="225"/>
      <c r="QCD124" s="225"/>
      <c r="QCE124" s="225"/>
      <c r="QCF124" s="225"/>
      <c r="QCG124" s="225"/>
      <c r="QCH124" s="225"/>
      <c r="QCI124" s="225"/>
      <c r="QCJ124" s="225"/>
      <c r="QCK124" s="225"/>
      <c r="QCL124" s="225"/>
      <c r="QCM124" s="225"/>
      <c r="QCN124" s="225"/>
      <c r="QCO124" s="225"/>
      <c r="QCP124" s="225"/>
      <c r="QCQ124" s="225"/>
      <c r="QCR124" s="225"/>
      <c r="QCS124" s="225"/>
      <c r="QCT124" s="225"/>
      <c r="QCU124" s="225"/>
      <c r="QCV124" s="225"/>
      <c r="QCW124" s="225"/>
      <c r="QCX124" s="225"/>
      <c r="QCY124" s="225"/>
      <c r="QCZ124" s="225"/>
      <c r="QDA124" s="225"/>
      <c r="QDB124" s="225"/>
      <c r="QDC124" s="225"/>
      <c r="QDD124" s="225"/>
      <c r="QDE124" s="225"/>
      <c r="QDF124" s="225"/>
      <c r="QDG124" s="225"/>
      <c r="QDH124" s="225"/>
      <c r="QDI124" s="225"/>
      <c r="QDJ124" s="225"/>
      <c r="QDK124" s="225"/>
      <c r="QDL124" s="225"/>
      <c r="QDM124" s="225"/>
      <c r="QDN124" s="225"/>
      <c r="QDO124" s="225"/>
      <c r="QDP124" s="225"/>
      <c r="QDQ124" s="225"/>
      <c r="QDR124" s="225"/>
      <c r="QDS124" s="225"/>
      <c r="QDT124" s="225"/>
      <c r="QDU124" s="225"/>
      <c r="QDV124" s="225"/>
      <c r="QDW124" s="225"/>
      <c r="QDX124" s="225"/>
      <c r="QDY124" s="225"/>
      <c r="QDZ124" s="225"/>
      <c r="QEA124" s="225"/>
      <c r="QEB124" s="225"/>
      <c r="QEC124" s="225"/>
      <c r="QED124" s="225"/>
      <c r="QEE124" s="225"/>
      <c r="QEF124" s="225"/>
      <c r="QEG124" s="225"/>
      <c r="QEH124" s="225"/>
      <c r="QEI124" s="225"/>
      <c r="QEJ124" s="225"/>
      <c r="QEK124" s="225"/>
      <c r="QEL124" s="225"/>
      <c r="QEM124" s="225"/>
      <c r="QEN124" s="225"/>
      <c r="QEO124" s="225"/>
      <c r="QEP124" s="225"/>
      <c r="QEQ124" s="225"/>
      <c r="QER124" s="225"/>
      <c r="QES124" s="225"/>
      <c r="QET124" s="225"/>
      <c r="QEU124" s="225"/>
      <c r="QEV124" s="225"/>
      <c r="QEW124" s="225"/>
      <c r="QEX124" s="225"/>
      <c r="QEY124" s="225"/>
      <c r="QEZ124" s="225"/>
      <c r="QFA124" s="225"/>
      <c r="QFB124" s="225"/>
      <c r="QFC124" s="225"/>
      <c r="QFD124" s="225"/>
      <c r="QFE124" s="225"/>
      <c r="QFF124" s="225"/>
      <c r="QFG124" s="225"/>
      <c r="QFH124" s="225"/>
      <c r="QFI124" s="225"/>
      <c r="QFJ124" s="225"/>
      <c r="QFK124" s="225"/>
      <c r="QFL124" s="225"/>
      <c r="QFM124" s="225"/>
      <c r="QFN124" s="225"/>
      <c r="QFO124" s="225"/>
      <c r="QFP124" s="225"/>
      <c r="QFQ124" s="225"/>
      <c r="QFR124" s="225"/>
      <c r="QFS124" s="225"/>
      <c r="QFT124" s="225"/>
      <c r="QFU124" s="225"/>
      <c r="QFV124" s="225"/>
      <c r="QFW124" s="225"/>
      <c r="QFX124" s="225"/>
      <c r="QFY124" s="225"/>
      <c r="QFZ124" s="225"/>
      <c r="QGA124" s="225"/>
      <c r="QGB124" s="225"/>
      <c r="QGC124" s="225"/>
      <c r="QGD124" s="225"/>
      <c r="QGE124" s="225"/>
      <c r="QGF124" s="225"/>
      <c r="QGG124" s="225"/>
      <c r="QGH124" s="225"/>
      <c r="QGI124" s="225"/>
      <c r="QGJ124" s="225"/>
      <c r="QGK124" s="225"/>
      <c r="QGL124" s="225"/>
      <c r="QGM124" s="225"/>
      <c r="QGN124" s="225"/>
      <c r="QGO124" s="225"/>
      <c r="QGP124" s="225"/>
      <c r="QGQ124" s="225"/>
      <c r="QGR124" s="225"/>
      <c r="QGS124" s="225"/>
      <c r="QGT124" s="225"/>
      <c r="QGU124" s="225"/>
      <c r="QGV124" s="225"/>
      <c r="QGW124" s="225"/>
      <c r="QGX124" s="225"/>
      <c r="QGY124" s="225"/>
      <c r="QGZ124" s="225"/>
      <c r="QHA124" s="225"/>
      <c r="QHB124" s="225"/>
      <c r="QHC124" s="225"/>
      <c r="QHD124" s="225"/>
      <c r="QHE124" s="225"/>
      <c r="QHF124" s="225"/>
      <c r="QHG124" s="225"/>
      <c r="QHH124" s="225"/>
      <c r="QHI124" s="225"/>
      <c r="QHJ124" s="225"/>
      <c r="QHK124" s="225"/>
      <c r="QHL124" s="225"/>
      <c r="QHM124" s="225"/>
      <c r="QHN124" s="225"/>
      <c r="QHO124" s="225"/>
      <c r="QHP124" s="225"/>
      <c r="QHQ124" s="225"/>
      <c r="QHR124" s="225"/>
      <c r="QHS124" s="225"/>
      <c r="QHT124" s="225"/>
      <c r="QHU124" s="225"/>
      <c r="QHV124" s="225"/>
      <c r="QHW124" s="225"/>
      <c r="QHX124" s="225"/>
      <c r="QHY124" s="225"/>
      <c r="QHZ124" s="225"/>
      <c r="QIA124" s="225"/>
      <c r="QIB124" s="225"/>
      <c r="QIC124" s="225"/>
      <c r="QID124" s="225"/>
      <c r="QIE124" s="225"/>
      <c r="QIF124" s="225"/>
      <c r="QIG124" s="225"/>
      <c r="QIH124" s="225"/>
      <c r="QII124" s="225"/>
      <c r="QIJ124" s="225"/>
      <c r="QIK124" s="225"/>
      <c r="QIL124" s="225"/>
      <c r="QIM124" s="225"/>
      <c r="QIN124" s="225"/>
      <c r="QIO124" s="225"/>
      <c r="QIP124" s="225"/>
      <c r="QIQ124" s="225"/>
      <c r="QIR124" s="225"/>
      <c r="QIS124" s="225"/>
      <c r="QIT124" s="225"/>
      <c r="QIU124" s="225"/>
      <c r="QIV124" s="225"/>
      <c r="QIW124" s="225"/>
      <c r="QIX124" s="225"/>
      <c r="QIY124" s="225"/>
      <c r="QIZ124" s="225"/>
      <c r="QJA124" s="225"/>
      <c r="QJB124" s="225"/>
      <c r="QJC124" s="225"/>
      <c r="QJD124" s="225"/>
      <c r="QJE124" s="225"/>
      <c r="QJF124" s="225"/>
      <c r="QJG124" s="225"/>
      <c r="QJH124" s="225"/>
      <c r="QJI124" s="225"/>
      <c r="QJJ124" s="225"/>
      <c r="QJK124" s="225"/>
      <c r="QJL124" s="225"/>
      <c r="QJM124" s="225"/>
      <c r="QJN124" s="225"/>
      <c r="QJO124" s="225"/>
      <c r="QJP124" s="225"/>
      <c r="QJQ124" s="225"/>
      <c r="QJR124" s="225"/>
      <c r="QJS124" s="225"/>
      <c r="QJT124" s="225"/>
      <c r="QJU124" s="225"/>
      <c r="QJV124" s="225"/>
      <c r="QJW124" s="225"/>
      <c r="QJX124" s="225"/>
      <c r="QJY124" s="225"/>
      <c r="QJZ124" s="225"/>
      <c r="QKA124" s="225"/>
      <c r="QKB124" s="225"/>
      <c r="QKC124" s="225"/>
      <c r="QKD124" s="225"/>
      <c r="QKE124" s="225"/>
      <c r="QKF124" s="225"/>
      <c r="QKG124" s="225"/>
      <c r="QKH124" s="225"/>
      <c r="QKI124" s="225"/>
      <c r="QKJ124" s="225"/>
      <c r="QKK124" s="225"/>
      <c r="QKL124" s="225"/>
      <c r="QKM124" s="225"/>
      <c r="QKN124" s="225"/>
      <c r="QKO124" s="225"/>
      <c r="QKP124" s="225"/>
      <c r="QKQ124" s="225"/>
      <c r="QKR124" s="225"/>
      <c r="QKS124" s="225"/>
      <c r="QKT124" s="225"/>
      <c r="QKU124" s="225"/>
      <c r="QKV124" s="225"/>
      <c r="QKW124" s="225"/>
      <c r="QKX124" s="225"/>
      <c r="QKY124" s="225"/>
      <c r="QKZ124" s="225"/>
      <c r="QLA124" s="225"/>
      <c r="QLB124" s="225"/>
      <c r="QLC124" s="225"/>
      <c r="QLD124" s="225"/>
      <c r="QLE124" s="225"/>
      <c r="QLF124" s="225"/>
      <c r="QLG124" s="225"/>
      <c r="QLH124" s="225"/>
      <c r="QLI124" s="225"/>
      <c r="QLJ124" s="225"/>
      <c r="QLK124" s="225"/>
      <c r="QLL124" s="225"/>
      <c r="QLM124" s="225"/>
      <c r="QLN124" s="225"/>
      <c r="QLO124" s="225"/>
      <c r="QLP124" s="225"/>
      <c r="QLQ124" s="225"/>
      <c r="QLR124" s="225"/>
      <c r="QLS124" s="225"/>
      <c r="QLT124" s="225"/>
      <c r="QLU124" s="225"/>
      <c r="QLV124" s="225"/>
      <c r="QLW124" s="225"/>
      <c r="QLX124" s="225"/>
      <c r="QLY124" s="225"/>
      <c r="QLZ124" s="225"/>
      <c r="QMA124" s="225"/>
      <c r="QMB124" s="225"/>
      <c r="QMC124" s="225"/>
      <c r="QMD124" s="225"/>
      <c r="QME124" s="225"/>
      <c r="QMF124" s="225"/>
      <c r="QMG124" s="225"/>
      <c r="QMH124" s="225"/>
      <c r="QMI124" s="225"/>
      <c r="QMJ124" s="225"/>
      <c r="QMK124" s="225"/>
      <c r="QML124" s="225"/>
      <c r="QMM124" s="225"/>
      <c r="QMN124" s="225"/>
      <c r="QMO124" s="225"/>
      <c r="QMP124" s="225"/>
      <c r="QMQ124" s="225"/>
      <c r="QMR124" s="225"/>
      <c r="QMS124" s="225"/>
      <c r="QMT124" s="225"/>
      <c r="QMU124" s="225"/>
      <c r="QMV124" s="225"/>
      <c r="QMW124" s="225"/>
      <c r="QMX124" s="225"/>
      <c r="QMY124" s="225"/>
      <c r="QMZ124" s="225"/>
      <c r="QNA124" s="225"/>
      <c r="QNB124" s="225"/>
      <c r="QNC124" s="225"/>
      <c r="QND124" s="225"/>
      <c r="QNE124" s="225"/>
      <c r="QNF124" s="225"/>
      <c r="QNG124" s="225"/>
      <c r="QNH124" s="225"/>
      <c r="QNI124" s="225"/>
      <c r="QNJ124" s="225"/>
      <c r="QNK124" s="225"/>
      <c r="QNL124" s="225"/>
      <c r="QNM124" s="225"/>
      <c r="QNN124" s="225"/>
      <c r="QNO124" s="225"/>
      <c r="QNP124" s="225"/>
      <c r="QNQ124" s="225"/>
      <c r="QNR124" s="225"/>
      <c r="QNS124" s="225"/>
      <c r="QNT124" s="225"/>
      <c r="QNU124" s="225"/>
      <c r="QNV124" s="225"/>
      <c r="QNW124" s="225"/>
      <c r="QNX124" s="225"/>
      <c r="QNY124" s="225"/>
      <c r="QNZ124" s="225"/>
      <c r="QOA124" s="225"/>
      <c r="QOB124" s="225"/>
      <c r="QOC124" s="225"/>
      <c r="QOD124" s="225"/>
      <c r="QOE124" s="225"/>
      <c r="QOF124" s="225"/>
      <c r="QOG124" s="225"/>
      <c r="QOH124" s="225"/>
      <c r="QOI124" s="225"/>
      <c r="QOJ124" s="225"/>
      <c r="QOK124" s="225"/>
      <c r="QOL124" s="225"/>
      <c r="QOM124" s="225"/>
      <c r="QON124" s="225"/>
      <c r="QOO124" s="225"/>
      <c r="QOP124" s="225"/>
      <c r="QOQ124" s="225"/>
      <c r="QOR124" s="225"/>
      <c r="QOS124" s="225"/>
      <c r="QOT124" s="225"/>
      <c r="QOU124" s="225"/>
      <c r="QOV124" s="225"/>
      <c r="QOW124" s="225"/>
      <c r="QOX124" s="225"/>
      <c r="QOY124" s="225"/>
      <c r="QOZ124" s="225"/>
      <c r="QPA124" s="225"/>
      <c r="QPB124" s="225"/>
      <c r="QPC124" s="225"/>
      <c r="QPD124" s="225"/>
      <c r="QPE124" s="225"/>
      <c r="QPF124" s="225"/>
      <c r="QPG124" s="225"/>
      <c r="QPH124" s="225"/>
      <c r="QPI124" s="225"/>
      <c r="QPJ124" s="225"/>
      <c r="QPK124" s="225"/>
      <c r="QPL124" s="225"/>
      <c r="QPM124" s="225"/>
      <c r="QPN124" s="225"/>
      <c r="QPO124" s="225"/>
      <c r="QPP124" s="225"/>
      <c r="QPQ124" s="225"/>
      <c r="QPR124" s="225"/>
      <c r="QPS124" s="225"/>
      <c r="QPT124" s="225"/>
      <c r="QPU124" s="225"/>
      <c r="QPV124" s="225"/>
      <c r="QPW124" s="225"/>
      <c r="QPX124" s="225"/>
      <c r="QPY124" s="225"/>
      <c r="QPZ124" s="225"/>
      <c r="QQA124" s="225"/>
      <c r="QQB124" s="225"/>
      <c r="QQC124" s="225"/>
      <c r="QQD124" s="225"/>
      <c r="QQE124" s="225"/>
      <c r="QQF124" s="225"/>
      <c r="QQG124" s="225"/>
      <c r="QQH124" s="225"/>
      <c r="QQI124" s="225"/>
      <c r="QQJ124" s="225"/>
      <c r="QQK124" s="225"/>
      <c r="QQL124" s="225"/>
      <c r="QQM124" s="225"/>
      <c r="QQN124" s="225"/>
      <c r="QQO124" s="225"/>
      <c r="QQP124" s="225"/>
      <c r="QQQ124" s="225"/>
      <c r="QQR124" s="225"/>
      <c r="QQS124" s="225"/>
      <c r="QQT124" s="225"/>
      <c r="QQU124" s="225"/>
      <c r="QQV124" s="225"/>
      <c r="QQW124" s="225"/>
      <c r="QQX124" s="225"/>
      <c r="QQY124" s="225"/>
      <c r="QQZ124" s="225"/>
      <c r="QRA124" s="225"/>
      <c r="QRB124" s="225"/>
      <c r="QRC124" s="225"/>
      <c r="QRD124" s="225"/>
      <c r="QRE124" s="225"/>
      <c r="QRF124" s="225"/>
      <c r="QRG124" s="225"/>
      <c r="QRH124" s="225"/>
      <c r="QRI124" s="225"/>
      <c r="QRJ124" s="225"/>
      <c r="QRK124" s="225"/>
      <c r="QRL124" s="225"/>
      <c r="QRM124" s="225"/>
      <c r="QRN124" s="225"/>
      <c r="QRO124" s="225"/>
      <c r="QRP124" s="225"/>
      <c r="QRQ124" s="225"/>
      <c r="QRR124" s="225"/>
      <c r="QRS124" s="225"/>
      <c r="QRT124" s="225"/>
      <c r="QRU124" s="225"/>
      <c r="QRV124" s="225"/>
      <c r="QRW124" s="225"/>
      <c r="QRX124" s="225"/>
      <c r="QRY124" s="225"/>
      <c r="QRZ124" s="225"/>
      <c r="QSA124" s="225"/>
      <c r="QSB124" s="225"/>
      <c r="QSC124" s="225"/>
      <c r="QSD124" s="225"/>
      <c r="QSE124" s="225"/>
      <c r="QSF124" s="225"/>
      <c r="QSG124" s="225"/>
      <c r="QSH124" s="225"/>
      <c r="QSI124" s="225"/>
      <c r="QSJ124" s="225"/>
      <c r="QSK124" s="225"/>
      <c r="QSL124" s="225"/>
      <c r="QSM124" s="225"/>
      <c r="QSN124" s="225"/>
      <c r="QSO124" s="225"/>
      <c r="QSP124" s="225"/>
      <c r="QSQ124" s="225"/>
      <c r="QSR124" s="225"/>
      <c r="QSS124" s="225"/>
      <c r="QST124" s="225"/>
      <c r="QSU124" s="225"/>
      <c r="QSV124" s="225"/>
      <c r="QSW124" s="225"/>
      <c r="QSX124" s="225"/>
      <c r="QSY124" s="225"/>
      <c r="QSZ124" s="225"/>
      <c r="QTA124" s="225"/>
      <c r="QTB124" s="225"/>
      <c r="QTC124" s="225"/>
      <c r="QTD124" s="225"/>
      <c r="QTE124" s="225"/>
      <c r="QTF124" s="225"/>
      <c r="QTG124" s="225"/>
      <c r="QTH124" s="225"/>
      <c r="QTI124" s="225"/>
      <c r="QTJ124" s="225"/>
      <c r="QTK124" s="225"/>
      <c r="QTL124" s="225"/>
      <c r="QTM124" s="225"/>
      <c r="QTN124" s="225"/>
      <c r="QTO124" s="225"/>
      <c r="QTP124" s="225"/>
      <c r="QTQ124" s="225"/>
      <c r="QTR124" s="225"/>
      <c r="QTS124" s="225"/>
      <c r="QTT124" s="225"/>
      <c r="QTU124" s="225"/>
      <c r="QTV124" s="225"/>
      <c r="QTW124" s="225"/>
      <c r="QTX124" s="225"/>
      <c r="QTY124" s="225"/>
      <c r="QTZ124" s="225"/>
      <c r="QUA124" s="225"/>
      <c r="QUB124" s="225"/>
      <c r="QUC124" s="225"/>
      <c r="QUD124" s="225"/>
      <c r="QUE124" s="225"/>
      <c r="QUF124" s="225"/>
      <c r="QUG124" s="225"/>
      <c r="QUH124" s="225"/>
      <c r="QUI124" s="225"/>
      <c r="QUJ124" s="225"/>
      <c r="QUK124" s="225"/>
      <c r="QUL124" s="225"/>
      <c r="QUM124" s="225"/>
      <c r="QUN124" s="225"/>
      <c r="QUO124" s="225"/>
      <c r="QUP124" s="225"/>
      <c r="QUQ124" s="225"/>
      <c r="QUR124" s="225"/>
      <c r="QUS124" s="225"/>
      <c r="QUT124" s="225"/>
      <c r="QUU124" s="225"/>
      <c r="QUV124" s="225"/>
      <c r="QUW124" s="225"/>
      <c r="QUX124" s="225"/>
      <c r="QUY124" s="225"/>
      <c r="QUZ124" s="225"/>
      <c r="QVA124" s="225"/>
      <c r="QVB124" s="225"/>
      <c r="QVC124" s="225"/>
      <c r="QVD124" s="225"/>
      <c r="QVE124" s="225"/>
      <c r="QVF124" s="225"/>
      <c r="QVG124" s="225"/>
      <c r="QVH124" s="225"/>
      <c r="QVI124" s="225"/>
      <c r="QVJ124" s="225"/>
      <c r="QVK124" s="225"/>
      <c r="QVL124" s="225"/>
      <c r="QVM124" s="225"/>
      <c r="QVN124" s="225"/>
      <c r="QVO124" s="225"/>
      <c r="QVP124" s="225"/>
      <c r="QVQ124" s="225"/>
      <c r="QVR124" s="225"/>
      <c r="QVS124" s="225"/>
      <c r="QVT124" s="225"/>
      <c r="QVU124" s="225"/>
      <c r="QVV124" s="225"/>
      <c r="QVW124" s="225"/>
      <c r="QVX124" s="225"/>
      <c r="QVY124" s="225"/>
      <c r="QVZ124" s="225"/>
      <c r="QWA124" s="225"/>
      <c r="QWB124" s="225"/>
      <c r="QWC124" s="225"/>
      <c r="QWD124" s="225"/>
      <c r="QWE124" s="225"/>
      <c r="QWF124" s="225"/>
      <c r="QWG124" s="225"/>
      <c r="QWH124" s="225"/>
      <c r="QWI124" s="225"/>
      <c r="QWJ124" s="225"/>
      <c r="QWK124" s="225"/>
      <c r="QWL124" s="225"/>
      <c r="QWM124" s="225"/>
      <c r="QWN124" s="225"/>
      <c r="QWO124" s="225"/>
      <c r="QWP124" s="225"/>
      <c r="QWQ124" s="225"/>
      <c r="QWR124" s="225"/>
      <c r="QWS124" s="225"/>
      <c r="QWT124" s="225"/>
      <c r="QWU124" s="225"/>
      <c r="QWV124" s="225"/>
      <c r="QWW124" s="225"/>
      <c r="QWX124" s="225"/>
      <c r="QWY124" s="225"/>
      <c r="QWZ124" s="225"/>
      <c r="QXA124" s="225"/>
      <c r="QXB124" s="225"/>
      <c r="QXC124" s="225"/>
      <c r="QXD124" s="225"/>
      <c r="QXE124" s="225"/>
      <c r="QXF124" s="225"/>
      <c r="QXG124" s="225"/>
      <c r="QXH124" s="225"/>
      <c r="QXI124" s="225"/>
      <c r="QXJ124" s="225"/>
      <c r="QXK124" s="225"/>
      <c r="QXL124" s="225"/>
      <c r="QXM124" s="225"/>
      <c r="QXN124" s="225"/>
      <c r="QXO124" s="225"/>
      <c r="QXP124" s="225"/>
      <c r="QXQ124" s="225"/>
      <c r="QXR124" s="225"/>
      <c r="QXS124" s="225"/>
      <c r="QXT124" s="225"/>
      <c r="QXU124" s="225"/>
      <c r="QXV124" s="225"/>
      <c r="QXW124" s="225"/>
      <c r="QXX124" s="225"/>
      <c r="QXY124" s="225"/>
      <c r="QXZ124" s="225"/>
      <c r="QYA124" s="225"/>
      <c r="QYB124" s="225"/>
      <c r="QYC124" s="225"/>
      <c r="QYD124" s="225"/>
      <c r="QYE124" s="225"/>
      <c r="QYF124" s="225"/>
      <c r="QYG124" s="225"/>
      <c r="QYH124" s="225"/>
      <c r="QYI124" s="225"/>
      <c r="QYJ124" s="225"/>
      <c r="QYK124" s="225"/>
      <c r="QYL124" s="225"/>
      <c r="QYM124" s="225"/>
      <c r="QYN124" s="225"/>
      <c r="QYO124" s="225"/>
      <c r="QYP124" s="225"/>
      <c r="QYQ124" s="225"/>
      <c r="QYR124" s="225"/>
      <c r="QYS124" s="225"/>
      <c r="QYT124" s="225"/>
      <c r="QYU124" s="225"/>
      <c r="QYV124" s="225"/>
      <c r="QYW124" s="225"/>
      <c r="QYX124" s="225"/>
      <c r="QYY124" s="225"/>
      <c r="QYZ124" s="225"/>
      <c r="QZA124" s="225"/>
      <c r="QZB124" s="225"/>
      <c r="QZC124" s="225"/>
      <c r="QZD124" s="225"/>
      <c r="QZE124" s="225"/>
      <c r="QZF124" s="225"/>
      <c r="QZG124" s="225"/>
      <c r="QZH124" s="225"/>
      <c r="QZI124" s="225"/>
      <c r="QZJ124" s="225"/>
      <c r="QZK124" s="225"/>
      <c r="QZL124" s="225"/>
      <c r="QZM124" s="225"/>
      <c r="QZN124" s="225"/>
      <c r="QZO124" s="225"/>
      <c r="QZP124" s="225"/>
      <c r="QZQ124" s="225"/>
      <c r="QZR124" s="225"/>
      <c r="QZS124" s="225"/>
      <c r="QZT124" s="225"/>
      <c r="QZU124" s="225"/>
      <c r="QZV124" s="225"/>
      <c r="QZW124" s="225"/>
      <c r="QZX124" s="225"/>
      <c r="QZY124" s="225"/>
      <c r="QZZ124" s="225"/>
      <c r="RAA124" s="225"/>
      <c r="RAB124" s="225"/>
      <c r="RAC124" s="225"/>
      <c r="RAD124" s="225"/>
      <c r="RAE124" s="225"/>
      <c r="RAF124" s="225"/>
      <c r="RAG124" s="225"/>
      <c r="RAH124" s="225"/>
      <c r="RAI124" s="225"/>
      <c r="RAJ124" s="225"/>
      <c r="RAK124" s="225"/>
      <c r="RAL124" s="225"/>
      <c r="RAM124" s="225"/>
      <c r="RAN124" s="225"/>
      <c r="RAO124" s="225"/>
      <c r="RAP124" s="225"/>
      <c r="RAQ124" s="225"/>
      <c r="RAR124" s="225"/>
      <c r="RAS124" s="225"/>
      <c r="RAT124" s="225"/>
      <c r="RAU124" s="225"/>
      <c r="RAV124" s="225"/>
      <c r="RAW124" s="225"/>
      <c r="RAX124" s="225"/>
      <c r="RAY124" s="225"/>
      <c r="RAZ124" s="225"/>
      <c r="RBA124" s="225"/>
      <c r="RBB124" s="225"/>
      <c r="RBC124" s="225"/>
      <c r="RBD124" s="225"/>
      <c r="RBE124" s="225"/>
      <c r="RBF124" s="225"/>
      <c r="RBG124" s="225"/>
      <c r="RBH124" s="225"/>
      <c r="RBI124" s="225"/>
      <c r="RBJ124" s="225"/>
      <c r="RBK124" s="225"/>
      <c r="RBL124" s="225"/>
      <c r="RBM124" s="225"/>
      <c r="RBN124" s="225"/>
      <c r="RBO124" s="225"/>
      <c r="RBP124" s="225"/>
      <c r="RBQ124" s="225"/>
      <c r="RBR124" s="225"/>
      <c r="RBS124" s="225"/>
      <c r="RBT124" s="225"/>
      <c r="RBU124" s="225"/>
      <c r="RBV124" s="225"/>
      <c r="RBW124" s="225"/>
      <c r="RBX124" s="225"/>
      <c r="RBY124" s="225"/>
      <c r="RBZ124" s="225"/>
      <c r="RCA124" s="225"/>
      <c r="RCB124" s="225"/>
      <c r="RCC124" s="225"/>
      <c r="RCD124" s="225"/>
      <c r="RCE124" s="225"/>
      <c r="RCF124" s="225"/>
      <c r="RCG124" s="225"/>
      <c r="RCH124" s="225"/>
      <c r="RCI124" s="225"/>
      <c r="RCJ124" s="225"/>
      <c r="RCK124" s="225"/>
      <c r="RCL124" s="225"/>
      <c r="RCM124" s="225"/>
      <c r="RCN124" s="225"/>
      <c r="RCO124" s="225"/>
      <c r="RCP124" s="225"/>
      <c r="RCQ124" s="225"/>
      <c r="RCR124" s="225"/>
      <c r="RCS124" s="225"/>
      <c r="RCT124" s="225"/>
      <c r="RCU124" s="225"/>
      <c r="RCV124" s="225"/>
      <c r="RCW124" s="225"/>
      <c r="RCX124" s="225"/>
      <c r="RCY124" s="225"/>
      <c r="RCZ124" s="225"/>
      <c r="RDA124" s="225"/>
      <c r="RDB124" s="225"/>
      <c r="RDC124" s="225"/>
      <c r="RDD124" s="225"/>
      <c r="RDE124" s="225"/>
      <c r="RDF124" s="225"/>
      <c r="RDG124" s="225"/>
      <c r="RDH124" s="225"/>
      <c r="RDI124" s="225"/>
      <c r="RDJ124" s="225"/>
      <c r="RDK124" s="225"/>
      <c r="RDL124" s="225"/>
      <c r="RDM124" s="225"/>
      <c r="RDN124" s="225"/>
      <c r="RDO124" s="225"/>
      <c r="RDP124" s="225"/>
      <c r="RDQ124" s="225"/>
      <c r="RDR124" s="225"/>
      <c r="RDS124" s="225"/>
      <c r="RDT124" s="225"/>
      <c r="RDU124" s="225"/>
      <c r="RDV124" s="225"/>
      <c r="RDW124" s="225"/>
      <c r="RDX124" s="225"/>
      <c r="RDY124" s="225"/>
      <c r="RDZ124" s="225"/>
      <c r="REA124" s="225"/>
      <c r="REB124" s="225"/>
      <c r="REC124" s="225"/>
      <c r="RED124" s="225"/>
      <c r="REE124" s="225"/>
      <c r="REF124" s="225"/>
      <c r="REG124" s="225"/>
      <c r="REH124" s="225"/>
      <c r="REI124" s="225"/>
      <c r="REJ124" s="225"/>
      <c r="REK124" s="225"/>
      <c r="REL124" s="225"/>
      <c r="REM124" s="225"/>
      <c r="REN124" s="225"/>
      <c r="REO124" s="225"/>
      <c r="REP124" s="225"/>
      <c r="REQ124" s="225"/>
      <c r="RER124" s="225"/>
      <c r="RES124" s="225"/>
      <c r="RET124" s="225"/>
      <c r="REU124" s="225"/>
      <c r="REV124" s="225"/>
      <c r="REW124" s="225"/>
      <c r="REX124" s="225"/>
      <c r="REY124" s="225"/>
      <c r="REZ124" s="225"/>
      <c r="RFA124" s="225"/>
      <c r="RFB124" s="225"/>
      <c r="RFC124" s="225"/>
      <c r="RFD124" s="225"/>
      <c r="RFE124" s="225"/>
      <c r="RFF124" s="225"/>
      <c r="RFG124" s="225"/>
      <c r="RFH124" s="225"/>
      <c r="RFI124" s="225"/>
      <c r="RFJ124" s="225"/>
      <c r="RFK124" s="225"/>
      <c r="RFL124" s="225"/>
      <c r="RFM124" s="225"/>
      <c r="RFN124" s="225"/>
      <c r="RFO124" s="225"/>
      <c r="RFP124" s="225"/>
      <c r="RFQ124" s="225"/>
      <c r="RFR124" s="225"/>
      <c r="RFS124" s="225"/>
      <c r="RFT124" s="225"/>
      <c r="RFU124" s="225"/>
      <c r="RFV124" s="225"/>
      <c r="RFW124" s="225"/>
      <c r="RFX124" s="225"/>
      <c r="RFY124" s="225"/>
      <c r="RFZ124" s="225"/>
      <c r="RGA124" s="225"/>
      <c r="RGB124" s="225"/>
      <c r="RGC124" s="225"/>
      <c r="RGD124" s="225"/>
      <c r="RGE124" s="225"/>
      <c r="RGF124" s="225"/>
      <c r="RGG124" s="225"/>
      <c r="RGH124" s="225"/>
      <c r="RGI124" s="225"/>
      <c r="RGJ124" s="225"/>
      <c r="RGK124" s="225"/>
      <c r="RGL124" s="225"/>
      <c r="RGM124" s="225"/>
      <c r="RGN124" s="225"/>
      <c r="RGO124" s="225"/>
      <c r="RGP124" s="225"/>
      <c r="RGQ124" s="225"/>
      <c r="RGR124" s="225"/>
      <c r="RGS124" s="225"/>
      <c r="RGT124" s="225"/>
      <c r="RGU124" s="225"/>
      <c r="RGV124" s="225"/>
      <c r="RGW124" s="225"/>
      <c r="RGX124" s="225"/>
      <c r="RGY124" s="225"/>
      <c r="RGZ124" s="225"/>
      <c r="RHA124" s="225"/>
      <c r="RHB124" s="225"/>
      <c r="RHC124" s="225"/>
      <c r="RHD124" s="225"/>
      <c r="RHE124" s="225"/>
      <c r="RHF124" s="225"/>
      <c r="RHG124" s="225"/>
      <c r="RHH124" s="225"/>
      <c r="RHI124" s="225"/>
      <c r="RHJ124" s="225"/>
      <c r="RHK124" s="225"/>
      <c r="RHL124" s="225"/>
      <c r="RHM124" s="225"/>
      <c r="RHN124" s="225"/>
      <c r="RHO124" s="225"/>
      <c r="RHP124" s="225"/>
      <c r="RHQ124" s="225"/>
      <c r="RHR124" s="225"/>
      <c r="RHS124" s="225"/>
      <c r="RHT124" s="225"/>
      <c r="RHU124" s="225"/>
      <c r="RHV124" s="225"/>
      <c r="RHW124" s="225"/>
      <c r="RHX124" s="225"/>
      <c r="RHY124" s="225"/>
      <c r="RHZ124" s="225"/>
      <c r="RIA124" s="225"/>
      <c r="RIB124" s="225"/>
      <c r="RIC124" s="225"/>
      <c r="RID124" s="225"/>
      <c r="RIE124" s="225"/>
      <c r="RIF124" s="225"/>
      <c r="RIG124" s="225"/>
      <c r="RIH124" s="225"/>
      <c r="RII124" s="225"/>
      <c r="RIJ124" s="225"/>
      <c r="RIK124" s="225"/>
      <c r="RIL124" s="225"/>
      <c r="RIM124" s="225"/>
      <c r="RIN124" s="225"/>
      <c r="RIO124" s="225"/>
      <c r="RIP124" s="225"/>
      <c r="RIQ124" s="225"/>
      <c r="RIR124" s="225"/>
      <c r="RIS124" s="225"/>
      <c r="RIT124" s="225"/>
      <c r="RIU124" s="225"/>
      <c r="RIV124" s="225"/>
      <c r="RIW124" s="225"/>
      <c r="RIX124" s="225"/>
      <c r="RIY124" s="225"/>
      <c r="RIZ124" s="225"/>
      <c r="RJA124" s="225"/>
      <c r="RJB124" s="225"/>
      <c r="RJC124" s="225"/>
      <c r="RJD124" s="225"/>
      <c r="RJE124" s="225"/>
      <c r="RJF124" s="225"/>
      <c r="RJG124" s="225"/>
      <c r="RJH124" s="225"/>
      <c r="RJI124" s="225"/>
      <c r="RJJ124" s="225"/>
      <c r="RJK124" s="225"/>
      <c r="RJL124" s="225"/>
      <c r="RJM124" s="225"/>
      <c r="RJN124" s="225"/>
      <c r="RJO124" s="225"/>
      <c r="RJP124" s="225"/>
      <c r="RJQ124" s="225"/>
      <c r="RJR124" s="225"/>
      <c r="RJS124" s="225"/>
      <c r="RJT124" s="225"/>
      <c r="RJU124" s="225"/>
      <c r="RJV124" s="225"/>
      <c r="RJW124" s="225"/>
      <c r="RJX124" s="225"/>
      <c r="RJY124" s="225"/>
      <c r="RJZ124" s="225"/>
      <c r="RKA124" s="225"/>
      <c r="RKB124" s="225"/>
      <c r="RKC124" s="225"/>
      <c r="RKD124" s="225"/>
      <c r="RKE124" s="225"/>
      <c r="RKF124" s="225"/>
      <c r="RKG124" s="225"/>
      <c r="RKH124" s="225"/>
      <c r="RKI124" s="225"/>
      <c r="RKJ124" s="225"/>
      <c r="RKK124" s="225"/>
      <c r="RKL124" s="225"/>
      <c r="RKM124" s="225"/>
      <c r="RKN124" s="225"/>
      <c r="RKO124" s="225"/>
      <c r="RKP124" s="225"/>
      <c r="RKQ124" s="225"/>
      <c r="RKR124" s="225"/>
      <c r="RKS124" s="225"/>
      <c r="RKT124" s="225"/>
      <c r="RKU124" s="225"/>
      <c r="RKV124" s="225"/>
      <c r="RKW124" s="225"/>
      <c r="RKX124" s="225"/>
      <c r="RKY124" s="225"/>
      <c r="RKZ124" s="225"/>
      <c r="RLA124" s="225"/>
      <c r="RLB124" s="225"/>
      <c r="RLC124" s="225"/>
      <c r="RLD124" s="225"/>
      <c r="RLE124" s="225"/>
      <c r="RLF124" s="225"/>
      <c r="RLG124" s="225"/>
      <c r="RLH124" s="225"/>
      <c r="RLI124" s="225"/>
      <c r="RLJ124" s="225"/>
      <c r="RLK124" s="225"/>
      <c r="RLL124" s="225"/>
      <c r="RLM124" s="225"/>
      <c r="RLN124" s="225"/>
      <c r="RLO124" s="225"/>
      <c r="RLP124" s="225"/>
      <c r="RLQ124" s="225"/>
      <c r="RLR124" s="225"/>
      <c r="RLS124" s="225"/>
      <c r="RLT124" s="225"/>
      <c r="RLU124" s="225"/>
      <c r="RLV124" s="225"/>
      <c r="RLW124" s="225"/>
      <c r="RLX124" s="225"/>
      <c r="RLY124" s="225"/>
      <c r="RLZ124" s="225"/>
      <c r="RMA124" s="225"/>
      <c r="RMB124" s="225"/>
      <c r="RMC124" s="225"/>
      <c r="RMD124" s="225"/>
      <c r="RME124" s="225"/>
      <c r="RMF124" s="225"/>
      <c r="RMG124" s="225"/>
      <c r="RMH124" s="225"/>
      <c r="RMI124" s="225"/>
      <c r="RMJ124" s="225"/>
      <c r="RMK124" s="225"/>
      <c r="RML124" s="225"/>
      <c r="RMM124" s="225"/>
      <c r="RMN124" s="225"/>
      <c r="RMO124" s="225"/>
      <c r="RMP124" s="225"/>
      <c r="RMQ124" s="225"/>
      <c r="RMR124" s="225"/>
      <c r="RMS124" s="225"/>
      <c r="RMT124" s="225"/>
      <c r="RMU124" s="225"/>
      <c r="RMV124" s="225"/>
      <c r="RMW124" s="225"/>
      <c r="RMX124" s="225"/>
      <c r="RMY124" s="225"/>
      <c r="RMZ124" s="225"/>
      <c r="RNA124" s="225"/>
      <c r="RNB124" s="225"/>
      <c r="RNC124" s="225"/>
      <c r="RND124" s="225"/>
      <c r="RNE124" s="225"/>
      <c r="RNF124" s="225"/>
      <c r="RNG124" s="225"/>
      <c r="RNH124" s="225"/>
      <c r="RNI124" s="225"/>
      <c r="RNJ124" s="225"/>
      <c r="RNK124" s="225"/>
      <c r="RNL124" s="225"/>
      <c r="RNM124" s="225"/>
      <c r="RNN124" s="225"/>
      <c r="RNO124" s="225"/>
      <c r="RNP124" s="225"/>
      <c r="RNQ124" s="225"/>
      <c r="RNR124" s="225"/>
      <c r="RNS124" s="225"/>
      <c r="RNT124" s="225"/>
      <c r="RNU124" s="225"/>
      <c r="RNV124" s="225"/>
      <c r="RNW124" s="225"/>
      <c r="RNX124" s="225"/>
      <c r="RNY124" s="225"/>
      <c r="RNZ124" s="225"/>
      <c r="ROA124" s="225"/>
      <c r="ROB124" s="225"/>
      <c r="ROC124" s="225"/>
      <c r="ROD124" s="225"/>
      <c r="ROE124" s="225"/>
      <c r="ROF124" s="225"/>
      <c r="ROG124" s="225"/>
      <c r="ROH124" s="225"/>
      <c r="ROI124" s="225"/>
      <c r="ROJ124" s="225"/>
      <c r="ROK124" s="225"/>
      <c r="ROL124" s="225"/>
      <c r="ROM124" s="225"/>
      <c r="RON124" s="225"/>
      <c r="ROO124" s="225"/>
      <c r="ROP124" s="225"/>
      <c r="ROQ124" s="225"/>
      <c r="ROR124" s="225"/>
      <c r="ROS124" s="225"/>
      <c r="ROT124" s="225"/>
      <c r="ROU124" s="225"/>
      <c r="ROV124" s="225"/>
      <c r="ROW124" s="225"/>
      <c r="ROX124" s="225"/>
      <c r="ROY124" s="225"/>
      <c r="ROZ124" s="225"/>
      <c r="RPA124" s="225"/>
      <c r="RPB124" s="225"/>
      <c r="RPC124" s="225"/>
      <c r="RPD124" s="225"/>
      <c r="RPE124" s="225"/>
      <c r="RPF124" s="225"/>
      <c r="RPG124" s="225"/>
      <c r="RPH124" s="225"/>
      <c r="RPI124" s="225"/>
      <c r="RPJ124" s="225"/>
      <c r="RPK124" s="225"/>
      <c r="RPL124" s="225"/>
      <c r="RPM124" s="225"/>
      <c r="RPN124" s="225"/>
      <c r="RPO124" s="225"/>
      <c r="RPP124" s="225"/>
      <c r="RPQ124" s="225"/>
      <c r="RPR124" s="225"/>
      <c r="RPS124" s="225"/>
      <c r="RPT124" s="225"/>
      <c r="RPU124" s="225"/>
      <c r="RPV124" s="225"/>
      <c r="RPW124" s="225"/>
      <c r="RPX124" s="225"/>
      <c r="RPY124" s="225"/>
      <c r="RPZ124" s="225"/>
      <c r="RQA124" s="225"/>
      <c r="RQB124" s="225"/>
      <c r="RQC124" s="225"/>
      <c r="RQD124" s="225"/>
      <c r="RQE124" s="225"/>
      <c r="RQF124" s="225"/>
      <c r="RQG124" s="225"/>
      <c r="RQH124" s="225"/>
      <c r="RQI124" s="225"/>
      <c r="RQJ124" s="225"/>
      <c r="RQK124" s="225"/>
      <c r="RQL124" s="225"/>
      <c r="RQM124" s="225"/>
      <c r="RQN124" s="225"/>
      <c r="RQO124" s="225"/>
      <c r="RQP124" s="225"/>
      <c r="RQQ124" s="225"/>
      <c r="RQR124" s="225"/>
      <c r="RQS124" s="225"/>
      <c r="RQT124" s="225"/>
      <c r="RQU124" s="225"/>
      <c r="RQV124" s="225"/>
      <c r="RQW124" s="225"/>
      <c r="RQX124" s="225"/>
      <c r="RQY124" s="225"/>
      <c r="RQZ124" s="225"/>
      <c r="RRA124" s="225"/>
      <c r="RRB124" s="225"/>
      <c r="RRC124" s="225"/>
      <c r="RRD124" s="225"/>
      <c r="RRE124" s="225"/>
      <c r="RRF124" s="225"/>
      <c r="RRG124" s="225"/>
      <c r="RRH124" s="225"/>
      <c r="RRI124" s="225"/>
      <c r="RRJ124" s="225"/>
      <c r="RRK124" s="225"/>
      <c r="RRL124" s="225"/>
      <c r="RRM124" s="225"/>
      <c r="RRN124" s="225"/>
      <c r="RRO124" s="225"/>
      <c r="RRP124" s="225"/>
      <c r="RRQ124" s="225"/>
      <c r="RRR124" s="225"/>
      <c r="RRS124" s="225"/>
      <c r="RRT124" s="225"/>
      <c r="RRU124" s="225"/>
      <c r="RRV124" s="225"/>
      <c r="RRW124" s="225"/>
      <c r="RRX124" s="225"/>
      <c r="RRY124" s="225"/>
      <c r="RRZ124" s="225"/>
      <c r="RSA124" s="225"/>
      <c r="RSB124" s="225"/>
      <c r="RSC124" s="225"/>
      <c r="RSD124" s="225"/>
      <c r="RSE124" s="225"/>
      <c r="RSF124" s="225"/>
      <c r="RSG124" s="225"/>
      <c r="RSH124" s="225"/>
      <c r="RSI124" s="225"/>
      <c r="RSJ124" s="225"/>
      <c r="RSK124" s="225"/>
      <c r="RSL124" s="225"/>
      <c r="RSM124" s="225"/>
      <c r="RSN124" s="225"/>
      <c r="RSO124" s="225"/>
      <c r="RSP124" s="225"/>
      <c r="RSQ124" s="225"/>
      <c r="RSR124" s="225"/>
      <c r="RSS124" s="225"/>
      <c r="RST124" s="225"/>
      <c r="RSU124" s="225"/>
      <c r="RSV124" s="225"/>
      <c r="RSW124" s="225"/>
      <c r="RSX124" s="225"/>
      <c r="RSY124" s="225"/>
      <c r="RSZ124" s="225"/>
      <c r="RTA124" s="225"/>
      <c r="RTB124" s="225"/>
      <c r="RTC124" s="225"/>
      <c r="RTD124" s="225"/>
      <c r="RTE124" s="225"/>
      <c r="RTF124" s="225"/>
      <c r="RTG124" s="225"/>
      <c r="RTH124" s="225"/>
      <c r="RTI124" s="225"/>
      <c r="RTJ124" s="225"/>
      <c r="RTK124" s="225"/>
      <c r="RTL124" s="225"/>
      <c r="RTM124" s="225"/>
      <c r="RTN124" s="225"/>
      <c r="RTO124" s="225"/>
      <c r="RTP124" s="225"/>
      <c r="RTQ124" s="225"/>
      <c r="RTR124" s="225"/>
      <c r="RTS124" s="225"/>
      <c r="RTT124" s="225"/>
      <c r="RTU124" s="225"/>
      <c r="RTV124" s="225"/>
      <c r="RTW124" s="225"/>
      <c r="RTX124" s="225"/>
      <c r="RTY124" s="225"/>
      <c r="RTZ124" s="225"/>
      <c r="RUA124" s="225"/>
      <c r="RUB124" s="225"/>
      <c r="RUC124" s="225"/>
      <c r="RUD124" s="225"/>
      <c r="RUE124" s="225"/>
      <c r="RUF124" s="225"/>
      <c r="RUG124" s="225"/>
      <c r="RUH124" s="225"/>
      <c r="RUI124" s="225"/>
      <c r="RUJ124" s="225"/>
      <c r="RUK124" s="225"/>
      <c r="RUL124" s="225"/>
      <c r="RUM124" s="225"/>
      <c r="RUN124" s="225"/>
      <c r="RUO124" s="225"/>
      <c r="RUP124" s="225"/>
      <c r="RUQ124" s="225"/>
      <c r="RUR124" s="225"/>
      <c r="RUS124" s="225"/>
      <c r="RUT124" s="225"/>
      <c r="RUU124" s="225"/>
      <c r="RUV124" s="225"/>
      <c r="RUW124" s="225"/>
      <c r="RUX124" s="225"/>
      <c r="RUY124" s="225"/>
      <c r="RUZ124" s="225"/>
      <c r="RVA124" s="225"/>
      <c r="RVB124" s="225"/>
      <c r="RVC124" s="225"/>
      <c r="RVD124" s="225"/>
      <c r="RVE124" s="225"/>
      <c r="RVF124" s="225"/>
      <c r="RVG124" s="225"/>
      <c r="RVH124" s="225"/>
      <c r="RVI124" s="225"/>
      <c r="RVJ124" s="225"/>
      <c r="RVK124" s="225"/>
      <c r="RVL124" s="225"/>
      <c r="RVM124" s="225"/>
      <c r="RVN124" s="225"/>
      <c r="RVO124" s="225"/>
      <c r="RVP124" s="225"/>
      <c r="RVQ124" s="225"/>
      <c r="RVR124" s="225"/>
      <c r="RVS124" s="225"/>
      <c r="RVT124" s="225"/>
      <c r="RVU124" s="225"/>
      <c r="RVV124" s="225"/>
      <c r="RVW124" s="225"/>
      <c r="RVX124" s="225"/>
      <c r="RVY124" s="225"/>
      <c r="RVZ124" s="225"/>
      <c r="RWA124" s="225"/>
      <c r="RWB124" s="225"/>
      <c r="RWC124" s="225"/>
      <c r="RWD124" s="225"/>
      <c r="RWE124" s="225"/>
      <c r="RWF124" s="225"/>
      <c r="RWG124" s="225"/>
      <c r="RWH124" s="225"/>
      <c r="RWI124" s="225"/>
      <c r="RWJ124" s="225"/>
      <c r="RWK124" s="225"/>
      <c r="RWL124" s="225"/>
      <c r="RWM124" s="225"/>
      <c r="RWN124" s="225"/>
      <c r="RWO124" s="225"/>
      <c r="RWP124" s="225"/>
      <c r="RWQ124" s="225"/>
      <c r="RWR124" s="225"/>
      <c r="RWS124" s="225"/>
      <c r="RWT124" s="225"/>
      <c r="RWU124" s="225"/>
      <c r="RWV124" s="225"/>
      <c r="RWW124" s="225"/>
      <c r="RWX124" s="225"/>
      <c r="RWY124" s="225"/>
      <c r="RWZ124" s="225"/>
      <c r="RXA124" s="225"/>
      <c r="RXB124" s="225"/>
      <c r="RXC124" s="225"/>
      <c r="RXD124" s="225"/>
      <c r="RXE124" s="225"/>
      <c r="RXF124" s="225"/>
      <c r="RXG124" s="225"/>
      <c r="RXH124" s="225"/>
      <c r="RXI124" s="225"/>
      <c r="RXJ124" s="225"/>
      <c r="RXK124" s="225"/>
      <c r="RXL124" s="225"/>
      <c r="RXM124" s="225"/>
      <c r="RXN124" s="225"/>
      <c r="RXO124" s="225"/>
      <c r="RXP124" s="225"/>
      <c r="RXQ124" s="225"/>
      <c r="RXR124" s="225"/>
      <c r="RXS124" s="225"/>
      <c r="RXT124" s="225"/>
      <c r="RXU124" s="225"/>
      <c r="RXV124" s="225"/>
      <c r="RXW124" s="225"/>
      <c r="RXX124" s="225"/>
      <c r="RXY124" s="225"/>
      <c r="RXZ124" s="225"/>
      <c r="RYA124" s="225"/>
      <c r="RYB124" s="225"/>
      <c r="RYC124" s="225"/>
      <c r="RYD124" s="225"/>
      <c r="RYE124" s="225"/>
      <c r="RYF124" s="225"/>
      <c r="RYG124" s="225"/>
      <c r="RYH124" s="225"/>
      <c r="RYI124" s="225"/>
      <c r="RYJ124" s="225"/>
      <c r="RYK124" s="225"/>
      <c r="RYL124" s="225"/>
      <c r="RYM124" s="225"/>
      <c r="RYN124" s="225"/>
      <c r="RYO124" s="225"/>
      <c r="RYP124" s="225"/>
      <c r="RYQ124" s="225"/>
      <c r="RYR124" s="225"/>
      <c r="RYS124" s="225"/>
      <c r="RYT124" s="225"/>
      <c r="RYU124" s="225"/>
      <c r="RYV124" s="225"/>
      <c r="RYW124" s="225"/>
      <c r="RYX124" s="225"/>
      <c r="RYY124" s="225"/>
      <c r="RYZ124" s="225"/>
      <c r="RZA124" s="225"/>
      <c r="RZB124" s="225"/>
      <c r="RZC124" s="225"/>
      <c r="RZD124" s="225"/>
      <c r="RZE124" s="225"/>
      <c r="RZF124" s="225"/>
      <c r="RZG124" s="225"/>
      <c r="RZH124" s="225"/>
      <c r="RZI124" s="225"/>
      <c r="RZJ124" s="225"/>
      <c r="RZK124" s="225"/>
      <c r="RZL124" s="225"/>
      <c r="RZM124" s="225"/>
      <c r="RZN124" s="225"/>
      <c r="RZO124" s="225"/>
      <c r="RZP124" s="225"/>
      <c r="RZQ124" s="225"/>
      <c r="RZR124" s="225"/>
      <c r="RZS124" s="225"/>
      <c r="RZT124" s="225"/>
      <c r="RZU124" s="225"/>
      <c r="RZV124" s="225"/>
      <c r="RZW124" s="225"/>
      <c r="RZX124" s="225"/>
      <c r="RZY124" s="225"/>
      <c r="RZZ124" s="225"/>
      <c r="SAA124" s="225"/>
      <c r="SAB124" s="225"/>
      <c r="SAC124" s="225"/>
      <c r="SAD124" s="225"/>
      <c r="SAE124" s="225"/>
      <c r="SAF124" s="225"/>
      <c r="SAG124" s="225"/>
      <c r="SAH124" s="225"/>
      <c r="SAI124" s="225"/>
      <c r="SAJ124" s="225"/>
      <c r="SAK124" s="225"/>
      <c r="SAL124" s="225"/>
      <c r="SAM124" s="225"/>
      <c r="SAN124" s="225"/>
      <c r="SAO124" s="225"/>
      <c r="SAP124" s="225"/>
      <c r="SAQ124" s="225"/>
      <c r="SAR124" s="225"/>
      <c r="SAS124" s="225"/>
      <c r="SAT124" s="225"/>
      <c r="SAU124" s="225"/>
      <c r="SAV124" s="225"/>
      <c r="SAW124" s="225"/>
      <c r="SAX124" s="225"/>
      <c r="SAY124" s="225"/>
      <c r="SAZ124" s="225"/>
      <c r="SBA124" s="225"/>
      <c r="SBB124" s="225"/>
      <c r="SBC124" s="225"/>
      <c r="SBD124" s="225"/>
      <c r="SBE124" s="225"/>
      <c r="SBF124" s="225"/>
      <c r="SBG124" s="225"/>
      <c r="SBH124" s="225"/>
      <c r="SBI124" s="225"/>
      <c r="SBJ124" s="225"/>
      <c r="SBK124" s="225"/>
      <c r="SBL124" s="225"/>
      <c r="SBM124" s="225"/>
      <c r="SBN124" s="225"/>
      <c r="SBO124" s="225"/>
      <c r="SBP124" s="225"/>
      <c r="SBQ124" s="225"/>
      <c r="SBR124" s="225"/>
      <c r="SBS124" s="225"/>
      <c r="SBT124" s="225"/>
      <c r="SBU124" s="225"/>
      <c r="SBV124" s="225"/>
      <c r="SBW124" s="225"/>
      <c r="SBX124" s="225"/>
      <c r="SBY124" s="225"/>
      <c r="SBZ124" s="225"/>
      <c r="SCA124" s="225"/>
      <c r="SCB124" s="225"/>
      <c r="SCC124" s="225"/>
      <c r="SCD124" s="225"/>
      <c r="SCE124" s="225"/>
      <c r="SCF124" s="225"/>
      <c r="SCG124" s="225"/>
      <c r="SCH124" s="225"/>
      <c r="SCI124" s="225"/>
      <c r="SCJ124" s="225"/>
      <c r="SCK124" s="225"/>
      <c r="SCL124" s="225"/>
      <c r="SCM124" s="225"/>
      <c r="SCN124" s="225"/>
      <c r="SCO124" s="225"/>
      <c r="SCP124" s="225"/>
      <c r="SCQ124" s="225"/>
      <c r="SCR124" s="225"/>
      <c r="SCS124" s="225"/>
      <c r="SCT124" s="225"/>
      <c r="SCU124" s="225"/>
      <c r="SCV124" s="225"/>
      <c r="SCW124" s="225"/>
      <c r="SCX124" s="225"/>
      <c r="SCY124" s="225"/>
      <c r="SCZ124" s="225"/>
      <c r="SDA124" s="225"/>
      <c r="SDB124" s="225"/>
      <c r="SDC124" s="225"/>
      <c r="SDD124" s="225"/>
      <c r="SDE124" s="225"/>
      <c r="SDF124" s="225"/>
      <c r="SDG124" s="225"/>
      <c r="SDH124" s="225"/>
      <c r="SDI124" s="225"/>
      <c r="SDJ124" s="225"/>
      <c r="SDK124" s="225"/>
      <c r="SDL124" s="225"/>
      <c r="SDM124" s="225"/>
      <c r="SDN124" s="225"/>
      <c r="SDO124" s="225"/>
      <c r="SDP124" s="225"/>
      <c r="SDQ124" s="225"/>
      <c r="SDR124" s="225"/>
      <c r="SDS124" s="225"/>
      <c r="SDT124" s="225"/>
      <c r="SDU124" s="225"/>
      <c r="SDV124" s="225"/>
      <c r="SDW124" s="225"/>
      <c r="SDX124" s="225"/>
      <c r="SDY124" s="225"/>
      <c r="SDZ124" s="225"/>
      <c r="SEA124" s="225"/>
      <c r="SEB124" s="225"/>
      <c r="SEC124" s="225"/>
      <c r="SED124" s="225"/>
      <c r="SEE124" s="225"/>
      <c r="SEF124" s="225"/>
      <c r="SEG124" s="225"/>
      <c r="SEH124" s="225"/>
      <c r="SEI124" s="225"/>
      <c r="SEJ124" s="225"/>
      <c r="SEK124" s="225"/>
      <c r="SEL124" s="225"/>
      <c r="SEM124" s="225"/>
      <c r="SEN124" s="225"/>
      <c r="SEO124" s="225"/>
      <c r="SEP124" s="225"/>
      <c r="SEQ124" s="225"/>
      <c r="SER124" s="225"/>
      <c r="SES124" s="225"/>
      <c r="SET124" s="225"/>
      <c r="SEU124" s="225"/>
      <c r="SEV124" s="225"/>
      <c r="SEW124" s="225"/>
      <c r="SEX124" s="225"/>
      <c r="SEY124" s="225"/>
      <c r="SEZ124" s="225"/>
      <c r="SFA124" s="225"/>
      <c r="SFB124" s="225"/>
      <c r="SFC124" s="225"/>
      <c r="SFD124" s="225"/>
      <c r="SFE124" s="225"/>
      <c r="SFF124" s="225"/>
      <c r="SFG124" s="225"/>
      <c r="SFH124" s="225"/>
      <c r="SFI124" s="225"/>
      <c r="SFJ124" s="225"/>
      <c r="SFK124" s="225"/>
      <c r="SFL124" s="225"/>
      <c r="SFM124" s="225"/>
      <c r="SFN124" s="225"/>
      <c r="SFO124" s="225"/>
      <c r="SFP124" s="225"/>
      <c r="SFQ124" s="225"/>
      <c r="SFR124" s="225"/>
      <c r="SFS124" s="225"/>
      <c r="SFT124" s="225"/>
      <c r="SFU124" s="225"/>
      <c r="SFV124" s="225"/>
      <c r="SFW124" s="225"/>
      <c r="SFX124" s="225"/>
      <c r="SFY124" s="225"/>
      <c r="SFZ124" s="225"/>
      <c r="SGA124" s="225"/>
      <c r="SGB124" s="225"/>
      <c r="SGC124" s="225"/>
      <c r="SGD124" s="225"/>
      <c r="SGE124" s="225"/>
      <c r="SGF124" s="225"/>
      <c r="SGG124" s="225"/>
      <c r="SGH124" s="225"/>
      <c r="SGI124" s="225"/>
      <c r="SGJ124" s="225"/>
      <c r="SGK124" s="225"/>
      <c r="SGL124" s="225"/>
      <c r="SGM124" s="225"/>
      <c r="SGN124" s="225"/>
      <c r="SGO124" s="225"/>
      <c r="SGP124" s="225"/>
      <c r="SGQ124" s="225"/>
      <c r="SGR124" s="225"/>
      <c r="SGS124" s="225"/>
      <c r="SGT124" s="225"/>
      <c r="SGU124" s="225"/>
      <c r="SGV124" s="225"/>
      <c r="SGW124" s="225"/>
      <c r="SGX124" s="225"/>
      <c r="SGY124" s="225"/>
      <c r="SGZ124" s="225"/>
      <c r="SHA124" s="225"/>
      <c r="SHB124" s="225"/>
      <c r="SHC124" s="225"/>
      <c r="SHD124" s="225"/>
      <c r="SHE124" s="225"/>
      <c r="SHF124" s="225"/>
      <c r="SHG124" s="225"/>
      <c r="SHH124" s="225"/>
      <c r="SHI124" s="225"/>
      <c r="SHJ124" s="225"/>
      <c r="SHK124" s="225"/>
      <c r="SHL124" s="225"/>
      <c r="SHM124" s="225"/>
      <c r="SHN124" s="225"/>
      <c r="SHO124" s="225"/>
      <c r="SHP124" s="225"/>
      <c r="SHQ124" s="225"/>
      <c r="SHR124" s="225"/>
      <c r="SHS124" s="225"/>
      <c r="SHT124" s="225"/>
      <c r="SHU124" s="225"/>
      <c r="SHV124" s="225"/>
      <c r="SHW124" s="225"/>
      <c r="SHX124" s="225"/>
      <c r="SHY124" s="225"/>
      <c r="SHZ124" s="225"/>
      <c r="SIA124" s="225"/>
      <c r="SIB124" s="225"/>
      <c r="SIC124" s="225"/>
      <c r="SID124" s="225"/>
      <c r="SIE124" s="225"/>
      <c r="SIF124" s="225"/>
      <c r="SIG124" s="225"/>
      <c r="SIH124" s="225"/>
      <c r="SII124" s="225"/>
      <c r="SIJ124" s="225"/>
      <c r="SIK124" s="225"/>
      <c r="SIL124" s="225"/>
      <c r="SIM124" s="225"/>
      <c r="SIN124" s="225"/>
      <c r="SIO124" s="225"/>
      <c r="SIP124" s="225"/>
      <c r="SIQ124" s="225"/>
      <c r="SIR124" s="225"/>
      <c r="SIS124" s="225"/>
      <c r="SIT124" s="225"/>
      <c r="SIU124" s="225"/>
      <c r="SIV124" s="225"/>
      <c r="SIW124" s="225"/>
      <c r="SIX124" s="225"/>
      <c r="SIY124" s="225"/>
      <c r="SIZ124" s="225"/>
      <c r="SJA124" s="225"/>
      <c r="SJB124" s="225"/>
      <c r="SJC124" s="225"/>
      <c r="SJD124" s="225"/>
      <c r="SJE124" s="225"/>
      <c r="SJF124" s="225"/>
      <c r="SJG124" s="225"/>
      <c r="SJH124" s="225"/>
      <c r="SJI124" s="225"/>
      <c r="SJJ124" s="225"/>
      <c r="SJK124" s="225"/>
      <c r="SJL124" s="225"/>
      <c r="SJM124" s="225"/>
      <c r="SJN124" s="225"/>
      <c r="SJO124" s="225"/>
      <c r="SJP124" s="225"/>
      <c r="SJQ124" s="225"/>
      <c r="SJR124" s="225"/>
      <c r="SJS124" s="225"/>
      <c r="SJT124" s="225"/>
      <c r="SJU124" s="225"/>
      <c r="SJV124" s="225"/>
      <c r="SJW124" s="225"/>
      <c r="SJX124" s="225"/>
      <c r="SJY124" s="225"/>
      <c r="SJZ124" s="225"/>
      <c r="SKA124" s="225"/>
      <c r="SKB124" s="225"/>
      <c r="SKC124" s="225"/>
      <c r="SKD124" s="225"/>
      <c r="SKE124" s="225"/>
      <c r="SKF124" s="225"/>
      <c r="SKG124" s="225"/>
      <c r="SKH124" s="225"/>
      <c r="SKI124" s="225"/>
      <c r="SKJ124" s="225"/>
      <c r="SKK124" s="225"/>
      <c r="SKL124" s="225"/>
      <c r="SKM124" s="225"/>
      <c r="SKN124" s="225"/>
      <c r="SKO124" s="225"/>
      <c r="SKP124" s="225"/>
      <c r="SKQ124" s="225"/>
      <c r="SKR124" s="225"/>
      <c r="SKS124" s="225"/>
      <c r="SKT124" s="225"/>
      <c r="SKU124" s="225"/>
      <c r="SKV124" s="225"/>
      <c r="SKW124" s="225"/>
      <c r="SKX124" s="225"/>
      <c r="SKY124" s="225"/>
      <c r="SKZ124" s="225"/>
      <c r="SLA124" s="225"/>
      <c r="SLB124" s="225"/>
      <c r="SLC124" s="225"/>
      <c r="SLD124" s="225"/>
      <c r="SLE124" s="225"/>
      <c r="SLF124" s="225"/>
      <c r="SLG124" s="225"/>
      <c r="SLH124" s="225"/>
      <c r="SLI124" s="225"/>
      <c r="SLJ124" s="225"/>
      <c r="SLK124" s="225"/>
      <c r="SLL124" s="225"/>
      <c r="SLM124" s="225"/>
      <c r="SLN124" s="225"/>
      <c r="SLO124" s="225"/>
      <c r="SLP124" s="225"/>
      <c r="SLQ124" s="225"/>
      <c r="SLR124" s="225"/>
      <c r="SLS124" s="225"/>
      <c r="SLT124" s="225"/>
      <c r="SLU124" s="225"/>
      <c r="SLV124" s="225"/>
      <c r="SLW124" s="225"/>
      <c r="SLX124" s="225"/>
      <c r="SLY124" s="225"/>
      <c r="SLZ124" s="225"/>
      <c r="SMA124" s="225"/>
      <c r="SMB124" s="225"/>
      <c r="SMC124" s="225"/>
      <c r="SMD124" s="225"/>
      <c r="SME124" s="225"/>
      <c r="SMF124" s="225"/>
      <c r="SMG124" s="225"/>
      <c r="SMH124" s="225"/>
      <c r="SMI124" s="225"/>
      <c r="SMJ124" s="225"/>
      <c r="SMK124" s="225"/>
      <c r="SML124" s="225"/>
      <c r="SMM124" s="225"/>
      <c r="SMN124" s="225"/>
      <c r="SMO124" s="225"/>
      <c r="SMP124" s="225"/>
      <c r="SMQ124" s="225"/>
      <c r="SMR124" s="225"/>
      <c r="SMS124" s="225"/>
      <c r="SMT124" s="225"/>
      <c r="SMU124" s="225"/>
      <c r="SMV124" s="225"/>
      <c r="SMW124" s="225"/>
      <c r="SMX124" s="225"/>
      <c r="SMY124" s="225"/>
      <c r="SMZ124" s="225"/>
      <c r="SNA124" s="225"/>
      <c r="SNB124" s="225"/>
      <c r="SNC124" s="225"/>
      <c r="SND124" s="225"/>
      <c r="SNE124" s="225"/>
      <c r="SNF124" s="225"/>
      <c r="SNG124" s="225"/>
      <c r="SNH124" s="225"/>
      <c r="SNI124" s="225"/>
      <c r="SNJ124" s="225"/>
      <c r="SNK124" s="225"/>
      <c r="SNL124" s="225"/>
      <c r="SNM124" s="225"/>
      <c r="SNN124" s="225"/>
      <c r="SNO124" s="225"/>
      <c r="SNP124" s="225"/>
      <c r="SNQ124" s="225"/>
      <c r="SNR124" s="225"/>
      <c r="SNS124" s="225"/>
      <c r="SNT124" s="225"/>
      <c r="SNU124" s="225"/>
      <c r="SNV124" s="225"/>
      <c r="SNW124" s="225"/>
      <c r="SNX124" s="225"/>
      <c r="SNY124" s="225"/>
      <c r="SNZ124" s="225"/>
      <c r="SOA124" s="225"/>
      <c r="SOB124" s="225"/>
      <c r="SOC124" s="225"/>
      <c r="SOD124" s="225"/>
      <c r="SOE124" s="225"/>
      <c r="SOF124" s="225"/>
      <c r="SOG124" s="225"/>
      <c r="SOH124" s="225"/>
      <c r="SOI124" s="225"/>
      <c r="SOJ124" s="225"/>
      <c r="SOK124" s="225"/>
      <c r="SOL124" s="225"/>
      <c r="SOM124" s="225"/>
      <c r="SON124" s="225"/>
      <c r="SOO124" s="225"/>
      <c r="SOP124" s="225"/>
      <c r="SOQ124" s="225"/>
      <c r="SOR124" s="225"/>
      <c r="SOS124" s="225"/>
      <c r="SOT124" s="225"/>
      <c r="SOU124" s="225"/>
      <c r="SOV124" s="225"/>
      <c r="SOW124" s="225"/>
      <c r="SOX124" s="225"/>
      <c r="SOY124" s="225"/>
      <c r="SOZ124" s="225"/>
      <c r="SPA124" s="225"/>
      <c r="SPB124" s="225"/>
      <c r="SPC124" s="225"/>
      <c r="SPD124" s="225"/>
      <c r="SPE124" s="225"/>
      <c r="SPF124" s="225"/>
      <c r="SPG124" s="225"/>
      <c r="SPH124" s="225"/>
      <c r="SPI124" s="225"/>
      <c r="SPJ124" s="225"/>
      <c r="SPK124" s="225"/>
      <c r="SPL124" s="225"/>
      <c r="SPM124" s="225"/>
      <c r="SPN124" s="225"/>
      <c r="SPO124" s="225"/>
      <c r="SPP124" s="225"/>
      <c r="SPQ124" s="225"/>
      <c r="SPR124" s="225"/>
      <c r="SPS124" s="225"/>
      <c r="SPT124" s="225"/>
      <c r="SPU124" s="225"/>
      <c r="SPV124" s="225"/>
      <c r="SPW124" s="225"/>
      <c r="SPX124" s="225"/>
      <c r="SPY124" s="225"/>
      <c r="SPZ124" s="225"/>
      <c r="SQA124" s="225"/>
      <c r="SQB124" s="225"/>
      <c r="SQC124" s="225"/>
      <c r="SQD124" s="225"/>
      <c r="SQE124" s="225"/>
      <c r="SQF124" s="225"/>
      <c r="SQG124" s="225"/>
      <c r="SQH124" s="225"/>
      <c r="SQI124" s="225"/>
      <c r="SQJ124" s="225"/>
      <c r="SQK124" s="225"/>
      <c r="SQL124" s="225"/>
      <c r="SQM124" s="225"/>
      <c r="SQN124" s="225"/>
      <c r="SQO124" s="225"/>
      <c r="SQP124" s="225"/>
      <c r="SQQ124" s="225"/>
      <c r="SQR124" s="225"/>
      <c r="SQS124" s="225"/>
      <c r="SQT124" s="225"/>
      <c r="SQU124" s="225"/>
      <c r="SQV124" s="225"/>
      <c r="SQW124" s="225"/>
      <c r="SQX124" s="225"/>
      <c r="SQY124" s="225"/>
      <c r="SQZ124" s="225"/>
      <c r="SRA124" s="225"/>
      <c r="SRB124" s="225"/>
      <c r="SRC124" s="225"/>
      <c r="SRD124" s="225"/>
      <c r="SRE124" s="225"/>
      <c r="SRF124" s="225"/>
      <c r="SRG124" s="225"/>
      <c r="SRH124" s="225"/>
      <c r="SRI124" s="225"/>
      <c r="SRJ124" s="225"/>
      <c r="SRK124" s="225"/>
      <c r="SRL124" s="225"/>
      <c r="SRM124" s="225"/>
      <c r="SRN124" s="225"/>
      <c r="SRO124" s="225"/>
      <c r="SRP124" s="225"/>
      <c r="SRQ124" s="225"/>
      <c r="SRR124" s="225"/>
      <c r="SRS124" s="225"/>
      <c r="SRT124" s="225"/>
      <c r="SRU124" s="225"/>
      <c r="SRV124" s="225"/>
      <c r="SRW124" s="225"/>
      <c r="SRX124" s="225"/>
      <c r="SRY124" s="225"/>
      <c r="SRZ124" s="225"/>
      <c r="SSA124" s="225"/>
      <c r="SSB124" s="225"/>
      <c r="SSC124" s="225"/>
      <c r="SSD124" s="225"/>
      <c r="SSE124" s="225"/>
      <c r="SSF124" s="225"/>
      <c r="SSG124" s="225"/>
      <c r="SSH124" s="225"/>
      <c r="SSI124" s="225"/>
      <c r="SSJ124" s="225"/>
      <c r="SSK124" s="225"/>
      <c r="SSL124" s="225"/>
      <c r="SSM124" s="225"/>
      <c r="SSN124" s="225"/>
      <c r="SSO124" s="225"/>
      <c r="SSP124" s="225"/>
      <c r="SSQ124" s="225"/>
      <c r="SSR124" s="225"/>
      <c r="SSS124" s="225"/>
      <c r="SST124" s="225"/>
      <c r="SSU124" s="225"/>
      <c r="SSV124" s="225"/>
      <c r="SSW124" s="225"/>
      <c r="SSX124" s="225"/>
      <c r="SSY124" s="225"/>
      <c r="SSZ124" s="225"/>
      <c r="STA124" s="225"/>
      <c r="STB124" s="225"/>
      <c r="STC124" s="225"/>
      <c r="STD124" s="225"/>
      <c r="STE124" s="225"/>
      <c r="STF124" s="225"/>
      <c r="STG124" s="225"/>
      <c r="STH124" s="225"/>
      <c r="STI124" s="225"/>
      <c r="STJ124" s="225"/>
      <c r="STK124" s="225"/>
      <c r="STL124" s="225"/>
      <c r="STM124" s="225"/>
      <c r="STN124" s="225"/>
      <c r="STO124" s="225"/>
      <c r="STP124" s="225"/>
      <c r="STQ124" s="225"/>
      <c r="STR124" s="225"/>
      <c r="STS124" s="225"/>
      <c r="STT124" s="225"/>
      <c r="STU124" s="225"/>
      <c r="STV124" s="225"/>
      <c r="STW124" s="225"/>
      <c r="STX124" s="225"/>
      <c r="STY124" s="225"/>
      <c r="STZ124" s="225"/>
      <c r="SUA124" s="225"/>
      <c r="SUB124" s="225"/>
      <c r="SUC124" s="225"/>
      <c r="SUD124" s="225"/>
      <c r="SUE124" s="225"/>
      <c r="SUF124" s="225"/>
      <c r="SUG124" s="225"/>
      <c r="SUH124" s="225"/>
      <c r="SUI124" s="225"/>
      <c r="SUJ124" s="225"/>
      <c r="SUK124" s="225"/>
      <c r="SUL124" s="225"/>
      <c r="SUM124" s="225"/>
      <c r="SUN124" s="225"/>
      <c r="SUO124" s="225"/>
      <c r="SUP124" s="225"/>
      <c r="SUQ124" s="225"/>
      <c r="SUR124" s="225"/>
      <c r="SUS124" s="225"/>
      <c r="SUT124" s="225"/>
      <c r="SUU124" s="225"/>
      <c r="SUV124" s="225"/>
      <c r="SUW124" s="225"/>
      <c r="SUX124" s="225"/>
      <c r="SUY124" s="225"/>
      <c r="SUZ124" s="225"/>
      <c r="SVA124" s="225"/>
      <c r="SVB124" s="225"/>
      <c r="SVC124" s="225"/>
      <c r="SVD124" s="225"/>
      <c r="SVE124" s="225"/>
      <c r="SVF124" s="225"/>
      <c r="SVG124" s="225"/>
      <c r="SVH124" s="225"/>
      <c r="SVI124" s="225"/>
      <c r="SVJ124" s="225"/>
      <c r="SVK124" s="225"/>
      <c r="SVL124" s="225"/>
      <c r="SVM124" s="225"/>
      <c r="SVN124" s="225"/>
      <c r="SVO124" s="225"/>
      <c r="SVP124" s="225"/>
      <c r="SVQ124" s="225"/>
      <c r="SVR124" s="225"/>
      <c r="SVS124" s="225"/>
      <c r="SVT124" s="225"/>
      <c r="SVU124" s="225"/>
      <c r="SVV124" s="225"/>
      <c r="SVW124" s="225"/>
      <c r="SVX124" s="225"/>
      <c r="SVY124" s="225"/>
      <c r="SVZ124" s="225"/>
      <c r="SWA124" s="225"/>
      <c r="SWB124" s="225"/>
      <c r="SWC124" s="225"/>
      <c r="SWD124" s="225"/>
      <c r="SWE124" s="225"/>
      <c r="SWF124" s="225"/>
      <c r="SWG124" s="225"/>
      <c r="SWH124" s="225"/>
      <c r="SWI124" s="225"/>
      <c r="SWJ124" s="225"/>
      <c r="SWK124" s="225"/>
      <c r="SWL124" s="225"/>
      <c r="SWM124" s="225"/>
      <c r="SWN124" s="225"/>
      <c r="SWO124" s="225"/>
      <c r="SWP124" s="225"/>
      <c r="SWQ124" s="225"/>
      <c r="SWR124" s="225"/>
      <c r="SWS124" s="225"/>
      <c r="SWT124" s="225"/>
      <c r="SWU124" s="225"/>
      <c r="SWV124" s="225"/>
      <c r="SWW124" s="225"/>
      <c r="SWX124" s="225"/>
      <c r="SWY124" s="225"/>
      <c r="SWZ124" s="225"/>
      <c r="SXA124" s="225"/>
      <c r="SXB124" s="225"/>
      <c r="SXC124" s="225"/>
      <c r="SXD124" s="225"/>
      <c r="SXE124" s="225"/>
      <c r="SXF124" s="225"/>
      <c r="SXG124" s="225"/>
      <c r="SXH124" s="225"/>
      <c r="SXI124" s="225"/>
      <c r="SXJ124" s="225"/>
      <c r="SXK124" s="225"/>
      <c r="SXL124" s="225"/>
      <c r="SXM124" s="225"/>
      <c r="SXN124" s="225"/>
      <c r="SXO124" s="225"/>
      <c r="SXP124" s="225"/>
      <c r="SXQ124" s="225"/>
      <c r="SXR124" s="225"/>
      <c r="SXS124" s="225"/>
      <c r="SXT124" s="225"/>
      <c r="SXU124" s="225"/>
      <c r="SXV124" s="225"/>
      <c r="SXW124" s="225"/>
      <c r="SXX124" s="225"/>
      <c r="SXY124" s="225"/>
      <c r="SXZ124" s="225"/>
      <c r="SYA124" s="225"/>
      <c r="SYB124" s="225"/>
      <c r="SYC124" s="225"/>
      <c r="SYD124" s="225"/>
      <c r="SYE124" s="225"/>
      <c r="SYF124" s="225"/>
      <c r="SYG124" s="225"/>
      <c r="SYH124" s="225"/>
      <c r="SYI124" s="225"/>
      <c r="SYJ124" s="225"/>
      <c r="SYK124" s="225"/>
      <c r="SYL124" s="225"/>
      <c r="SYM124" s="225"/>
      <c r="SYN124" s="225"/>
      <c r="SYO124" s="225"/>
      <c r="SYP124" s="225"/>
      <c r="SYQ124" s="225"/>
      <c r="SYR124" s="225"/>
      <c r="SYS124" s="225"/>
      <c r="SYT124" s="225"/>
      <c r="SYU124" s="225"/>
      <c r="SYV124" s="225"/>
      <c r="SYW124" s="225"/>
      <c r="SYX124" s="225"/>
      <c r="SYY124" s="225"/>
      <c r="SYZ124" s="225"/>
      <c r="SZA124" s="225"/>
      <c r="SZB124" s="225"/>
      <c r="SZC124" s="225"/>
      <c r="SZD124" s="225"/>
      <c r="SZE124" s="225"/>
      <c r="SZF124" s="225"/>
      <c r="SZG124" s="225"/>
      <c r="SZH124" s="225"/>
      <c r="SZI124" s="225"/>
      <c r="SZJ124" s="225"/>
      <c r="SZK124" s="225"/>
      <c r="SZL124" s="225"/>
      <c r="SZM124" s="225"/>
      <c r="SZN124" s="225"/>
      <c r="SZO124" s="225"/>
      <c r="SZP124" s="225"/>
      <c r="SZQ124" s="225"/>
      <c r="SZR124" s="225"/>
      <c r="SZS124" s="225"/>
      <c r="SZT124" s="225"/>
      <c r="SZU124" s="225"/>
      <c r="SZV124" s="225"/>
      <c r="SZW124" s="225"/>
      <c r="SZX124" s="225"/>
      <c r="SZY124" s="225"/>
      <c r="SZZ124" s="225"/>
      <c r="TAA124" s="225"/>
      <c r="TAB124" s="225"/>
      <c r="TAC124" s="225"/>
      <c r="TAD124" s="225"/>
      <c r="TAE124" s="225"/>
      <c r="TAF124" s="225"/>
      <c r="TAG124" s="225"/>
      <c r="TAH124" s="225"/>
      <c r="TAI124" s="225"/>
      <c r="TAJ124" s="225"/>
      <c r="TAK124" s="225"/>
      <c r="TAL124" s="225"/>
      <c r="TAM124" s="225"/>
      <c r="TAN124" s="225"/>
      <c r="TAO124" s="225"/>
      <c r="TAP124" s="225"/>
      <c r="TAQ124" s="225"/>
      <c r="TAR124" s="225"/>
      <c r="TAS124" s="225"/>
      <c r="TAT124" s="225"/>
      <c r="TAU124" s="225"/>
      <c r="TAV124" s="225"/>
      <c r="TAW124" s="225"/>
      <c r="TAX124" s="225"/>
      <c r="TAY124" s="225"/>
      <c r="TAZ124" s="225"/>
      <c r="TBA124" s="225"/>
      <c r="TBB124" s="225"/>
      <c r="TBC124" s="225"/>
      <c r="TBD124" s="225"/>
      <c r="TBE124" s="225"/>
      <c r="TBF124" s="225"/>
      <c r="TBG124" s="225"/>
      <c r="TBH124" s="225"/>
      <c r="TBI124" s="225"/>
      <c r="TBJ124" s="225"/>
      <c r="TBK124" s="225"/>
      <c r="TBL124" s="225"/>
      <c r="TBM124" s="225"/>
      <c r="TBN124" s="225"/>
      <c r="TBO124" s="225"/>
      <c r="TBP124" s="225"/>
      <c r="TBQ124" s="225"/>
      <c r="TBR124" s="225"/>
      <c r="TBS124" s="225"/>
      <c r="TBT124" s="225"/>
      <c r="TBU124" s="225"/>
      <c r="TBV124" s="225"/>
      <c r="TBW124" s="225"/>
      <c r="TBX124" s="225"/>
      <c r="TBY124" s="225"/>
      <c r="TBZ124" s="225"/>
      <c r="TCA124" s="225"/>
      <c r="TCB124" s="225"/>
      <c r="TCC124" s="225"/>
      <c r="TCD124" s="225"/>
      <c r="TCE124" s="225"/>
      <c r="TCF124" s="225"/>
      <c r="TCG124" s="225"/>
      <c r="TCH124" s="225"/>
      <c r="TCI124" s="225"/>
      <c r="TCJ124" s="225"/>
      <c r="TCK124" s="225"/>
      <c r="TCL124" s="225"/>
      <c r="TCM124" s="225"/>
      <c r="TCN124" s="225"/>
      <c r="TCO124" s="225"/>
      <c r="TCP124" s="225"/>
      <c r="TCQ124" s="225"/>
      <c r="TCR124" s="225"/>
      <c r="TCS124" s="225"/>
      <c r="TCT124" s="225"/>
      <c r="TCU124" s="225"/>
      <c r="TCV124" s="225"/>
      <c r="TCW124" s="225"/>
      <c r="TCX124" s="225"/>
      <c r="TCY124" s="225"/>
      <c r="TCZ124" s="225"/>
      <c r="TDA124" s="225"/>
      <c r="TDB124" s="225"/>
      <c r="TDC124" s="225"/>
      <c r="TDD124" s="225"/>
      <c r="TDE124" s="225"/>
      <c r="TDF124" s="225"/>
      <c r="TDG124" s="225"/>
      <c r="TDH124" s="225"/>
      <c r="TDI124" s="225"/>
      <c r="TDJ124" s="225"/>
      <c r="TDK124" s="225"/>
      <c r="TDL124" s="225"/>
      <c r="TDM124" s="225"/>
      <c r="TDN124" s="225"/>
      <c r="TDO124" s="225"/>
      <c r="TDP124" s="225"/>
      <c r="TDQ124" s="225"/>
      <c r="TDR124" s="225"/>
      <c r="TDS124" s="225"/>
      <c r="TDT124" s="225"/>
      <c r="TDU124" s="225"/>
      <c r="TDV124" s="225"/>
      <c r="TDW124" s="225"/>
      <c r="TDX124" s="225"/>
      <c r="TDY124" s="225"/>
      <c r="TDZ124" s="225"/>
      <c r="TEA124" s="225"/>
      <c r="TEB124" s="225"/>
      <c r="TEC124" s="225"/>
      <c r="TED124" s="225"/>
      <c r="TEE124" s="225"/>
      <c r="TEF124" s="225"/>
      <c r="TEG124" s="225"/>
      <c r="TEH124" s="225"/>
      <c r="TEI124" s="225"/>
      <c r="TEJ124" s="225"/>
      <c r="TEK124" s="225"/>
      <c r="TEL124" s="225"/>
      <c r="TEM124" s="225"/>
      <c r="TEN124" s="225"/>
      <c r="TEO124" s="225"/>
      <c r="TEP124" s="225"/>
      <c r="TEQ124" s="225"/>
      <c r="TER124" s="225"/>
      <c r="TES124" s="225"/>
      <c r="TET124" s="225"/>
      <c r="TEU124" s="225"/>
      <c r="TEV124" s="225"/>
      <c r="TEW124" s="225"/>
      <c r="TEX124" s="225"/>
      <c r="TEY124" s="225"/>
      <c r="TEZ124" s="225"/>
      <c r="TFA124" s="225"/>
      <c r="TFB124" s="225"/>
      <c r="TFC124" s="225"/>
      <c r="TFD124" s="225"/>
      <c r="TFE124" s="225"/>
      <c r="TFF124" s="225"/>
      <c r="TFG124" s="225"/>
      <c r="TFH124" s="225"/>
      <c r="TFI124" s="225"/>
      <c r="TFJ124" s="225"/>
      <c r="TFK124" s="225"/>
      <c r="TFL124" s="225"/>
      <c r="TFM124" s="225"/>
      <c r="TFN124" s="225"/>
      <c r="TFO124" s="225"/>
      <c r="TFP124" s="225"/>
      <c r="TFQ124" s="225"/>
      <c r="TFR124" s="225"/>
      <c r="TFS124" s="225"/>
      <c r="TFT124" s="225"/>
      <c r="TFU124" s="225"/>
      <c r="TFV124" s="225"/>
      <c r="TFW124" s="225"/>
      <c r="TFX124" s="225"/>
      <c r="TFY124" s="225"/>
      <c r="TFZ124" s="225"/>
      <c r="TGA124" s="225"/>
      <c r="TGB124" s="225"/>
      <c r="TGC124" s="225"/>
      <c r="TGD124" s="225"/>
      <c r="TGE124" s="225"/>
      <c r="TGF124" s="225"/>
      <c r="TGG124" s="225"/>
      <c r="TGH124" s="225"/>
      <c r="TGI124" s="225"/>
      <c r="TGJ124" s="225"/>
      <c r="TGK124" s="225"/>
      <c r="TGL124" s="225"/>
      <c r="TGM124" s="225"/>
      <c r="TGN124" s="225"/>
      <c r="TGO124" s="225"/>
      <c r="TGP124" s="225"/>
      <c r="TGQ124" s="225"/>
      <c r="TGR124" s="225"/>
      <c r="TGS124" s="225"/>
      <c r="TGT124" s="225"/>
      <c r="TGU124" s="225"/>
      <c r="TGV124" s="225"/>
      <c r="TGW124" s="225"/>
      <c r="TGX124" s="225"/>
      <c r="TGY124" s="225"/>
      <c r="TGZ124" s="225"/>
      <c r="THA124" s="225"/>
      <c r="THB124" s="225"/>
      <c r="THC124" s="225"/>
      <c r="THD124" s="225"/>
      <c r="THE124" s="225"/>
      <c r="THF124" s="225"/>
      <c r="THG124" s="225"/>
      <c r="THH124" s="225"/>
      <c r="THI124" s="225"/>
      <c r="THJ124" s="225"/>
      <c r="THK124" s="225"/>
      <c r="THL124" s="225"/>
      <c r="THM124" s="225"/>
      <c r="THN124" s="225"/>
      <c r="THO124" s="225"/>
      <c r="THP124" s="225"/>
      <c r="THQ124" s="225"/>
      <c r="THR124" s="225"/>
      <c r="THS124" s="225"/>
      <c r="THT124" s="225"/>
      <c r="THU124" s="225"/>
      <c r="THV124" s="225"/>
      <c r="THW124" s="225"/>
      <c r="THX124" s="225"/>
      <c r="THY124" s="225"/>
      <c r="THZ124" s="225"/>
      <c r="TIA124" s="225"/>
      <c r="TIB124" s="225"/>
      <c r="TIC124" s="225"/>
      <c r="TID124" s="225"/>
      <c r="TIE124" s="225"/>
      <c r="TIF124" s="225"/>
      <c r="TIG124" s="225"/>
      <c r="TIH124" s="225"/>
      <c r="TII124" s="225"/>
      <c r="TIJ124" s="225"/>
      <c r="TIK124" s="225"/>
      <c r="TIL124" s="225"/>
      <c r="TIM124" s="225"/>
      <c r="TIN124" s="225"/>
      <c r="TIO124" s="225"/>
      <c r="TIP124" s="225"/>
      <c r="TIQ124" s="225"/>
      <c r="TIR124" s="225"/>
      <c r="TIS124" s="225"/>
      <c r="TIT124" s="225"/>
      <c r="TIU124" s="225"/>
      <c r="TIV124" s="225"/>
      <c r="TIW124" s="225"/>
      <c r="TIX124" s="225"/>
      <c r="TIY124" s="225"/>
      <c r="TIZ124" s="225"/>
      <c r="TJA124" s="225"/>
      <c r="TJB124" s="225"/>
      <c r="TJC124" s="225"/>
      <c r="TJD124" s="225"/>
      <c r="TJE124" s="225"/>
      <c r="TJF124" s="225"/>
      <c r="TJG124" s="225"/>
      <c r="TJH124" s="225"/>
      <c r="TJI124" s="225"/>
      <c r="TJJ124" s="225"/>
      <c r="TJK124" s="225"/>
      <c r="TJL124" s="225"/>
      <c r="TJM124" s="225"/>
      <c r="TJN124" s="225"/>
      <c r="TJO124" s="225"/>
      <c r="TJP124" s="225"/>
      <c r="TJQ124" s="225"/>
      <c r="TJR124" s="225"/>
      <c r="TJS124" s="225"/>
      <c r="TJT124" s="225"/>
      <c r="TJU124" s="225"/>
      <c r="TJV124" s="225"/>
      <c r="TJW124" s="225"/>
      <c r="TJX124" s="225"/>
      <c r="TJY124" s="225"/>
      <c r="TJZ124" s="225"/>
      <c r="TKA124" s="225"/>
      <c r="TKB124" s="225"/>
      <c r="TKC124" s="225"/>
      <c r="TKD124" s="225"/>
      <c r="TKE124" s="225"/>
      <c r="TKF124" s="225"/>
      <c r="TKG124" s="225"/>
      <c r="TKH124" s="225"/>
      <c r="TKI124" s="225"/>
      <c r="TKJ124" s="225"/>
      <c r="TKK124" s="225"/>
      <c r="TKL124" s="225"/>
      <c r="TKM124" s="225"/>
      <c r="TKN124" s="225"/>
      <c r="TKO124" s="225"/>
      <c r="TKP124" s="225"/>
      <c r="TKQ124" s="225"/>
      <c r="TKR124" s="225"/>
      <c r="TKS124" s="225"/>
      <c r="TKT124" s="225"/>
      <c r="TKU124" s="225"/>
      <c r="TKV124" s="225"/>
      <c r="TKW124" s="225"/>
      <c r="TKX124" s="225"/>
      <c r="TKY124" s="225"/>
      <c r="TKZ124" s="225"/>
      <c r="TLA124" s="225"/>
      <c r="TLB124" s="225"/>
      <c r="TLC124" s="225"/>
      <c r="TLD124" s="225"/>
      <c r="TLE124" s="225"/>
      <c r="TLF124" s="225"/>
      <c r="TLG124" s="225"/>
      <c r="TLH124" s="225"/>
      <c r="TLI124" s="225"/>
      <c r="TLJ124" s="225"/>
      <c r="TLK124" s="225"/>
      <c r="TLL124" s="225"/>
      <c r="TLM124" s="225"/>
      <c r="TLN124" s="225"/>
      <c r="TLO124" s="225"/>
      <c r="TLP124" s="225"/>
      <c r="TLQ124" s="225"/>
      <c r="TLR124" s="225"/>
      <c r="TLS124" s="225"/>
      <c r="TLT124" s="225"/>
      <c r="TLU124" s="225"/>
      <c r="TLV124" s="225"/>
      <c r="TLW124" s="225"/>
      <c r="TLX124" s="225"/>
      <c r="TLY124" s="225"/>
      <c r="TLZ124" s="225"/>
      <c r="TMA124" s="225"/>
      <c r="TMB124" s="225"/>
      <c r="TMC124" s="225"/>
      <c r="TMD124" s="225"/>
      <c r="TME124" s="225"/>
      <c r="TMF124" s="225"/>
      <c r="TMG124" s="225"/>
      <c r="TMH124" s="225"/>
      <c r="TMI124" s="225"/>
      <c r="TMJ124" s="225"/>
      <c r="TMK124" s="225"/>
      <c r="TML124" s="225"/>
      <c r="TMM124" s="225"/>
      <c r="TMN124" s="225"/>
      <c r="TMO124" s="225"/>
      <c r="TMP124" s="225"/>
      <c r="TMQ124" s="225"/>
      <c r="TMR124" s="225"/>
      <c r="TMS124" s="225"/>
      <c r="TMT124" s="225"/>
      <c r="TMU124" s="225"/>
      <c r="TMV124" s="225"/>
      <c r="TMW124" s="225"/>
      <c r="TMX124" s="225"/>
      <c r="TMY124" s="225"/>
      <c r="TMZ124" s="225"/>
      <c r="TNA124" s="225"/>
      <c r="TNB124" s="225"/>
      <c r="TNC124" s="225"/>
      <c r="TND124" s="225"/>
      <c r="TNE124" s="225"/>
      <c r="TNF124" s="225"/>
      <c r="TNG124" s="225"/>
      <c r="TNH124" s="225"/>
      <c r="TNI124" s="225"/>
      <c r="TNJ124" s="225"/>
      <c r="TNK124" s="225"/>
      <c r="TNL124" s="225"/>
      <c r="TNM124" s="225"/>
      <c r="TNN124" s="225"/>
      <c r="TNO124" s="225"/>
      <c r="TNP124" s="225"/>
      <c r="TNQ124" s="225"/>
      <c r="TNR124" s="225"/>
      <c r="TNS124" s="225"/>
      <c r="TNT124" s="225"/>
      <c r="TNU124" s="225"/>
      <c r="TNV124" s="225"/>
      <c r="TNW124" s="225"/>
      <c r="TNX124" s="225"/>
      <c r="TNY124" s="225"/>
      <c r="TNZ124" s="225"/>
      <c r="TOA124" s="225"/>
      <c r="TOB124" s="225"/>
      <c r="TOC124" s="225"/>
      <c r="TOD124" s="225"/>
      <c r="TOE124" s="225"/>
      <c r="TOF124" s="225"/>
      <c r="TOG124" s="225"/>
      <c r="TOH124" s="225"/>
      <c r="TOI124" s="225"/>
      <c r="TOJ124" s="225"/>
      <c r="TOK124" s="225"/>
      <c r="TOL124" s="225"/>
      <c r="TOM124" s="225"/>
      <c r="TON124" s="225"/>
      <c r="TOO124" s="225"/>
      <c r="TOP124" s="225"/>
      <c r="TOQ124" s="225"/>
      <c r="TOR124" s="225"/>
      <c r="TOS124" s="225"/>
      <c r="TOT124" s="225"/>
      <c r="TOU124" s="225"/>
      <c r="TOV124" s="225"/>
      <c r="TOW124" s="225"/>
      <c r="TOX124" s="225"/>
      <c r="TOY124" s="225"/>
      <c r="TOZ124" s="225"/>
      <c r="TPA124" s="225"/>
      <c r="TPB124" s="225"/>
      <c r="TPC124" s="225"/>
      <c r="TPD124" s="225"/>
      <c r="TPE124" s="225"/>
      <c r="TPF124" s="225"/>
      <c r="TPG124" s="225"/>
      <c r="TPH124" s="225"/>
      <c r="TPI124" s="225"/>
      <c r="TPJ124" s="225"/>
      <c r="TPK124" s="225"/>
      <c r="TPL124" s="225"/>
      <c r="TPM124" s="225"/>
      <c r="TPN124" s="225"/>
      <c r="TPO124" s="225"/>
      <c r="TPP124" s="225"/>
      <c r="TPQ124" s="225"/>
      <c r="TPR124" s="225"/>
      <c r="TPS124" s="225"/>
      <c r="TPT124" s="225"/>
      <c r="TPU124" s="225"/>
      <c r="TPV124" s="225"/>
      <c r="TPW124" s="225"/>
      <c r="TPX124" s="225"/>
      <c r="TPY124" s="225"/>
      <c r="TPZ124" s="225"/>
      <c r="TQA124" s="225"/>
      <c r="TQB124" s="225"/>
      <c r="TQC124" s="225"/>
      <c r="TQD124" s="225"/>
      <c r="TQE124" s="225"/>
      <c r="TQF124" s="225"/>
      <c r="TQG124" s="225"/>
      <c r="TQH124" s="225"/>
      <c r="TQI124" s="225"/>
      <c r="TQJ124" s="225"/>
      <c r="TQK124" s="225"/>
      <c r="TQL124" s="225"/>
      <c r="TQM124" s="225"/>
      <c r="TQN124" s="225"/>
      <c r="TQO124" s="225"/>
      <c r="TQP124" s="225"/>
      <c r="TQQ124" s="225"/>
      <c r="TQR124" s="225"/>
      <c r="TQS124" s="225"/>
      <c r="TQT124" s="225"/>
      <c r="TQU124" s="225"/>
      <c r="TQV124" s="225"/>
      <c r="TQW124" s="225"/>
      <c r="TQX124" s="225"/>
      <c r="TQY124" s="225"/>
      <c r="TQZ124" s="225"/>
      <c r="TRA124" s="225"/>
      <c r="TRB124" s="225"/>
      <c r="TRC124" s="225"/>
      <c r="TRD124" s="225"/>
      <c r="TRE124" s="225"/>
      <c r="TRF124" s="225"/>
      <c r="TRG124" s="225"/>
      <c r="TRH124" s="225"/>
      <c r="TRI124" s="225"/>
      <c r="TRJ124" s="225"/>
      <c r="TRK124" s="225"/>
      <c r="TRL124" s="225"/>
      <c r="TRM124" s="225"/>
      <c r="TRN124" s="225"/>
      <c r="TRO124" s="225"/>
      <c r="TRP124" s="225"/>
      <c r="TRQ124" s="225"/>
      <c r="TRR124" s="225"/>
      <c r="TRS124" s="225"/>
      <c r="TRT124" s="225"/>
      <c r="TRU124" s="225"/>
      <c r="TRV124" s="225"/>
      <c r="TRW124" s="225"/>
      <c r="TRX124" s="225"/>
      <c r="TRY124" s="225"/>
      <c r="TRZ124" s="225"/>
      <c r="TSA124" s="225"/>
      <c r="TSB124" s="225"/>
      <c r="TSC124" s="225"/>
      <c r="TSD124" s="225"/>
      <c r="TSE124" s="225"/>
      <c r="TSF124" s="225"/>
      <c r="TSG124" s="225"/>
      <c r="TSH124" s="225"/>
      <c r="TSI124" s="225"/>
      <c r="TSJ124" s="225"/>
      <c r="TSK124" s="225"/>
      <c r="TSL124" s="225"/>
      <c r="TSM124" s="225"/>
      <c r="TSN124" s="225"/>
      <c r="TSO124" s="225"/>
      <c r="TSP124" s="225"/>
      <c r="TSQ124" s="225"/>
      <c r="TSR124" s="225"/>
      <c r="TSS124" s="225"/>
      <c r="TST124" s="225"/>
      <c r="TSU124" s="225"/>
      <c r="TSV124" s="225"/>
      <c r="TSW124" s="225"/>
      <c r="TSX124" s="225"/>
      <c r="TSY124" s="225"/>
      <c r="TSZ124" s="225"/>
      <c r="TTA124" s="225"/>
      <c r="TTB124" s="225"/>
      <c r="TTC124" s="225"/>
      <c r="TTD124" s="225"/>
      <c r="TTE124" s="225"/>
      <c r="TTF124" s="225"/>
      <c r="TTG124" s="225"/>
      <c r="TTH124" s="225"/>
      <c r="TTI124" s="225"/>
      <c r="TTJ124" s="225"/>
      <c r="TTK124" s="225"/>
      <c r="TTL124" s="225"/>
      <c r="TTM124" s="225"/>
      <c r="TTN124" s="225"/>
      <c r="TTO124" s="225"/>
      <c r="TTP124" s="225"/>
      <c r="TTQ124" s="225"/>
      <c r="TTR124" s="225"/>
      <c r="TTS124" s="225"/>
      <c r="TTT124" s="225"/>
      <c r="TTU124" s="225"/>
      <c r="TTV124" s="225"/>
      <c r="TTW124" s="225"/>
      <c r="TTX124" s="225"/>
      <c r="TTY124" s="225"/>
      <c r="TTZ124" s="225"/>
      <c r="TUA124" s="225"/>
      <c r="TUB124" s="225"/>
      <c r="TUC124" s="225"/>
      <c r="TUD124" s="225"/>
      <c r="TUE124" s="225"/>
      <c r="TUF124" s="225"/>
      <c r="TUG124" s="225"/>
      <c r="TUH124" s="225"/>
      <c r="TUI124" s="225"/>
      <c r="TUJ124" s="225"/>
      <c r="TUK124" s="225"/>
      <c r="TUL124" s="225"/>
      <c r="TUM124" s="225"/>
      <c r="TUN124" s="225"/>
      <c r="TUO124" s="225"/>
      <c r="TUP124" s="225"/>
      <c r="TUQ124" s="225"/>
      <c r="TUR124" s="225"/>
      <c r="TUS124" s="225"/>
      <c r="TUT124" s="225"/>
      <c r="TUU124" s="225"/>
      <c r="TUV124" s="225"/>
      <c r="TUW124" s="225"/>
      <c r="TUX124" s="225"/>
      <c r="TUY124" s="225"/>
      <c r="TUZ124" s="225"/>
      <c r="TVA124" s="225"/>
      <c r="TVB124" s="225"/>
      <c r="TVC124" s="225"/>
      <c r="TVD124" s="225"/>
      <c r="TVE124" s="225"/>
      <c r="TVF124" s="225"/>
      <c r="TVG124" s="225"/>
      <c r="TVH124" s="225"/>
      <c r="TVI124" s="225"/>
      <c r="TVJ124" s="225"/>
      <c r="TVK124" s="225"/>
      <c r="TVL124" s="225"/>
      <c r="TVM124" s="225"/>
      <c r="TVN124" s="225"/>
      <c r="TVO124" s="225"/>
      <c r="TVP124" s="225"/>
      <c r="TVQ124" s="225"/>
      <c r="TVR124" s="225"/>
      <c r="TVS124" s="225"/>
      <c r="TVT124" s="225"/>
      <c r="TVU124" s="225"/>
      <c r="TVV124" s="225"/>
      <c r="TVW124" s="225"/>
      <c r="TVX124" s="225"/>
      <c r="TVY124" s="225"/>
      <c r="TVZ124" s="225"/>
      <c r="TWA124" s="225"/>
      <c r="TWB124" s="225"/>
      <c r="TWC124" s="225"/>
      <c r="TWD124" s="225"/>
      <c r="TWE124" s="225"/>
      <c r="TWF124" s="225"/>
      <c r="TWG124" s="225"/>
      <c r="TWH124" s="225"/>
      <c r="TWI124" s="225"/>
      <c r="TWJ124" s="225"/>
      <c r="TWK124" s="225"/>
      <c r="TWL124" s="225"/>
      <c r="TWM124" s="225"/>
      <c r="TWN124" s="225"/>
      <c r="TWO124" s="225"/>
      <c r="TWP124" s="225"/>
      <c r="TWQ124" s="225"/>
      <c r="TWR124" s="225"/>
      <c r="TWS124" s="225"/>
      <c r="TWT124" s="225"/>
      <c r="TWU124" s="225"/>
      <c r="TWV124" s="225"/>
      <c r="TWW124" s="225"/>
      <c r="TWX124" s="225"/>
      <c r="TWY124" s="225"/>
      <c r="TWZ124" s="225"/>
      <c r="TXA124" s="225"/>
      <c r="TXB124" s="225"/>
      <c r="TXC124" s="225"/>
      <c r="TXD124" s="225"/>
      <c r="TXE124" s="225"/>
      <c r="TXF124" s="225"/>
      <c r="TXG124" s="225"/>
      <c r="TXH124" s="225"/>
      <c r="TXI124" s="225"/>
      <c r="TXJ124" s="225"/>
      <c r="TXK124" s="225"/>
      <c r="TXL124" s="225"/>
      <c r="TXM124" s="225"/>
      <c r="TXN124" s="225"/>
      <c r="TXO124" s="225"/>
      <c r="TXP124" s="225"/>
      <c r="TXQ124" s="225"/>
      <c r="TXR124" s="225"/>
      <c r="TXS124" s="225"/>
      <c r="TXT124" s="225"/>
      <c r="TXU124" s="225"/>
      <c r="TXV124" s="225"/>
      <c r="TXW124" s="225"/>
      <c r="TXX124" s="225"/>
      <c r="TXY124" s="225"/>
      <c r="TXZ124" s="225"/>
      <c r="TYA124" s="225"/>
      <c r="TYB124" s="225"/>
      <c r="TYC124" s="225"/>
      <c r="TYD124" s="225"/>
      <c r="TYE124" s="225"/>
      <c r="TYF124" s="225"/>
      <c r="TYG124" s="225"/>
      <c r="TYH124" s="225"/>
      <c r="TYI124" s="225"/>
      <c r="TYJ124" s="225"/>
      <c r="TYK124" s="225"/>
      <c r="TYL124" s="225"/>
      <c r="TYM124" s="225"/>
      <c r="TYN124" s="225"/>
      <c r="TYO124" s="225"/>
      <c r="TYP124" s="225"/>
      <c r="TYQ124" s="225"/>
      <c r="TYR124" s="225"/>
      <c r="TYS124" s="225"/>
      <c r="TYT124" s="225"/>
      <c r="TYU124" s="225"/>
      <c r="TYV124" s="225"/>
      <c r="TYW124" s="225"/>
      <c r="TYX124" s="225"/>
      <c r="TYY124" s="225"/>
      <c r="TYZ124" s="225"/>
      <c r="TZA124" s="225"/>
      <c r="TZB124" s="225"/>
      <c r="TZC124" s="225"/>
      <c r="TZD124" s="225"/>
      <c r="TZE124" s="225"/>
      <c r="TZF124" s="225"/>
      <c r="TZG124" s="225"/>
      <c r="TZH124" s="225"/>
      <c r="TZI124" s="225"/>
      <c r="TZJ124" s="225"/>
      <c r="TZK124" s="225"/>
      <c r="TZL124" s="225"/>
      <c r="TZM124" s="225"/>
      <c r="TZN124" s="225"/>
      <c r="TZO124" s="225"/>
      <c r="TZP124" s="225"/>
      <c r="TZQ124" s="225"/>
      <c r="TZR124" s="225"/>
      <c r="TZS124" s="225"/>
      <c r="TZT124" s="225"/>
      <c r="TZU124" s="225"/>
      <c r="TZV124" s="225"/>
      <c r="TZW124" s="225"/>
      <c r="TZX124" s="225"/>
      <c r="TZY124" s="225"/>
      <c r="TZZ124" s="225"/>
      <c r="UAA124" s="225"/>
      <c r="UAB124" s="225"/>
      <c r="UAC124" s="225"/>
      <c r="UAD124" s="225"/>
      <c r="UAE124" s="225"/>
      <c r="UAF124" s="225"/>
      <c r="UAG124" s="225"/>
      <c r="UAH124" s="225"/>
      <c r="UAI124" s="225"/>
      <c r="UAJ124" s="225"/>
      <c r="UAK124" s="225"/>
      <c r="UAL124" s="225"/>
      <c r="UAM124" s="225"/>
      <c r="UAN124" s="225"/>
      <c r="UAO124" s="225"/>
      <c r="UAP124" s="225"/>
      <c r="UAQ124" s="225"/>
      <c r="UAR124" s="225"/>
      <c r="UAS124" s="225"/>
      <c r="UAT124" s="225"/>
      <c r="UAU124" s="225"/>
      <c r="UAV124" s="225"/>
      <c r="UAW124" s="225"/>
      <c r="UAX124" s="225"/>
      <c r="UAY124" s="225"/>
      <c r="UAZ124" s="225"/>
      <c r="UBA124" s="225"/>
      <c r="UBB124" s="225"/>
      <c r="UBC124" s="225"/>
      <c r="UBD124" s="225"/>
      <c r="UBE124" s="225"/>
      <c r="UBF124" s="225"/>
      <c r="UBG124" s="225"/>
      <c r="UBH124" s="225"/>
      <c r="UBI124" s="225"/>
      <c r="UBJ124" s="225"/>
      <c r="UBK124" s="225"/>
      <c r="UBL124" s="225"/>
      <c r="UBM124" s="225"/>
      <c r="UBN124" s="225"/>
      <c r="UBO124" s="225"/>
      <c r="UBP124" s="225"/>
      <c r="UBQ124" s="225"/>
      <c r="UBR124" s="225"/>
      <c r="UBS124" s="225"/>
      <c r="UBT124" s="225"/>
      <c r="UBU124" s="225"/>
      <c r="UBV124" s="225"/>
      <c r="UBW124" s="225"/>
      <c r="UBX124" s="225"/>
      <c r="UBY124" s="225"/>
      <c r="UBZ124" s="225"/>
      <c r="UCA124" s="225"/>
      <c r="UCB124" s="225"/>
      <c r="UCC124" s="225"/>
      <c r="UCD124" s="225"/>
      <c r="UCE124" s="225"/>
      <c r="UCF124" s="225"/>
      <c r="UCG124" s="225"/>
      <c r="UCH124" s="225"/>
      <c r="UCI124" s="225"/>
      <c r="UCJ124" s="225"/>
      <c r="UCK124" s="225"/>
      <c r="UCL124" s="225"/>
      <c r="UCM124" s="225"/>
      <c r="UCN124" s="225"/>
      <c r="UCO124" s="225"/>
      <c r="UCP124" s="225"/>
      <c r="UCQ124" s="225"/>
      <c r="UCR124" s="225"/>
      <c r="UCS124" s="225"/>
      <c r="UCT124" s="225"/>
      <c r="UCU124" s="225"/>
      <c r="UCV124" s="225"/>
      <c r="UCW124" s="225"/>
      <c r="UCX124" s="225"/>
      <c r="UCY124" s="225"/>
      <c r="UCZ124" s="225"/>
      <c r="UDA124" s="225"/>
      <c r="UDB124" s="225"/>
      <c r="UDC124" s="225"/>
      <c r="UDD124" s="225"/>
      <c r="UDE124" s="225"/>
      <c r="UDF124" s="225"/>
      <c r="UDG124" s="225"/>
      <c r="UDH124" s="225"/>
      <c r="UDI124" s="225"/>
      <c r="UDJ124" s="225"/>
      <c r="UDK124" s="225"/>
      <c r="UDL124" s="225"/>
      <c r="UDM124" s="225"/>
      <c r="UDN124" s="225"/>
      <c r="UDO124" s="225"/>
      <c r="UDP124" s="225"/>
      <c r="UDQ124" s="225"/>
      <c r="UDR124" s="225"/>
      <c r="UDS124" s="225"/>
      <c r="UDT124" s="225"/>
      <c r="UDU124" s="225"/>
      <c r="UDV124" s="225"/>
      <c r="UDW124" s="225"/>
      <c r="UDX124" s="225"/>
      <c r="UDY124" s="225"/>
      <c r="UDZ124" s="225"/>
      <c r="UEA124" s="225"/>
      <c r="UEB124" s="225"/>
      <c r="UEC124" s="225"/>
      <c r="UED124" s="225"/>
      <c r="UEE124" s="225"/>
      <c r="UEF124" s="225"/>
      <c r="UEG124" s="225"/>
      <c r="UEH124" s="225"/>
      <c r="UEI124" s="225"/>
      <c r="UEJ124" s="225"/>
      <c r="UEK124" s="225"/>
      <c r="UEL124" s="225"/>
      <c r="UEM124" s="225"/>
      <c r="UEN124" s="225"/>
      <c r="UEO124" s="225"/>
      <c r="UEP124" s="225"/>
      <c r="UEQ124" s="225"/>
      <c r="UER124" s="225"/>
      <c r="UES124" s="225"/>
      <c r="UET124" s="225"/>
      <c r="UEU124" s="225"/>
      <c r="UEV124" s="225"/>
      <c r="UEW124" s="225"/>
      <c r="UEX124" s="225"/>
      <c r="UEY124" s="225"/>
      <c r="UEZ124" s="225"/>
      <c r="UFA124" s="225"/>
      <c r="UFB124" s="225"/>
      <c r="UFC124" s="225"/>
      <c r="UFD124" s="225"/>
      <c r="UFE124" s="225"/>
      <c r="UFF124" s="225"/>
      <c r="UFG124" s="225"/>
      <c r="UFH124" s="225"/>
      <c r="UFI124" s="225"/>
      <c r="UFJ124" s="225"/>
      <c r="UFK124" s="225"/>
      <c r="UFL124" s="225"/>
      <c r="UFM124" s="225"/>
      <c r="UFN124" s="225"/>
      <c r="UFO124" s="225"/>
      <c r="UFP124" s="225"/>
      <c r="UFQ124" s="225"/>
      <c r="UFR124" s="225"/>
      <c r="UFS124" s="225"/>
      <c r="UFT124" s="225"/>
      <c r="UFU124" s="225"/>
      <c r="UFV124" s="225"/>
      <c r="UFW124" s="225"/>
      <c r="UFX124" s="225"/>
      <c r="UFY124" s="225"/>
      <c r="UFZ124" s="225"/>
      <c r="UGA124" s="225"/>
      <c r="UGB124" s="225"/>
      <c r="UGC124" s="225"/>
      <c r="UGD124" s="225"/>
      <c r="UGE124" s="225"/>
      <c r="UGF124" s="225"/>
      <c r="UGG124" s="225"/>
      <c r="UGH124" s="225"/>
      <c r="UGI124" s="225"/>
      <c r="UGJ124" s="225"/>
      <c r="UGK124" s="225"/>
      <c r="UGL124" s="225"/>
      <c r="UGM124" s="225"/>
      <c r="UGN124" s="225"/>
      <c r="UGO124" s="225"/>
      <c r="UGP124" s="225"/>
      <c r="UGQ124" s="225"/>
      <c r="UGR124" s="225"/>
      <c r="UGS124" s="225"/>
      <c r="UGT124" s="225"/>
      <c r="UGU124" s="225"/>
      <c r="UGV124" s="225"/>
      <c r="UGW124" s="225"/>
      <c r="UGX124" s="225"/>
      <c r="UGY124" s="225"/>
      <c r="UGZ124" s="225"/>
      <c r="UHA124" s="225"/>
      <c r="UHB124" s="225"/>
      <c r="UHC124" s="225"/>
      <c r="UHD124" s="225"/>
      <c r="UHE124" s="225"/>
      <c r="UHF124" s="225"/>
      <c r="UHG124" s="225"/>
      <c r="UHH124" s="225"/>
      <c r="UHI124" s="225"/>
      <c r="UHJ124" s="225"/>
      <c r="UHK124" s="225"/>
      <c r="UHL124" s="225"/>
      <c r="UHM124" s="225"/>
      <c r="UHN124" s="225"/>
      <c r="UHO124" s="225"/>
      <c r="UHP124" s="225"/>
      <c r="UHQ124" s="225"/>
      <c r="UHR124" s="225"/>
      <c r="UHS124" s="225"/>
      <c r="UHT124" s="225"/>
      <c r="UHU124" s="225"/>
      <c r="UHV124" s="225"/>
      <c r="UHW124" s="225"/>
      <c r="UHX124" s="225"/>
      <c r="UHY124" s="225"/>
      <c r="UHZ124" s="225"/>
      <c r="UIA124" s="225"/>
      <c r="UIB124" s="225"/>
      <c r="UIC124" s="225"/>
      <c r="UID124" s="225"/>
      <c r="UIE124" s="225"/>
      <c r="UIF124" s="225"/>
      <c r="UIG124" s="225"/>
      <c r="UIH124" s="225"/>
      <c r="UII124" s="225"/>
      <c r="UIJ124" s="225"/>
      <c r="UIK124" s="225"/>
      <c r="UIL124" s="225"/>
      <c r="UIM124" s="225"/>
      <c r="UIN124" s="225"/>
      <c r="UIO124" s="225"/>
      <c r="UIP124" s="225"/>
      <c r="UIQ124" s="225"/>
      <c r="UIR124" s="225"/>
      <c r="UIS124" s="225"/>
      <c r="UIT124" s="225"/>
      <c r="UIU124" s="225"/>
      <c r="UIV124" s="225"/>
      <c r="UIW124" s="225"/>
      <c r="UIX124" s="225"/>
      <c r="UIY124" s="225"/>
      <c r="UIZ124" s="225"/>
      <c r="UJA124" s="225"/>
      <c r="UJB124" s="225"/>
      <c r="UJC124" s="225"/>
      <c r="UJD124" s="225"/>
      <c r="UJE124" s="225"/>
      <c r="UJF124" s="225"/>
      <c r="UJG124" s="225"/>
      <c r="UJH124" s="225"/>
      <c r="UJI124" s="225"/>
      <c r="UJJ124" s="225"/>
      <c r="UJK124" s="225"/>
      <c r="UJL124" s="225"/>
      <c r="UJM124" s="225"/>
      <c r="UJN124" s="225"/>
      <c r="UJO124" s="225"/>
      <c r="UJP124" s="225"/>
      <c r="UJQ124" s="225"/>
      <c r="UJR124" s="225"/>
      <c r="UJS124" s="225"/>
      <c r="UJT124" s="225"/>
      <c r="UJU124" s="225"/>
      <c r="UJV124" s="225"/>
      <c r="UJW124" s="225"/>
      <c r="UJX124" s="225"/>
      <c r="UJY124" s="225"/>
      <c r="UJZ124" s="225"/>
      <c r="UKA124" s="225"/>
      <c r="UKB124" s="225"/>
      <c r="UKC124" s="225"/>
      <c r="UKD124" s="225"/>
      <c r="UKE124" s="225"/>
      <c r="UKF124" s="225"/>
      <c r="UKG124" s="225"/>
      <c r="UKH124" s="225"/>
      <c r="UKI124" s="225"/>
      <c r="UKJ124" s="225"/>
      <c r="UKK124" s="225"/>
      <c r="UKL124" s="225"/>
      <c r="UKM124" s="225"/>
      <c r="UKN124" s="225"/>
      <c r="UKO124" s="225"/>
      <c r="UKP124" s="225"/>
      <c r="UKQ124" s="225"/>
      <c r="UKR124" s="225"/>
      <c r="UKS124" s="225"/>
      <c r="UKT124" s="225"/>
      <c r="UKU124" s="225"/>
      <c r="UKV124" s="225"/>
      <c r="UKW124" s="225"/>
      <c r="UKX124" s="225"/>
      <c r="UKY124" s="225"/>
      <c r="UKZ124" s="225"/>
      <c r="ULA124" s="225"/>
      <c r="ULB124" s="225"/>
      <c r="ULC124" s="225"/>
      <c r="ULD124" s="225"/>
      <c r="ULE124" s="225"/>
      <c r="ULF124" s="225"/>
      <c r="ULG124" s="225"/>
      <c r="ULH124" s="225"/>
      <c r="ULI124" s="225"/>
      <c r="ULJ124" s="225"/>
      <c r="ULK124" s="225"/>
      <c r="ULL124" s="225"/>
      <c r="ULM124" s="225"/>
      <c r="ULN124" s="225"/>
      <c r="ULO124" s="225"/>
      <c r="ULP124" s="225"/>
      <c r="ULQ124" s="225"/>
      <c r="ULR124" s="225"/>
      <c r="ULS124" s="225"/>
      <c r="ULT124" s="225"/>
      <c r="ULU124" s="225"/>
      <c r="ULV124" s="225"/>
      <c r="ULW124" s="225"/>
      <c r="ULX124" s="225"/>
      <c r="ULY124" s="225"/>
      <c r="ULZ124" s="225"/>
      <c r="UMA124" s="225"/>
      <c r="UMB124" s="225"/>
      <c r="UMC124" s="225"/>
      <c r="UMD124" s="225"/>
      <c r="UME124" s="225"/>
      <c r="UMF124" s="225"/>
      <c r="UMG124" s="225"/>
      <c r="UMH124" s="225"/>
      <c r="UMI124" s="225"/>
      <c r="UMJ124" s="225"/>
      <c r="UMK124" s="225"/>
      <c r="UML124" s="225"/>
      <c r="UMM124" s="225"/>
      <c r="UMN124" s="225"/>
      <c r="UMO124" s="225"/>
      <c r="UMP124" s="225"/>
      <c r="UMQ124" s="225"/>
      <c r="UMR124" s="225"/>
      <c r="UMS124" s="225"/>
      <c r="UMT124" s="225"/>
      <c r="UMU124" s="225"/>
      <c r="UMV124" s="225"/>
      <c r="UMW124" s="225"/>
      <c r="UMX124" s="225"/>
      <c r="UMY124" s="225"/>
      <c r="UMZ124" s="225"/>
      <c r="UNA124" s="225"/>
      <c r="UNB124" s="225"/>
      <c r="UNC124" s="225"/>
      <c r="UND124" s="225"/>
      <c r="UNE124" s="225"/>
      <c r="UNF124" s="225"/>
      <c r="UNG124" s="225"/>
      <c r="UNH124" s="225"/>
      <c r="UNI124" s="225"/>
      <c r="UNJ124" s="225"/>
      <c r="UNK124" s="225"/>
      <c r="UNL124" s="225"/>
      <c r="UNM124" s="225"/>
      <c r="UNN124" s="225"/>
      <c r="UNO124" s="225"/>
      <c r="UNP124" s="225"/>
      <c r="UNQ124" s="225"/>
      <c r="UNR124" s="225"/>
      <c r="UNS124" s="225"/>
      <c r="UNT124" s="225"/>
      <c r="UNU124" s="225"/>
      <c r="UNV124" s="225"/>
      <c r="UNW124" s="225"/>
      <c r="UNX124" s="225"/>
      <c r="UNY124" s="225"/>
      <c r="UNZ124" s="225"/>
      <c r="UOA124" s="225"/>
      <c r="UOB124" s="225"/>
      <c r="UOC124" s="225"/>
      <c r="UOD124" s="225"/>
      <c r="UOE124" s="225"/>
      <c r="UOF124" s="225"/>
      <c r="UOG124" s="225"/>
      <c r="UOH124" s="225"/>
      <c r="UOI124" s="225"/>
      <c r="UOJ124" s="225"/>
      <c r="UOK124" s="225"/>
      <c r="UOL124" s="225"/>
      <c r="UOM124" s="225"/>
      <c r="UON124" s="225"/>
      <c r="UOO124" s="225"/>
      <c r="UOP124" s="225"/>
      <c r="UOQ124" s="225"/>
      <c r="UOR124" s="225"/>
      <c r="UOS124" s="225"/>
      <c r="UOT124" s="225"/>
      <c r="UOU124" s="225"/>
      <c r="UOV124" s="225"/>
      <c r="UOW124" s="225"/>
      <c r="UOX124" s="225"/>
      <c r="UOY124" s="225"/>
      <c r="UOZ124" s="225"/>
      <c r="UPA124" s="225"/>
      <c r="UPB124" s="225"/>
      <c r="UPC124" s="225"/>
      <c r="UPD124" s="225"/>
      <c r="UPE124" s="225"/>
      <c r="UPF124" s="225"/>
      <c r="UPG124" s="225"/>
      <c r="UPH124" s="225"/>
      <c r="UPI124" s="225"/>
      <c r="UPJ124" s="225"/>
      <c r="UPK124" s="225"/>
      <c r="UPL124" s="225"/>
      <c r="UPM124" s="225"/>
      <c r="UPN124" s="225"/>
      <c r="UPO124" s="225"/>
      <c r="UPP124" s="225"/>
      <c r="UPQ124" s="225"/>
      <c r="UPR124" s="225"/>
      <c r="UPS124" s="225"/>
      <c r="UPT124" s="225"/>
      <c r="UPU124" s="225"/>
      <c r="UPV124" s="225"/>
      <c r="UPW124" s="225"/>
      <c r="UPX124" s="225"/>
      <c r="UPY124" s="225"/>
      <c r="UPZ124" s="225"/>
      <c r="UQA124" s="225"/>
      <c r="UQB124" s="225"/>
      <c r="UQC124" s="225"/>
      <c r="UQD124" s="225"/>
      <c r="UQE124" s="225"/>
      <c r="UQF124" s="225"/>
      <c r="UQG124" s="225"/>
      <c r="UQH124" s="225"/>
      <c r="UQI124" s="225"/>
      <c r="UQJ124" s="225"/>
      <c r="UQK124" s="225"/>
      <c r="UQL124" s="225"/>
      <c r="UQM124" s="225"/>
      <c r="UQN124" s="225"/>
      <c r="UQO124" s="225"/>
      <c r="UQP124" s="225"/>
      <c r="UQQ124" s="225"/>
      <c r="UQR124" s="225"/>
      <c r="UQS124" s="225"/>
      <c r="UQT124" s="225"/>
      <c r="UQU124" s="225"/>
      <c r="UQV124" s="225"/>
      <c r="UQW124" s="225"/>
      <c r="UQX124" s="225"/>
      <c r="UQY124" s="225"/>
      <c r="UQZ124" s="225"/>
      <c r="URA124" s="225"/>
      <c r="URB124" s="225"/>
      <c r="URC124" s="225"/>
      <c r="URD124" s="225"/>
      <c r="URE124" s="225"/>
      <c r="URF124" s="225"/>
      <c r="URG124" s="225"/>
      <c r="URH124" s="225"/>
      <c r="URI124" s="225"/>
      <c r="URJ124" s="225"/>
      <c r="URK124" s="225"/>
      <c r="URL124" s="225"/>
      <c r="URM124" s="225"/>
      <c r="URN124" s="225"/>
      <c r="URO124" s="225"/>
      <c r="URP124" s="225"/>
      <c r="URQ124" s="225"/>
      <c r="URR124" s="225"/>
      <c r="URS124" s="225"/>
      <c r="URT124" s="225"/>
      <c r="URU124" s="225"/>
      <c r="URV124" s="225"/>
      <c r="URW124" s="225"/>
      <c r="URX124" s="225"/>
      <c r="URY124" s="225"/>
      <c r="URZ124" s="225"/>
      <c r="USA124" s="225"/>
      <c r="USB124" s="225"/>
      <c r="USC124" s="225"/>
      <c r="USD124" s="225"/>
      <c r="USE124" s="225"/>
      <c r="USF124" s="225"/>
      <c r="USG124" s="225"/>
      <c r="USH124" s="225"/>
      <c r="USI124" s="225"/>
      <c r="USJ124" s="225"/>
      <c r="USK124" s="225"/>
      <c r="USL124" s="225"/>
      <c r="USM124" s="225"/>
      <c r="USN124" s="225"/>
      <c r="USO124" s="225"/>
      <c r="USP124" s="225"/>
      <c r="USQ124" s="225"/>
      <c r="USR124" s="225"/>
      <c r="USS124" s="225"/>
      <c r="UST124" s="225"/>
      <c r="USU124" s="225"/>
      <c r="USV124" s="225"/>
      <c r="USW124" s="225"/>
      <c r="USX124" s="225"/>
      <c r="USY124" s="225"/>
      <c r="USZ124" s="225"/>
      <c r="UTA124" s="225"/>
      <c r="UTB124" s="225"/>
      <c r="UTC124" s="225"/>
      <c r="UTD124" s="225"/>
      <c r="UTE124" s="225"/>
      <c r="UTF124" s="225"/>
      <c r="UTG124" s="225"/>
      <c r="UTH124" s="225"/>
      <c r="UTI124" s="225"/>
      <c r="UTJ124" s="225"/>
      <c r="UTK124" s="225"/>
      <c r="UTL124" s="225"/>
      <c r="UTM124" s="225"/>
      <c r="UTN124" s="225"/>
      <c r="UTO124" s="225"/>
      <c r="UTP124" s="225"/>
      <c r="UTQ124" s="225"/>
      <c r="UTR124" s="225"/>
      <c r="UTS124" s="225"/>
      <c r="UTT124" s="225"/>
      <c r="UTU124" s="225"/>
      <c r="UTV124" s="225"/>
      <c r="UTW124" s="225"/>
      <c r="UTX124" s="225"/>
      <c r="UTY124" s="225"/>
      <c r="UTZ124" s="225"/>
      <c r="UUA124" s="225"/>
      <c r="UUB124" s="225"/>
      <c r="UUC124" s="225"/>
      <c r="UUD124" s="225"/>
      <c r="UUE124" s="225"/>
      <c r="UUF124" s="225"/>
      <c r="UUG124" s="225"/>
      <c r="UUH124" s="225"/>
      <c r="UUI124" s="225"/>
      <c r="UUJ124" s="225"/>
      <c r="UUK124" s="225"/>
      <c r="UUL124" s="225"/>
      <c r="UUM124" s="225"/>
      <c r="UUN124" s="225"/>
      <c r="UUO124" s="225"/>
      <c r="UUP124" s="225"/>
      <c r="UUQ124" s="225"/>
      <c r="UUR124" s="225"/>
      <c r="UUS124" s="225"/>
      <c r="UUT124" s="225"/>
      <c r="UUU124" s="225"/>
      <c r="UUV124" s="225"/>
      <c r="UUW124" s="225"/>
      <c r="UUX124" s="225"/>
      <c r="UUY124" s="225"/>
      <c r="UUZ124" s="225"/>
      <c r="UVA124" s="225"/>
      <c r="UVB124" s="225"/>
      <c r="UVC124" s="225"/>
      <c r="UVD124" s="225"/>
      <c r="UVE124" s="225"/>
      <c r="UVF124" s="225"/>
      <c r="UVG124" s="225"/>
      <c r="UVH124" s="225"/>
      <c r="UVI124" s="225"/>
      <c r="UVJ124" s="225"/>
      <c r="UVK124" s="225"/>
      <c r="UVL124" s="225"/>
      <c r="UVM124" s="225"/>
      <c r="UVN124" s="225"/>
      <c r="UVO124" s="225"/>
      <c r="UVP124" s="225"/>
      <c r="UVQ124" s="225"/>
      <c r="UVR124" s="225"/>
      <c r="UVS124" s="225"/>
      <c r="UVT124" s="225"/>
      <c r="UVU124" s="225"/>
      <c r="UVV124" s="225"/>
      <c r="UVW124" s="225"/>
      <c r="UVX124" s="225"/>
      <c r="UVY124" s="225"/>
      <c r="UVZ124" s="225"/>
      <c r="UWA124" s="225"/>
      <c r="UWB124" s="225"/>
      <c r="UWC124" s="225"/>
      <c r="UWD124" s="225"/>
      <c r="UWE124" s="225"/>
      <c r="UWF124" s="225"/>
      <c r="UWG124" s="225"/>
      <c r="UWH124" s="225"/>
      <c r="UWI124" s="225"/>
      <c r="UWJ124" s="225"/>
      <c r="UWK124" s="225"/>
      <c r="UWL124" s="225"/>
      <c r="UWM124" s="225"/>
      <c r="UWN124" s="225"/>
      <c r="UWO124" s="225"/>
      <c r="UWP124" s="225"/>
      <c r="UWQ124" s="225"/>
      <c r="UWR124" s="225"/>
      <c r="UWS124" s="225"/>
      <c r="UWT124" s="225"/>
      <c r="UWU124" s="225"/>
      <c r="UWV124" s="225"/>
      <c r="UWW124" s="225"/>
      <c r="UWX124" s="225"/>
      <c r="UWY124" s="225"/>
      <c r="UWZ124" s="225"/>
      <c r="UXA124" s="225"/>
      <c r="UXB124" s="225"/>
      <c r="UXC124" s="225"/>
      <c r="UXD124" s="225"/>
      <c r="UXE124" s="225"/>
      <c r="UXF124" s="225"/>
      <c r="UXG124" s="225"/>
      <c r="UXH124" s="225"/>
      <c r="UXI124" s="225"/>
      <c r="UXJ124" s="225"/>
      <c r="UXK124" s="225"/>
      <c r="UXL124" s="225"/>
      <c r="UXM124" s="225"/>
      <c r="UXN124" s="225"/>
      <c r="UXO124" s="225"/>
      <c r="UXP124" s="225"/>
      <c r="UXQ124" s="225"/>
      <c r="UXR124" s="225"/>
      <c r="UXS124" s="225"/>
      <c r="UXT124" s="225"/>
      <c r="UXU124" s="225"/>
      <c r="UXV124" s="225"/>
      <c r="UXW124" s="225"/>
      <c r="UXX124" s="225"/>
      <c r="UXY124" s="225"/>
      <c r="UXZ124" s="225"/>
      <c r="UYA124" s="225"/>
      <c r="UYB124" s="225"/>
      <c r="UYC124" s="225"/>
      <c r="UYD124" s="225"/>
      <c r="UYE124" s="225"/>
      <c r="UYF124" s="225"/>
      <c r="UYG124" s="225"/>
      <c r="UYH124" s="225"/>
      <c r="UYI124" s="225"/>
      <c r="UYJ124" s="225"/>
      <c r="UYK124" s="225"/>
      <c r="UYL124" s="225"/>
      <c r="UYM124" s="225"/>
      <c r="UYN124" s="225"/>
      <c r="UYO124" s="225"/>
      <c r="UYP124" s="225"/>
      <c r="UYQ124" s="225"/>
      <c r="UYR124" s="225"/>
      <c r="UYS124" s="225"/>
      <c r="UYT124" s="225"/>
      <c r="UYU124" s="225"/>
      <c r="UYV124" s="225"/>
      <c r="UYW124" s="225"/>
      <c r="UYX124" s="225"/>
      <c r="UYY124" s="225"/>
      <c r="UYZ124" s="225"/>
      <c r="UZA124" s="225"/>
      <c r="UZB124" s="225"/>
      <c r="UZC124" s="225"/>
      <c r="UZD124" s="225"/>
      <c r="UZE124" s="225"/>
      <c r="UZF124" s="225"/>
      <c r="UZG124" s="225"/>
      <c r="UZH124" s="225"/>
      <c r="UZI124" s="225"/>
      <c r="UZJ124" s="225"/>
      <c r="UZK124" s="225"/>
      <c r="UZL124" s="225"/>
      <c r="UZM124" s="225"/>
      <c r="UZN124" s="225"/>
      <c r="UZO124" s="225"/>
      <c r="UZP124" s="225"/>
      <c r="UZQ124" s="225"/>
      <c r="UZR124" s="225"/>
      <c r="UZS124" s="225"/>
      <c r="UZT124" s="225"/>
      <c r="UZU124" s="225"/>
      <c r="UZV124" s="225"/>
      <c r="UZW124" s="225"/>
      <c r="UZX124" s="225"/>
      <c r="UZY124" s="225"/>
      <c r="UZZ124" s="225"/>
      <c r="VAA124" s="225"/>
      <c r="VAB124" s="225"/>
      <c r="VAC124" s="225"/>
      <c r="VAD124" s="225"/>
      <c r="VAE124" s="225"/>
      <c r="VAF124" s="225"/>
      <c r="VAG124" s="225"/>
      <c r="VAH124" s="225"/>
      <c r="VAI124" s="225"/>
      <c r="VAJ124" s="225"/>
      <c r="VAK124" s="225"/>
      <c r="VAL124" s="225"/>
      <c r="VAM124" s="225"/>
      <c r="VAN124" s="225"/>
      <c r="VAO124" s="225"/>
      <c r="VAP124" s="225"/>
      <c r="VAQ124" s="225"/>
      <c r="VAR124" s="225"/>
      <c r="VAS124" s="225"/>
      <c r="VAT124" s="225"/>
      <c r="VAU124" s="225"/>
      <c r="VAV124" s="225"/>
      <c r="VAW124" s="225"/>
      <c r="VAX124" s="225"/>
      <c r="VAY124" s="225"/>
      <c r="VAZ124" s="225"/>
      <c r="VBA124" s="225"/>
      <c r="VBB124" s="225"/>
      <c r="VBC124" s="225"/>
      <c r="VBD124" s="225"/>
      <c r="VBE124" s="225"/>
      <c r="VBF124" s="225"/>
      <c r="VBG124" s="225"/>
      <c r="VBH124" s="225"/>
      <c r="VBI124" s="225"/>
      <c r="VBJ124" s="225"/>
      <c r="VBK124" s="225"/>
      <c r="VBL124" s="225"/>
      <c r="VBM124" s="225"/>
      <c r="VBN124" s="225"/>
      <c r="VBO124" s="225"/>
      <c r="VBP124" s="225"/>
      <c r="VBQ124" s="225"/>
      <c r="VBR124" s="225"/>
      <c r="VBS124" s="225"/>
      <c r="VBT124" s="225"/>
      <c r="VBU124" s="225"/>
      <c r="VBV124" s="225"/>
      <c r="VBW124" s="225"/>
      <c r="VBX124" s="225"/>
      <c r="VBY124" s="225"/>
      <c r="VBZ124" s="225"/>
      <c r="VCA124" s="225"/>
      <c r="VCB124" s="225"/>
      <c r="VCC124" s="225"/>
      <c r="VCD124" s="225"/>
      <c r="VCE124" s="225"/>
      <c r="VCF124" s="225"/>
      <c r="VCG124" s="225"/>
      <c r="VCH124" s="225"/>
      <c r="VCI124" s="225"/>
      <c r="VCJ124" s="225"/>
      <c r="VCK124" s="225"/>
      <c r="VCL124" s="225"/>
      <c r="VCM124" s="225"/>
      <c r="VCN124" s="225"/>
      <c r="VCO124" s="225"/>
      <c r="VCP124" s="225"/>
      <c r="VCQ124" s="225"/>
      <c r="VCR124" s="225"/>
      <c r="VCS124" s="225"/>
      <c r="VCT124" s="225"/>
      <c r="VCU124" s="225"/>
      <c r="VCV124" s="225"/>
      <c r="VCW124" s="225"/>
      <c r="VCX124" s="225"/>
      <c r="VCY124" s="225"/>
      <c r="VCZ124" s="225"/>
      <c r="VDA124" s="225"/>
      <c r="VDB124" s="225"/>
      <c r="VDC124" s="225"/>
      <c r="VDD124" s="225"/>
      <c r="VDE124" s="225"/>
      <c r="VDF124" s="225"/>
      <c r="VDG124" s="225"/>
      <c r="VDH124" s="225"/>
      <c r="VDI124" s="225"/>
      <c r="VDJ124" s="225"/>
      <c r="VDK124" s="225"/>
      <c r="VDL124" s="225"/>
      <c r="VDM124" s="225"/>
      <c r="VDN124" s="225"/>
      <c r="VDO124" s="225"/>
      <c r="VDP124" s="225"/>
      <c r="VDQ124" s="225"/>
      <c r="VDR124" s="225"/>
      <c r="VDS124" s="225"/>
      <c r="VDT124" s="225"/>
      <c r="VDU124" s="225"/>
      <c r="VDV124" s="225"/>
      <c r="VDW124" s="225"/>
      <c r="VDX124" s="225"/>
      <c r="VDY124" s="225"/>
      <c r="VDZ124" s="225"/>
      <c r="VEA124" s="225"/>
      <c r="VEB124" s="225"/>
      <c r="VEC124" s="225"/>
      <c r="VED124" s="225"/>
      <c r="VEE124" s="225"/>
      <c r="VEF124" s="225"/>
      <c r="VEG124" s="225"/>
      <c r="VEH124" s="225"/>
      <c r="VEI124" s="225"/>
      <c r="VEJ124" s="225"/>
      <c r="VEK124" s="225"/>
      <c r="VEL124" s="225"/>
      <c r="VEM124" s="225"/>
      <c r="VEN124" s="225"/>
      <c r="VEO124" s="225"/>
      <c r="VEP124" s="225"/>
      <c r="VEQ124" s="225"/>
      <c r="VER124" s="225"/>
      <c r="VES124" s="225"/>
      <c r="VET124" s="225"/>
      <c r="VEU124" s="225"/>
      <c r="VEV124" s="225"/>
      <c r="VEW124" s="225"/>
      <c r="VEX124" s="225"/>
      <c r="VEY124" s="225"/>
      <c r="VEZ124" s="225"/>
      <c r="VFA124" s="225"/>
      <c r="VFB124" s="225"/>
      <c r="VFC124" s="225"/>
      <c r="VFD124" s="225"/>
      <c r="VFE124" s="225"/>
      <c r="VFF124" s="225"/>
      <c r="VFG124" s="225"/>
      <c r="VFH124" s="225"/>
      <c r="VFI124" s="225"/>
      <c r="VFJ124" s="225"/>
      <c r="VFK124" s="225"/>
      <c r="VFL124" s="225"/>
      <c r="VFM124" s="225"/>
      <c r="VFN124" s="225"/>
      <c r="VFO124" s="225"/>
      <c r="VFP124" s="225"/>
      <c r="VFQ124" s="225"/>
      <c r="VFR124" s="225"/>
      <c r="VFS124" s="225"/>
      <c r="VFT124" s="225"/>
      <c r="VFU124" s="225"/>
      <c r="VFV124" s="225"/>
      <c r="VFW124" s="225"/>
      <c r="VFX124" s="225"/>
      <c r="VFY124" s="225"/>
      <c r="VFZ124" s="225"/>
      <c r="VGA124" s="225"/>
      <c r="VGB124" s="225"/>
      <c r="VGC124" s="225"/>
      <c r="VGD124" s="225"/>
      <c r="VGE124" s="225"/>
      <c r="VGF124" s="225"/>
      <c r="VGG124" s="225"/>
      <c r="VGH124" s="225"/>
      <c r="VGI124" s="225"/>
      <c r="VGJ124" s="225"/>
      <c r="VGK124" s="225"/>
      <c r="VGL124" s="225"/>
      <c r="VGM124" s="225"/>
      <c r="VGN124" s="225"/>
      <c r="VGO124" s="225"/>
      <c r="VGP124" s="225"/>
      <c r="VGQ124" s="225"/>
      <c r="VGR124" s="225"/>
      <c r="VGS124" s="225"/>
      <c r="VGT124" s="225"/>
      <c r="VGU124" s="225"/>
      <c r="VGV124" s="225"/>
      <c r="VGW124" s="225"/>
      <c r="VGX124" s="225"/>
      <c r="VGY124" s="225"/>
      <c r="VGZ124" s="225"/>
      <c r="VHA124" s="225"/>
      <c r="VHB124" s="225"/>
      <c r="VHC124" s="225"/>
      <c r="VHD124" s="225"/>
      <c r="VHE124" s="225"/>
      <c r="VHF124" s="225"/>
      <c r="VHG124" s="225"/>
      <c r="VHH124" s="225"/>
      <c r="VHI124" s="225"/>
      <c r="VHJ124" s="225"/>
      <c r="VHK124" s="225"/>
      <c r="VHL124" s="225"/>
      <c r="VHM124" s="225"/>
      <c r="VHN124" s="225"/>
      <c r="VHO124" s="225"/>
      <c r="VHP124" s="225"/>
      <c r="VHQ124" s="225"/>
      <c r="VHR124" s="225"/>
      <c r="VHS124" s="225"/>
      <c r="VHT124" s="225"/>
      <c r="VHU124" s="225"/>
      <c r="VHV124" s="225"/>
      <c r="VHW124" s="225"/>
      <c r="VHX124" s="225"/>
      <c r="VHY124" s="225"/>
      <c r="VHZ124" s="225"/>
      <c r="VIA124" s="225"/>
      <c r="VIB124" s="225"/>
      <c r="VIC124" s="225"/>
      <c r="VID124" s="225"/>
      <c r="VIE124" s="225"/>
      <c r="VIF124" s="225"/>
      <c r="VIG124" s="225"/>
      <c r="VIH124" s="225"/>
      <c r="VII124" s="225"/>
      <c r="VIJ124" s="225"/>
      <c r="VIK124" s="225"/>
      <c r="VIL124" s="225"/>
      <c r="VIM124" s="225"/>
      <c r="VIN124" s="225"/>
      <c r="VIO124" s="225"/>
      <c r="VIP124" s="225"/>
      <c r="VIQ124" s="225"/>
      <c r="VIR124" s="225"/>
      <c r="VIS124" s="225"/>
      <c r="VIT124" s="225"/>
      <c r="VIU124" s="225"/>
      <c r="VIV124" s="225"/>
      <c r="VIW124" s="225"/>
      <c r="VIX124" s="225"/>
      <c r="VIY124" s="225"/>
      <c r="VIZ124" s="225"/>
      <c r="VJA124" s="225"/>
      <c r="VJB124" s="225"/>
      <c r="VJC124" s="225"/>
      <c r="VJD124" s="225"/>
      <c r="VJE124" s="225"/>
      <c r="VJF124" s="225"/>
      <c r="VJG124" s="225"/>
      <c r="VJH124" s="225"/>
      <c r="VJI124" s="225"/>
      <c r="VJJ124" s="225"/>
      <c r="VJK124" s="225"/>
      <c r="VJL124" s="225"/>
      <c r="VJM124" s="225"/>
      <c r="VJN124" s="225"/>
      <c r="VJO124" s="225"/>
      <c r="VJP124" s="225"/>
      <c r="VJQ124" s="225"/>
      <c r="VJR124" s="225"/>
      <c r="VJS124" s="225"/>
      <c r="VJT124" s="225"/>
      <c r="VJU124" s="225"/>
      <c r="VJV124" s="225"/>
      <c r="VJW124" s="225"/>
      <c r="VJX124" s="225"/>
      <c r="VJY124" s="225"/>
      <c r="VJZ124" s="225"/>
      <c r="VKA124" s="225"/>
      <c r="VKB124" s="225"/>
      <c r="VKC124" s="225"/>
      <c r="VKD124" s="225"/>
      <c r="VKE124" s="225"/>
      <c r="VKF124" s="225"/>
      <c r="VKG124" s="225"/>
      <c r="VKH124" s="225"/>
      <c r="VKI124" s="225"/>
      <c r="VKJ124" s="225"/>
      <c r="VKK124" s="225"/>
      <c r="VKL124" s="225"/>
      <c r="VKM124" s="225"/>
      <c r="VKN124" s="225"/>
      <c r="VKO124" s="225"/>
      <c r="VKP124" s="225"/>
      <c r="VKQ124" s="225"/>
      <c r="VKR124" s="225"/>
      <c r="VKS124" s="225"/>
      <c r="VKT124" s="225"/>
      <c r="VKU124" s="225"/>
      <c r="VKV124" s="225"/>
      <c r="VKW124" s="225"/>
      <c r="VKX124" s="225"/>
      <c r="VKY124" s="225"/>
      <c r="VKZ124" s="225"/>
      <c r="VLA124" s="225"/>
      <c r="VLB124" s="225"/>
      <c r="VLC124" s="225"/>
      <c r="VLD124" s="225"/>
      <c r="VLE124" s="225"/>
      <c r="VLF124" s="225"/>
      <c r="VLG124" s="225"/>
      <c r="VLH124" s="225"/>
      <c r="VLI124" s="225"/>
      <c r="VLJ124" s="225"/>
      <c r="VLK124" s="225"/>
      <c r="VLL124" s="225"/>
      <c r="VLM124" s="225"/>
      <c r="VLN124" s="225"/>
      <c r="VLO124" s="225"/>
      <c r="VLP124" s="225"/>
      <c r="VLQ124" s="225"/>
      <c r="VLR124" s="225"/>
      <c r="VLS124" s="225"/>
      <c r="VLT124" s="225"/>
      <c r="VLU124" s="225"/>
      <c r="VLV124" s="225"/>
      <c r="VLW124" s="225"/>
      <c r="VLX124" s="225"/>
      <c r="VLY124" s="225"/>
      <c r="VLZ124" s="225"/>
      <c r="VMA124" s="225"/>
      <c r="VMB124" s="225"/>
      <c r="VMC124" s="225"/>
      <c r="VMD124" s="225"/>
      <c r="VME124" s="225"/>
      <c r="VMF124" s="225"/>
      <c r="VMG124" s="225"/>
      <c r="VMH124" s="225"/>
      <c r="VMI124" s="225"/>
      <c r="VMJ124" s="225"/>
      <c r="VMK124" s="225"/>
      <c r="VML124" s="225"/>
      <c r="VMM124" s="225"/>
      <c r="VMN124" s="225"/>
      <c r="VMO124" s="225"/>
      <c r="VMP124" s="225"/>
      <c r="VMQ124" s="225"/>
      <c r="VMR124" s="225"/>
      <c r="VMS124" s="225"/>
      <c r="VMT124" s="225"/>
      <c r="VMU124" s="225"/>
      <c r="VMV124" s="225"/>
      <c r="VMW124" s="225"/>
      <c r="VMX124" s="225"/>
      <c r="VMY124" s="225"/>
      <c r="VMZ124" s="225"/>
      <c r="VNA124" s="225"/>
      <c r="VNB124" s="225"/>
      <c r="VNC124" s="225"/>
      <c r="VND124" s="225"/>
      <c r="VNE124" s="225"/>
      <c r="VNF124" s="225"/>
      <c r="VNG124" s="225"/>
      <c r="VNH124" s="225"/>
      <c r="VNI124" s="225"/>
      <c r="VNJ124" s="225"/>
      <c r="VNK124" s="225"/>
      <c r="VNL124" s="225"/>
      <c r="VNM124" s="225"/>
      <c r="VNN124" s="225"/>
      <c r="VNO124" s="225"/>
      <c r="VNP124" s="225"/>
      <c r="VNQ124" s="225"/>
      <c r="VNR124" s="225"/>
      <c r="VNS124" s="225"/>
      <c r="VNT124" s="225"/>
      <c r="VNU124" s="225"/>
      <c r="VNV124" s="225"/>
      <c r="VNW124" s="225"/>
      <c r="VNX124" s="225"/>
      <c r="VNY124" s="225"/>
      <c r="VNZ124" s="225"/>
      <c r="VOA124" s="225"/>
      <c r="VOB124" s="225"/>
      <c r="VOC124" s="225"/>
      <c r="VOD124" s="225"/>
      <c r="VOE124" s="225"/>
      <c r="VOF124" s="225"/>
      <c r="VOG124" s="225"/>
      <c r="VOH124" s="225"/>
      <c r="VOI124" s="225"/>
      <c r="VOJ124" s="225"/>
      <c r="VOK124" s="225"/>
      <c r="VOL124" s="225"/>
      <c r="VOM124" s="225"/>
      <c r="VON124" s="225"/>
      <c r="VOO124" s="225"/>
      <c r="VOP124" s="225"/>
      <c r="VOQ124" s="225"/>
      <c r="VOR124" s="225"/>
      <c r="VOS124" s="225"/>
      <c r="VOT124" s="225"/>
      <c r="VOU124" s="225"/>
      <c r="VOV124" s="225"/>
      <c r="VOW124" s="225"/>
      <c r="VOX124" s="225"/>
      <c r="VOY124" s="225"/>
      <c r="VOZ124" s="225"/>
      <c r="VPA124" s="225"/>
      <c r="VPB124" s="225"/>
      <c r="VPC124" s="225"/>
      <c r="VPD124" s="225"/>
      <c r="VPE124" s="225"/>
      <c r="VPF124" s="225"/>
      <c r="VPG124" s="225"/>
      <c r="VPH124" s="225"/>
      <c r="VPI124" s="225"/>
      <c r="VPJ124" s="225"/>
      <c r="VPK124" s="225"/>
      <c r="VPL124" s="225"/>
      <c r="VPM124" s="225"/>
      <c r="VPN124" s="225"/>
      <c r="VPO124" s="225"/>
      <c r="VPP124" s="225"/>
      <c r="VPQ124" s="225"/>
      <c r="VPR124" s="225"/>
      <c r="VPS124" s="225"/>
      <c r="VPT124" s="225"/>
      <c r="VPU124" s="225"/>
      <c r="VPV124" s="225"/>
      <c r="VPW124" s="225"/>
      <c r="VPX124" s="225"/>
      <c r="VPY124" s="225"/>
      <c r="VPZ124" s="225"/>
      <c r="VQA124" s="225"/>
      <c r="VQB124" s="225"/>
      <c r="VQC124" s="225"/>
      <c r="VQD124" s="225"/>
      <c r="VQE124" s="225"/>
      <c r="VQF124" s="225"/>
      <c r="VQG124" s="225"/>
      <c r="VQH124" s="225"/>
      <c r="VQI124" s="225"/>
      <c r="VQJ124" s="225"/>
      <c r="VQK124" s="225"/>
      <c r="VQL124" s="225"/>
      <c r="VQM124" s="225"/>
      <c r="VQN124" s="225"/>
      <c r="VQO124" s="225"/>
      <c r="VQP124" s="225"/>
      <c r="VQQ124" s="225"/>
      <c r="VQR124" s="225"/>
      <c r="VQS124" s="225"/>
      <c r="VQT124" s="225"/>
      <c r="VQU124" s="225"/>
      <c r="VQV124" s="225"/>
      <c r="VQW124" s="225"/>
      <c r="VQX124" s="225"/>
      <c r="VQY124" s="225"/>
      <c r="VQZ124" s="225"/>
      <c r="VRA124" s="225"/>
      <c r="VRB124" s="225"/>
      <c r="VRC124" s="225"/>
      <c r="VRD124" s="225"/>
      <c r="VRE124" s="225"/>
      <c r="VRF124" s="225"/>
      <c r="VRG124" s="225"/>
      <c r="VRH124" s="225"/>
      <c r="VRI124" s="225"/>
      <c r="VRJ124" s="225"/>
      <c r="VRK124" s="225"/>
      <c r="VRL124" s="225"/>
      <c r="VRM124" s="225"/>
      <c r="VRN124" s="225"/>
      <c r="VRO124" s="225"/>
      <c r="VRP124" s="225"/>
      <c r="VRQ124" s="225"/>
      <c r="VRR124" s="225"/>
      <c r="VRS124" s="225"/>
      <c r="VRT124" s="225"/>
      <c r="VRU124" s="225"/>
      <c r="VRV124" s="225"/>
      <c r="VRW124" s="225"/>
      <c r="VRX124" s="225"/>
      <c r="VRY124" s="225"/>
      <c r="VRZ124" s="225"/>
      <c r="VSA124" s="225"/>
      <c r="VSB124" s="225"/>
      <c r="VSC124" s="225"/>
      <c r="VSD124" s="225"/>
      <c r="VSE124" s="225"/>
      <c r="VSF124" s="225"/>
      <c r="VSG124" s="225"/>
      <c r="VSH124" s="225"/>
      <c r="VSI124" s="225"/>
      <c r="VSJ124" s="225"/>
      <c r="VSK124" s="225"/>
      <c r="VSL124" s="225"/>
      <c r="VSM124" s="225"/>
      <c r="VSN124" s="225"/>
      <c r="VSO124" s="225"/>
      <c r="VSP124" s="225"/>
      <c r="VSQ124" s="225"/>
      <c r="VSR124" s="225"/>
      <c r="VSS124" s="225"/>
      <c r="VST124" s="225"/>
      <c r="VSU124" s="225"/>
      <c r="VSV124" s="225"/>
      <c r="VSW124" s="225"/>
      <c r="VSX124" s="225"/>
      <c r="VSY124" s="225"/>
      <c r="VSZ124" s="225"/>
      <c r="VTA124" s="225"/>
      <c r="VTB124" s="225"/>
      <c r="VTC124" s="225"/>
      <c r="VTD124" s="225"/>
      <c r="VTE124" s="225"/>
      <c r="VTF124" s="225"/>
      <c r="VTG124" s="225"/>
      <c r="VTH124" s="225"/>
      <c r="VTI124" s="225"/>
      <c r="VTJ124" s="225"/>
      <c r="VTK124" s="225"/>
      <c r="VTL124" s="225"/>
      <c r="VTM124" s="225"/>
      <c r="VTN124" s="225"/>
      <c r="VTO124" s="225"/>
      <c r="VTP124" s="225"/>
      <c r="VTQ124" s="225"/>
      <c r="VTR124" s="225"/>
      <c r="VTS124" s="225"/>
      <c r="VTT124" s="225"/>
      <c r="VTU124" s="225"/>
      <c r="VTV124" s="225"/>
      <c r="VTW124" s="225"/>
      <c r="VTX124" s="225"/>
      <c r="VTY124" s="225"/>
      <c r="VTZ124" s="225"/>
      <c r="VUA124" s="225"/>
      <c r="VUB124" s="225"/>
      <c r="VUC124" s="225"/>
      <c r="VUD124" s="225"/>
      <c r="VUE124" s="225"/>
      <c r="VUF124" s="225"/>
      <c r="VUG124" s="225"/>
      <c r="VUH124" s="225"/>
      <c r="VUI124" s="225"/>
      <c r="VUJ124" s="225"/>
      <c r="VUK124" s="225"/>
      <c r="VUL124" s="225"/>
      <c r="VUM124" s="225"/>
      <c r="VUN124" s="225"/>
      <c r="VUO124" s="225"/>
      <c r="VUP124" s="225"/>
      <c r="VUQ124" s="225"/>
      <c r="VUR124" s="225"/>
      <c r="VUS124" s="225"/>
      <c r="VUT124" s="225"/>
      <c r="VUU124" s="225"/>
      <c r="VUV124" s="225"/>
      <c r="VUW124" s="225"/>
      <c r="VUX124" s="225"/>
      <c r="VUY124" s="225"/>
      <c r="VUZ124" s="225"/>
      <c r="VVA124" s="225"/>
      <c r="VVB124" s="225"/>
      <c r="VVC124" s="225"/>
      <c r="VVD124" s="225"/>
      <c r="VVE124" s="225"/>
      <c r="VVF124" s="225"/>
      <c r="VVG124" s="225"/>
      <c r="VVH124" s="225"/>
      <c r="VVI124" s="225"/>
      <c r="VVJ124" s="225"/>
      <c r="VVK124" s="225"/>
      <c r="VVL124" s="225"/>
      <c r="VVM124" s="225"/>
      <c r="VVN124" s="225"/>
      <c r="VVO124" s="225"/>
      <c r="VVP124" s="225"/>
      <c r="VVQ124" s="225"/>
      <c r="VVR124" s="225"/>
      <c r="VVS124" s="225"/>
      <c r="VVT124" s="225"/>
      <c r="VVU124" s="225"/>
      <c r="VVV124" s="225"/>
      <c r="VVW124" s="225"/>
      <c r="VVX124" s="225"/>
      <c r="VVY124" s="225"/>
      <c r="VVZ124" s="225"/>
      <c r="VWA124" s="225"/>
      <c r="VWB124" s="225"/>
      <c r="VWC124" s="225"/>
      <c r="VWD124" s="225"/>
      <c r="VWE124" s="225"/>
      <c r="VWF124" s="225"/>
      <c r="VWG124" s="225"/>
      <c r="VWH124" s="225"/>
      <c r="VWI124" s="225"/>
      <c r="VWJ124" s="225"/>
      <c r="VWK124" s="225"/>
      <c r="VWL124" s="225"/>
      <c r="VWM124" s="225"/>
      <c r="VWN124" s="225"/>
      <c r="VWO124" s="225"/>
      <c r="VWP124" s="225"/>
      <c r="VWQ124" s="225"/>
      <c r="VWR124" s="225"/>
      <c r="VWS124" s="225"/>
      <c r="VWT124" s="225"/>
      <c r="VWU124" s="225"/>
      <c r="VWV124" s="225"/>
      <c r="VWW124" s="225"/>
      <c r="VWX124" s="225"/>
      <c r="VWY124" s="225"/>
      <c r="VWZ124" s="225"/>
      <c r="VXA124" s="225"/>
      <c r="VXB124" s="225"/>
      <c r="VXC124" s="225"/>
      <c r="VXD124" s="225"/>
      <c r="VXE124" s="225"/>
      <c r="VXF124" s="225"/>
      <c r="VXG124" s="225"/>
      <c r="VXH124" s="225"/>
      <c r="VXI124" s="225"/>
      <c r="VXJ124" s="225"/>
      <c r="VXK124" s="225"/>
      <c r="VXL124" s="225"/>
      <c r="VXM124" s="225"/>
      <c r="VXN124" s="225"/>
      <c r="VXO124" s="225"/>
      <c r="VXP124" s="225"/>
      <c r="VXQ124" s="225"/>
      <c r="VXR124" s="225"/>
      <c r="VXS124" s="225"/>
      <c r="VXT124" s="225"/>
      <c r="VXU124" s="225"/>
      <c r="VXV124" s="225"/>
      <c r="VXW124" s="225"/>
      <c r="VXX124" s="225"/>
      <c r="VXY124" s="225"/>
      <c r="VXZ124" s="225"/>
      <c r="VYA124" s="225"/>
      <c r="VYB124" s="225"/>
      <c r="VYC124" s="225"/>
      <c r="VYD124" s="225"/>
      <c r="VYE124" s="225"/>
      <c r="VYF124" s="225"/>
      <c r="VYG124" s="225"/>
      <c r="VYH124" s="225"/>
      <c r="VYI124" s="225"/>
      <c r="VYJ124" s="225"/>
      <c r="VYK124" s="225"/>
      <c r="VYL124" s="225"/>
      <c r="VYM124" s="225"/>
      <c r="VYN124" s="225"/>
      <c r="VYO124" s="225"/>
      <c r="VYP124" s="225"/>
      <c r="VYQ124" s="225"/>
      <c r="VYR124" s="225"/>
      <c r="VYS124" s="225"/>
      <c r="VYT124" s="225"/>
      <c r="VYU124" s="225"/>
      <c r="VYV124" s="225"/>
      <c r="VYW124" s="225"/>
      <c r="VYX124" s="225"/>
      <c r="VYY124" s="225"/>
      <c r="VYZ124" s="225"/>
      <c r="VZA124" s="225"/>
      <c r="VZB124" s="225"/>
      <c r="VZC124" s="225"/>
      <c r="VZD124" s="225"/>
      <c r="VZE124" s="225"/>
      <c r="VZF124" s="225"/>
      <c r="VZG124" s="225"/>
      <c r="VZH124" s="225"/>
      <c r="VZI124" s="225"/>
      <c r="VZJ124" s="225"/>
      <c r="VZK124" s="225"/>
      <c r="VZL124" s="225"/>
      <c r="VZM124" s="225"/>
      <c r="VZN124" s="225"/>
      <c r="VZO124" s="225"/>
      <c r="VZP124" s="225"/>
      <c r="VZQ124" s="225"/>
      <c r="VZR124" s="225"/>
      <c r="VZS124" s="225"/>
      <c r="VZT124" s="225"/>
      <c r="VZU124" s="225"/>
      <c r="VZV124" s="225"/>
      <c r="VZW124" s="225"/>
      <c r="VZX124" s="225"/>
      <c r="VZY124" s="225"/>
      <c r="VZZ124" s="225"/>
      <c r="WAA124" s="225"/>
      <c r="WAB124" s="225"/>
      <c r="WAC124" s="225"/>
      <c r="WAD124" s="225"/>
      <c r="WAE124" s="225"/>
      <c r="WAF124" s="225"/>
      <c r="WAG124" s="225"/>
      <c r="WAH124" s="225"/>
      <c r="WAI124" s="225"/>
      <c r="WAJ124" s="225"/>
      <c r="WAK124" s="225"/>
      <c r="WAL124" s="225"/>
      <c r="WAM124" s="225"/>
      <c r="WAN124" s="225"/>
      <c r="WAO124" s="225"/>
      <c r="WAP124" s="225"/>
      <c r="WAQ124" s="225"/>
      <c r="WAR124" s="225"/>
      <c r="WAS124" s="225"/>
      <c r="WAT124" s="225"/>
      <c r="WAU124" s="225"/>
      <c r="WAV124" s="225"/>
      <c r="WAW124" s="225"/>
      <c r="WAX124" s="225"/>
      <c r="WAY124" s="225"/>
      <c r="WAZ124" s="225"/>
      <c r="WBA124" s="225"/>
      <c r="WBB124" s="225"/>
      <c r="WBC124" s="225"/>
      <c r="WBD124" s="225"/>
      <c r="WBE124" s="225"/>
      <c r="WBF124" s="225"/>
      <c r="WBG124" s="225"/>
      <c r="WBH124" s="225"/>
      <c r="WBI124" s="225"/>
      <c r="WBJ124" s="225"/>
      <c r="WBK124" s="225"/>
      <c r="WBL124" s="225"/>
      <c r="WBM124" s="225"/>
      <c r="WBN124" s="225"/>
      <c r="WBO124" s="225"/>
      <c r="WBP124" s="225"/>
      <c r="WBQ124" s="225"/>
      <c r="WBR124" s="225"/>
      <c r="WBS124" s="225"/>
      <c r="WBT124" s="225"/>
      <c r="WBU124" s="225"/>
      <c r="WBV124" s="225"/>
      <c r="WBW124" s="225"/>
      <c r="WBX124" s="225"/>
      <c r="WBY124" s="225"/>
      <c r="WBZ124" s="225"/>
      <c r="WCA124" s="225"/>
      <c r="WCB124" s="225"/>
      <c r="WCC124" s="225"/>
      <c r="WCD124" s="225"/>
      <c r="WCE124" s="225"/>
      <c r="WCF124" s="225"/>
      <c r="WCG124" s="225"/>
      <c r="WCH124" s="225"/>
      <c r="WCI124" s="225"/>
      <c r="WCJ124" s="225"/>
      <c r="WCK124" s="225"/>
      <c r="WCL124" s="225"/>
      <c r="WCM124" s="225"/>
      <c r="WCN124" s="225"/>
      <c r="WCO124" s="225"/>
      <c r="WCP124" s="225"/>
      <c r="WCQ124" s="225"/>
      <c r="WCR124" s="225"/>
      <c r="WCS124" s="225"/>
      <c r="WCT124" s="225"/>
      <c r="WCU124" s="225"/>
      <c r="WCV124" s="225"/>
      <c r="WCW124" s="225"/>
      <c r="WCX124" s="225"/>
      <c r="WCY124" s="225"/>
      <c r="WCZ124" s="225"/>
      <c r="WDA124" s="225"/>
      <c r="WDB124" s="225"/>
      <c r="WDC124" s="225"/>
      <c r="WDD124" s="225"/>
      <c r="WDE124" s="225"/>
      <c r="WDF124" s="225"/>
      <c r="WDG124" s="225"/>
      <c r="WDH124" s="225"/>
      <c r="WDI124" s="225"/>
      <c r="WDJ124" s="225"/>
      <c r="WDK124" s="225"/>
      <c r="WDL124" s="225"/>
      <c r="WDM124" s="225"/>
      <c r="WDN124" s="225"/>
      <c r="WDO124" s="225"/>
      <c r="WDP124" s="225"/>
      <c r="WDQ124" s="225"/>
      <c r="WDR124" s="225"/>
      <c r="WDS124" s="225"/>
      <c r="WDT124" s="225"/>
      <c r="WDU124" s="225"/>
      <c r="WDV124" s="225"/>
      <c r="WDW124" s="225"/>
      <c r="WDX124" s="225"/>
      <c r="WDY124" s="225"/>
      <c r="WDZ124" s="225"/>
      <c r="WEA124" s="225"/>
      <c r="WEB124" s="225"/>
      <c r="WEC124" s="225"/>
      <c r="WED124" s="225"/>
      <c r="WEE124" s="225"/>
      <c r="WEF124" s="225"/>
      <c r="WEG124" s="225"/>
      <c r="WEH124" s="225"/>
      <c r="WEI124" s="225"/>
      <c r="WEJ124" s="225"/>
      <c r="WEK124" s="225"/>
      <c r="WEL124" s="225"/>
      <c r="WEM124" s="225"/>
      <c r="WEN124" s="225"/>
      <c r="WEO124" s="225"/>
      <c r="WEP124" s="225"/>
      <c r="WEQ124" s="225"/>
      <c r="WER124" s="225"/>
      <c r="WES124" s="225"/>
      <c r="WET124" s="225"/>
      <c r="WEU124" s="225"/>
      <c r="WEV124" s="225"/>
      <c r="WEW124" s="225"/>
      <c r="WEX124" s="225"/>
      <c r="WEY124" s="225"/>
      <c r="WEZ124" s="225"/>
      <c r="WFA124" s="225"/>
      <c r="WFB124" s="225"/>
      <c r="WFC124" s="225"/>
      <c r="WFD124" s="225"/>
      <c r="WFE124" s="225"/>
      <c r="WFF124" s="225"/>
      <c r="WFG124" s="225"/>
      <c r="WFH124" s="225"/>
      <c r="WFI124" s="225"/>
      <c r="WFJ124" s="225"/>
      <c r="WFK124" s="225"/>
      <c r="WFL124" s="225"/>
      <c r="WFM124" s="225"/>
      <c r="WFN124" s="225"/>
      <c r="WFO124" s="225"/>
      <c r="WFP124" s="225"/>
      <c r="WFQ124" s="225"/>
      <c r="WFR124" s="225"/>
      <c r="WFS124" s="225"/>
      <c r="WFT124" s="225"/>
      <c r="WFU124" s="225"/>
      <c r="WFV124" s="225"/>
      <c r="WFW124" s="225"/>
      <c r="WFX124" s="225"/>
      <c r="WFY124" s="225"/>
      <c r="WFZ124" s="225"/>
      <c r="WGA124" s="225"/>
      <c r="WGB124" s="225"/>
      <c r="WGC124" s="225"/>
      <c r="WGD124" s="225"/>
      <c r="WGE124" s="225"/>
      <c r="WGF124" s="225"/>
      <c r="WGG124" s="225"/>
      <c r="WGH124" s="225"/>
      <c r="WGI124" s="225"/>
      <c r="WGJ124" s="225"/>
      <c r="WGK124" s="225"/>
      <c r="WGL124" s="225"/>
      <c r="WGM124" s="225"/>
      <c r="WGN124" s="225"/>
      <c r="WGO124" s="225"/>
      <c r="WGP124" s="225"/>
      <c r="WGQ124" s="225"/>
      <c r="WGR124" s="225"/>
      <c r="WGS124" s="225"/>
      <c r="WGT124" s="225"/>
      <c r="WGU124" s="225"/>
      <c r="WGV124" s="225"/>
      <c r="WGW124" s="225"/>
      <c r="WGX124" s="225"/>
      <c r="WGY124" s="225"/>
      <c r="WGZ124" s="225"/>
      <c r="WHA124" s="225"/>
      <c r="WHB124" s="225"/>
      <c r="WHC124" s="225"/>
      <c r="WHD124" s="225"/>
      <c r="WHE124" s="225"/>
      <c r="WHF124" s="225"/>
      <c r="WHG124" s="225"/>
      <c r="WHH124" s="225"/>
      <c r="WHI124" s="225"/>
      <c r="WHJ124" s="225"/>
      <c r="WHK124" s="225"/>
      <c r="WHL124" s="225"/>
      <c r="WHM124" s="225"/>
      <c r="WHN124" s="225"/>
      <c r="WHO124" s="225"/>
      <c r="WHP124" s="225"/>
      <c r="WHQ124" s="225"/>
      <c r="WHR124" s="225"/>
      <c r="WHS124" s="225"/>
      <c r="WHT124" s="225"/>
      <c r="WHU124" s="225"/>
      <c r="WHV124" s="225"/>
      <c r="WHW124" s="225"/>
      <c r="WHX124" s="225"/>
      <c r="WHY124" s="225"/>
      <c r="WHZ124" s="225"/>
      <c r="WIA124" s="225"/>
      <c r="WIB124" s="225"/>
      <c r="WIC124" s="225"/>
      <c r="WID124" s="225"/>
      <c r="WIE124" s="225"/>
      <c r="WIF124" s="225"/>
      <c r="WIG124" s="225"/>
      <c r="WIH124" s="225"/>
      <c r="WII124" s="225"/>
      <c r="WIJ124" s="225"/>
      <c r="WIK124" s="225"/>
      <c r="WIL124" s="225"/>
      <c r="WIM124" s="225"/>
      <c r="WIN124" s="225"/>
      <c r="WIO124" s="225"/>
      <c r="WIP124" s="225"/>
      <c r="WIQ124" s="225"/>
      <c r="WIR124" s="225"/>
      <c r="WIS124" s="225"/>
      <c r="WIT124" s="225"/>
      <c r="WIU124" s="225"/>
      <c r="WIV124" s="225"/>
      <c r="WIW124" s="225"/>
      <c r="WIX124" s="225"/>
      <c r="WIY124" s="225"/>
      <c r="WIZ124" s="225"/>
      <c r="WJA124" s="225"/>
      <c r="WJB124" s="225"/>
      <c r="WJC124" s="225"/>
      <c r="WJD124" s="225"/>
      <c r="WJE124" s="225"/>
      <c r="WJF124" s="225"/>
      <c r="WJG124" s="225"/>
      <c r="WJH124" s="225"/>
      <c r="WJI124" s="225"/>
      <c r="WJJ124" s="225"/>
      <c r="WJK124" s="225"/>
      <c r="WJL124" s="225"/>
      <c r="WJM124" s="225"/>
      <c r="WJN124" s="225"/>
      <c r="WJO124" s="225"/>
      <c r="WJP124" s="225"/>
      <c r="WJQ124" s="225"/>
      <c r="WJR124" s="225"/>
      <c r="WJS124" s="225"/>
      <c r="WJT124" s="225"/>
      <c r="WJU124" s="225"/>
      <c r="WJV124" s="225"/>
      <c r="WJW124" s="225"/>
      <c r="WJX124" s="225"/>
      <c r="WJY124" s="225"/>
      <c r="WJZ124" s="225"/>
      <c r="WKA124" s="225"/>
      <c r="WKB124" s="225"/>
      <c r="WKC124" s="225"/>
      <c r="WKD124" s="225"/>
      <c r="WKE124" s="225"/>
      <c r="WKF124" s="225"/>
      <c r="WKG124" s="225"/>
      <c r="WKH124" s="225"/>
      <c r="WKI124" s="225"/>
      <c r="WKJ124" s="225"/>
      <c r="WKK124" s="225"/>
      <c r="WKL124" s="225"/>
      <c r="WKM124" s="225"/>
      <c r="WKN124" s="225"/>
      <c r="WKO124" s="225"/>
      <c r="WKP124" s="225"/>
      <c r="WKQ124" s="225"/>
      <c r="WKR124" s="225"/>
      <c r="WKS124" s="225"/>
      <c r="WKT124" s="225"/>
      <c r="WKU124" s="225"/>
      <c r="WKV124" s="225"/>
      <c r="WKW124" s="225"/>
      <c r="WKX124" s="225"/>
      <c r="WKY124" s="225"/>
      <c r="WKZ124" s="225"/>
      <c r="WLA124" s="225"/>
      <c r="WLB124" s="225"/>
      <c r="WLC124" s="225"/>
      <c r="WLD124" s="225"/>
      <c r="WLE124" s="225"/>
      <c r="WLF124" s="225"/>
      <c r="WLG124" s="225"/>
      <c r="WLH124" s="225"/>
      <c r="WLI124" s="225"/>
      <c r="WLJ124" s="225"/>
      <c r="WLK124" s="225"/>
      <c r="WLL124" s="225"/>
      <c r="WLM124" s="225"/>
      <c r="WLN124" s="225"/>
      <c r="WLO124" s="225"/>
      <c r="WLP124" s="225"/>
      <c r="WLQ124" s="225"/>
      <c r="WLR124" s="225"/>
      <c r="WLS124" s="225"/>
      <c r="WLT124" s="225"/>
      <c r="WLU124" s="225"/>
      <c r="WLV124" s="225"/>
      <c r="WLW124" s="225"/>
      <c r="WLX124" s="225"/>
      <c r="WLY124" s="225"/>
      <c r="WLZ124" s="225"/>
      <c r="WMA124" s="225"/>
      <c r="WMB124" s="225"/>
      <c r="WMC124" s="225"/>
      <c r="WMD124" s="225"/>
      <c r="WME124" s="225"/>
      <c r="WMF124" s="225"/>
      <c r="WMG124" s="225"/>
      <c r="WMH124" s="225"/>
      <c r="WMI124" s="225"/>
      <c r="WMJ124" s="225"/>
      <c r="WMK124" s="225"/>
      <c r="WML124" s="225"/>
      <c r="WMM124" s="225"/>
      <c r="WMN124" s="225"/>
      <c r="WMO124" s="225"/>
      <c r="WMP124" s="225"/>
      <c r="WMQ124" s="225"/>
      <c r="WMR124" s="225"/>
      <c r="WMS124" s="225"/>
      <c r="WMT124" s="225"/>
      <c r="WMU124" s="225"/>
      <c r="WMV124" s="225"/>
      <c r="WMW124" s="225"/>
      <c r="WMX124" s="225"/>
      <c r="WMY124" s="225"/>
      <c r="WMZ124" s="225"/>
      <c r="WNA124" s="225"/>
      <c r="WNB124" s="225"/>
      <c r="WNC124" s="225"/>
      <c r="WND124" s="225"/>
      <c r="WNE124" s="225"/>
      <c r="WNF124" s="225"/>
      <c r="WNG124" s="225"/>
      <c r="WNH124" s="225"/>
      <c r="WNI124" s="225"/>
      <c r="WNJ124" s="225"/>
      <c r="WNK124" s="225"/>
      <c r="WNL124" s="225"/>
      <c r="WNM124" s="225"/>
      <c r="WNN124" s="225"/>
      <c r="WNO124" s="225"/>
      <c r="WNP124" s="225"/>
      <c r="WNQ124" s="225"/>
      <c r="WNR124" s="225"/>
      <c r="WNS124" s="225"/>
      <c r="WNT124" s="225"/>
      <c r="WNU124" s="225"/>
      <c r="WNV124" s="225"/>
      <c r="WNW124" s="225"/>
      <c r="WNX124" s="225"/>
      <c r="WNY124" s="225"/>
      <c r="WNZ124" s="225"/>
      <c r="WOA124" s="225"/>
      <c r="WOB124" s="225"/>
      <c r="WOC124" s="225"/>
      <c r="WOD124" s="225"/>
      <c r="WOE124" s="225"/>
      <c r="WOF124" s="225"/>
      <c r="WOG124" s="225"/>
      <c r="WOH124" s="225"/>
      <c r="WOI124" s="225"/>
      <c r="WOJ124" s="225"/>
      <c r="WOK124" s="225"/>
      <c r="WOL124" s="225"/>
      <c r="WOM124" s="225"/>
      <c r="WON124" s="225"/>
      <c r="WOO124" s="225"/>
      <c r="WOP124" s="225"/>
      <c r="WOQ124" s="225"/>
      <c r="WOR124" s="225"/>
      <c r="WOS124" s="225"/>
      <c r="WOT124" s="225"/>
      <c r="WOU124" s="225"/>
      <c r="WOV124" s="225"/>
      <c r="WOW124" s="225"/>
      <c r="WOX124" s="225"/>
      <c r="WOY124" s="225"/>
      <c r="WOZ124" s="225"/>
      <c r="WPA124" s="225"/>
      <c r="WPB124" s="225"/>
      <c r="WPC124" s="225"/>
      <c r="WPD124" s="225"/>
      <c r="WPE124" s="225"/>
      <c r="WPF124" s="225"/>
      <c r="WPG124" s="225"/>
      <c r="WPH124" s="225"/>
      <c r="WPI124" s="225"/>
      <c r="WPJ124" s="225"/>
      <c r="WPK124" s="225"/>
      <c r="WPL124" s="225"/>
      <c r="WPM124" s="225"/>
      <c r="WPN124" s="225"/>
      <c r="WPO124" s="225"/>
      <c r="WPP124" s="225"/>
      <c r="WPQ124" s="225"/>
      <c r="WPR124" s="225"/>
      <c r="WPS124" s="225"/>
      <c r="WPT124" s="225"/>
      <c r="WPU124" s="225"/>
      <c r="WPV124" s="225"/>
      <c r="WPW124" s="225"/>
      <c r="WPX124" s="225"/>
      <c r="WPY124" s="225"/>
      <c r="WPZ124" s="225"/>
      <c r="WQA124" s="225"/>
      <c r="WQB124" s="225"/>
      <c r="WQC124" s="225"/>
      <c r="WQD124" s="225"/>
      <c r="WQE124" s="225"/>
      <c r="WQF124" s="225"/>
      <c r="WQG124" s="225"/>
      <c r="WQH124" s="225"/>
      <c r="WQI124" s="225"/>
      <c r="WQJ124" s="225"/>
      <c r="WQK124" s="225"/>
      <c r="WQL124" s="225"/>
      <c r="WQM124" s="225"/>
      <c r="WQN124" s="225"/>
      <c r="WQO124" s="225"/>
      <c r="WQP124" s="225"/>
      <c r="WQQ124" s="225"/>
      <c r="WQR124" s="225"/>
      <c r="WQS124" s="225"/>
      <c r="WQT124" s="225"/>
      <c r="WQU124" s="225"/>
      <c r="WQV124" s="225"/>
      <c r="WQW124" s="225"/>
      <c r="WQX124" s="225"/>
      <c r="WQY124" s="225"/>
      <c r="WQZ124" s="225"/>
      <c r="WRA124" s="225"/>
      <c r="WRB124" s="225"/>
      <c r="WRC124" s="225"/>
      <c r="WRD124" s="225"/>
      <c r="WRE124" s="225"/>
      <c r="WRF124" s="225"/>
      <c r="WRG124" s="225"/>
      <c r="WRH124" s="225"/>
      <c r="WRI124" s="225"/>
      <c r="WRJ124" s="225"/>
      <c r="WRK124" s="225"/>
      <c r="WRL124" s="225"/>
      <c r="WRM124" s="225"/>
      <c r="WRN124" s="225"/>
      <c r="WRO124" s="225"/>
      <c r="WRP124" s="225"/>
      <c r="WRQ124" s="225"/>
      <c r="WRR124" s="225"/>
      <c r="WRS124" s="225"/>
      <c r="WRT124" s="225"/>
      <c r="WRU124" s="225"/>
      <c r="WRV124" s="225"/>
      <c r="WRW124" s="225"/>
      <c r="WRX124" s="225"/>
      <c r="WRY124" s="225"/>
      <c r="WRZ124" s="225"/>
      <c r="WSA124" s="225"/>
      <c r="WSB124" s="225"/>
      <c r="WSC124" s="225"/>
      <c r="WSD124" s="225"/>
      <c r="WSE124" s="225"/>
      <c r="WSF124" s="225"/>
      <c r="WSG124" s="225"/>
      <c r="WSH124" s="225"/>
      <c r="WSI124" s="225"/>
      <c r="WSJ124" s="225"/>
      <c r="WSK124" s="225"/>
      <c r="WSL124" s="225"/>
      <c r="WSM124" s="225"/>
      <c r="WSN124" s="225"/>
      <c r="WSO124" s="225"/>
      <c r="WSP124" s="225"/>
      <c r="WSQ124" s="225"/>
      <c r="WSR124" s="225"/>
      <c r="WSS124" s="225"/>
      <c r="WST124" s="225"/>
      <c r="WSU124" s="225"/>
      <c r="WSV124" s="225"/>
      <c r="WSW124" s="225"/>
      <c r="WSX124" s="225"/>
      <c r="WSY124" s="225"/>
      <c r="WSZ124" s="225"/>
      <c r="WTA124" s="225"/>
      <c r="WTB124" s="225"/>
      <c r="WTC124" s="225"/>
      <c r="WTD124" s="225"/>
      <c r="WTE124" s="225"/>
      <c r="WTF124" s="225"/>
      <c r="WTG124" s="225"/>
      <c r="WTH124" s="225"/>
      <c r="WTI124" s="225"/>
      <c r="WTJ124" s="225"/>
      <c r="WTK124" s="225"/>
      <c r="WTL124" s="225"/>
      <c r="WTM124" s="225"/>
      <c r="WTN124" s="225"/>
      <c r="WTO124" s="225"/>
      <c r="WTP124" s="225"/>
      <c r="WTQ124" s="225"/>
      <c r="WTR124" s="225"/>
      <c r="WTS124" s="225"/>
      <c r="WTT124" s="225"/>
      <c r="WTU124" s="225"/>
      <c r="WTV124" s="225"/>
      <c r="WTW124" s="225"/>
      <c r="WTX124" s="225"/>
      <c r="WTY124" s="225"/>
      <c r="WTZ124" s="225"/>
      <c r="WUA124" s="225"/>
      <c r="WUB124" s="225"/>
      <c r="WUC124" s="225"/>
      <c r="WUD124" s="225"/>
      <c r="WUE124" s="225"/>
      <c r="WUF124" s="225"/>
      <c r="WUG124" s="225"/>
      <c r="WUH124" s="225"/>
      <c r="WUI124" s="225"/>
      <c r="WUJ124" s="225"/>
      <c r="WUK124" s="225"/>
      <c r="WUL124" s="225"/>
      <c r="WUM124" s="225"/>
      <c r="WUN124" s="225"/>
      <c r="WUO124" s="225"/>
      <c r="WUP124" s="225"/>
      <c r="WUQ124" s="225"/>
      <c r="WUR124" s="225"/>
      <c r="WUS124" s="225"/>
      <c r="WUT124" s="225"/>
      <c r="WUU124" s="225"/>
      <c r="WUV124" s="225"/>
      <c r="WUW124" s="225"/>
      <c r="WUX124" s="225"/>
      <c r="WUY124" s="225"/>
      <c r="WUZ124" s="225"/>
      <c r="WVA124" s="225"/>
      <c r="WVB124" s="225"/>
      <c r="WVC124" s="225"/>
      <c r="WVD124" s="225"/>
      <c r="WVE124" s="225"/>
      <c r="WVF124" s="225"/>
      <c r="WVG124" s="225"/>
      <c r="WVH124" s="225"/>
      <c r="WVI124" s="225"/>
      <c r="WVJ124" s="225"/>
      <c r="WVK124" s="225"/>
      <c r="WVL124" s="225"/>
      <c r="WVM124" s="225"/>
      <c r="WVN124" s="225"/>
      <c r="WVO124" s="225"/>
      <c r="WVP124" s="225"/>
      <c r="WVQ124" s="225"/>
      <c r="WVR124" s="225"/>
      <c r="WVS124" s="225"/>
      <c r="WVT124" s="225"/>
      <c r="WVU124" s="225"/>
      <c r="WVV124" s="225"/>
      <c r="WVW124" s="225"/>
    </row>
    <row r="125" spans="1:16143" collapsed="1" x14ac:dyDescent="0.25"/>
    <row r="126" spans="1:16143" x14ac:dyDescent="0.25">
      <c r="B126" s="572" t="s">
        <v>655</v>
      </c>
      <c r="C126" s="573">
        <f>+C127+C131+C135+C139+C142+C146+C151+C155+C159+C163</f>
        <v>17000</v>
      </c>
      <c r="D126" s="573">
        <f t="shared" ref="D126:N126" si="35">+D127+D131+D135+D139+D142+D146+D151+D155+D159+D163</f>
        <v>18000</v>
      </c>
      <c r="E126" s="573">
        <f t="shared" si="35"/>
        <v>18000</v>
      </c>
      <c r="F126" s="573">
        <f t="shared" si="35"/>
        <v>18000</v>
      </c>
      <c r="G126" s="573">
        <f t="shared" si="35"/>
        <v>18000</v>
      </c>
      <c r="H126" s="573">
        <f t="shared" si="35"/>
        <v>18000</v>
      </c>
      <c r="I126" s="573">
        <f t="shared" si="35"/>
        <v>17000</v>
      </c>
      <c r="J126" s="573">
        <f t="shared" si="35"/>
        <v>17000</v>
      </c>
      <c r="K126" s="573">
        <f t="shared" si="35"/>
        <v>14000</v>
      </c>
      <c r="L126" s="573">
        <f t="shared" si="35"/>
        <v>12000</v>
      </c>
      <c r="M126" s="573">
        <f t="shared" si="35"/>
        <v>12000</v>
      </c>
      <c r="N126" s="573">
        <f t="shared" si="35"/>
        <v>12000</v>
      </c>
      <c r="P126" s="573">
        <f>SUM(C126:N126)</f>
        <v>191000</v>
      </c>
    </row>
    <row r="127" spans="1:16143" x14ac:dyDescent="0.25">
      <c r="B127" s="556" t="s">
        <v>216</v>
      </c>
      <c r="C127" s="557">
        <f>SUM(C128:C130)</f>
        <v>2000</v>
      </c>
      <c r="D127" s="557">
        <f t="shared" ref="D127:N127" si="36">SUM(D128:D130)</f>
        <v>2000</v>
      </c>
      <c r="E127" s="557">
        <f t="shared" si="36"/>
        <v>2000</v>
      </c>
      <c r="F127" s="557">
        <f t="shared" si="36"/>
        <v>2000</v>
      </c>
      <c r="G127" s="557">
        <f t="shared" si="36"/>
        <v>2000</v>
      </c>
      <c r="H127" s="557">
        <f t="shared" si="36"/>
        <v>2000</v>
      </c>
      <c r="I127" s="557">
        <f t="shared" si="36"/>
        <v>0</v>
      </c>
      <c r="J127" s="557">
        <f t="shared" si="36"/>
        <v>0</v>
      </c>
      <c r="K127" s="557">
        <f t="shared" si="36"/>
        <v>0</v>
      </c>
      <c r="L127" s="557">
        <f t="shared" si="36"/>
        <v>0</v>
      </c>
      <c r="M127" s="557">
        <f t="shared" si="36"/>
        <v>0</v>
      </c>
      <c r="N127" s="557">
        <f t="shared" si="36"/>
        <v>0</v>
      </c>
      <c r="P127" s="557">
        <f>SUM(C127:N127)</f>
        <v>12000</v>
      </c>
    </row>
    <row r="128" spans="1:16143" x14ac:dyDescent="0.25">
      <c r="B128" s="726" t="str">
        <f>+APORTE!C27</f>
        <v>Yubiza Robledo</v>
      </c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</row>
    <row r="129" spans="2:16" x14ac:dyDescent="0.25">
      <c r="B129" s="555" t="str">
        <f>+APORTE!C28</f>
        <v>Corina Coronel</v>
      </c>
      <c r="C129" s="247">
        <v>1000</v>
      </c>
      <c r="D129" s="247">
        <v>1000</v>
      </c>
      <c r="E129" s="247">
        <v>1000</v>
      </c>
      <c r="F129" s="247">
        <v>1000</v>
      </c>
      <c r="G129" s="247">
        <v>1000</v>
      </c>
      <c r="H129" s="247">
        <v>1000</v>
      </c>
      <c r="I129" s="247"/>
      <c r="J129" s="247"/>
      <c r="K129" s="247"/>
      <c r="L129" s="247"/>
      <c r="M129" s="247"/>
      <c r="N129" s="247"/>
    </row>
    <row r="130" spans="2:16" x14ac:dyDescent="0.25">
      <c r="B130" s="555" t="str">
        <f>+APORTE!C29</f>
        <v>Sandra Flores</v>
      </c>
      <c r="C130" s="247">
        <v>1000</v>
      </c>
      <c r="D130" s="247">
        <v>1000</v>
      </c>
      <c r="E130" s="247">
        <v>1000</v>
      </c>
      <c r="F130" s="247">
        <v>1000</v>
      </c>
      <c r="G130" s="247">
        <v>1000</v>
      </c>
      <c r="H130" s="247">
        <v>1000</v>
      </c>
      <c r="I130" s="247"/>
      <c r="J130" s="247"/>
      <c r="K130" s="247"/>
      <c r="L130" s="247"/>
      <c r="M130" s="247"/>
      <c r="N130" s="247"/>
    </row>
    <row r="131" spans="2:16" x14ac:dyDescent="0.25">
      <c r="B131" s="556" t="s">
        <v>219</v>
      </c>
      <c r="C131" s="557">
        <f>SUM(C132:C134)</f>
        <v>2000</v>
      </c>
      <c r="D131" s="557">
        <f t="shared" ref="D131:N131" si="37">SUM(D132:D134)</f>
        <v>0</v>
      </c>
      <c r="E131" s="557">
        <f t="shared" si="37"/>
        <v>0</v>
      </c>
      <c r="F131" s="557">
        <f t="shared" si="37"/>
        <v>0</v>
      </c>
      <c r="G131" s="557">
        <f t="shared" si="37"/>
        <v>0</v>
      </c>
      <c r="H131" s="557">
        <f t="shared" si="37"/>
        <v>0</v>
      </c>
      <c r="I131" s="557">
        <f t="shared" si="37"/>
        <v>0</v>
      </c>
      <c r="J131" s="557">
        <f t="shared" si="37"/>
        <v>0</v>
      </c>
      <c r="K131" s="557">
        <f t="shared" si="37"/>
        <v>0</v>
      </c>
      <c r="L131" s="557">
        <f t="shared" si="37"/>
        <v>0</v>
      </c>
      <c r="M131" s="557">
        <f t="shared" si="37"/>
        <v>0</v>
      </c>
      <c r="N131" s="557">
        <f t="shared" si="37"/>
        <v>0</v>
      </c>
      <c r="P131" s="557">
        <f>SUM(C131:N131)</f>
        <v>2000</v>
      </c>
    </row>
    <row r="132" spans="2:16" x14ac:dyDescent="0.25">
      <c r="B132" s="555" t="str">
        <f>+APORTE!C30</f>
        <v>Xavier Carvajal</v>
      </c>
      <c r="C132" s="247">
        <v>1000</v>
      </c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</row>
    <row r="133" spans="2:16" x14ac:dyDescent="0.25">
      <c r="B133" s="555" t="str">
        <f>+APORTE!C31</f>
        <v>Ruth Sanchez</v>
      </c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</row>
    <row r="134" spans="2:16" x14ac:dyDescent="0.25">
      <c r="B134" s="555" t="str">
        <f>+APORTE!C32</f>
        <v xml:space="preserve">Alejandro Gonzales </v>
      </c>
      <c r="C134" s="247">
        <v>1000</v>
      </c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</row>
    <row r="135" spans="2:16" x14ac:dyDescent="0.25">
      <c r="B135" s="556" t="s">
        <v>141</v>
      </c>
      <c r="C135" s="557">
        <f>SUM(C136:C138)</f>
        <v>0</v>
      </c>
      <c r="D135" s="557">
        <f t="shared" ref="D135:N135" si="38">SUM(D136:D138)</f>
        <v>0</v>
      </c>
      <c r="E135" s="557">
        <f t="shared" si="38"/>
        <v>0</v>
      </c>
      <c r="F135" s="557">
        <f t="shared" si="38"/>
        <v>0</v>
      </c>
      <c r="G135" s="557">
        <f t="shared" si="38"/>
        <v>0</v>
      </c>
      <c r="H135" s="557">
        <f t="shared" si="38"/>
        <v>0</v>
      </c>
      <c r="I135" s="557">
        <f t="shared" si="38"/>
        <v>0</v>
      </c>
      <c r="J135" s="557">
        <f t="shared" si="38"/>
        <v>0</v>
      </c>
      <c r="K135" s="557">
        <f t="shared" si="38"/>
        <v>0</v>
      </c>
      <c r="L135" s="557">
        <f t="shared" si="38"/>
        <v>0</v>
      </c>
      <c r="M135" s="557">
        <f t="shared" si="38"/>
        <v>0</v>
      </c>
      <c r="N135" s="557">
        <f t="shared" si="38"/>
        <v>0</v>
      </c>
      <c r="P135" s="557">
        <f>SUM(C135:N135)</f>
        <v>0</v>
      </c>
    </row>
    <row r="136" spans="2:16" x14ac:dyDescent="0.25">
      <c r="B136" s="555" t="str">
        <f>+APORTE!C33</f>
        <v xml:space="preserve">Cecilia Narea </v>
      </c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</row>
    <row r="137" spans="2:16" x14ac:dyDescent="0.25">
      <c r="B137" s="555" t="str">
        <f>+APORTE!C34</f>
        <v xml:space="preserve">Enrique Vilchez </v>
      </c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</row>
    <row r="138" spans="2:16" x14ac:dyDescent="0.25">
      <c r="B138" s="555" t="str">
        <f>+APORTE!C35</f>
        <v xml:space="preserve">Carlos Arriagada </v>
      </c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</row>
    <row r="139" spans="2:16" x14ac:dyDescent="0.25">
      <c r="B139" s="556" t="s">
        <v>220</v>
      </c>
      <c r="C139" s="557">
        <f>SUM(C140:C141)</f>
        <v>2000</v>
      </c>
      <c r="D139" s="557">
        <f t="shared" ref="D139:N139" si="39">SUM(D140:D141)</f>
        <v>2000</v>
      </c>
      <c r="E139" s="557">
        <f t="shared" si="39"/>
        <v>2000</v>
      </c>
      <c r="F139" s="557">
        <f t="shared" si="39"/>
        <v>2000</v>
      </c>
      <c r="G139" s="557">
        <f t="shared" si="39"/>
        <v>2000</v>
      </c>
      <c r="H139" s="557">
        <f t="shared" si="39"/>
        <v>2000</v>
      </c>
      <c r="I139" s="557">
        <f t="shared" si="39"/>
        <v>2000</v>
      </c>
      <c r="J139" s="557">
        <f t="shared" si="39"/>
        <v>2000</v>
      </c>
      <c r="K139" s="557">
        <f t="shared" si="39"/>
        <v>2000</v>
      </c>
      <c r="L139" s="557">
        <f t="shared" si="39"/>
        <v>0</v>
      </c>
      <c r="M139" s="557">
        <f t="shared" si="39"/>
        <v>0</v>
      </c>
      <c r="N139" s="557">
        <f t="shared" si="39"/>
        <v>0</v>
      </c>
      <c r="P139" s="557">
        <f>SUM(C139:N139)</f>
        <v>18000</v>
      </c>
    </row>
    <row r="140" spans="2:16" x14ac:dyDescent="0.25">
      <c r="B140" s="555" t="str">
        <f>+APORTE!C36</f>
        <v>Maria Eugenia Ortis</v>
      </c>
      <c r="C140" s="247">
        <v>1000</v>
      </c>
      <c r="D140" s="247">
        <v>1000</v>
      </c>
      <c r="E140" s="247">
        <v>1000</v>
      </c>
      <c r="F140" s="247">
        <v>1000</v>
      </c>
      <c r="G140" s="247">
        <v>1000</v>
      </c>
      <c r="H140" s="247">
        <v>1000</v>
      </c>
      <c r="I140" s="247">
        <v>1000</v>
      </c>
      <c r="J140" s="247">
        <v>1000</v>
      </c>
      <c r="K140" s="247">
        <v>1000</v>
      </c>
      <c r="L140" s="247"/>
      <c r="M140" s="247"/>
      <c r="N140" s="247"/>
    </row>
    <row r="141" spans="2:16" x14ac:dyDescent="0.25">
      <c r="B141" s="555" t="str">
        <f>+APORTE!C38</f>
        <v>Ruben Salamanca</v>
      </c>
      <c r="C141" s="247">
        <v>1000</v>
      </c>
      <c r="D141" s="247">
        <v>1000</v>
      </c>
      <c r="E141" s="247">
        <v>1000</v>
      </c>
      <c r="F141" s="247">
        <v>1000</v>
      </c>
      <c r="G141" s="247">
        <v>1000</v>
      </c>
      <c r="H141" s="247">
        <v>1000</v>
      </c>
      <c r="I141" s="247">
        <v>1000</v>
      </c>
      <c r="J141" s="247">
        <v>1000</v>
      </c>
      <c r="K141" s="247">
        <v>1000</v>
      </c>
      <c r="L141" s="247"/>
      <c r="M141" s="247"/>
      <c r="N141" s="247"/>
    </row>
    <row r="142" spans="2:16" x14ac:dyDescent="0.25">
      <c r="B142" s="556" t="s">
        <v>221</v>
      </c>
      <c r="C142" s="557">
        <f>SUM(C143:C145)</f>
        <v>0</v>
      </c>
      <c r="D142" s="557">
        <f t="shared" ref="D142:N142" si="40">SUM(D143:D145)</f>
        <v>0</v>
      </c>
      <c r="E142" s="557">
        <f t="shared" si="40"/>
        <v>0</v>
      </c>
      <c r="F142" s="557">
        <f t="shared" si="40"/>
        <v>0</v>
      </c>
      <c r="G142" s="557">
        <f t="shared" si="40"/>
        <v>0</v>
      </c>
      <c r="H142" s="557">
        <f t="shared" si="40"/>
        <v>0</v>
      </c>
      <c r="I142" s="557">
        <f t="shared" si="40"/>
        <v>3000</v>
      </c>
      <c r="J142" s="557">
        <f t="shared" si="40"/>
        <v>3000</v>
      </c>
      <c r="K142" s="557">
        <f t="shared" si="40"/>
        <v>3000</v>
      </c>
      <c r="L142" s="557">
        <f t="shared" si="40"/>
        <v>3000</v>
      </c>
      <c r="M142" s="557">
        <f t="shared" si="40"/>
        <v>3000</v>
      </c>
      <c r="N142" s="557">
        <f t="shared" si="40"/>
        <v>3000</v>
      </c>
      <c r="P142" s="557">
        <f>SUM(C142:N142)</f>
        <v>18000</v>
      </c>
    </row>
    <row r="143" spans="2:16" x14ac:dyDescent="0.25">
      <c r="B143" s="555" t="str">
        <f>+APORTE!C39</f>
        <v>Victor Trejo</v>
      </c>
      <c r="C143" s="247"/>
      <c r="D143" s="247"/>
      <c r="E143" s="247"/>
      <c r="F143" s="247"/>
      <c r="G143" s="247"/>
      <c r="H143" s="247"/>
      <c r="I143" s="247">
        <v>1000</v>
      </c>
      <c r="J143" s="247">
        <v>1000</v>
      </c>
      <c r="K143" s="247">
        <v>1000</v>
      </c>
      <c r="L143" s="247">
        <v>1000</v>
      </c>
      <c r="M143" s="247">
        <v>1000</v>
      </c>
      <c r="N143" s="247">
        <v>1000</v>
      </c>
    </row>
    <row r="144" spans="2:16" x14ac:dyDescent="0.25">
      <c r="B144" s="555" t="str">
        <f>+APORTE!C40</f>
        <v>Angie Muñoz</v>
      </c>
      <c r="C144" s="247"/>
      <c r="D144" s="247"/>
      <c r="E144" s="247"/>
      <c r="F144" s="247"/>
      <c r="G144" s="247"/>
      <c r="H144" s="247"/>
      <c r="I144" s="247">
        <v>1000</v>
      </c>
      <c r="J144" s="247">
        <v>1000</v>
      </c>
      <c r="K144" s="247">
        <v>1000</v>
      </c>
      <c r="L144" s="247">
        <v>1000</v>
      </c>
      <c r="M144" s="247">
        <v>1000</v>
      </c>
      <c r="N144" s="247">
        <v>1000</v>
      </c>
    </row>
    <row r="145" spans="2:16" x14ac:dyDescent="0.25">
      <c r="B145" s="555" t="str">
        <f>+APORTE!C41</f>
        <v>Pablo Pino</v>
      </c>
      <c r="C145" s="247"/>
      <c r="D145" s="247"/>
      <c r="E145" s="247"/>
      <c r="F145" s="247"/>
      <c r="G145" s="247"/>
      <c r="H145" s="247"/>
      <c r="I145" s="247">
        <v>1000</v>
      </c>
      <c r="J145" s="247">
        <v>1000</v>
      </c>
      <c r="K145" s="247">
        <v>1000</v>
      </c>
      <c r="L145" s="247">
        <v>1000</v>
      </c>
      <c r="M145" s="247">
        <v>1000</v>
      </c>
      <c r="N145" s="247">
        <v>1000</v>
      </c>
    </row>
    <row r="146" spans="2:16" x14ac:dyDescent="0.25">
      <c r="B146" s="556" t="s">
        <v>223</v>
      </c>
      <c r="C146" s="557">
        <f>SUM(C147:C150)</f>
        <v>4000</v>
      </c>
      <c r="D146" s="557">
        <f t="shared" ref="D146:N146" si="41">SUM(D147:D150)</f>
        <v>4000</v>
      </c>
      <c r="E146" s="557">
        <f t="shared" si="41"/>
        <v>4000</v>
      </c>
      <c r="F146" s="557">
        <f t="shared" si="41"/>
        <v>4000</v>
      </c>
      <c r="G146" s="557">
        <f t="shared" si="41"/>
        <v>4000</v>
      </c>
      <c r="H146" s="557">
        <f t="shared" si="41"/>
        <v>4000</v>
      </c>
      <c r="I146" s="557">
        <f t="shared" si="41"/>
        <v>4000</v>
      </c>
      <c r="J146" s="557">
        <f t="shared" si="41"/>
        <v>4000</v>
      </c>
      <c r="K146" s="557">
        <f t="shared" si="41"/>
        <v>4000</v>
      </c>
      <c r="L146" s="557">
        <f t="shared" si="41"/>
        <v>4000</v>
      </c>
      <c r="M146" s="557">
        <f t="shared" si="41"/>
        <v>4000</v>
      </c>
      <c r="N146" s="557">
        <f t="shared" si="41"/>
        <v>4000</v>
      </c>
      <c r="P146" s="557">
        <f>SUM(C146:N146)</f>
        <v>48000</v>
      </c>
    </row>
    <row r="147" spans="2:16" x14ac:dyDescent="0.25">
      <c r="B147" s="555" t="str">
        <f>+APORTE!C42</f>
        <v xml:space="preserve">Patricio Bustos </v>
      </c>
      <c r="C147" s="247">
        <v>1000</v>
      </c>
      <c r="D147" s="247">
        <v>1000</v>
      </c>
      <c r="E147" s="247">
        <v>1000</v>
      </c>
      <c r="F147" s="247">
        <v>1000</v>
      </c>
      <c r="G147" s="247">
        <v>1000</v>
      </c>
      <c r="H147" s="247">
        <v>1000</v>
      </c>
      <c r="I147" s="247">
        <v>1000</v>
      </c>
      <c r="J147" s="247">
        <v>1000</v>
      </c>
      <c r="K147" s="247">
        <v>1000</v>
      </c>
      <c r="L147" s="247">
        <v>1000</v>
      </c>
      <c r="M147" s="247">
        <v>1000</v>
      </c>
      <c r="N147" s="247">
        <v>1000</v>
      </c>
    </row>
    <row r="148" spans="2:16" x14ac:dyDescent="0.25">
      <c r="B148" s="555" t="str">
        <f>+APORTE!C43</f>
        <v>Oscar Lara</v>
      </c>
      <c r="C148" s="247">
        <v>1000</v>
      </c>
      <c r="D148" s="247">
        <v>1000</v>
      </c>
      <c r="E148" s="247">
        <v>1000</v>
      </c>
      <c r="F148" s="247">
        <v>1000</v>
      </c>
      <c r="G148" s="247">
        <v>1000</v>
      </c>
      <c r="H148" s="247">
        <v>1000</v>
      </c>
      <c r="I148" s="247">
        <v>1000</v>
      </c>
      <c r="J148" s="247">
        <v>1000</v>
      </c>
      <c r="K148" s="247">
        <v>1000</v>
      </c>
      <c r="L148" s="247">
        <v>1000</v>
      </c>
      <c r="M148" s="247">
        <v>1000</v>
      </c>
      <c r="N148" s="247">
        <v>1000</v>
      </c>
    </row>
    <row r="149" spans="2:16" x14ac:dyDescent="0.25">
      <c r="B149" s="555" t="str">
        <f>+APORTE!C44</f>
        <v>Maricela Campos</v>
      </c>
      <c r="C149" s="247">
        <v>1000</v>
      </c>
      <c r="D149" s="247">
        <v>1000</v>
      </c>
      <c r="E149" s="247">
        <v>1000</v>
      </c>
      <c r="F149" s="247">
        <v>1000</v>
      </c>
      <c r="G149" s="247">
        <v>1000</v>
      </c>
      <c r="H149" s="247">
        <v>1000</v>
      </c>
      <c r="I149" s="247">
        <v>1000</v>
      </c>
      <c r="J149" s="247">
        <v>1000</v>
      </c>
      <c r="K149" s="247">
        <v>1000</v>
      </c>
      <c r="L149" s="247">
        <v>1000</v>
      </c>
      <c r="M149" s="247">
        <v>1000</v>
      </c>
      <c r="N149" s="247">
        <v>1000</v>
      </c>
    </row>
    <row r="150" spans="2:16" x14ac:dyDescent="0.25">
      <c r="B150" s="555" t="str">
        <f>+APORTE!C45</f>
        <v>Andrea Diaz</v>
      </c>
      <c r="C150" s="247">
        <v>1000</v>
      </c>
      <c r="D150" s="247">
        <v>1000</v>
      </c>
      <c r="E150" s="247">
        <v>1000</v>
      </c>
      <c r="F150" s="247">
        <v>1000</v>
      </c>
      <c r="G150" s="247">
        <v>1000</v>
      </c>
      <c r="H150" s="247">
        <v>1000</v>
      </c>
      <c r="I150" s="247">
        <v>1000</v>
      </c>
      <c r="J150" s="247">
        <v>1000</v>
      </c>
      <c r="K150" s="247">
        <v>1000</v>
      </c>
      <c r="L150" s="247">
        <v>1000</v>
      </c>
      <c r="M150" s="247">
        <v>1000</v>
      </c>
      <c r="N150" s="247">
        <v>1000</v>
      </c>
    </row>
    <row r="151" spans="2:16" x14ac:dyDescent="0.25">
      <c r="B151" s="556" t="s">
        <v>224</v>
      </c>
      <c r="C151" s="557">
        <f>SUM(C152:C154)</f>
        <v>0</v>
      </c>
      <c r="D151" s="557">
        <f t="shared" ref="D151:N151" si="42">SUM(D152:D154)</f>
        <v>3000</v>
      </c>
      <c r="E151" s="557">
        <f t="shared" si="42"/>
        <v>3000</v>
      </c>
      <c r="F151" s="557">
        <f t="shared" si="42"/>
        <v>3000</v>
      </c>
      <c r="G151" s="557">
        <f t="shared" si="42"/>
        <v>3000</v>
      </c>
      <c r="H151" s="557">
        <f t="shared" si="42"/>
        <v>3000</v>
      </c>
      <c r="I151" s="557">
        <f t="shared" si="42"/>
        <v>3000</v>
      </c>
      <c r="J151" s="557">
        <f t="shared" si="42"/>
        <v>3000</v>
      </c>
      <c r="K151" s="557">
        <f t="shared" si="42"/>
        <v>0</v>
      </c>
      <c r="L151" s="557">
        <f t="shared" si="42"/>
        <v>0</v>
      </c>
      <c r="M151" s="557">
        <f t="shared" si="42"/>
        <v>0</v>
      </c>
      <c r="N151" s="557">
        <f t="shared" si="42"/>
        <v>0</v>
      </c>
      <c r="P151" s="557">
        <f>SUM(C151:N151)</f>
        <v>21000</v>
      </c>
    </row>
    <row r="152" spans="2:16" x14ac:dyDescent="0.25">
      <c r="B152" s="555" t="str">
        <f>+APORTE!C46</f>
        <v xml:space="preserve">Christian Torres </v>
      </c>
      <c r="C152" s="247"/>
      <c r="D152" s="247">
        <v>1000</v>
      </c>
      <c r="E152" s="247">
        <v>1000</v>
      </c>
      <c r="F152" s="247">
        <v>1000</v>
      </c>
      <c r="G152" s="247">
        <v>1000</v>
      </c>
      <c r="H152" s="247">
        <v>1000</v>
      </c>
      <c r="I152" s="247">
        <v>1000</v>
      </c>
      <c r="J152" s="247">
        <v>1000</v>
      </c>
      <c r="K152" s="247"/>
      <c r="L152" s="247"/>
      <c r="M152" s="247"/>
      <c r="N152" s="247"/>
    </row>
    <row r="153" spans="2:16" x14ac:dyDescent="0.25">
      <c r="B153" s="555" t="str">
        <f>+APORTE!C47</f>
        <v>Luis Espinoza</v>
      </c>
      <c r="C153" s="247"/>
      <c r="D153" s="247">
        <v>1000</v>
      </c>
      <c r="E153" s="247">
        <v>1000</v>
      </c>
      <c r="F153" s="247">
        <v>1000</v>
      </c>
      <c r="G153" s="247">
        <v>1000</v>
      </c>
      <c r="H153" s="247">
        <v>1000</v>
      </c>
      <c r="I153" s="247">
        <v>1000</v>
      </c>
      <c r="J153" s="247">
        <v>1000</v>
      </c>
      <c r="K153" s="247"/>
      <c r="L153" s="247"/>
      <c r="M153" s="247"/>
      <c r="N153" s="247"/>
    </row>
    <row r="154" spans="2:16" x14ac:dyDescent="0.25">
      <c r="B154" s="555" t="str">
        <f>+APORTE!C48</f>
        <v>Rosa vargas</v>
      </c>
      <c r="C154" s="247"/>
      <c r="D154" s="247">
        <v>1000</v>
      </c>
      <c r="E154" s="247">
        <v>1000</v>
      </c>
      <c r="F154" s="247">
        <v>1000</v>
      </c>
      <c r="G154" s="247">
        <v>1000</v>
      </c>
      <c r="H154" s="247">
        <v>1000</v>
      </c>
      <c r="I154" s="247">
        <v>1000</v>
      </c>
      <c r="J154" s="247">
        <v>1000</v>
      </c>
      <c r="K154" s="247"/>
      <c r="L154" s="247"/>
      <c r="M154" s="247"/>
      <c r="N154" s="247"/>
    </row>
    <row r="155" spans="2:16" x14ac:dyDescent="0.25">
      <c r="B155" s="556" t="s">
        <v>225</v>
      </c>
      <c r="C155" s="557">
        <f>SUM(C156:C158)</f>
        <v>2000</v>
      </c>
      <c r="D155" s="557">
        <f t="shared" ref="D155:N155" si="43">SUM(D156:D158)</f>
        <v>2000</v>
      </c>
      <c r="E155" s="557">
        <f t="shared" si="43"/>
        <v>2000</v>
      </c>
      <c r="F155" s="557">
        <f t="shared" si="43"/>
        <v>2000</v>
      </c>
      <c r="G155" s="557">
        <f t="shared" si="43"/>
        <v>2000</v>
      </c>
      <c r="H155" s="557">
        <f t="shared" si="43"/>
        <v>2000</v>
      </c>
      <c r="I155" s="557">
        <f t="shared" si="43"/>
        <v>0</v>
      </c>
      <c r="J155" s="557">
        <f t="shared" si="43"/>
        <v>0</v>
      </c>
      <c r="K155" s="557">
        <f t="shared" si="43"/>
        <v>0</v>
      </c>
      <c r="L155" s="557">
        <f t="shared" si="43"/>
        <v>0</v>
      </c>
      <c r="M155" s="557">
        <f t="shared" si="43"/>
        <v>0</v>
      </c>
      <c r="N155" s="557">
        <f t="shared" si="43"/>
        <v>0</v>
      </c>
      <c r="P155" s="557">
        <f>SUM(C155:N155)</f>
        <v>12000</v>
      </c>
    </row>
    <row r="156" spans="2:16" x14ac:dyDescent="0.25">
      <c r="B156" s="555" t="str">
        <f>+APORTE!C49</f>
        <v>Richard Tolosa</v>
      </c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</row>
    <row r="157" spans="2:16" x14ac:dyDescent="0.25">
      <c r="B157" s="555" t="str">
        <f>+APORTE!C19</f>
        <v>Gabriel Burgos</v>
      </c>
      <c r="C157" s="247">
        <v>1000</v>
      </c>
      <c r="D157" s="247">
        <v>1000</v>
      </c>
      <c r="E157" s="247">
        <v>1000</v>
      </c>
      <c r="F157" s="247">
        <v>1000</v>
      </c>
      <c r="G157" s="247">
        <v>1000</v>
      </c>
      <c r="H157" s="247">
        <v>1000</v>
      </c>
      <c r="I157" s="247"/>
      <c r="J157" s="247"/>
      <c r="K157" s="247"/>
      <c r="L157" s="247"/>
      <c r="M157" s="247"/>
      <c r="N157" s="247"/>
    </row>
    <row r="158" spans="2:16" x14ac:dyDescent="0.25">
      <c r="B158" s="555" t="str">
        <f>+APORTE!C50</f>
        <v xml:space="preserve">Ingrid Paredes  </v>
      </c>
      <c r="C158" s="247">
        <v>1000</v>
      </c>
      <c r="D158" s="247">
        <v>1000</v>
      </c>
      <c r="E158" s="247">
        <v>1000</v>
      </c>
      <c r="F158" s="247">
        <v>1000</v>
      </c>
      <c r="G158" s="247">
        <v>1000</v>
      </c>
      <c r="H158" s="247">
        <v>1000</v>
      </c>
      <c r="I158" s="247"/>
      <c r="J158" s="247"/>
      <c r="K158" s="247"/>
      <c r="L158" s="247"/>
      <c r="M158" s="247"/>
      <c r="N158" s="247"/>
    </row>
    <row r="159" spans="2:16" x14ac:dyDescent="0.25">
      <c r="B159" s="556" t="s">
        <v>143</v>
      </c>
      <c r="C159" s="557">
        <f>SUM(C160:C162)</f>
        <v>3000</v>
      </c>
      <c r="D159" s="557">
        <f t="shared" ref="D159:N159" si="44">SUM(D160:D162)</f>
        <v>3000</v>
      </c>
      <c r="E159" s="557">
        <f t="shared" si="44"/>
        <v>3000</v>
      </c>
      <c r="F159" s="557">
        <f t="shared" si="44"/>
        <v>3000</v>
      </c>
      <c r="G159" s="557">
        <f t="shared" si="44"/>
        <v>3000</v>
      </c>
      <c r="H159" s="557">
        <f t="shared" si="44"/>
        <v>3000</v>
      </c>
      <c r="I159" s="557">
        <f t="shared" si="44"/>
        <v>3000</v>
      </c>
      <c r="J159" s="557">
        <f t="shared" si="44"/>
        <v>3000</v>
      </c>
      <c r="K159" s="557">
        <f t="shared" si="44"/>
        <v>3000</v>
      </c>
      <c r="L159" s="557">
        <f t="shared" si="44"/>
        <v>3000</v>
      </c>
      <c r="M159" s="557">
        <f t="shared" si="44"/>
        <v>3000</v>
      </c>
      <c r="N159" s="557">
        <f t="shared" si="44"/>
        <v>3000</v>
      </c>
      <c r="P159" s="557">
        <f>SUM(C159:N159)</f>
        <v>36000</v>
      </c>
    </row>
    <row r="160" spans="2:16" x14ac:dyDescent="0.25">
      <c r="B160" s="555" t="str">
        <f>+APORTE!C52</f>
        <v>Felipe Salazar</v>
      </c>
      <c r="C160" s="247">
        <v>1000</v>
      </c>
      <c r="D160" s="247">
        <v>1000</v>
      </c>
      <c r="E160" s="247">
        <v>1000</v>
      </c>
      <c r="F160" s="247">
        <v>1000</v>
      </c>
      <c r="G160" s="247">
        <v>1000</v>
      </c>
      <c r="H160" s="247">
        <v>1000</v>
      </c>
      <c r="I160" s="247">
        <v>1000</v>
      </c>
      <c r="J160" s="247">
        <v>1000</v>
      </c>
      <c r="K160" s="247">
        <v>1000</v>
      </c>
      <c r="L160" s="247">
        <v>1000</v>
      </c>
      <c r="M160" s="247">
        <v>1000</v>
      </c>
      <c r="N160" s="247">
        <v>1000</v>
      </c>
    </row>
    <row r="161" spans="2:16" x14ac:dyDescent="0.25">
      <c r="B161" s="555" t="str">
        <f>+APORTE!C53</f>
        <v>Alejandra becerra</v>
      </c>
      <c r="C161" s="247">
        <v>1000</v>
      </c>
      <c r="D161" s="247">
        <v>1000</v>
      </c>
      <c r="E161" s="247">
        <v>1000</v>
      </c>
      <c r="F161" s="247">
        <v>1000</v>
      </c>
      <c r="G161" s="247">
        <v>1000</v>
      </c>
      <c r="H161" s="247">
        <v>1000</v>
      </c>
      <c r="I161" s="247">
        <v>1000</v>
      </c>
      <c r="J161" s="247">
        <v>1000</v>
      </c>
      <c r="K161" s="247">
        <v>1000</v>
      </c>
      <c r="L161" s="247">
        <v>1000</v>
      </c>
      <c r="M161" s="247">
        <v>1000</v>
      </c>
      <c r="N161" s="247">
        <v>1000</v>
      </c>
    </row>
    <row r="162" spans="2:16" x14ac:dyDescent="0.25">
      <c r="B162" s="555" t="str">
        <f>+APORTE!C54</f>
        <v xml:space="preserve">Cristian Reyes </v>
      </c>
      <c r="C162" s="247">
        <v>1000</v>
      </c>
      <c r="D162" s="247">
        <v>1000</v>
      </c>
      <c r="E162" s="247">
        <v>1000</v>
      </c>
      <c r="F162" s="247">
        <v>1000</v>
      </c>
      <c r="G162" s="247">
        <v>1000</v>
      </c>
      <c r="H162" s="247">
        <v>1000</v>
      </c>
      <c r="I162" s="247">
        <v>1000</v>
      </c>
      <c r="J162" s="247">
        <v>1000</v>
      </c>
      <c r="K162" s="247">
        <v>1000</v>
      </c>
      <c r="L162" s="247">
        <v>1000</v>
      </c>
      <c r="M162" s="247">
        <v>1000</v>
      </c>
      <c r="N162" s="247">
        <v>1000</v>
      </c>
    </row>
    <row r="163" spans="2:16" x14ac:dyDescent="0.25">
      <c r="B163" s="556" t="s">
        <v>226</v>
      </c>
      <c r="C163" s="557">
        <f>SUM(C164:C165)</f>
        <v>2000</v>
      </c>
      <c r="D163" s="557">
        <f t="shared" ref="D163:N163" si="45">SUM(D164:D165)</f>
        <v>2000</v>
      </c>
      <c r="E163" s="557">
        <f t="shared" si="45"/>
        <v>2000</v>
      </c>
      <c r="F163" s="557">
        <f t="shared" si="45"/>
        <v>2000</v>
      </c>
      <c r="G163" s="557">
        <f t="shared" si="45"/>
        <v>2000</v>
      </c>
      <c r="H163" s="557">
        <f t="shared" si="45"/>
        <v>2000</v>
      </c>
      <c r="I163" s="557">
        <f t="shared" si="45"/>
        <v>2000</v>
      </c>
      <c r="J163" s="557">
        <f t="shared" si="45"/>
        <v>2000</v>
      </c>
      <c r="K163" s="557">
        <f t="shared" si="45"/>
        <v>2000</v>
      </c>
      <c r="L163" s="557">
        <f t="shared" si="45"/>
        <v>2000</v>
      </c>
      <c r="M163" s="557">
        <f t="shared" si="45"/>
        <v>2000</v>
      </c>
      <c r="N163" s="557">
        <f t="shared" si="45"/>
        <v>2000</v>
      </c>
      <c r="P163" s="557">
        <f>SUM(C163:N163)</f>
        <v>24000</v>
      </c>
    </row>
    <row r="164" spans="2:16" x14ac:dyDescent="0.25">
      <c r="B164" s="555" t="str">
        <f>+APORTE!C55</f>
        <v>Claudia Villagran</v>
      </c>
      <c r="C164" s="247">
        <v>1000</v>
      </c>
      <c r="D164" s="247">
        <v>1000</v>
      </c>
      <c r="E164" s="247">
        <v>1000</v>
      </c>
      <c r="F164" s="247">
        <v>1000</v>
      </c>
      <c r="G164" s="247">
        <v>1000</v>
      </c>
      <c r="H164" s="247">
        <v>1000</v>
      </c>
      <c r="I164" s="247">
        <v>1000</v>
      </c>
      <c r="J164" s="247">
        <v>1000</v>
      </c>
      <c r="K164" s="247">
        <v>1000</v>
      </c>
      <c r="L164" s="247">
        <v>1000</v>
      </c>
      <c r="M164" s="247">
        <v>1000</v>
      </c>
      <c r="N164" s="247">
        <v>1000</v>
      </c>
    </row>
    <row r="165" spans="2:16" x14ac:dyDescent="0.25">
      <c r="B165" s="555" t="str">
        <f>+APORTE!C56</f>
        <v>Alejandra Diaz</v>
      </c>
      <c r="C165" s="247">
        <v>1000</v>
      </c>
      <c r="D165" s="247">
        <v>1000</v>
      </c>
      <c r="E165" s="247">
        <v>1000</v>
      </c>
      <c r="F165" s="247">
        <v>1000</v>
      </c>
      <c r="G165" s="247">
        <v>1000</v>
      </c>
      <c r="H165" s="247">
        <v>1000</v>
      </c>
      <c r="I165" s="247">
        <v>1000</v>
      </c>
      <c r="J165" s="247">
        <v>1000</v>
      </c>
      <c r="K165" s="247">
        <v>1000</v>
      </c>
      <c r="L165" s="247">
        <v>1000</v>
      </c>
      <c r="M165" s="247">
        <v>1000</v>
      </c>
      <c r="N165" s="247">
        <v>1000</v>
      </c>
    </row>
    <row r="166" spans="2:16" x14ac:dyDescent="0.25">
      <c r="B166" s="225"/>
    </row>
  </sheetData>
  <mergeCells count="4">
    <mergeCell ref="C1:D1"/>
    <mergeCell ref="G1:H1"/>
    <mergeCell ref="K1:L1"/>
    <mergeCell ref="S1:T1"/>
  </mergeCells>
  <phoneticPr fontId="31" type="noConversion"/>
  <conditionalFormatting sqref="C84:N84">
    <cfRule type="cellIs" dxfId="215" priority="77" operator="greaterThan">
      <formula>0</formula>
    </cfRule>
  </conditionalFormatting>
  <conditionalFormatting sqref="C115:D115">
    <cfRule type="cellIs" dxfId="214" priority="76" operator="equal">
      <formula>"ok"</formula>
    </cfRule>
  </conditionalFormatting>
  <conditionalFormatting sqref="C128:N130">
    <cfRule type="cellIs" dxfId="213" priority="60" operator="equal">
      <formula>1000</formula>
    </cfRule>
  </conditionalFormatting>
  <conditionalFormatting sqref="C150:N150">
    <cfRule type="cellIs" dxfId="212" priority="55" operator="equal">
      <formula>1000</formula>
    </cfRule>
  </conditionalFormatting>
  <conditionalFormatting sqref="C116:D116">
    <cfRule type="cellIs" dxfId="211" priority="50" operator="equal">
      <formula>"ok"</formula>
    </cfRule>
  </conditionalFormatting>
  <conditionalFormatting sqref="C117:D117">
    <cfRule type="cellIs" dxfId="210" priority="49" operator="equal">
      <formula>"ok"</formula>
    </cfRule>
  </conditionalFormatting>
  <conditionalFormatting sqref="C118:D118">
    <cfRule type="cellIs" dxfId="209" priority="48" operator="equal">
      <formula>"ok"</formula>
    </cfRule>
  </conditionalFormatting>
  <conditionalFormatting sqref="C119:D119">
    <cfRule type="cellIs" dxfId="208" priority="47" operator="equal">
      <formula>"ok"</formula>
    </cfRule>
  </conditionalFormatting>
  <conditionalFormatting sqref="C120:D120">
    <cfRule type="cellIs" dxfId="207" priority="46" operator="equal">
      <formula>"ok"</formula>
    </cfRule>
  </conditionalFormatting>
  <conditionalFormatting sqref="C121:D121">
    <cfRule type="cellIs" dxfId="206" priority="45" operator="equal">
      <formula>"ok"</formula>
    </cfRule>
  </conditionalFormatting>
  <conditionalFormatting sqref="C122:D122">
    <cfRule type="cellIs" dxfId="205" priority="44" operator="equal">
      <formula>"ok"</formula>
    </cfRule>
  </conditionalFormatting>
  <conditionalFormatting sqref="C123:D123">
    <cfRule type="cellIs" dxfId="204" priority="43" operator="equal">
      <formula>"ok"</formula>
    </cfRule>
  </conditionalFormatting>
  <conditionalFormatting sqref="C124:D124">
    <cfRule type="cellIs" dxfId="203" priority="42" operator="equal">
      <formula>"ok"</formula>
    </cfRule>
  </conditionalFormatting>
  <conditionalFormatting sqref="C132:N134">
    <cfRule type="cellIs" dxfId="202" priority="41" operator="equal">
      <formula>1000</formula>
    </cfRule>
  </conditionalFormatting>
  <conditionalFormatting sqref="C136:N138">
    <cfRule type="cellIs" dxfId="201" priority="40" operator="equal">
      <formula>1000</formula>
    </cfRule>
  </conditionalFormatting>
  <conditionalFormatting sqref="C140:N141">
    <cfRule type="cellIs" dxfId="200" priority="39" operator="equal">
      <formula>1000</formula>
    </cfRule>
  </conditionalFormatting>
  <conditionalFormatting sqref="C143:N145">
    <cfRule type="cellIs" dxfId="199" priority="38" operator="equal">
      <formula>1000</formula>
    </cfRule>
  </conditionalFormatting>
  <conditionalFormatting sqref="C147:N150">
    <cfRule type="cellIs" dxfId="198" priority="37" operator="equal">
      <formula>1000</formula>
    </cfRule>
  </conditionalFormatting>
  <conditionalFormatting sqref="C154:I154 K154:N154">
    <cfRule type="cellIs" dxfId="197" priority="36" operator="equal">
      <formula>1000</formula>
    </cfRule>
  </conditionalFormatting>
  <conditionalFormatting sqref="C152:I154 K152:N154">
    <cfRule type="cellIs" dxfId="196" priority="35" operator="equal">
      <formula>1000</formula>
    </cfRule>
  </conditionalFormatting>
  <conditionalFormatting sqref="C158:N158">
    <cfRule type="cellIs" dxfId="195" priority="34" operator="equal">
      <formula>1000</formula>
    </cfRule>
  </conditionalFormatting>
  <conditionalFormatting sqref="C156:N158">
    <cfRule type="cellIs" dxfId="194" priority="33" operator="equal">
      <formula>1000</formula>
    </cfRule>
  </conditionalFormatting>
  <conditionalFormatting sqref="C162:N162">
    <cfRule type="cellIs" dxfId="193" priority="32" operator="equal">
      <formula>1000</formula>
    </cfRule>
  </conditionalFormatting>
  <conditionalFormatting sqref="C160:N162">
    <cfRule type="cellIs" dxfId="192" priority="31" operator="equal">
      <formula>1000</formula>
    </cfRule>
  </conditionalFormatting>
  <conditionalFormatting sqref="E115">
    <cfRule type="cellIs" dxfId="191" priority="28" operator="equal">
      <formula>"ok"</formula>
    </cfRule>
  </conditionalFormatting>
  <conditionalFormatting sqref="E116">
    <cfRule type="cellIs" dxfId="190" priority="27" operator="equal">
      <formula>"ok"</formula>
    </cfRule>
  </conditionalFormatting>
  <conditionalFormatting sqref="E117">
    <cfRule type="cellIs" dxfId="189" priority="26" operator="equal">
      <formula>"ok"</formula>
    </cfRule>
  </conditionalFormatting>
  <conditionalFormatting sqref="E118">
    <cfRule type="cellIs" dxfId="188" priority="25" operator="equal">
      <formula>"ok"</formula>
    </cfRule>
  </conditionalFormatting>
  <conditionalFormatting sqref="E119">
    <cfRule type="cellIs" dxfId="187" priority="24" operator="equal">
      <formula>"ok"</formula>
    </cfRule>
  </conditionalFormatting>
  <conditionalFormatting sqref="E120">
    <cfRule type="cellIs" dxfId="186" priority="23" operator="equal">
      <formula>"ok"</formula>
    </cfRule>
  </conditionalFormatting>
  <conditionalFormatting sqref="E121">
    <cfRule type="cellIs" dxfId="185" priority="22" operator="equal">
      <formula>"ok"</formula>
    </cfRule>
  </conditionalFormatting>
  <conditionalFormatting sqref="E122">
    <cfRule type="cellIs" dxfId="184" priority="21" operator="equal">
      <formula>"ok"</formula>
    </cfRule>
  </conditionalFormatting>
  <conditionalFormatting sqref="E123">
    <cfRule type="cellIs" dxfId="183" priority="20" operator="equal">
      <formula>"ok"</formula>
    </cfRule>
  </conditionalFormatting>
  <conditionalFormatting sqref="E124">
    <cfRule type="cellIs" dxfId="182" priority="19" operator="equal">
      <formula>"ok"</formula>
    </cfRule>
  </conditionalFormatting>
  <conditionalFormatting sqref="F115:N115">
    <cfRule type="cellIs" dxfId="181" priority="18" operator="equal">
      <formula>"ok"</formula>
    </cfRule>
  </conditionalFormatting>
  <conditionalFormatting sqref="F116:N116">
    <cfRule type="cellIs" dxfId="180" priority="17" operator="equal">
      <formula>"ok"</formula>
    </cfRule>
  </conditionalFormatting>
  <conditionalFormatting sqref="F117:N117">
    <cfRule type="cellIs" dxfId="179" priority="16" operator="equal">
      <formula>"ok"</formula>
    </cfRule>
  </conditionalFormatting>
  <conditionalFormatting sqref="F118:N118">
    <cfRule type="cellIs" dxfId="178" priority="15" operator="equal">
      <formula>"ok"</formula>
    </cfRule>
  </conditionalFormatting>
  <conditionalFormatting sqref="F119:N119">
    <cfRule type="cellIs" dxfId="177" priority="14" operator="equal">
      <formula>"ok"</formula>
    </cfRule>
  </conditionalFormatting>
  <conditionalFormatting sqref="F120:N120">
    <cfRule type="cellIs" dxfId="176" priority="13" operator="equal">
      <formula>"ok"</formula>
    </cfRule>
  </conditionalFormatting>
  <conditionalFormatting sqref="F121:N121 M122">
    <cfRule type="cellIs" dxfId="175" priority="12" operator="equal">
      <formula>"ok"</formula>
    </cfRule>
  </conditionalFormatting>
  <conditionalFormatting sqref="F122:L122 N122">
    <cfRule type="cellIs" dxfId="174" priority="11" operator="equal">
      <formula>"ok"</formula>
    </cfRule>
  </conditionalFormatting>
  <conditionalFormatting sqref="F123:N123">
    <cfRule type="cellIs" dxfId="173" priority="10" operator="equal">
      <formula>"ok"</formula>
    </cfRule>
  </conditionalFormatting>
  <conditionalFormatting sqref="F124:N124">
    <cfRule type="cellIs" dxfId="172" priority="9" operator="equal">
      <formula>"ok"</formula>
    </cfRule>
  </conditionalFormatting>
  <conditionalFormatting sqref="C164:N165">
    <cfRule type="cellIs" dxfId="171" priority="2" operator="equal">
      <formula>1000</formula>
    </cfRule>
  </conditionalFormatting>
  <conditionalFormatting sqref="J152:J154">
    <cfRule type="cellIs" dxfId="170" priority="1" operator="equal">
      <formula>1000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1" orientation="landscape" horizontalDpi="300" verticalDpi="300" r:id="rId1"/>
  <rowBreaks count="2" manualBreakCount="2">
    <brk id="41" min="1" max="16" man="1"/>
    <brk id="84" min="1" max="16" man="1"/>
  </rowBreaks>
  <ignoredErrors>
    <ignoredError sqref="C40:N40" formulaRange="1"/>
    <ignoredError sqref="C109:C111 S4" formula="1"/>
    <ignoredError sqref="P58" formula="1" formulaRange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F582-8A5D-48F1-9F7C-66C576BE3C34}">
  <sheetPr codeName="Hoja7"/>
  <dimension ref="A1:P120"/>
  <sheetViews>
    <sheetView showGridLines="0" topLeftCell="A89" zoomScaleNormal="100" workbookViewId="0">
      <selection activeCell="F103" sqref="F103"/>
    </sheetView>
  </sheetViews>
  <sheetFormatPr baseColWidth="10" defaultRowHeight="15" x14ac:dyDescent="0.25"/>
  <cols>
    <col min="1" max="1" width="7.42578125" bestFit="1" customWidth="1"/>
    <col min="2" max="2" width="20.140625" customWidth="1"/>
    <col min="3" max="3" width="15.7109375" style="709" customWidth="1"/>
    <col min="4" max="4" width="19" style="167" bestFit="1" customWidth="1"/>
    <col min="5" max="10" width="15.7109375" customWidth="1"/>
    <col min="11" max="11" width="13.85546875" customWidth="1"/>
    <col min="12" max="12" width="11.7109375" bestFit="1" customWidth="1"/>
    <col min="13" max="13" width="15.28515625" bestFit="1" customWidth="1"/>
    <col min="14" max="14" width="13.28515625" bestFit="1" customWidth="1"/>
    <col min="15" max="15" width="12.140625" customWidth="1"/>
    <col min="16" max="16" width="10.42578125" bestFit="1" customWidth="1"/>
  </cols>
  <sheetData>
    <row r="1" spans="1:16" x14ac:dyDescent="0.25">
      <c r="B1" s="727" t="s">
        <v>128</v>
      </c>
      <c r="C1" s="731">
        <v>162520</v>
      </c>
      <c r="D1" s="742" t="s">
        <v>665</v>
      </c>
      <c r="F1" s="765" t="s">
        <v>0</v>
      </c>
      <c r="G1" s="768">
        <v>45653</v>
      </c>
      <c r="H1" s="768">
        <v>45701</v>
      </c>
      <c r="I1" s="768">
        <v>45712</v>
      </c>
      <c r="J1" s="167"/>
      <c r="K1" s="167"/>
      <c r="L1" s="167"/>
      <c r="M1" s="167"/>
      <c r="N1" s="167"/>
      <c r="O1" s="167"/>
      <c r="P1" s="167"/>
    </row>
    <row r="2" spans="1:16" x14ac:dyDescent="0.25">
      <c r="B2" s="727" t="s">
        <v>129</v>
      </c>
      <c r="C2" s="731">
        <f>67821+62810</f>
        <v>130631</v>
      </c>
      <c r="D2" s="742" t="s">
        <v>665</v>
      </c>
      <c r="F2" s="766" t="s">
        <v>3</v>
      </c>
      <c r="G2" s="769" t="s">
        <v>18</v>
      </c>
      <c r="H2" s="769" t="s">
        <v>18</v>
      </c>
      <c r="I2" s="769" t="s">
        <v>224</v>
      </c>
      <c r="J2" s="709"/>
      <c r="K2" s="709"/>
      <c r="L2" s="709"/>
      <c r="M2" s="709"/>
      <c r="N2" s="709"/>
      <c r="O2" s="709"/>
      <c r="P2" s="709"/>
    </row>
    <row r="3" spans="1:16" x14ac:dyDescent="0.25">
      <c r="B3" s="727" t="s">
        <v>127</v>
      </c>
      <c r="C3" s="731">
        <v>0</v>
      </c>
      <c r="D3" s="742"/>
      <c r="F3" s="767" t="s">
        <v>4</v>
      </c>
      <c r="G3" s="770" t="s">
        <v>13</v>
      </c>
      <c r="H3" s="770" t="s">
        <v>13</v>
      </c>
      <c r="I3" s="770" t="str">
        <f>+D2</f>
        <v>Reembolso</v>
      </c>
      <c r="J3" s="709"/>
    </row>
    <row r="4" spans="1:16" x14ac:dyDescent="0.25">
      <c r="B4" s="727" t="s">
        <v>599</v>
      </c>
      <c r="C4" s="731">
        <v>14000</v>
      </c>
      <c r="D4" s="742" t="s">
        <v>444</v>
      </c>
      <c r="F4" s="766" t="s">
        <v>381</v>
      </c>
      <c r="G4" s="771">
        <v>6833</v>
      </c>
      <c r="H4" s="771">
        <v>5000</v>
      </c>
      <c r="I4" s="779">
        <f>SUM(G4:H4)</f>
        <v>11833</v>
      </c>
    </row>
    <row r="5" spans="1:16" x14ac:dyDescent="0.25">
      <c r="A5" t="s">
        <v>607</v>
      </c>
      <c r="B5" s="727" t="s">
        <v>131</v>
      </c>
      <c r="C5" s="731">
        <v>0</v>
      </c>
      <c r="D5" s="742" t="s">
        <v>665</v>
      </c>
      <c r="F5" s="766" t="s">
        <v>382</v>
      </c>
      <c r="G5" s="771">
        <v>0</v>
      </c>
      <c r="H5" s="771">
        <v>5000</v>
      </c>
      <c r="I5" s="779">
        <f>SUM(G5:H5)+C1+C7</f>
        <v>247520</v>
      </c>
    </row>
    <row r="6" spans="1:16" x14ac:dyDescent="0.25">
      <c r="B6" s="167" t="s">
        <v>708</v>
      </c>
      <c r="C6" s="761">
        <f>SUM(C1:C5)</f>
        <v>307151</v>
      </c>
      <c r="F6" s="766" t="s">
        <v>383</v>
      </c>
      <c r="G6" s="771">
        <v>6833</v>
      </c>
      <c r="H6" s="771">
        <v>5000</v>
      </c>
      <c r="I6" s="779">
        <f>SUM(G6:H6)+C2+C5</f>
        <v>142464</v>
      </c>
    </row>
    <row r="7" spans="1:16" s="799" customFormat="1" x14ac:dyDescent="0.25">
      <c r="B7" s="800" t="s">
        <v>711</v>
      </c>
      <c r="C7" s="801">
        <v>80000</v>
      </c>
      <c r="D7" s="805" t="s">
        <v>712</v>
      </c>
      <c r="F7" s="802" t="s">
        <v>561</v>
      </c>
      <c r="G7" s="803">
        <v>6833</v>
      </c>
      <c r="H7" s="803">
        <v>5000</v>
      </c>
      <c r="I7" s="804">
        <f>SUM(G7:H7)</f>
        <v>11833</v>
      </c>
    </row>
    <row r="8" spans="1:16" x14ac:dyDescent="0.25">
      <c r="B8" s="727" t="s">
        <v>705</v>
      </c>
      <c r="C8" s="777">
        <v>5934</v>
      </c>
      <c r="D8" s="742" t="s">
        <v>706</v>
      </c>
      <c r="F8" s="766" t="s">
        <v>384</v>
      </c>
      <c r="G8" s="771">
        <v>6833</v>
      </c>
      <c r="H8" s="771">
        <v>5000</v>
      </c>
      <c r="I8" s="779">
        <f>SUM(G8:H8)</f>
        <v>11833</v>
      </c>
      <c r="J8" t="s">
        <v>710</v>
      </c>
    </row>
    <row r="9" spans="1:16" x14ac:dyDescent="0.25">
      <c r="B9" s="727" t="s">
        <v>176</v>
      </c>
      <c r="C9" s="777">
        <f>15390+14029</f>
        <v>29419</v>
      </c>
      <c r="D9" s="762" t="s">
        <v>704</v>
      </c>
      <c r="F9" s="766" t="s">
        <v>450</v>
      </c>
      <c r="G9" s="771">
        <v>6833</v>
      </c>
      <c r="H9" s="771">
        <v>5000</v>
      </c>
      <c r="I9" s="779">
        <f>SUM(G9:H9)+C9</f>
        <v>41252</v>
      </c>
    </row>
    <row r="10" spans="1:16" x14ac:dyDescent="0.25">
      <c r="B10" s="727" t="s">
        <v>636</v>
      </c>
      <c r="C10" s="778">
        <v>52400</v>
      </c>
      <c r="D10" s="742" t="s">
        <v>703</v>
      </c>
      <c r="F10" s="766" t="s">
        <v>385</v>
      </c>
      <c r="G10" s="771">
        <v>6833</v>
      </c>
      <c r="H10" s="771">
        <v>5000</v>
      </c>
      <c r="I10" s="779">
        <f>SUM(G10:H10)+C8</f>
        <v>17767</v>
      </c>
    </row>
    <row r="11" spans="1:16" x14ac:dyDescent="0.25">
      <c r="B11" s="727" t="s">
        <v>636</v>
      </c>
      <c r="C11" s="777">
        <v>450000</v>
      </c>
      <c r="D11" s="742" t="s">
        <v>707</v>
      </c>
      <c r="F11" s="766" t="s">
        <v>562</v>
      </c>
      <c r="G11" s="771">
        <v>6833</v>
      </c>
      <c r="H11" s="771">
        <v>5000</v>
      </c>
      <c r="I11" s="779">
        <f>SUM(G11:H11)+C4</f>
        <v>25833</v>
      </c>
      <c r="J11" s="773">
        <f>SUM(I4:I11)</f>
        <v>510335</v>
      </c>
    </row>
    <row r="12" spans="1:16" x14ac:dyDescent="0.25">
      <c r="B12" s="167" t="s">
        <v>708</v>
      </c>
      <c r="C12" s="709">
        <f>SUM(C7:C11)</f>
        <v>617753</v>
      </c>
      <c r="F12" s="767" t="s">
        <v>636</v>
      </c>
      <c r="G12" s="772"/>
      <c r="H12" s="772"/>
      <c r="I12" s="779">
        <f>+C11+C10</f>
        <v>502400</v>
      </c>
      <c r="J12" s="773">
        <f>+I12</f>
        <v>502400</v>
      </c>
    </row>
    <row r="13" spans="1:16" x14ac:dyDescent="0.25">
      <c r="H13" s="773"/>
    </row>
    <row r="14" spans="1:16" x14ac:dyDescent="0.25">
      <c r="B14" s="742" t="s">
        <v>713</v>
      </c>
      <c r="C14" s="763">
        <f>+C12+C6</f>
        <v>924904</v>
      </c>
      <c r="D14" s="742" t="s">
        <v>137</v>
      </c>
      <c r="F14" s="721" t="s">
        <v>709</v>
      </c>
      <c r="G14" s="774"/>
      <c r="H14" s="775"/>
      <c r="I14" s="764">
        <f>SUM(I4:I12)</f>
        <v>1012735</v>
      </c>
    </row>
    <row r="15" spans="1:16" x14ac:dyDescent="0.25">
      <c r="B15" t="s">
        <v>716</v>
      </c>
      <c r="C15" s="709">
        <f>SUM(G4:H12)</f>
        <v>87831</v>
      </c>
      <c r="I15" s="773"/>
    </row>
    <row r="16" spans="1:16" x14ac:dyDescent="0.25">
      <c r="B16" t="str">
        <f>+F14</f>
        <v>TOTAL A PAGAR</v>
      </c>
      <c r="C16" s="709">
        <f>+C14+C15</f>
        <v>1012735</v>
      </c>
      <c r="H16" t="s">
        <v>714</v>
      </c>
      <c r="I16" s="666">
        <f>+I14-C16</f>
        <v>0</v>
      </c>
      <c r="K16">
        <v>1012735</v>
      </c>
    </row>
    <row r="17" spans="2:12" x14ac:dyDescent="0.25">
      <c r="K17">
        <v>318000</v>
      </c>
      <c r="L17" s="666"/>
    </row>
    <row r="18" spans="2:12" ht="21" x14ac:dyDescent="0.35">
      <c r="B18" s="792" t="s">
        <v>722</v>
      </c>
      <c r="H18" s="792" t="s">
        <v>715</v>
      </c>
      <c r="K18">
        <v>170213</v>
      </c>
    </row>
    <row r="19" spans="2:12" x14ac:dyDescent="0.25">
      <c r="K19" s="709">
        <f>SUM(K16:K18)</f>
        <v>1500948</v>
      </c>
      <c r="L19" s="666"/>
    </row>
    <row r="20" spans="2:12" x14ac:dyDescent="0.25">
      <c r="B20" s="742" t="s">
        <v>721</v>
      </c>
      <c r="C20" s="785" t="s">
        <v>718</v>
      </c>
      <c r="D20" s="785" t="s">
        <v>717</v>
      </c>
      <c r="E20" s="785" t="s">
        <v>703</v>
      </c>
      <c r="F20" s="781" t="s">
        <v>719</v>
      </c>
      <c r="G20" s="785" t="s">
        <v>720</v>
      </c>
      <c r="H20" s="785" t="s">
        <v>229</v>
      </c>
      <c r="K20" s="793">
        <f>+K19-8830-136510-1490</f>
        <v>1354118</v>
      </c>
    </row>
    <row r="21" spans="2:12" x14ac:dyDescent="0.25">
      <c r="B21" s="789" t="str">
        <f t="shared" ref="B21:B27" si="0">+F5</f>
        <v>Richard T.</v>
      </c>
      <c r="C21" s="786">
        <f t="shared" ref="C21:C27" si="1">+G5+H5</f>
        <v>5000</v>
      </c>
      <c r="D21" s="786">
        <f>+C1</f>
        <v>162520</v>
      </c>
      <c r="E21" s="786">
        <v>0</v>
      </c>
      <c r="F21" s="782">
        <f>+C7</f>
        <v>80000</v>
      </c>
      <c r="G21" s="786">
        <f t="shared" ref="G21:G29" si="2">SUM(C21:F21)</f>
        <v>247520</v>
      </c>
      <c r="H21" s="808" t="s">
        <v>723</v>
      </c>
      <c r="K21" s="666">
        <f>+K20-G21</f>
        <v>1106598</v>
      </c>
    </row>
    <row r="22" spans="2:12" x14ac:dyDescent="0.25">
      <c r="B22" s="790" t="str">
        <f t="shared" si="0"/>
        <v>Christian T.</v>
      </c>
      <c r="C22" s="787">
        <f t="shared" si="1"/>
        <v>11833</v>
      </c>
      <c r="D22" s="787">
        <f>+C2</f>
        <v>130631</v>
      </c>
      <c r="E22" s="787">
        <v>0</v>
      </c>
      <c r="F22" s="783">
        <v>0</v>
      </c>
      <c r="G22" s="787">
        <f t="shared" si="2"/>
        <v>142464</v>
      </c>
      <c r="H22" s="809" t="s">
        <v>723</v>
      </c>
      <c r="K22" s="666"/>
    </row>
    <row r="23" spans="2:12" x14ac:dyDescent="0.25">
      <c r="B23" s="790" t="str">
        <f t="shared" si="0"/>
        <v>Alejandra B.</v>
      </c>
      <c r="C23" s="787">
        <f t="shared" si="1"/>
        <v>11833</v>
      </c>
      <c r="D23" s="787">
        <v>0</v>
      </c>
      <c r="E23" s="787">
        <v>0</v>
      </c>
      <c r="F23" s="783">
        <v>0</v>
      </c>
      <c r="G23" s="787">
        <f t="shared" si="2"/>
        <v>11833</v>
      </c>
      <c r="H23" s="809" t="s">
        <v>723</v>
      </c>
      <c r="K23" s="666">
        <f>+K21-G23</f>
        <v>1094765</v>
      </c>
    </row>
    <row r="24" spans="2:12" x14ac:dyDescent="0.25">
      <c r="B24" s="790" t="str">
        <f t="shared" si="0"/>
        <v>Andrea D.</v>
      </c>
      <c r="C24" s="787">
        <f t="shared" si="1"/>
        <v>11833</v>
      </c>
      <c r="D24" s="787"/>
      <c r="E24" s="787">
        <v>0</v>
      </c>
      <c r="F24" s="783">
        <v>0</v>
      </c>
      <c r="G24" s="787">
        <f t="shared" si="2"/>
        <v>11833</v>
      </c>
      <c r="H24" s="809" t="s">
        <v>723</v>
      </c>
      <c r="K24" s="666">
        <f t="shared" ref="K24:K29" si="3">+K23-G24</f>
        <v>1082932</v>
      </c>
    </row>
    <row r="25" spans="2:12" x14ac:dyDescent="0.25">
      <c r="B25" s="790" t="str">
        <f t="shared" si="0"/>
        <v>Felipe S.</v>
      </c>
      <c r="C25" s="787">
        <f t="shared" si="1"/>
        <v>11833</v>
      </c>
      <c r="D25" s="787">
        <f>+C9</f>
        <v>29419</v>
      </c>
      <c r="E25" s="787">
        <v>0</v>
      </c>
      <c r="F25" s="783">
        <v>0</v>
      </c>
      <c r="G25" s="787">
        <f t="shared" si="2"/>
        <v>41252</v>
      </c>
      <c r="H25" s="809" t="s">
        <v>723</v>
      </c>
      <c r="K25" s="666">
        <f t="shared" si="3"/>
        <v>1041680</v>
      </c>
    </row>
    <row r="26" spans="2:12" x14ac:dyDescent="0.25">
      <c r="B26" s="790" t="str">
        <f t="shared" si="0"/>
        <v>Claudia V.</v>
      </c>
      <c r="C26" s="787">
        <f t="shared" si="1"/>
        <v>11833</v>
      </c>
      <c r="D26" s="787">
        <f>+C8</f>
        <v>5934</v>
      </c>
      <c r="E26" s="787">
        <v>0</v>
      </c>
      <c r="F26" s="783">
        <v>0</v>
      </c>
      <c r="G26" s="787">
        <f t="shared" si="2"/>
        <v>17767</v>
      </c>
      <c r="H26" s="809" t="s">
        <v>723</v>
      </c>
      <c r="K26" s="666">
        <f t="shared" si="3"/>
        <v>1023913</v>
      </c>
    </row>
    <row r="27" spans="2:12" x14ac:dyDescent="0.25">
      <c r="B27" s="790" t="str">
        <f t="shared" si="0"/>
        <v>Eugenia O.</v>
      </c>
      <c r="C27" s="787">
        <f t="shared" si="1"/>
        <v>11833</v>
      </c>
      <c r="D27" s="787">
        <v>0</v>
      </c>
      <c r="E27" s="787">
        <f>+C4</f>
        <v>14000</v>
      </c>
      <c r="F27" s="783">
        <v>0</v>
      </c>
      <c r="G27" s="787">
        <f t="shared" si="2"/>
        <v>25833</v>
      </c>
      <c r="H27" s="809" t="s">
        <v>723</v>
      </c>
      <c r="K27" s="666">
        <f t="shared" si="3"/>
        <v>998080</v>
      </c>
    </row>
    <row r="28" spans="2:12" x14ac:dyDescent="0.25">
      <c r="B28" s="790" t="str">
        <f>+F4</f>
        <v>Patricio B.</v>
      </c>
      <c r="C28" s="787">
        <f>+G4+H4</f>
        <v>11833</v>
      </c>
      <c r="D28" s="787">
        <v>0</v>
      </c>
      <c r="E28" s="787">
        <v>0</v>
      </c>
      <c r="F28" s="783">
        <v>0</v>
      </c>
      <c r="G28" s="787">
        <f>SUM(C28:F28)</f>
        <v>11833</v>
      </c>
      <c r="H28" s="809" t="s">
        <v>723</v>
      </c>
      <c r="K28" s="666">
        <f t="shared" si="3"/>
        <v>986247</v>
      </c>
    </row>
    <row r="29" spans="2:12" x14ac:dyDescent="0.25">
      <c r="B29" s="791" t="str">
        <f>+F12</f>
        <v>Abogado</v>
      </c>
      <c r="C29" s="788">
        <f>+C11</f>
        <v>450000</v>
      </c>
      <c r="D29" s="788">
        <v>0</v>
      </c>
      <c r="E29" s="788">
        <f>+C10</f>
        <v>52400</v>
      </c>
      <c r="F29" s="784">
        <v>0</v>
      </c>
      <c r="G29" s="788">
        <f t="shared" si="2"/>
        <v>502400</v>
      </c>
      <c r="H29" s="810" t="s">
        <v>723</v>
      </c>
      <c r="K29" s="666">
        <f t="shared" si="3"/>
        <v>483847</v>
      </c>
      <c r="L29">
        <v>20000</v>
      </c>
    </row>
    <row r="30" spans="2:12" x14ac:dyDescent="0.25">
      <c r="B30" s="167" t="s">
        <v>29</v>
      </c>
      <c r="C30" s="780"/>
      <c r="D30" s="780"/>
      <c r="E30" s="780"/>
      <c r="F30" s="780"/>
      <c r="G30" s="811">
        <f>SUM(G21:G29)</f>
        <v>1012735</v>
      </c>
      <c r="I30" s="666"/>
      <c r="K30" s="794">
        <f>+K20-G30+G22</f>
        <v>483847</v>
      </c>
      <c r="L30">
        <v>7420</v>
      </c>
    </row>
    <row r="31" spans="2:12" x14ac:dyDescent="0.25">
      <c r="K31" s="709"/>
      <c r="L31">
        <v>6050</v>
      </c>
    </row>
    <row r="32" spans="2:12" x14ac:dyDescent="0.25">
      <c r="K32" s="666"/>
      <c r="L32">
        <v>28900</v>
      </c>
    </row>
    <row r="33" spans="2:13" x14ac:dyDescent="0.25">
      <c r="K33" s="666"/>
      <c r="L33">
        <v>44350</v>
      </c>
    </row>
    <row r="34" spans="2:13" x14ac:dyDescent="0.25">
      <c r="L34">
        <v>5000</v>
      </c>
    </row>
    <row r="35" spans="2:13" x14ac:dyDescent="0.25">
      <c r="L35">
        <v>7000</v>
      </c>
      <c r="M35" t="s">
        <v>731</v>
      </c>
    </row>
    <row r="36" spans="2:13" x14ac:dyDescent="0.25">
      <c r="L36">
        <v>130966</v>
      </c>
      <c r="M36" t="s">
        <v>731</v>
      </c>
    </row>
    <row r="37" spans="2:13" x14ac:dyDescent="0.25">
      <c r="L37">
        <v>18986</v>
      </c>
      <c r="M37" t="s">
        <v>731</v>
      </c>
    </row>
    <row r="38" spans="2:13" x14ac:dyDescent="0.25">
      <c r="L38">
        <v>6000</v>
      </c>
      <c r="M38" t="s">
        <v>731</v>
      </c>
    </row>
    <row r="39" spans="2:13" x14ac:dyDescent="0.25">
      <c r="L39">
        <v>25000</v>
      </c>
    </row>
    <row r="40" spans="2:13" x14ac:dyDescent="0.25">
      <c r="L40">
        <v>1400</v>
      </c>
    </row>
    <row r="41" spans="2:13" x14ac:dyDescent="0.25">
      <c r="J41" t="s">
        <v>730</v>
      </c>
      <c r="K41" s="709">
        <f>+K29-L41</f>
        <v>182775</v>
      </c>
      <c r="L41" s="666">
        <f>SUM(L29:L40)</f>
        <v>301072</v>
      </c>
    </row>
    <row r="42" spans="2:13" x14ac:dyDescent="0.25">
      <c r="J42" t="s">
        <v>733</v>
      </c>
      <c r="K42" s="709">
        <v>-4700</v>
      </c>
    </row>
    <row r="43" spans="2:13" x14ac:dyDescent="0.25">
      <c r="J43" t="s">
        <v>734</v>
      </c>
      <c r="K43" s="709">
        <f>+L38+L37+L36+L35+20000+3000+5000</f>
        <v>190952</v>
      </c>
    </row>
    <row r="44" spans="2:13" x14ac:dyDescent="0.25">
      <c r="J44" t="s">
        <v>732</v>
      </c>
      <c r="K44" s="796">
        <v>-60000</v>
      </c>
    </row>
    <row r="45" spans="2:13" x14ac:dyDescent="0.25">
      <c r="F45" s="777">
        <f>15390+14029+14042</f>
        <v>43461</v>
      </c>
      <c r="J45" s="396" t="s">
        <v>735</v>
      </c>
      <c r="K45" s="798">
        <f>SUM(K41:K44)</f>
        <v>309027</v>
      </c>
    </row>
    <row r="46" spans="2:13" x14ac:dyDescent="0.25">
      <c r="B46" s="807" t="s">
        <v>739</v>
      </c>
    </row>
    <row r="47" spans="2:13" x14ac:dyDescent="0.25">
      <c r="B47" s="816">
        <v>45733</v>
      </c>
      <c r="C47" s="709">
        <v>2833</v>
      </c>
    </row>
    <row r="48" spans="2:13" ht="15.75" thickBot="1" x14ac:dyDescent="0.3">
      <c r="B48" s="742" t="s">
        <v>721</v>
      </c>
      <c r="C48" s="785" t="s">
        <v>718</v>
      </c>
      <c r="D48" s="785" t="s">
        <v>717</v>
      </c>
      <c r="E48" s="785" t="s">
        <v>703</v>
      </c>
      <c r="F48" s="781" t="s">
        <v>742</v>
      </c>
      <c r="G48" s="785" t="s">
        <v>720</v>
      </c>
      <c r="H48" s="785" t="s">
        <v>229</v>
      </c>
    </row>
    <row r="49" spans="2:12" x14ac:dyDescent="0.25">
      <c r="B49" s="789" t="s">
        <v>382</v>
      </c>
      <c r="C49" s="812">
        <f>2833+20000+11250+5000</f>
        <v>39083</v>
      </c>
      <c r="D49" s="812"/>
      <c r="E49" s="812"/>
      <c r="F49" s="903"/>
      <c r="G49" s="812">
        <f>SUM(C49:F49)</f>
        <v>39083</v>
      </c>
      <c r="H49" s="812"/>
      <c r="J49" s="818" t="s">
        <v>741</v>
      </c>
    </row>
    <row r="50" spans="2:12" ht="15.75" thickBot="1" x14ac:dyDescent="0.3">
      <c r="B50" s="790" t="s">
        <v>383</v>
      </c>
      <c r="C50" s="813">
        <f>2833+20000+5000</f>
        <v>27833</v>
      </c>
      <c r="D50" s="813">
        <f>130966+18986</f>
        <v>149952</v>
      </c>
      <c r="E50" s="813">
        <f>2000+2000+3400+13000</f>
        <v>20400</v>
      </c>
      <c r="F50" s="904"/>
      <c r="G50" s="813">
        <f t="shared" ref="G50:G56" si="4">SUM(C50:F50)</f>
        <v>198185</v>
      </c>
      <c r="H50" s="813"/>
      <c r="J50" s="819">
        <f>+G57+G30</f>
        <v>1461239</v>
      </c>
    </row>
    <row r="51" spans="2:12" x14ac:dyDescent="0.25">
      <c r="B51" s="790" t="s">
        <v>561</v>
      </c>
      <c r="C51" s="813">
        <v>2833</v>
      </c>
      <c r="D51" s="813"/>
      <c r="E51" s="813"/>
      <c r="F51" s="904"/>
      <c r="G51" s="813">
        <f t="shared" si="4"/>
        <v>2833</v>
      </c>
      <c r="H51" s="813"/>
      <c r="J51" s="666"/>
    </row>
    <row r="52" spans="2:12" x14ac:dyDescent="0.25">
      <c r="B52" s="790" t="s">
        <v>384</v>
      </c>
      <c r="C52" s="813">
        <f>2833+20000</f>
        <v>22833</v>
      </c>
      <c r="D52" s="813"/>
      <c r="E52" s="813">
        <v>0</v>
      </c>
      <c r="F52" s="904"/>
      <c r="G52" s="813">
        <f t="shared" si="4"/>
        <v>22833</v>
      </c>
      <c r="H52" s="813"/>
      <c r="J52" s="666"/>
    </row>
    <row r="53" spans="2:12" x14ac:dyDescent="0.25">
      <c r="B53" s="790" t="s">
        <v>450</v>
      </c>
      <c r="C53" s="813">
        <f>2833+20000+5000+11250</f>
        <v>39083</v>
      </c>
      <c r="D53" s="813"/>
      <c r="E53" s="813">
        <f>22050+19420+2000+2200+1600+4700+600+500+3000+3188+6688</f>
        <v>65946</v>
      </c>
      <c r="F53" s="904">
        <v>14042</v>
      </c>
      <c r="G53" s="813">
        <f t="shared" si="4"/>
        <v>119071</v>
      </c>
      <c r="H53" s="813"/>
      <c r="I53" s="666"/>
      <c r="J53" s="666"/>
    </row>
    <row r="54" spans="2:12" x14ac:dyDescent="0.25">
      <c r="B54" s="790" t="s">
        <v>385</v>
      </c>
      <c r="C54" s="813">
        <f>2833</f>
        <v>2833</v>
      </c>
      <c r="D54" s="813"/>
      <c r="E54" s="813"/>
      <c r="F54" s="904"/>
      <c r="G54" s="813">
        <f t="shared" si="4"/>
        <v>2833</v>
      </c>
      <c r="H54" s="813"/>
      <c r="J54" s="666"/>
    </row>
    <row r="55" spans="2:12" x14ac:dyDescent="0.25">
      <c r="B55" s="790" t="s">
        <v>562</v>
      </c>
      <c r="C55" s="813">
        <f>2833</f>
        <v>2833</v>
      </c>
      <c r="D55" s="813"/>
      <c r="E55" s="813"/>
      <c r="F55" s="904"/>
      <c r="G55" s="813">
        <f t="shared" si="4"/>
        <v>2833</v>
      </c>
      <c r="H55" s="813"/>
      <c r="J55" s="666"/>
    </row>
    <row r="56" spans="2:12" x14ac:dyDescent="0.25">
      <c r="B56" s="815" t="s">
        <v>381</v>
      </c>
      <c r="C56" s="814">
        <f>2833+20000</f>
        <v>22833</v>
      </c>
      <c r="D56" s="814"/>
      <c r="E56" s="814">
        <f>15000+20000+3000</f>
        <v>38000</v>
      </c>
      <c r="F56" s="905"/>
      <c r="G56" s="814">
        <f t="shared" si="4"/>
        <v>60833</v>
      </c>
      <c r="H56" s="814"/>
      <c r="I56" s="666"/>
    </row>
    <row r="57" spans="2:12" x14ac:dyDescent="0.25">
      <c r="B57" s="167" t="s">
        <v>29</v>
      </c>
      <c r="C57" s="780">
        <f>SUM(C49:C56)</f>
        <v>160164</v>
      </c>
      <c r="D57" s="780"/>
      <c r="E57" s="780"/>
      <c r="F57" s="780"/>
      <c r="G57" s="811">
        <f>SUM(G49:G56)</f>
        <v>448504</v>
      </c>
      <c r="H57" s="666"/>
    </row>
    <row r="58" spans="2:12" x14ac:dyDescent="0.25">
      <c r="B58" s="820"/>
      <c r="G58" s="709">
        <f>1695250</f>
        <v>1695250</v>
      </c>
      <c r="H58" s="709"/>
      <c r="J58" s="666"/>
    </row>
    <row r="59" spans="2:12" x14ac:dyDescent="0.25">
      <c r="G59" s="666">
        <f>+G57+G58</f>
        <v>2143754</v>
      </c>
      <c r="H59" s="666"/>
    </row>
    <row r="60" spans="2:12" ht="18.75" x14ac:dyDescent="0.3">
      <c r="B60" s="817" t="s">
        <v>740</v>
      </c>
      <c r="C60" s="1026" t="s">
        <v>756</v>
      </c>
      <c r="D60" s="1026"/>
      <c r="E60" s="1026"/>
      <c r="F60" s="1026"/>
      <c r="G60" s="1026"/>
      <c r="H60" s="1026"/>
    </row>
    <row r="61" spans="2:12" x14ac:dyDescent="0.25">
      <c r="E61" s="666"/>
    </row>
    <row r="62" spans="2:12" x14ac:dyDescent="0.25">
      <c r="C62" s="709">
        <f>+G56+G28-C64</f>
        <v>0</v>
      </c>
      <c r="D62" s="824">
        <f>+G49+G21-D64</f>
        <v>0</v>
      </c>
      <c r="E62" s="666">
        <f>+G50+G22-E64</f>
        <v>0</v>
      </c>
      <c r="F62" s="666">
        <f>+G53+G25-F64</f>
        <v>0</v>
      </c>
      <c r="G62" s="666">
        <f>+G51+G23-G64</f>
        <v>0</v>
      </c>
      <c r="H62" s="666">
        <f>+G52+G24-H64</f>
        <v>0</v>
      </c>
      <c r="I62" s="666">
        <f>+G54+G26-I64</f>
        <v>0</v>
      </c>
      <c r="J62" s="666">
        <f>+G55+G27-J64</f>
        <v>0</v>
      </c>
      <c r="K62" s="666"/>
    </row>
    <row r="63" spans="2:12" x14ac:dyDescent="0.25">
      <c r="C63" s="821" t="s">
        <v>375</v>
      </c>
      <c r="D63" s="822" t="s">
        <v>376</v>
      </c>
      <c r="E63" s="166" t="s">
        <v>377</v>
      </c>
      <c r="F63" s="166" t="s">
        <v>451</v>
      </c>
      <c r="G63" s="166" t="s">
        <v>597</v>
      </c>
      <c r="H63" s="166" t="s">
        <v>378</v>
      </c>
      <c r="I63" s="166" t="s">
        <v>379</v>
      </c>
      <c r="J63" s="166" t="s">
        <v>598</v>
      </c>
      <c r="K63" s="666"/>
      <c r="L63" s="166"/>
    </row>
    <row r="64" spans="2:12" x14ac:dyDescent="0.25">
      <c r="B64" s="135">
        <v>45746</v>
      </c>
      <c r="C64" s="825">
        <f>SUM(C65:C72)</f>
        <v>72666</v>
      </c>
      <c r="D64" s="825">
        <f t="shared" ref="D64:J64" si="5">SUM(D65:D72)</f>
        <v>286603</v>
      </c>
      <c r="E64" s="825">
        <f t="shared" si="5"/>
        <v>340649</v>
      </c>
      <c r="F64" s="825">
        <f t="shared" si="5"/>
        <v>160323</v>
      </c>
      <c r="G64" s="825">
        <f t="shared" si="5"/>
        <v>14666</v>
      </c>
      <c r="H64" s="825">
        <f t="shared" si="5"/>
        <v>34666</v>
      </c>
      <c r="I64" s="825">
        <f t="shared" si="5"/>
        <v>20600</v>
      </c>
      <c r="J64" s="825">
        <f t="shared" si="5"/>
        <v>28666</v>
      </c>
      <c r="K64" s="824">
        <f>+J50</f>
        <v>1461239</v>
      </c>
      <c r="L64" s="166"/>
    </row>
    <row r="65" spans="2:12" x14ac:dyDescent="0.25">
      <c r="B65" s="741" t="s">
        <v>8</v>
      </c>
      <c r="C65" s="787">
        <f>+C56+C28</f>
        <v>34666</v>
      </c>
      <c r="D65" s="787">
        <f>+C49+C21</f>
        <v>44083</v>
      </c>
      <c r="E65" s="787">
        <f>+C50+C22</f>
        <v>39666</v>
      </c>
      <c r="F65" s="787">
        <f>+C53+C25</f>
        <v>50916</v>
      </c>
      <c r="G65" s="787">
        <f>+C51+C23</f>
        <v>14666</v>
      </c>
      <c r="H65" s="787">
        <v>34666</v>
      </c>
      <c r="I65" s="787">
        <f>+C54+C26</f>
        <v>14666</v>
      </c>
      <c r="J65" s="787">
        <f>+C55+C28</f>
        <v>14666</v>
      </c>
      <c r="L65" s="166"/>
    </row>
    <row r="66" spans="2:12" x14ac:dyDescent="0.25">
      <c r="B66" s="741" t="s">
        <v>62</v>
      </c>
      <c r="C66" s="787">
        <f>+VIATICOS!F41</f>
        <v>35000</v>
      </c>
      <c r="D66" s="787"/>
      <c r="E66" s="787">
        <v>13000</v>
      </c>
      <c r="F66" s="787">
        <v>41470</v>
      </c>
      <c r="G66" s="787"/>
      <c r="H66" s="787"/>
      <c r="I66" s="787"/>
      <c r="J66" s="787"/>
      <c r="L66" s="166"/>
    </row>
    <row r="67" spans="2:12" x14ac:dyDescent="0.25">
      <c r="B67" s="741" t="s">
        <v>63</v>
      </c>
      <c r="C67" s="787"/>
      <c r="D67" s="787"/>
      <c r="E67" s="787">
        <v>3400</v>
      </c>
      <c r="F67" s="787">
        <v>10500</v>
      </c>
      <c r="G67" s="787"/>
      <c r="H67" s="787"/>
      <c r="I67" s="787"/>
      <c r="J67" s="787"/>
      <c r="L67" s="166"/>
    </row>
    <row r="68" spans="2:12" x14ac:dyDescent="0.25">
      <c r="B68" s="741" t="s">
        <v>64</v>
      </c>
      <c r="C68" s="787">
        <f>+VIATICOS!H41</f>
        <v>3000</v>
      </c>
      <c r="D68" s="787"/>
      <c r="E68" s="787">
        <v>2000</v>
      </c>
      <c r="F68" s="787">
        <v>3000</v>
      </c>
      <c r="G68" s="787"/>
      <c r="H68" s="787"/>
      <c r="I68" s="787"/>
      <c r="J68" s="787"/>
      <c r="L68" s="166"/>
    </row>
    <row r="69" spans="2:12" x14ac:dyDescent="0.25">
      <c r="B69" s="741" t="s">
        <v>121</v>
      </c>
      <c r="C69" s="787"/>
      <c r="D69" s="787"/>
      <c r="E69" s="787">
        <v>2000</v>
      </c>
      <c r="F69" s="787">
        <v>9876</v>
      </c>
      <c r="G69" s="787"/>
      <c r="H69" s="787"/>
      <c r="I69" s="787"/>
      <c r="J69" s="787"/>
      <c r="L69" s="166"/>
    </row>
    <row r="70" spans="2:12" x14ac:dyDescent="0.25">
      <c r="B70" s="741" t="s">
        <v>66</v>
      </c>
      <c r="C70" s="787"/>
      <c r="D70" s="787"/>
      <c r="E70" s="787">
        <v>0</v>
      </c>
      <c r="F70" s="787">
        <v>1100</v>
      </c>
      <c r="G70" s="787"/>
      <c r="H70" s="787"/>
      <c r="I70" s="787"/>
      <c r="J70" s="787"/>
      <c r="L70" s="166"/>
    </row>
    <row r="71" spans="2:12" x14ac:dyDescent="0.25">
      <c r="B71" s="741" t="s">
        <v>68</v>
      </c>
      <c r="C71" s="787"/>
      <c r="D71" s="787">
        <f>+C1</f>
        <v>162520</v>
      </c>
      <c r="E71" s="787">
        <f>149952+D22</f>
        <v>280583</v>
      </c>
      <c r="F71" s="787">
        <f>+F53+D25</f>
        <v>43461</v>
      </c>
      <c r="G71" s="787"/>
      <c r="H71" s="827">
        <f>+C5</f>
        <v>0</v>
      </c>
      <c r="I71" s="787">
        <v>5934</v>
      </c>
      <c r="J71" s="787">
        <v>14000</v>
      </c>
      <c r="L71" s="166"/>
    </row>
    <row r="72" spans="2:12" x14ac:dyDescent="0.25">
      <c r="B72" s="826" t="s">
        <v>124</v>
      </c>
      <c r="C72" s="788"/>
      <c r="D72" s="788">
        <v>80000</v>
      </c>
      <c r="E72" s="788"/>
      <c r="F72" s="788"/>
      <c r="G72" s="788"/>
      <c r="H72" s="788"/>
      <c r="I72" s="788"/>
      <c r="J72" s="788"/>
      <c r="K72" s="823">
        <f>SUM(C65:J72)</f>
        <v>958839</v>
      </c>
      <c r="L72" s="823">
        <f>+K72-D72-DIRECTOR!M102</f>
        <v>49395</v>
      </c>
    </row>
    <row r="73" spans="2:12" x14ac:dyDescent="0.25">
      <c r="C73" s="821"/>
      <c r="D73" s="795"/>
      <c r="E73" s="166"/>
      <c r="F73" s="166"/>
      <c r="G73" s="166"/>
      <c r="H73" s="166"/>
      <c r="I73" s="166"/>
      <c r="J73" s="166"/>
      <c r="K73" s="823">
        <f>+K64-K72</f>
        <v>502400</v>
      </c>
      <c r="L73" s="823"/>
    </row>
    <row r="74" spans="2:12" x14ac:dyDescent="0.25">
      <c r="K74" s="666">
        <f>+I12-K73</f>
        <v>0</v>
      </c>
    </row>
    <row r="75" spans="2:12" x14ac:dyDescent="0.25">
      <c r="B75" s="167" t="s">
        <v>757</v>
      </c>
      <c r="C75" s="761"/>
      <c r="E75" s="761">
        <v>294625</v>
      </c>
      <c r="F75" s="167"/>
      <c r="G75" s="795" t="s">
        <v>714</v>
      </c>
      <c r="I75" t="s">
        <v>806</v>
      </c>
      <c r="J75" s="908">
        <v>1000000</v>
      </c>
    </row>
    <row r="76" spans="2:12" x14ac:dyDescent="0.25">
      <c r="B76" s="167" t="s">
        <v>709</v>
      </c>
      <c r="C76" s="761"/>
      <c r="E76" s="824">
        <f>+G58+E75</f>
        <v>1989875</v>
      </c>
      <c r="F76" s="761">
        <f>+E76-E75</f>
        <v>1695250</v>
      </c>
      <c r="G76" s="824">
        <f>+E76-F76</f>
        <v>294625</v>
      </c>
      <c r="I76" t="s">
        <v>807</v>
      </c>
      <c r="J76" t="s">
        <v>811</v>
      </c>
    </row>
    <row r="77" spans="2:12" x14ac:dyDescent="0.25">
      <c r="B77" s="167" t="s">
        <v>759</v>
      </c>
      <c r="C77" s="761"/>
      <c r="E77" s="761">
        <f>+E76/19</f>
        <v>104730.26315789473</v>
      </c>
      <c r="F77" s="761">
        <f>+F76/19</f>
        <v>89223.68421052632</v>
      </c>
      <c r="G77" s="824">
        <f>+E77-F77</f>
        <v>15506.578947368413</v>
      </c>
      <c r="I77" t="s">
        <v>808</v>
      </c>
    </row>
    <row r="78" spans="2:12" x14ac:dyDescent="0.25">
      <c r="B78" s="167" t="s">
        <v>758</v>
      </c>
      <c r="C78" s="761"/>
      <c r="E78" s="761">
        <f>+E76/19/3</f>
        <v>34910.087719298244</v>
      </c>
      <c r="F78" s="761">
        <f>+F77/3</f>
        <v>29741.228070175439</v>
      </c>
      <c r="G78" s="824">
        <f>+E78-F78</f>
        <v>5168.8596491228054</v>
      </c>
      <c r="I78" t="s">
        <v>809</v>
      </c>
    </row>
    <row r="79" spans="2:12" x14ac:dyDescent="0.25">
      <c r="I79">
        <v>78680296</v>
      </c>
    </row>
    <row r="80" spans="2:12" x14ac:dyDescent="0.25">
      <c r="I80" s="907" t="s">
        <v>810</v>
      </c>
    </row>
    <row r="83" spans="2:13" ht="15.75" thickBot="1" x14ac:dyDescent="0.3">
      <c r="B83" s="655" t="s">
        <v>0</v>
      </c>
      <c r="C83" s="655" t="s">
        <v>3</v>
      </c>
      <c r="D83" s="655" t="s">
        <v>4</v>
      </c>
      <c r="E83" s="657" t="s">
        <v>381</v>
      </c>
      <c r="F83" s="657" t="s">
        <v>382</v>
      </c>
      <c r="G83" s="657" t="s">
        <v>383</v>
      </c>
      <c r="H83" s="657" t="s">
        <v>561</v>
      </c>
      <c r="I83" s="657" t="s">
        <v>384</v>
      </c>
      <c r="J83" s="657" t="s">
        <v>450</v>
      </c>
      <c r="K83" s="657" t="s">
        <v>385</v>
      </c>
      <c r="L83" s="657" t="s">
        <v>562</v>
      </c>
    </row>
    <row r="84" spans="2:13" x14ac:dyDescent="0.25">
      <c r="B84" s="643">
        <v>45726</v>
      </c>
      <c r="C84" s="645" t="s">
        <v>17</v>
      </c>
      <c r="D84" s="646" t="s">
        <v>16</v>
      </c>
      <c r="E84" s="647">
        <v>20000</v>
      </c>
      <c r="F84" s="647">
        <v>0</v>
      </c>
      <c r="G84" s="647">
        <v>20000</v>
      </c>
      <c r="H84" s="647">
        <v>0</v>
      </c>
      <c r="I84" s="647">
        <v>20000</v>
      </c>
      <c r="J84" s="647">
        <v>20000</v>
      </c>
      <c r="K84" s="647">
        <v>0</v>
      </c>
      <c r="L84" s="647">
        <v>0</v>
      </c>
    </row>
    <row r="85" spans="2:13" x14ac:dyDescent="0.25">
      <c r="B85" s="648">
        <v>45729</v>
      </c>
      <c r="C85" s="650" t="s">
        <v>18</v>
      </c>
      <c r="D85" s="651" t="s">
        <v>13</v>
      </c>
      <c r="E85" s="652">
        <v>0</v>
      </c>
      <c r="F85" s="652">
        <v>11250</v>
      </c>
      <c r="G85" s="652">
        <v>0</v>
      </c>
      <c r="H85" s="652">
        <v>0</v>
      </c>
      <c r="I85" s="652">
        <v>0</v>
      </c>
      <c r="J85" s="652">
        <v>11250</v>
      </c>
      <c r="K85" s="652">
        <v>0</v>
      </c>
      <c r="L85" s="652">
        <v>0</v>
      </c>
    </row>
    <row r="86" spans="2:13" x14ac:dyDescent="0.25">
      <c r="B86" s="643">
        <v>45730</v>
      </c>
      <c r="C86" s="645" t="s">
        <v>18</v>
      </c>
      <c r="D86" s="646" t="s">
        <v>13</v>
      </c>
      <c r="E86" s="647">
        <v>2833</v>
      </c>
      <c r="F86" s="647">
        <v>2833</v>
      </c>
      <c r="G86" s="647">
        <v>2833</v>
      </c>
      <c r="H86" s="647">
        <v>2833</v>
      </c>
      <c r="I86" s="647">
        <v>2833</v>
      </c>
      <c r="J86" s="647">
        <v>2833</v>
      </c>
      <c r="K86" s="647">
        <v>2833</v>
      </c>
      <c r="L86" s="647">
        <v>2833</v>
      </c>
    </row>
    <row r="87" spans="2:13" x14ac:dyDescent="0.25">
      <c r="B87" s="648">
        <v>45734</v>
      </c>
      <c r="C87" s="650" t="s">
        <v>18</v>
      </c>
      <c r="D87" s="651" t="s">
        <v>13</v>
      </c>
      <c r="E87" s="652">
        <v>0</v>
      </c>
      <c r="F87" s="652">
        <v>5000</v>
      </c>
      <c r="G87" s="652">
        <v>5000</v>
      </c>
      <c r="H87" s="652">
        <v>0</v>
      </c>
      <c r="I87" s="652">
        <v>0</v>
      </c>
      <c r="J87" s="652">
        <v>5000</v>
      </c>
      <c r="K87" s="652">
        <v>0</v>
      </c>
      <c r="L87" s="652">
        <v>0</v>
      </c>
    </row>
    <row r="88" spans="2:13" x14ac:dyDescent="0.25">
      <c r="B88" s="643">
        <v>45737</v>
      </c>
      <c r="C88" s="645" t="s">
        <v>19</v>
      </c>
      <c r="D88" s="646" t="s">
        <v>16</v>
      </c>
      <c r="E88" s="647">
        <v>0</v>
      </c>
      <c r="F88" s="647">
        <v>20000</v>
      </c>
      <c r="G88" s="647">
        <v>0</v>
      </c>
      <c r="H88" s="647">
        <v>0</v>
      </c>
      <c r="I88" s="647">
        <v>0</v>
      </c>
      <c r="J88" s="647">
        <v>0</v>
      </c>
      <c r="K88" s="647">
        <v>0</v>
      </c>
      <c r="L88" s="647">
        <v>0</v>
      </c>
    </row>
    <row r="89" spans="2:13" x14ac:dyDescent="0.25">
      <c r="E89" s="666">
        <f>+L97</f>
        <v>38000</v>
      </c>
      <c r="G89" s="666">
        <f>+L96</f>
        <v>170352</v>
      </c>
      <c r="J89" s="666">
        <f>+L95</f>
        <v>79988</v>
      </c>
    </row>
    <row r="90" spans="2:13" x14ac:dyDescent="0.25">
      <c r="B90" t="s">
        <v>29</v>
      </c>
      <c r="D90" s="793">
        <f>SUM(E90:L90)</f>
        <v>448504</v>
      </c>
      <c r="E90" s="906">
        <f>SUM(E84:E89)</f>
        <v>60833</v>
      </c>
      <c r="F90" s="906">
        <f t="shared" ref="F90:L90" si="6">SUM(F84:F89)</f>
        <v>39083</v>
      </c>
      <c r="G90" s="906">
        <f t="shared" si="6"/>
        <v>198185</v>
      </c>
      <c r="H90" s="906">
        <f t="shared" si="6"/>
        <v>2833</v>
      </c>
      <c r="I90" s="906">
        <f t="shared" si="6"/>
        <v>22833</v>
      </c>
      <c r="J90" s="906">
        <f t="shared" si="6"/>
        <v>119071</v>
      </c>
      <c r="K90" s="906">
        <f t="shared" si="6"/>
        <v>2833</v>
      </c>
      <c r="L90" s="906">
        <f t="shared" si="6"/>
        <v>2833</v>
      </c>
      <c r="M90" t="s">
        <v>254</v>
      </c>
    </row>
    <row r="91" spans="2:13" x14ac:dyDescent="0.25">
      <c r="E91" s="666"/>
      <c r="F91" s="666"/>
      <c r="G91" s="666"/>
      <c r="H91" s="666"/>
      <c r="I91" s="666"/>
      <c r="J91" s="666"/>
      <c r="K91" s="666"/>
      <c r="L91" s="666"/>
    </row>
    <row r="92" spans="2:13" x14ac:dyDescent="0.25">
      <c r="E92" s="666"/>
      <c r="F92" s="666"/>
      <c r="G92" s="666"/>
      <c r="H92" s="666"/>
      <c r="I92" s="666"/>
      <c r="J92" s="666"/>
      <c r="K92" s="666"/>
      <c r="L92" s="666"/>
    </row>
    <row r="94" spans="2:13" ht="15.75" thickBot="1" x14ac:dyDescent="0.3">
      <c r="B94" s="656" t="s">
        <v>0</v>
      </c>
      <c r="C94" s="656" t="s">
        <v>126</v>
      </c>
      <c r="D94" s="656" t="s">
        <v>3</v>
      </c>
      <c r="E94" s="656" t="s">
        <v>4</v>
      </c>
      <c r="F94" s="656" t="s">
        <v>62</v>
      </c>
      <c r="G94" s="656" t="s">
        <v>63</v>
      </c>
      <c r="H94" s="656" t="s">
        <v>64</v>
      </c>
      <c r="I94" s="656" t="s">
        <v>136</v>
      </c>
      <c r="J94" s="656" t="s">
        <v>66</v>
      </c>
      <c r="K94" s="656" t="s">
        <v>68</v>
      </c>
      <c r="L94" s="656" t="s">
        <v>29</v>
      </c>
    </row>
    <row r="95" spans="2:13" x14ac:dyDescent="0.25">
      <c r="B95" s="694">
        <v>45727</v>
      </c>
      <c r="C95" s="695" t="s">
        <v>461</v>
      </c>
      <c r="D95" s="695" t="s">
        <v>17</v>
      </c>
      <c r="E95" s="696" t="s">
        <v>16</v>
      </c>
      <c r="F95" s="697">
        <v>41470</v>
      </c>
      <c r="G95" s="697">
        <v>10500</v>
      </c>
      <c r="H95" s="697">
        <v>3000</v>
      </c>
      <c r="I95" s="697">
        <v>9876</v>
      </c>
      <c r="J95" s="697">
        <v>1100</v>
      </c>
      <c r="K95" s="697">
        <v>14042</v>
      </c>
      <c r="L95" s="698">
        <f>SUM(F95:K95)</f>
        <v>79988</v>
      </c>
    </row>
    <row r="96" spans="2:13" x14ac:dyDescent="0.25">
      <c r="B96" s="689">
        <v>45727</v>
      </c>
      <c r="C96" s="690" t="s">
        <v>139</v>
      </c>
      <c r="D96" s="690" t="s">
        <v>17</v>
      </c>
      <c r="E96" s="691" t="s">
        <v>16</v>
      </c>
      <c r="F96" s="692">
        <v>13000</v>
      </c>
      <c r="G96" s="692">
        <v>3400</v>
      </c>
      <c r="H96" s="692">
        <v>2000</v>
      </c>
      <c r="I96" s="692">
        <v>2000</v>
      </c>
      <c r="J96" s="692">
        <v>0</v>
      </c>
      <c r="K96" s="692">
        <v>149952</v>
      </c>
      <c r="L96" s="698">
        <f t="shared" ref="L96:L97" si="7">SUM(F96:K96)</f>
        <v>170352</v>
      </c>
    </row>
    <row r="97" spans="2:12" x14ac:dyDescent="0.25">
      <c r="B97" s="694">
        <v>45727</v>
      </c>
      <c r="C97" s="695" t="s">
        <v>213</v>
      </c>
      <c r="D97" s="695" t="s">
        <v>17</v>
      </c>
      <c r="E97" s="696" t="s">
        <v>16</v>
      </c>
      <c r="F97" s="697">
        <v>35000</v>
      </c>
      <c r="G97" s="697">
        <v>0</v>
      </c>
      <c r="H97" s="697">
        <v>3000</v>
      </c>
      <c r="I97" s="697">
        <v>0</v>
      </c>
      <c r="J97" s="697">
        <v>0</v>
      </c>
      <c r="K97" s="697">
        <v>0</v>
      </c>
      <c r="L97" s="698">
        <f t="shared" si="7"/>
        <v>38000</v>
      </c>
    </row>
    <row r="100" spans="2:12" x14ac:dyDescent="0.25">
      <c r="B100" s="865" t="s">
        <v>762</v>
      </c>
      <c r="C100" s="866">
        <f>+C102-1</f>
        <v>221751</v>
      </c>
      <c r="D100" s="867"/>
      <c r="E100" s="868">
        <f>+G30-E101</f>
        <v>510335</v>
      </c>
      <c r="F100" s="666"/>
    </row>
    <row r="101" spans="2:12" x14ac:dyDescent="0.25">
      <c r="B101" s="869" t="s">
        <v>763</v>
      </c>
      <c r="C101" s="870">
        <v>221751</v>
      </c>
      <c r="D101" s="871">
        <f>+E101+E100</f>
        <v>1012735</v>
      </c>
      <c r="E101" s="872">
        <f>+I12</f>
        <v>502400</v>
      </c>
    </row>
    <row r="102" spans="2:12" x14ac:dyDescent="0.25">
      <c r="B102" s="865" t="s">
        <v>762</v>
      </c>
      <c r="C102" s="866">
        <v>221752</v>
      </c>
      <c r="D102" s="873"/>
      <c r="E102" s="868">
        <f>+D90</f>
        <v>448504</v>
      </c>
      <c r="F102" s="666">
        <f>+E102+E100</f>
        <v>958839</v>
      </c>
    </row>
    <row r="103" spans="2:12" x14ac:dyDescent="0.25">
      <c r="B103" s="869" t="s">
        <v>761</v>
      </c>
      <c r="C103" s="870">
        <v>221752</v>
      </c>
      <c r="D103" s="871">
        <f>+E103+E102</f>
        <v>2143754</v>
      </c>
      <c r="E103" s="872">
        <f>+F76</f>
        <v>1695250</v>
      </c>
    </row>
    <row r="104" spans="2:12" x14ac:dyDescent="0.25">
      <c r="B104" s="874" t="s">
        <v>760</v>
      </c>
      <c r="C104" s="875"/>
      <c r="D104" s="876">
        <f>SUM(D101:D103)</f>
        <v>3156489</v>
      </c>
      <c r="E104" s="877">
        <f>SUM(E100:E103)</f>
        <v>3156489</v>
      </c>
    </row>
    <row r="109" spans="2:12" x14ac:dyDescent="0.25">
      <c r="B109" s="666">
        <f>+F76-B110</f>
        <v>695250</v>
      </c>
    </row>
    <row r="110" spans="2:12" x14ac:dyDescent="0.25">
      <c r="B110" s="666">
        <v>1000000</v>
      </c>
    </row>
    <row r="111" spans="2:12" x14ac:dyDescent="0.25">
      <c r="B111" s="666">
        <v>2833</v>
      </c>
    </row>
    <row r="112" spans="2:12" x14ac:dyDescent="0.25">
      <c r="B112" s="666">
        <v>2833</v>
      </c>
    </row>
    <row r="113" spans="2:4" x14ac:dyDescent="0.25">
      <c r="B113" s="666">
        <v>119071</v>
      </c>
    </row>
    <row r="114" spans="2:4" x14ac:dyDescent="0.25">
      <c r="B114" s="666">
        <v>22833</v>
      </c>
    </row>
    <row r="115" spans="2:4" x14ac:dyDescent="0.25">
      <c r="B115" s="666">
        <v>2833</v>
      </c>
    </row>
    <row r="116" spans="2:4" x14ac:dyDescent="0.25">
      <c r="B116" s="666">
        <v>39083</v>
      </c>
    </row>
    <row r="117" spans="2:4" x14ac:dyDescent="0.25">
      <c r="B117" s="666">
        <v>60833</v>
      </c>
    </row>
    <row r="118" spans="2:4" x14ac:dyDescent="0.25">
      <c r="B118" s="909">
        <f>SUM(B109:B117)</f>
        <v>1945569</v>
      </c>
    </row>
    <row r="119" spans="2:4" x14ac:dyDescent="0.25">
      <c r="B119" s="910">
        <v>2155949</v>
      </c>
    </row>
    <row r="120" spans="2:4" x14ac:dyDescent="0.25">
      <c r="B120" s="666">
        <f>+B119-B118</f>
        <v>210380</v>
      </c>
      <c r="C120" s="709" t="s">
        <v>812</v>
      </c>
      <c r="D120" s="911">
        <v>45738</v>
      </c>
    </row>
  </sheetData>
  <mergeCells count="1">
    <mergeCell ref="C60:H60"/>
  </mergeCells>
  <dataValidations count="3">
    <dataValidation type="list" allowBlank="1" showInputMessage="1" showErrorMessage="1" sqref="C95:C97" xr:uid="{8DE7FE4A-E1EC-4248-AFB8-699B58C346E2}">
      <formula1>$N$2:$N$11</formula1>
    </dataValidation>
    <dataValidation type="list" allowBlank="1" showInputMessage="1" showErrorMessage="1" sqref="D95:D97" xr:uid="{E33DBB93-AC20-4D58-93F3-8B59FB4F170F}">
      <formula1>$D$2:$D$9</formula1>
    </dataValidation>
    <dataValidation type="list" allowBlank="1" showInputMessage="1" showErrorMessage="1" sqref="C84:C88" xr:uid="{FF6C3114-A8BF-4B0D-94C6-053D3ED6F8F5}">
      <formula1>$U$3:$U$10</formula1>
    </dataValidation>
  </dataValidations>
  <hyperlinks>
    <hyperlink ref="I80" r:id="rId1" xr:uid="{A261BA55-DE0D-484B-A3B6-C07F2941EDAA}"/>
  </hyperlinks>
  <printOptions horizontalCentered="1" verticalCentered="1"/>
  <pageMargins left="0.25" right="0.25" top="0.75" bottom="0.75" header="0.3" footer="0.3"/>
  <pageSetup scale="76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92D050"/>
    <pageSetUpPr fitToPage="1"/>
  </sheetPr>
  <dimension ref="A1:S122"/>
  <sheetViews>
    <sheetView showGridLines="0" zoomScale="90" zoomScaleNormal="90" workbookViewId="0">
      <pane ySplit="2" topLeftCell="A99" activePane="bottomLeft" state="frozen"/>
      <selection activeCell="L160" sqref="L160:M162"/>
      <selection pane="bottomLeft" activeCell="M120" sqref="M120"/>
    </sheetView>
  </sheetViews>
  <sheetFormatPr baseColWidth="10" defaultColWidth="11.42578125" defaultRowHeight="15" x14ac:dyDescent="0.25"/>
  <cols>
    <col min="1" max="1" width="17.140625" style="20" bestFit="1" customWidth="1"/>
    <col min="2" max="2" width="13.85546875" style="8" bestFit="1" customWidth="1"/>
    <col min="3" max="3" width="14" style="8" bestFit="1" customWidth="1"/>
    <col min="4" max="4" width="12.42578125" style="8" bestFit="1" customWidth="1"/>
    <col min="5" max="5" width="12.140625" style="8" bestFit="1" customWidth="1"/>
    <col min="6" max="6" width="13.28515625" style="8" bestFit="1" customWidth="1"/>
    <col min="7" max="7" width="11.85546875" style="8" bestFit="1" customWidth="1"/>
    <col min="8" max="10" width="13.42578125" style="8" bestFit="1" customWidth="1"/>
    <col min="11" max="11" width="4.42578125" style="8" customWidth="1"/>
    <col min="12" max="12" width="24.5703125" style="8" bestFit="1" customWidth="1"/>
    <col min="13" max="13" width="12.7109375" style="8" bestFit="1" customWidth="1"/>
    <col min="14" max="14" width="7.140625" style="21" bestFit="1" customWidth="1"/>
    <col min="15" max="15" width="12.85546875" style="8" bestFit="1" customWidth="1"/>
    <col min="16" max="16" width="23.28515625" style="8" bestFit="1" customWidth="1"/>
    <col min="17" max="17" width="12" style="8" bestFit="1" customWidth="1"/>
    <col min="18" max="18" width="23.28515625" style="8" bestFit="1" customWidth="1"/>
    <col min="19" max="19" width="12" style="8" bestFit="1" customWidth="1"/>
    <col min="20" max="16384" width="11.42578125" style="8"/>
  </cols>
  <sheetData>
    <row r="1" spans="1:19" s="5" customFormat="1" x14ac:dyDescent="0.25">
      <c r="A1" s="1027" t="s">
        <v>483</v>
      </c>
      <c r="B1" s="387" t="s">
        <v>484</v>
      </c>
      <c r="C1" s="387" t="s">
        <v>107</v>
      </c>
      <c r="D1" s="387" t="s">
        <v>109</v>
      </c>
      <c r="E1" s="387" t="s">
        <v>108</v>
      </c>
      <c r="F1" s="387" t="s">
        <v>110</v>
      </c>
      <c r="G1" s="387" t="s">
        <v>111</v>
      </c>
      <c r="H1" s="387" t="s">
        <v>112</v>
      </c>
      <c r="I1" s="387" t="s">
        <v>113</v>
      </c>
      <c r="J1" s="388" t="s">
        <v>114</v>
      </c>
      <c r="K1" s="2"/>
      <c r="L1" s="3" t="s">
        <v>12</v>
      </c>
      <c r="M1" s="4">
        <f>+M3+M12+M21+M30+M39+M48+M57+M66+M75+M84+M93+M102</f>
        <v>3039385</v>
      </c>
    </row>
    <row r="2" spans="1:19" s="6" customFormat="1" x14ac:dyDescent="0.25">
      <c r="A2" s="1028"/>
      <c r="B2" s="389" t="s">
        <v>375</v>
      </c>
      <c r="C2" s="389" t="s">
        <v>376</v>
      </c>
      <c r="D2" s="389" t="s">
        <v>377</v>
      </c>
      <c r="E2" s="389" t="s">
        <v>451</v>
      </c>
      <c r="F2" s="389" t="s">
        <v>597</v>
      </c>
      <c r="G2" s="389" t="s">
        <v>378</v>
      </c>
      <c r="H2" s="389" t="s">
        <v>379</v>
      </c>
      <c r="I2" s="389" t="s">
        <v>380</v>
      </c>
      <c r="J2" s="390" t="s">
        <v>598</v>
      </c>
      <c r="L2" s="6" t="s">
        <v>29</v>
      </c>
      <c r="M2" s="2" t="s">
        <v>116</v>
      </c>
    </row>
    <row r="3" spans="1:19" x14ac:dyDescent="0.25">
      <c r="A3" s="135">
        <v>45383</v>
      </c>
      <c r="B3" s="136">
        <f>SUM(B4:B10)</f>
        <v>4792</v>
      </c>
      <c r="C3" s="136">
        <f>SUM(C4:C10)</f>
        <v>16792</v>
      </c>
      <c r="D3" s="136">
        <f t="shared" ref="D3:J3" si="0">SUM(D4:D10)</f>
        <v>8292</v>
      </c>
      <c r="E3" s="136">
        <f t="shared" si="0"/>
        <v>64793</v>
      </c>
      <c r="F3" s="136">
        <f t="shared" si="0"/>
        <v>98918</v>
      </c>
      <c r="G3" s="136">
        <f t="shared" si="0"/>
        <v>67834</v>
      </c>
      <c r="H3" s="136">
        <f t="shared" si="0"/>
        <v>39876</v>
      </c>
      <c r="I3" s="136">
        <f t="shared" si="0"/>
        <v>0</v>
      </c>
      <c r="J3" s="160">
        <f t="shared" si="0"/>
        <v>0</v>
      </c>
      <c r="K3" s="6"/>
      <c r="L3" s="137">
        <f>+A3</f>
        <v>45383</v>
      </c>
      <c r="M3" s="138">
        <f>SUM(M4:M10)</f>
        <v>301297</v>
      </c>
      <c r="N3" s="52">
        <f>+IF($M$1=0,"-",+M3/$M$1)</f>
        <v>9.9130909707062453E-2</v>
      </c>
      <c r="O3" s="7"/>
      <c r="P3" s="7"/>
    </row>
    <row r="4" spans="1:19" x14ac:dyDescent="0.25">
      <c r="A4" s="12" t="s">
        <v>8</v>
      </c>
      <c r="B4" s="617">
        <v>4792</v>
      </c>
      <c r="C4" s="617">
        <v>4792</v>
      </c>
      <c r="D4" s="617">
        <v>4792</v>
      </c>
      <c r="E4" s="617">
        <v>64793</v>
      </c>
      <c r="F4" s="617">
        <v>87918</v>
      </c>
      <c r="G4" s="617">
        <v>55834</v>
      </c>
      <c r="H4" s="617">
        <v>39876</v>
      </c>
      <c r="I4" s="298">
        <v>0</v>
      </c>
      <c r="J4" s="299">
        <v>0</v>
      </c>
      <c r="K4" s="9"/>
      <c r="L4" s="158" t="s">
        <v>117</v>
      </c>
      <c r="M4" s="159">
        <f t="shared" ref="M4:M11" si="1">SUM(B4:J4)</f>
        <v>262797</v>
      </c>
      <c r="N4" s="52">
        <f>+IF(M3=0,"-",+M4/M3)</f>
        <v>0.87221910606477993</v>
      </c>
      <c r="O4" s="7"/>
    </row>
    <row r="5" spans="1:19" x14ac:dyDescent="0.25">
      <c r="A5" s="12" t="s">
        <v>62</v>
      </c>
      <c r="B5" s="617">
        <v>0</v>
      </c>
      <c r="C5" s="617">
        <v>0</v>
      </c>
      <c r="D5" s="617">
        <v>0</v>
      </c>
      <c r="E5" s="617">
        <v>0</v>
      </c>
      <c r="F5" s="617">
        <v>11000</v>
      </c>
      <c r="G5" s="617">
        <v>10000</v>
      </c>
      <c r="H5" s="617">
        <v>0</v>
      </c>
      <c r="I5" s="298">
        <v>0</v>
      </c>
      <c r="J5" s="299">
        <v>0</v>
      </c>
      <c r="K5" s="9"/>
      <c r="L5" s="10" t="s">
        <v>118</v>
      </c>
      <c r="M5" s="11">
        <f t="shared" si="1"/>
        <v>21000</v>
      </c>
      <c r="N5" s="52">
        <f>+IF(M3=0,"-",+M5/M3)</f>
        <v>6.9698669419210948E-2</v>
      </c>
      <c r="O5" s="7"/>
    </row>
    <row r="6" spans="1:19" x14ac:dyDescent="0.25">
      <c r="A6" s="12" t="s">
        <v>63</v>
      </c>
      <c r="B6" s="617">
        <v>0</v>
      </c>
      <c r="C6" s="617">
        <v>0</v>
      </c>
      <c r="D6" s="617">
        <v>0</v>
      </c>
      <c r="E6" s="617">
        <v>0</v>
      </c>
      <c r="F6" s="617">
        <v>0</v>
      </c>
      <c r="G6" s="617">
        <v>0</v>
      </c>
      <c r="H6" s="617">
        <v>0</v>
      </c>
      <c r="I6" s="298">
        <v>0</v>
      </c>
      <c r="J6" s="299">
        <v>0</v>
      </c>
      <c r="K6" s="9"/>
      <c r="L6" s="10" t="s">
        <v>119</v>
      </c>
      <c r="M6" s="11">
        <f t="shared" si="1"/>
        <v>0</v>
      </c>
      <c r="N6" s="52">
        <f>+IF(M3=0,"-",+M6/M3)</f>
        <v>0</v>
      </c>
      <c r="O6" s="7"/>
    </row>
    <row r="7" spans="1:19" x14ac:dyDescent="0.25">
      <c r="A7" s="12" t="s">
        <v>64</v>
      </c>
      <c r="B7" s="617">
        <v>0</v>
      </c>
      <c r="C7" s="617">
        <v>0</v>
      </c>
      <c r="D7" s="617">
        <v>0</v>
      </c>
      <c r="E7" s="617">
        <v>0</v>
      </c>
      <c r="F7" s="617">
        <v>0</v>
      </c>
      <c r="G7" s="617">
        <v>2000</v>
      </c>
      <c r="H7" s="617">
        <v>0</v>
      </c>
      <c r="I7" s="298">
        <v>0</v>
      </c>
      <c r="J7" s="299">
        <v>0</v>
      </c>
      <c r="K7" s="9"/>
      <c r="L7" s="10" t="s">
        <v>120</v>
      </c>
      <c r="M7" s="11">
        <f t="shared" si="1"/>
        <v>2000</v>
      </c>
      <c r="N7" s="52">
        <f>+IF(M3=0,"-",+M7/M3)</f>
        <v>6.6379685161153277E-3</v>
      </c>
      <c r="O7" s="7"/>
    </row>
    <row r="8" spans="1:19" x14ac:dyDescent="0.25">
      <c r="A8" s="12" t="s">
        <v>121</v>
      </c>
      <c r="B8" s="617">
        <v>0</v>
      </c>
      <c r="C8" s="617">
        <v>0</v>
      </c>
      <c r="D8" s="617">
        <v>0</v>
      </c>
      <c r="E8" s="617">
        <v>0</v>
      </c>
      <c r="F8" s="617">
        <v>0</v>
      </c>
      <c r="G8" s="617">
        <v>0</v>
      </c>
      <c r="H8" s="617">
        <v>0</v>
      </c>
      <c r="I8" s="298">
        <v>0</v>
      </c>
      <c r="J8" s="299">
        <v>0</v>
      </c>
      <c r="K8" s="9"/>
      <c r="L8" s="10" t="s">
        <v>122</v>
      </c>
      <c r="M8" s="11">
        <f t="shared" si="1"/>
        <v>0</v>
      </c>
      <c r="N8" s="52">
        <f>+IF(M3=0,"-",+M8/M3)</f>
        <v>0</v>
      </c>
      <c r="O8" s="7"/>
    </row>
    <row r="9" spans="1:19" x14ac:dyDescent="0.25">
      <c r="A9" s="12" t="s">
        <v>66</v>
      </c>
      <c r="B9" s="617">
        <v>0</v>
      </c>
      <c r="C9" s="617">
        <v>0</v>
      </c>
      <c r="D9" s="617">
        <v>0</v>
      </c>
      <c r="E9" s="617">
        <v>0</v>
      </c>
      <c r="F9" s="617">
        <v>0</v>
      </c>
      <c r="G9" s="617">
        <v>0</v>
      </c>
      <c r="H9" s="617">
        <v>0</v>
      </c>
      <c r="I9" s="298">
        <v>0</v>
      </c>
      <c r="J9" s="299">
        <v>0</v>
      </c>
      <c r="K9" s="9"/>
      <c r="L9" s="10" t="s">
        <v>123</v>
      </c>
      <c r="M9" s="11">
        <f t="shared" si="1"/>
        <v>0</v>
      </c>
      <c r="N9" s="52">
        <f>+IF(M3=0,"-",+M9/M3)</f>
        <v>0</v>
      </c>
      <c r="O9" s="7"/>
    </row>
    <row r="10" spans="1:19" x14ac:dyDescent="0.25">
      <c r="A10" s="12" t="s">
        <v>68</v>
      </c>
      <c r="B10" s="617">
        <v>0</v>
      </c>
      <c r="C10" s="617">
        <f>12000</f>
        <v>12000</v>
      </c>
      <c r="D10" s="617">
        <f>1200+2300</f>
        <v>3500</v>
      </c>
      <c r="E10" s="617">
        <v>0</v>
      </c>
      <c r="F10" s="617">
        <v>0</v>
      </c>
      <c r="G10" s="617">
        <v>0</v>
      </c>
      <c r="H10" s="617">
        <v>0</v>
      </c>
      <c r="I10" s="298">
        <v>0</v>
      </c>
      <c r="J10" s="299">
        <v>0</v>
      </c>
      <c r="K10" s="9"/>
      <c r="L10" s="10" t="s">
        <v>125</v>
      </c>
      <c r="M10" s="11">
        <f t="shared" si="1"/>
        <v>15500</v>
      </c>
      <c r="N10" s="52">
        <f>+IF(M3=0,"-",+M10/M3)</f>
        <v>5.1444255999893794E-2</v>
      </c>
      <c r="O10" s="7"/>
    </row>
    <row r="11" spans="1:19" x14ac:dyDescent="0.25">
      <c r="A11" s="22" t="s">
        <v>124</v>
      </c>
      <c r="B11" s="300">
        <v>0</v>
      </c>
      <c r="C11" s="300">
        <v>0</v>
      </c>
      <c r="D11" s="300">
        <v>0</v>
      </c>
      <c r="E11" s="300">
        <v>0</v>
      </c>
      <c r="F11" s="300">
        <v>0</v>
      </c>
      <c r="G11" s="300">
        <v>0</v>
      </c>
      <c r="H11" s="300">
        <v>0</v>
      </c>
      <c r="I11" s="300">
        <v>0</v>
      </c>
      <c r="J11" s="301">
        <v>0</v>
      </c>
      <c r="K11" s="9"/>
      <c r="L11" s="13" t="s">
        <v>245</v>
      </c>
      <c r="M11" s="14">
        <f t="shared" si="1"/>
        <v>0</v>
      </c>
      <c r="N11" s="52">
        <f>+IF(M3=0,"-",+M11/M3)</f>
        <v>0</v>
      </c>
      <c r="O11" s="7"/>
    </row>
    <row r="12" spans="1:19" x14ac:dyDescent="0.25">
      <c r="A12" s="135">
        <f>+A3+33</f>
        <v>45416</v>
      </c>
      <c r="B12" s="136">
        <f t="shared" ref="B12:J12" si="2">SUM(B13:B19)</f>
        <v>0</v>
      </c>
      <c r="C12" s="136">
        <f t="shared" si="2"/>
        <v>0</v>
      </c>
      <c r="D12" s="136">
        <f t="shared" si="2"/>
        <v>0</v>
      </c>
      <c r="E12" s="136">
        <f t="shared" si="2"/>
        <v>0</v>
      </c>
      <c r="F12" s="136">
        <f t="shared" si="2"/>
        <v>0</v>
      </c>
      <c r="G12" s="136">
        <f t="shared" si="2"/>
        <v>0</v>
      </c>
      <c r="H12" s="136">
        <f t="shared" si="2"/>
        <v>0</v>
      </c>
      <c r="I12" s="136">
        <f t="shared" si="2"/>
        <v>0</v>
      </c>
      <c r="J12" s="160">
        <f t="shared" si="2"/>
        <v>0</v>
      </c>
      <c r="K12" s="6"/>
      <c r="L12" s="156">
        <f>+A12</f>
        <v>45416</v>
      </c>
      <c r="M12" s="157">
        <f>SUM(M13:M19)</f>
        <v>0</v>
      </c>
      <c r="N12" s="52">
        <f>+IF($M$1=0,"-",+M12/$M$1)</f>
        <v>0</v>
      </c>
      <c r="O12" s="7"/>
      <c r="P12" s="7"/>
    </row>
    <row r="13" spans="1:19" x14ac:dyDescent="0.25">
      <c r="A13" s="12" t="s">
        <v>8</v>
      </c>
      <c r="B13" s="298">
        <v>0</v>
      </c>
      <c r="C13" s="298">
        <v>0</v>
      </c>
      <c r="D13" s="298">
        <v>0</v>
      </c>
      <c r="E13" s="298">
        <v>0</v>
      </c>
      <c r="F13" s="298">
        <v>0</v>
      </c>
      <c r="G13" s="298">
        <v>0</v>
      </c>
      <c r="H13" s="298">
        <v>0</v>
      </c>
      <c r="I13" s="298">
        <v>0</v>
      </c>
      <c r="J13" s="299">
        <v>0</v>
      </c>
      <c r="K13" s="9"/>
      <c r="L13" s="158" t="s">
        <v>117</v>
      </c>
      <c r="M13" s="159">
        <f t="shared" ref="M13:M20" si="3">SUM(B13:J13)</f>
        <v>0</v>
      </c>
      <c r="N13" s="52" t="str">
        <f>+IF(M12=0,"-",+M13/M12)</f>
        <v>-</v>
      </c>
      <c r="O13" s="7"/>
      <c r="P13" s="7"/>
    </row>
    <row r="14" spans="1:19" x14ac:dyDescent="0.25">
      <c r="A14" s="12" t="s">
        <v>62</v>
      </c>
      <c r="B14" s="298">
        <v>0</v>
      </c>
      <c r="C14" s="298">
        <v>0</v>
      </c>
      <c r="D14" s="298">
        <v>0</v>
      </c>
      <c r="E14" s="298">
        <v>0</v>
      </c>
      <c r="F14" s="298">
        <v>0</v>
      </c>
      <c r="G14" s="298">
        <v>0</v>
      </c>
      <c r="H14" s="298">
        <v>0</v>
      </c>
      <c r="I14" s="298">
        <v>0</v>
      </c>
      <c r="J14" s="299">
        <v>0</v>
      </c>
      <c r="K14" s="9"/>
      <c r="L14" s="10" t="s">
        <v>118</v>
      </c>
      <c r="M14" s="11">
        <f t="shared" si="3"/>
        <v>0</v>
      </c>
      <c r="N14" s="52" t="str">
        <f>+IF(M12=0,"-",+M14/M12)</f>
        <v>-</v>
      </c>
      <c r="O14" s="7"/>
      <c r="P14" s="7"/>
    </row>
    <row r="15" spans="1:19" x14ac:dyDescent="0.25">
      <c r="A15" s="12" t="s">
        <v>63</v>
      </c>
      <c r="B15" s="298">
        <v>0</v>
      </c>
      <c r="C15" s="298">
        <v>0</v>
      </c>
      <c r="D15" s="298">
        <v>0</v>
      </c>
      <c r="E15" s="298">
        <v>0</v>
      </c>
      <c r="F15" s="298">
        <v>0</v>
      </c>
      <c r="G15" s="298">
        <v>0</v>
      </c>
      <c r="H15" s="298">
        <v>0</v>
      </c>
      <c r="I15" s="298">
        <v>0</v>
      </c>
      <c r="J15" s="299">
        <v>0</v>
      </c>
      <c r="K15" s="9"/>
      <c r="L15" s="10" t="s">
        <v>119</v>
      </c>
      <c r="M15" s="11">
        <f t="shared" si="3"/>
        <v>0</v>
      </c>
      <c r="N15" s="52" t="str">
        <f>+IF(M12=0,"-",+M15/M12)</f>
        <v>-</v>
      </c>
      <c r="O15" s="7"/>
      <c r="P15" s="7"/>
    </row>
    <row r="16" spans="1:19" x14ac:dyDescent="0.25">
      <c r="A16" s="12" t="s">
        <v>64</v>
      </c>
      <c r="B16" s="298">
        <v>0</v>
      </c>
      <c r="C16" s="298">
        <v>0</v>
      </c>
      <c r="D16" s="298">
        <v>0</v>
      </c>
      <c r="E16" s="298">
        <v>0</v>
      </c>
      <c r="F16" s="298">
        <v>0</v>
      </c>
      <c r="G16" s="298">
        <v>0</v>
      </c>
      <c r="H16" s="298">
        <v>0</v>
      </c>
      <c r="I16" s="298">
        <v>0</v>
      </c>
      <c r="J16" s="299">
        <v>0</v>
      </c>
      <c r="K16" s="9"/>
      <c r="L16" s="10" t="s">
        <v>120</v>
      </c>
      <c r="M16" s="11">
        <f t="shared" si="3"/>
        <v>0</v>
      </c>
      <c r="N16" s="52" t="str">
        <f>+IF(M12=0,"-",+M16/M12)</f>
        <v>-</v>
      </c>
      <c r="O16" s="7"/>
      <c r="P16" s="7"/>
      <c r="R16" s="15"/>
      <c r="S16" s="16"/>
    </row>
    <row r="17" spans="1:19" x14ac:dyDescent="0.25">
      <c r="A17" s="12" t="s">
        <v>121</v>
      </c>
      <c r="B17" s="298">
        <v>0</v>
      </c>
      <c r="C17" s="298">
        <v>0</v>
      </c>
      <c r="D17" s="298">
        <v>0</v>
      </c>
      <c r="E17" s="298">
        <v>0</v>
      </c>
      <c r="F17" s="298">
        <v>0</v>
      </c>
      <c r="G17" s="298">
        <v>0</v>
      </c>
      <c r="H17" s="298">
        <v>0</v>
      </c>
      <c r="I17" s="298">
        <v>0</v>
      </c>
      <c r="J17" s="299">
        <v>0</v>
      </c>
      <c r="K17" s="9"/>
      <c r="L17" s="10" t="s">
        <v>122</v>
      </c>
      <c r="M17" s="11">
        <f t="shared" si="3"/>
        <v>0</v>
      </c>
      <c r="N17" s="52" t="str">
        <f>+IF(M12=0,"-",+M17/M12)</f>
        <v>-</v>
      </c>
      <c r="O17" s="7"/>
      <c r="P17" s="7"/>
      <c r="R17" s="15"/>
      <c r="S17" s="16"/>
    </row>
    <row r="18" spans="1:19" x14ac:dyDescent="0.25">
      <c r="A18" s="12" t="s">
        <v>66</v>
      </c>
      <c r="B18" s="298">
        <v>0</v>
      </c>
      <c r="C18" s="298">
        <v>0</v>
      </c>
      <c r="D18" s="298">
        <v>0</v>
      </c>
      <c r="E18" s="298">
        <v>0</v>
      </c>
      <c r="F18" s="298">
        <v>0</v>
      </c>
      <c r="G18" s="298">
        <v>0</v>
      </c>
      <c r="H18" s="298">
        <v>0</v>
      </c>
      <c r="I18" s="298">
        <v>0</v>
      </c>
      <c r="J18" s="299">
        <v>0</v>
      </c>
      <c r="K18" s="9"/>
      <c r="L18" s="10" t="s">
        <v>123</v>
      </c>
      <c r="M18" s="11">
        <f t="shared" si="3"/>
        <v>0</v>
      </c>
      <c r="N18" s="52" t="str">
        <f>+IF(M12=0,"-",+M18/M12)</f>
        <v>-</v>
      </c>
      <c r="O18" s="7"/>
      <c r="P18" s="7"/>
    </row>
    <row r="19" spans="1:19" x14ac:dyDescent="0.25">
      <c r="A19" s="12" t="s">
        <v>68</v>
      </c>
      <c r="B19" s="298">
        <v>0</v>
      </c>
      <c r="C19" s="298">
        <v>0</v>
      </c>
      <c r="D19" s="298">
        <v>0</v>
      </c>
      <c r="E19" s="298">
        <v>0</v>
      </c>
      <c r="F19" s="298">
        <v>0</v>
      </c>
      <c r="G19" s="298">
        <v>0</v>
      </c>
      <c r="H19" s="298">
        <v>0</v>
      </c>
      <c r="I19" s="298">
        <v>0</v>
      </c>
      <c r="J19" s="299">
        <v>0</v>
      </c>
      <c r="K19" s="9"/>
      <c r="L19" s="10" t="s">
        <v>125</v>
      </c>
      <c r="M19" s="11">
        <f t="shared" si="3"/>
        <v>0</v>
      </c>
      <c r="N19" s="52" t="str">
        <f>+IF(M12=0,"-",+M19/M12)</f>
        <v>-</v>
      </c>
      <c r="O19" s="7"/>
      <c r="P19" s="7"/>
    </row>
    <row r="20" spans="1:19" x14ac:dyDescent="0.25">
      <c r="A20" s="22" t="s">
        <v>124</v>
      </c>
      <c r="B20" s="300">
        <v>0</v>
      </c>
      <c r="C20" s="300">
        <v>0</v>
      </c>
      <c r="D20" s="300">
        <v>0</v>
      </c>
      <c r="E20" s="300">
        <v>0</v>
      </c>
      <c r="F20" s="300">
        <v>0</v>
      </c>
      <c r="G20" s="300">
        <v>0</v>
      </c>
      <c r="H20" s="300">
        <v>0</v>
      </c>
      <c r="I20" s="300">
        <v>0</v>
      </c>
      <c r="J20" s="301">
        <v>0</v>
      </c>
      <c r="K20" s="9"/>
      <c r="L20" s="13" t="s">
        <v>245</v>
      </c>
      <c r="M20" s="14">
        <f t="shared" si="3"/>
        <v>0</v>
      </c>
      <c r="N20" s="52" t="str">
        <f>+IF(M12=0,"-",+M20/M12)</f>
        <v>-</v>
      </c>
      <c r="O20" s="7"/>
      <c r="P20" s="7"/>
    </row>
    <row r="21" spans="1:19" x14ac:dyDescent="0.25">
      <c r="A21" s="135">
        <f>+A12+33</f>
        <v>45449</v>
      </c>
      <c r="B21" s="136">
        <f t="shared" ref="B21:J21" si="4">SUM(B22:B28)</f>
        <v>132292</v>
      </c>
      <c r="C21" s="136">
        <f t="shared" si="4"/>
        <v>127350</v>
      </c>
      <c r="D21" s="136">
        <f t="shared" si="4"/>
        <v>84690</v>
      </c>
      <c r="E21" s="136">
        <f t="shared" si="4"/>
        <v>28875</v>
      </c>
      <c r="F21" s="136">
        <f t="shared" si="4"/>
        <v>13958</v>
      </c>
      <c r="G21" s="136">
        <f t="shared" si="4"/>
        <v>28875</v>
      </c>
      <c r="H21" s="136">
        <f t="shared" si="4"/>
        <v>28875</v>
      </c>
      <c r="I21" s="136">
        <f t="shared" si="4"/>
        <v>0</v>
      </c>
      <c r="J21" s="160">
        <f t="shared" si="4"/>
        <v>5208</v>
      </c>
      <c r="K21" s="6"/>
      <c r="L21" s="137">
        <f>+A21</f>
        <v>45449</v>
      </c>
      <c r="M21" s="138">
        <f>SUM(M22:M28)</f>
        <v>450123</v>
      </c>
      <c r="N21" s="52">
        <f>+IF($M$1=0,"-",+M21/$M$1)</f>
        <v>0.14809673667534715</v>
      </c>
      <c r="O21" s="7"/>
      <c r="P21" s="7"/>
    </row>
    <row r="22" spans="1:19" x14ac:dyDescent="0.25">
      <c r="A22" s="12" t="s">
        <v>8</v>
      </c>
      <c r="B22" s="298">
        <v>132292</v>
      </c>
      <c r="C22" s="298">
        <v>57500</v>
      </c>
      <c r="D22" s="298">
        <v>57500</v>
      </c>
      <c r="E22" s="298">
        <v>28875</v>
      </c>
      <c r="F22" s="298">
        <v>13958</v>
      </c>
      <c r="G22" s="298">
        <v>28875</v>
      </c>
      <c r="H22" s="298">
        <v>28875</v>
      </c>
      <c r="I22" s="298">
        <v>0</v>
      </c>
      <c r="J22" s="299">
        <v>5208</v>
      </c>
      <c r="K22" s="9"/>
      <c r="L22" s="158" t="s">
        <v>117</v>
      </c>
      <c r="M22" s="159">
        <f t="shared" ref="M22:M29" si="5">SUM(B22:J22)</f>
        <v>353083</v>
      </c>
      <c r="N22" s="52">
        <f>+IF(M21=0,"-",+M22/M21)</f>
        <v>0.78441448226373678</v>
      </c>
      <c r="O22" s="17"/>
      <c r="P22" s="7"/>
    </row>
    <row r="23" spans="1:19" x14ac:dyDescent="0.25">
      <c r="A23" s="12" t="s">
        <v>62</v>
      </c>
      <c r="B23" s="298">
        <v>0</v>
      </c>
      <c r="C23" s="298">
        <v>55570</v>
      </c>
      <c r="D23" s="298">
        <v>12000</v>
      </c>
      <c r="E23" s="298">
        <v>0</v>
      </c>
      <c r="F23" s="298">
        <v>0</v>
      </c>
      <c r="G23" s="298">
        <v>0</v>
      </c>
      <c r="H23" s="298">
        <v>0</v>
      </c>
      <c r="I23" s="298">
        <v>0</v>
      </c>
      <c r="J23" s="299">
        <v>0</v>
      </c>
      <c r="K23" s="9"/>
      <c r="L23" s="10" t="s">
        <v>118</v>
      </c>
      <c r="M23" s="11">
        <f t="shared" si="5"/>
        <v>67570</v>
      </c>
      <c r="N23" s="52">
        <f>+IF(M21=0,"-",+M23/M21)</f>
        <v>0.15011452425225993</v>
      </c>
      <c r="O23" s="7"/>
      <c r="P23" s="7"/>
    </row>
    <row r="24" spans="1:19" x14ac:dyDescent="0.25">
      <c r="A24" s="12" t="s">
        <v>63</v>
      </c>
      <c r="B24" s="298">
        <v>0</v>
      </c>
      <c r="C24" s="298">
        <v>10280</v>
      </c>
      <c r="D24" s="298">
        <v>1490</v>
      </c>
      <c r="E24" s="298">
        <v>0</v>
      </c>
      <c r="F24" s="298">
        <v>0</v>
      </c>
      <c r="G24" s="298">
        <v>0</v>
      </c>
      <c r="H24" s="298">
        <v>0</v>
      </c>
      <c r="I24" s="298">
        <v>0</v>
      </c>
      <c r="J24" s="299">
        <v>0</v>
      </c>
      <c r="K24" s="9"/>
      <c r="L24" s="10" t="s">
        <v>119</v>
      </c>
      <c r="M24" s="11">
        <f t="shared" si="5"/>
        <v>11770</v>
      </c>
      <c r="N24" s="52">
        <f>+IF(M21=0,"-",+M24/M21)</f>
        <v>2.614840832394701E-2</v>
      </c>
      <c r="O24" s="7"/>
      <c r="P24" s="7"/>
    </row>
    <row r="25" spans="1:19" x14ac:dyDescent="0.25">
      <c r="A25" s="12" t="s">
        <v>64</v>
      </c>
      <c r="B25" s="298">
        <v>0</v>
      </c>
      <c r="C25" s="298">
        <v>3000</v>
      </c>
      <c r="D25" s="298">
        <v>10000</v>
      </c>
      <c r="E25" s="298">
        <v>0</v>
      </c>
      <c r="F25" s="298">
        <v>0</v>
      </c>
      <c r="G25" s="298">
        <v>0</v>
      </c>
      <c r="H25" s="298">
        <v>0</v>
      </c>
      <c r="I25" s="298">
        <v>0</v>
      </c>
      <c r="J25" s="299">
        <v>0</v>
      </c>
      <c r="K25" s="9"/>
      <c r="L25" s="10" t="s">
        <v>120</v>
      </c>
      <c r="M25" s="11">
        <f t="shared" si="5"/>
        <v>13000</v>
      </c>
      <c r="N25" s="52">
        <f>+IF(M21=0,"-",+M25/M21)</f>
        <v>2.88809947503238E-2</v>
      </c>
      <c r="O25" s="7"/>
      <c r="P25" s="7"/>
    </row>
    <row r="26" spans="1:19" x14ac:dyDescent="0.25">
      <c r="A26" s="12" t="s">
        <v>121</v>
      </c>
      <c r="B26" s="298">
        <v>0</v>
      </c>
      <c r="C26" s="298">
        <v>0</v>
      </c>
      <c r="D26" s="298">
        <v>3700</v>
      </c>
      <c r="E26" s="298">
        <v>0</v>
      </c>
      <c r="F26" s="298">
        <v>0</v>
      </c>
      <c r="G26" s="298">
        <v>0</v>
      </c>
      <c r="H26" s="298">
        <v>0</v>
      </c>
      <c r="I26" s="298">
        <v>0</v>
      </c>
      <c r="J26" s="299">
        <v>0</v>
      </c>
      <c r="K26" s="9"/>
      <c r="L26" s="10" t="s">
        <v>122</v>
      </c>
      <c r="M26" s="11">
        <f t="shared" si="5"/>
        <v>3700</v>
      </c>
      <c r="N26" s="52">
        <f>+IF(M21=0,"-",+M26/M21)</f>
        <v>8.2199754289383128E-3</v>
      </c>
      <c r="O26" s="7"/>
      <c r="P26" s="7"/>
    </row>
    <row r="27" spans="1:19" x14ac:dyDescent="0.25">
      <c r="A27" s="12" t="s">
        <v>66</v>
      </c>
      <c r="B27" s="298">
        <v>0</v>
      </c>
      <c r="C27" s="298">
        <v>0</v>
      </c>
      <c r="D27" s="298">
        <v>0</v>
      </c>
      <c r="E27" s="298">
        <v>0</v>
      </c>
      <c r="F27" s="298">
        <v>0</v>
      </c>
      <c r="G27" s="298">
        <v>0</v>
      </c>
      <c r="H27" s="298">
        <v>0</v>
      </c>
      <c r="I27" s="298">
        <v>0</v>
      </c>
      <c r="J27" s="299">
        <v>0</v>
      </c>
      <c r="K27" s="9"/>
      <c r="L27" s="10" t="s">
        <v>123</v>
      </c>
      <c r="M27" s="11">
        <f t="shared" si="5"/>
        <v>0</v>
      </c>
      <c r="N27" s="52">
        <f>+IF(M21=0,"-",+M27/M21)</f>
        <v>0</v>
      </c>
      <c r="O27" s="7"/>
      <c r="P27" s="7"/>
    </row>
    <row r="28" spans="1:19" x14ac:dyDescent="0.25">
      <c r="A28" s="12" t="s">
        <v>68</v>
      </c>
      <c r="B28" s="298">
        <v>0</v>
      </c>
      <c r="C28" s="298">
        <v>1000</v>
      </c>
      <c r="D28" s="298">
        <v>0</v>
      </c>
      <c r="E28" s="298">
        <v>0</v>
      </c>
      <c r="F28" s="298">
        <v>0</v>
      </c>
      <c r="G28" s="298">
        <v>0</v>
      </c>
      <c r="H28" s="298">
        <v>0</v>
      </c>
      <c r="I28" s="298">
        <v>0</v>
      </c>
      <c r="J28" s="299">
        <v>0</v>
      </c>
      <c r="K28" s="9"/>
      <c r="L28" s="10" t="s">
        <v>125</v>
      </c>
      <c r="M28" s="11">
        <f t="shared" si="5"/>
        <v>1000</v>
      </c>
      <c r="N28" s="52">
        <f>+IF(M21=0,"-",+M28/M21)</f>
        <v>2.2216149807941384E-3</v>
      </c>
      <c r="O28" s="7"/>
      <c r="P28" s="7"/>
    </row>
    <row r="29" spans="1:19" x14ac:dyDescent="0.25">
      <c r="A29" s="22" t="s">
        <v>124</v>
      </c>
      <c r="B29" s="300">
        <v>0</v>
      </c>
      <c r="C29" s="300">
        <v>0</v>
      </c>
      <c r="D29" s="300">
        <v>0</v>
      </c>
      <c r="E29" s="300">
        <v>0</v>
      </c>
      <c r="F29" s="300">
        <v>0</v>
      </c>
      <c r="G29" s="300">
        <v>0</v>
      </c>
      <c r="H29" s="300">
        <v>0</v>
      </c>
      <c r="I29" s="300">
        <v>0</v>
      </c>
      <c r="J29" s="301">
        <v>0</v>
      </c>
      <c r="K29" s="9"/>
      <c r="L29" s="13" t="s">
        <v>245</v>
      </c>
      <c r="M29" s="14">
        <f t="shared" si="5"/>
        <v>0</v>
      </c>
      <c r="N29" s="52">
        <f>+IF(M21=0,"-",+M29/M21)</f>
        <v>0</v>
      </c>
      <c r="O29" s="7"/>
      <c r="P29" s="7"/>
    </row>
    <row r="30" spans="1:19" x14ac:dyDescent="0.25">
      <c r="A30" s="135">
        <f>+A21+33</f>
        <v>45482</v>
      </c>
      <c r="B30" s="136">
        <f t="shared" ref="B30:J30" si="6">SUM(B31:B37)</f>
        <v>0</v>
      </c>
      <c r="C30" s="136">
        <f t="shared" si="6"/>
        <v>0</v>
      </c>
      <c r="D30" s="136">
        <f t="shared" si="6"/>
        <v>0</v>
      </c>
      <c r="E30" s="136">
        <f t="shared" si="6"/>
        <v>0</v>
      </c>
      <c r="F30" s="136">
        <f t="shared" si="6"/>
        <v>0</v>
      </c>
      <c r="G30" s="136">
        <f t="shared" si="6"/>
        <v>0</v>
      </c>
      <c r="H30" s="136">
        <f t="shared" si="6"/>
        <v>0</v>
      </c>
      <c r="I30" s="136">
        <f t="shared" si="6"/>
        <v>0</v>
      </c>
      <c r="J30" s="160">
        <f t="shared" si="6"/>
        <v>0</v>
      </c>
      <c r="K30" s="6"/>
      <c r="L30" s="137">
        <f>+A30</f>
        <v>45482</v>
      </c>
      <c r="M30" s="138">
        <f>SUM(M31:M37)</f>
        <v>0</v>
      </c>
      <c r="N30" s="52">
        <f>+IF($M$1=0,"-",+M30/$M$1)</f>
        <v>0</v>
      </c>
      <c r="O30" s="7"/>
      <c r="P30" s="7"/>
    </row>
    <row r="31" spans="1:19" x14ac:dyDescent="0.25">
      <c r="A31" s="12" t="s">
        <v>8</v>
      </c>
      <c r="B31" s="298">
        <v>0</v>
      </c>
      <c r="C31" s="298">
        <v>0</v>
      </c>
      <c r="D31" s="298">
        <v>0</v>
      </c>
      <c r="E31" s="298">
        <v>0</v>
      </c>
      <c r="F31" s="298">
        <v>0</v>
      </c>
      <c r="G31" s="298">
        <v>0</v>
      </c>
      <c r="H31" s="298">
        <v>0</v>
      </c>
      <c r="I31" s="298">
        <v>0</v>
      </c>
      <c r="J31" s="299">
        <v>0</v>
      </c>
      <c r="K31" s="9"/>
      <c r="L31" s="158" t="s">
        <v>117</v>
      </c>
      <c r="M31" s="159">
        <f t="shared" ref="M31:M38" si="7">SUM(B31:J31)</f>
        <v>0</v>
      </c>
      <c r="N31" s="52" t="str">
        <f>+IF(M30=0,"-",+M31/M30)</f>
        <v>-</v>
      </c>
      <c r="O31" s="7"/>
      <c r="P31" s="7"/>
    </row>
    <row r="32" spans="1:19" x14ac:dyDescent="0.25">
      <c r="A32" s="12" t="s">
        <v>62</v>
      </c>
      <c r="B32" s="298">
        <v>0</v>
      </c>
      <c r="C32" s="298">
        <v>0</v>
      </c>
      <c r="D32" s="298">
        <v>0</v>
      </c>
      <c r="E32" s="298">
        <v>0</v>
      </c>
      <c r="F32" s="298">
        <v>0</v>
      </c>
      <c r="G32" s="298">
        <v>0</v>
      </c>
      <c r="H32" s="298">
        <v>0</v>
      </c>
      <c r="I32" s="298">
        <v>0</v>
      </c>
      <c r="J32" s="299">
        <v>0</v>
      </c>
      <c r="K32" s="9"/>
      <c r="L32" s="10" t="s">
        <v>118</v>
      </c>
      <c r="M32" s="11">
        <f t="shared" si="7"/>
        <v>0</v>
      </c>
      <c r="N32" s="52" t="str">
        <f>+IF(M30=0,"-",+M32/M30)</f>
        <v>-</v>
      </c>
      <c r="O32" s="7"/>
      <c r="P32" s="7"/>
    </row>
    <row r="33" spans="1:16" x14ac:dyDescent="0.25">
      <c r="A33" s="12" t="s">
        <v>63</v>
      </c>
      <c r="B33" s="298">
        <v>0</v>
      </c>
      <c r="C33" s="298">
        <v>0</v>
      </c>
      <c r="D33" s="298">
        <v>0</v>
      </c>
      <c r="E33" s="298">
        <v>0</v>
      </c>
      <c r="F33" s="298">
        <v>0</v>
      </c>
      <c r="G33" s="298">
        <v>0</v>
      </c>
      <c r="H33" s="298">
        <v>0</v>
      </c>
      <c r="I33" s="298">
        <v>0</v>
      </c>
      <c r="J33" s="299">
        <v>0</v>
      </c>
      <c r="K33" s="9"/>
      <c r="L33" s="10" t="s">
        <v>119</v>
      </c>
      <c r="M33" s="11">
        <f t="shared" si="7"/>
        <v>0</v>
      </c>
      <c r="N33" s="52" t="str">
        <f>+IF(M30=0,"-",+M33/M30)</f>
        <v>-</v>
      </c>
      <c r="O33" s="7"/>
      <c r="P33" s="7"/>
    </row>
    <row r="34" spans="1:16" x14ac:dyDescent="0.25">
      <c r="A34" s="12" t="s">
        <v>64</v>
      </c>
      <c r="B34" s="298">
        <v>0</v>
      </c>
      <c r="C34" s="298">
        <v>0</v>
      </c>
      <c r="D34" s="298">
        <v>0</v>
      </c>
      <c r="E34" s="298">
        <v>0</v>
      </c>
      <c r="F34" s="298">
        <v>0</v>
      </c>
      <c r="G34" s="298">
        <v>0</v>
      </c>
      <c r="H34" s="298">
        <v>0</v>
      </c>
      <c r="I34" s="298">
        <v>0</v>
      </c>
      <c r="J34" s="299">
        <v>0</v>
      </c>
      <c r="K34" s="9"/>
      <c r="L34" s="10" t="s">
        <v>120</v>
      </c>
      <c r="M34" s="11">
        <f t="shared" si="7"/>
        <v>0</v>
      </c>
      <c r="N34" s="52" t="str">
        <f>+IF(M30=0,"-",+M34/M30)</f>
        <v>-</v>
      </c>
      <c r="O34" s="7"/>
      <c r="P34" s="7"/>
    </row>
    <row r="35" spans="1:16" x14ac:dyDescent="0.25">
      <c r="A35" s="12" t="s">
        <v>121</v>
      </c>
      <c r="B35" s="298">
        <v>0</v>
      </c>
      <c r="C35" s="298">
        <v>0</v>
      </c>
      <c r="D35" s="298">
        <v>0</v>
      </c>
      <c r="E35" s="298">
        <v>0</v>
      </c>
      <c r="F35" s="298">
        <v>0</v>
      </c>
      <c r="G35" s="298">
        <v>0</v>
      </c>
      <c r="H35" s="298">
        <v>0</v>
      </c>
      <c r="I35" s="298">
        <v>0</v>
      </c>
      <c r="J35" s="299">
        <v>0</v>
      </c>
      <c r="K35" s="9"/>
      <c r="L35" s="10" t="s">
        <v>122</v>
      </c>
      <c r="M35" s="11">
        <f t="shared" si="7"/>
        <v>0</v>
      </c>
      <c r="N35" s="52" t="str">
        <f>+IF(M30=0,"-",+M35/M30)</f>
        <v>-</v>
      </c>
      <c r="O35" s="7"/>
      <c r="P35" s="7"/>
    </row>
    <row r="36" spans="1:16" x14ac:dyDescent="0.25">
      <c r="A36" s="12" t="s">
        <v>66</v>
      </c>
      <c r="B36" s="298">
        <v>0</v>
      </c>
      <c r="C36" s="298">
        <v>0</v>
      </c>
      <c r="D36" s="298">
        <v>0</v>
      </c>
      <c r="E36" s="298">
        <v>0</v>
      </c>
      <c r="F36" s="298">
        <v>0</v>
      </c>
      <c r="G36" s="298">
        <v>0</v>
      </c>
      <c r="H36" s="298">
        <v>0</v>
      </c>
      <c r="I36" s="298">
        <v>0</v>
      </c>
      <c r="J36" s="299">
        <v>0</v>
      </c>
      <c r="K36" s="9"/>
      <c r="L36" s="10" t="s">
        <v>123</v>
      </c>
      <c r="M36" s="11">
        <f t="shared" si="7"/>
        <v>0</v>
      </c>
      <c r="N36" s="52" t="str">
        <f>+IF(M30=0,"-",+M36/M30)</f>
        <v>-</v>
      </c>
      <c r="O36" s="7"/>
      <c r="P36" s="7"/>
    </row>
    <row r="37" spans="1:16" x14ac:dyDescent="0.25">
      <c r="A37" s="12" t="s">
        <v>68</v>
      </c>
      <c r="B37" s="298">
        <v>0</v>
      </c>
      <c r="C37" s="298">
        <v>0</v>
      </c>
      <c r="D37" s="298">
        <v>0</v>
      </c>
      <c r="E37" s="298">
        <v>0</v>
      </c>
      <c r="F37" s="298">
        <v>0</v>
      </c>
      <c r="G37" s="298">
        <v>0</v>
      </c>
      <c r="H37" s="298">
        <v>0</v>
      </c>
      <c r="I37" s="298">
        <v>0</v>
      </c>
      <c r="J37" s="299">
        <v>0</v>
      </c>
      <c r="K37" s="9"/>
      <c r="L37" s="10" t="s">
        <v>125</v>
      </c>
      <c r="M37" s="11">
        <f t="shared" si="7"/>
        <v>0</v>
      </c>
      <c r="N37" s="52" t="str">
        <f>+IF(M30=0,"-",+M37/M30)</f>
        <v>-</v>
      </c>
      <c r="O37" s="7"/>
      <c r="P37" s="7"/>
    </row>
    <row r="38" spans="1:16" x14ac:dyDescent="0.25">
      <c r="A38" s="22" t="s">
        <v>124</v>
      </c>
      <c r="B38" s="300">
        <v>0</v>
      </c>
      <c r="C38" s="300">
        <v>0</v>
      </c>
      <c r="D38" s="300">
        <v>0</v>
      </c>
      <c r="E38" s="300">
        <v>0</v>
      </c>
      <c r="F38" s="300">
        <v>0</v>
      </c>
      <c r="G38" s="300">
        <v>0</v>
      </c>
      <c r="H38" s="300">
        <v>0</v>
      </c>
      <c r="I38" s="300">
        <v>0</v>
      </c>
      <c r="J38" s="301">
        <v>0</v>
      </c>
      <c r="K38" s="9"/>
      <c r="L38" s="13" t="s">
        <v>245</v>
      </c>
      <c r="M38" s="14">
        <f t="shared" si="7"/>
        <v>0</v>
      </c>
      <c r="N38" s="52" t="str">
        <f>+IF(M30=0,"-",+M38/M30)</f>
        <v>-</v>
      </c>
      <c r="O38" s="7"/>
      <c r="P38" s="7"/>
    </row>
    <row r="39" spans="1:16" x14ac:dyDescent="0.25">
      <c r="A39" s="135">
        <f>+A30+33</f>
        <v>45515</v>
      </c>
      <c r="B39" s="136">
        <f t="shared" ref="B39:J39" si="8">SUM(B40:B46)</f>
        <v>25625</v>
      </c>
      <c r="C39" s="136">
        <f t="shared" si="8"/>
        <v>220663</v>
      </c>
      <c r="D39" s="136">
        <f t="shared" si="8"/>
        <v>98006</v>
      </c>
      <c r="E39" s="136">
        <f t="shared" si="8"/>
        <v>38166</v>
      </c>
      <c r="F39" s="136">
        <f t="shared" si="8"/>
        <v>35666</v>
      </c>
      <c r="G39" s="136">
        <f t="shared" si="8"/>
        <v>35666</v>
      </c>
      <c r="H39" s="136">
        <f t="shared" si="8"/>
        <v>30666</v>
      </c>
      <c r="I39" s="136">
        <f t="shared" si="8"/>
        <v>0</v>
      </c>
      <c r="J39" s="160">
        <f t="shared" si="8"/>
        <v>41016</v>
      </c>
      <c r="K39" s="6"/>
      <c r="L39" s="137">
        <f>+A39</f>
        <v>45515</v>
      </c>
      <c r="M39" s="138">
        <f>SUM(M40:M46)</f>
        <v>525474</v>
      </c>
      <c r="N39" s="52">
        <f>+IF($M$1=0,"-",+M39/$M$1)</f>
        <v>0.17288826522470829</v>
      </c>
      <c r="O39" s="7"/>
      <c r="P39" s="7"/>
    </row>
    <row r="40" spans="1:16" x14ac:dyDescent="0.25">
      <c r="A40" s="12" t="s">
        <v>8</v>
      </c>
      <c r="B40" s="298">
        <v>25625</v>
      </c>
      <c r="C40" s="298">
        <v>38166</v>
      </c>
      <c r="D40" s="298">
        <v>24416</v>
      </c>
      <c r="E40" s="298">
        <v>38166</v>
      </c>
      <c r="F40" s="298">
        <v>35666</v>
      </c>
      <c r="G40" s="298">
        <v>35666</v>
      </c>
      <c r="H40" s="298">
        <v>30666</v>
      </c>
      <c r="I40" s="298">
        <v>0</v>
      </c>
      <c r="J40" s="299">
        <v>34416</v>
      </c>
      <c r="K40" s="9"/>
      <c r="L40" s="158" t="s">
        <v>117</v>
      </c>
      <c r="M40" s="159">
        <f t="shared" ref="M40:M47" si="9">SUM(B40:J40)</f>
        <v>262787</v>
      </c>
      <c r="N40" s="52">
        <f>+IF(M39=0,"-",+M40/M39)</f>
        <v>0.50009515218640699</v>
      </c>
      <c r="O40" s="7"/>
      <c r="P40" s="7"/>
    </row>
    <row r="41" spans="1:16" x14ac:dyDescent="0.25">
      <c r="A41" s="12" t="s">
        <v>62</v>
      </c>
      <c r="B41" s="298">
        <v>0</v>
      </c>
      <c r="C41" s="298">
        <v>0</v>
      </c>
      <c r="D41" s="298">
        <v>0</v>
      </c>
      <c r="E41" s="298">
        <v>0</v>
      </c>
      <c r="F41" s="298">
        <v>0</v>
      </c>
      <c r="G41" s="298">
        <v>0</v>
      </c>
      <c r="H41" s="298">
        <v>0</v>
      </c>
      <c r="I41" s="298">
        <v>0</v>
      </c>
      <c r="J41" s="299">
        <v>0</v>
      </c>
      <c r="K41" s="9"/>
      <c r="L41" s="10" t="s">
        <v>118</v>
      </c>
      <c r="M41" s="11">
        <f t="shared" si="9"/>
        <v>0</v>
      </c>
      <c r="N41" s="52">
        <f>+IF(M39=0,"-",+M41/M39)</f>
        <v>0</v>
      </c>
      <c r="O41" s="7"/>
      <c r="P41" s="7"/>
    </row>
    <row r="42" spans="1:16" x14ac:dyDescent="0.25">
      <c r="A42" s="12" t="s">
        <v>63</v>
      </c>
      <c r="B42" s="298">
        <v>0</v>
      </c>
      <c r="C42" s="298">
        <v>13739</v>
      </c>
      <c r="D42" s="298">
        <v>0</v>
      </c>
      <c r="E42" s="298">
        <v>0</v>
      </c>
      <c r="F42" s="298">
        <v>0</v>
      </c>
      <c r="G42" s="298">
        <v>0</v>
      </c>
      <c r="H42" s="298">
        <v>0</v>
      </c>
      <c r="I42" s="298">
        <v>0</v>
      </c>
      <c r="J42" s="299">
        <v>0</v>
      </c>
      <c r="K42" s="9"/>
      <c r="L42" s="10" t="s">
        <v>119</v>
      </c>
      <c r="M42" s="11">
        <f t="shared" si="9"/>
        <v>13739</v>
      </c>
      <c r="N42" s="52">
        <f>+IF(M39=0,"-",+M42/M39)</f>
        <v>2.614591778089877E-2</v>
      </c>
      <c r="O42" s="7"/>
      <c r="P42" s="7"/>
    </row>
    <row r="43" spans="1:16" x14ac:dyDescent="0.25">
      <c r="A43" s="12" t="s">
        <v>64</v>
      </c>
      <c r="B43" s="298">
        <v>0</v>
      </c>
      <c r="C43" s="298">
        <v>0</v>
      </c>
      <c r="D43" s="298">
        <v>0</v>
      </c>
      <c r="E43" s="298">
        <v>0</v>
      </c>
      <c r="F43" s="298">
        <v>0</v>
      </c>
      <c r="G43" s="298">
        <v>0</v>
      </c>
      <c r="H43" s="298">
        <v>0</v>
      </c>
      <c r="I43" s="298">
        <v>0</v>
      </c>
      <c r="J43" s="299">
        <v>0</v>
      </c>
      <c r="K43" s="9"/>
      <c r="L43" s="10" t="s">
        <v>120</v>
      </c>
      <c r="M43" s="11">
        <f t="shared" si="9"/>
        <v>0</v>
      </c>
      <c r="N43" s="52">
        <f>+IF(M39=0,"-",+M43/M39)</f>
        <v>0</v>
      </c>
      <c r="O43" s="7"/>
      <c r="P43" s="7"/>
    </row>
    <row r="44" spans="1:16" x14ac:dyDescent="0.25">
      <c r="A44" s="12" t="s">
        <v>121</v>
      </c>
      <c r="B44" s="298">
        <v>0</v>
      </c>
      <c r="C44" s="298">
        <v>0</v>
      </c>
      <c r="D44" s="298">
        <v>0</v>
      </c>
      <c r="E44" s="298">
        <v>0</v>
      </c>
      <c r="F44" s="298">
        <v>0</v>
      </c>
      <c r="G44" s="298">
        <v>0</v>
      </c>
      <c r="H44" s="298">
        <v>0</v>
      </c>
      <c r="I44" s="298">
        <v>0</v>
      </c>
      <c r="J44" s="299">
        <v>6600</v>
      </c>
      <c r="K44" s="9"/>
      <c r="L44" s="10" t="s">
        <v>122</v>
      </c>
      <c r="M44" s="11">
        <f t="shared" si="9"/>
        <v>6600</v>
      </c>
      <c r="N44" s="52">
        <f>+IF(M39=0,"-",+M44/M39)</f>
        <v>1.2560088605715981E-2</v>
      </c>
      <c r="O44" s="7"/>
      <c r="P44" s="7"/>
    </row>
    <row r="45" spans="1:16" x14ac:dyDescent="0.25">
      <c r="A45" s="12" t="s">
        <v>66</v>
      </c>
      <c r="B45" s="298">
        <v>0</v>
      </c>
      <c r="C45" s="298">
        <v>0</v>
      </c>
      <c r="D45" s="298">
        <v>0</v>
      </c>
      <c r="E45" s="298">
        <v>0</v>
      </c>
      <c r="F45" s="298">
        <v>0</v>
      </c>
      <c r="G45" s="298">
        <v>0</v>
      </c>
      <c r="H45" s="298">
        <v>0</v>
      </c>
      <c r="I45" s="298">
        <v>0</v>
      </c>
      <c r="J45" s="299">
        <v>0</v>
      </c>
      <c r="K45" s="9"/>
      <c r="L45" s="10" t="s">
        <v>123</v>
      </c>
      <c r="M45" s="11">
        <f t="shared" si="9"/>
        <v>0</v>
      </c>
      <c r="N45" s="52">
        <f>+IF(M39=0,"-",+M45/M39)</f>
        <v>0</v>
      </c>
      <c r="O45" s="7"/>
      <c r="P45" s="7"/>
    </row>
    <row r="46" spans="1:16" x14ac:dyDescent="0.25">
      <c r="A46" s="12" t="s">
        <v>68</v>
      </c>
      <c r="B46" s="298">
        <v>0</v>
      </c>
      <c r="C46" s="298">
        <f>218758-C47</f>
        <v>168758</v>
      </c>
      <c r="D46" s="298">
        <f>116590-43000</f>
        <v>73590</v>
      </c>
      <c r="E46" s="298">
        <f>27826-27826</f>
        <v>0</v>
      </c>
      <c r="F46" s="298">
        <v>0</v>
      </c>
      <c r="G46" s="298">
        <v>0</v>
      </c>
      <c r="H46" s="298">
        <v>0</v>
      </c>
      <c r="I46" s="298">
        <v>0</v>
      </c>
      <c r="J46" s="299">
        <v>0</v>
      </c>
      <c r="K46" s="9"/>
      <c r="L46" s="10" t="s">
        <v>125</v>
      </c>
      <c r="M46" s="11">
        <f t="shared" si="9"/>
        <v>242348</v>
      </c>
      <c r="N46" s="52">
        <f>+IF(M39=0,"-",+M46/M39)</f>
        <v>0.46119884142697831</v>
      </c>
      <c r="O46" s="7"/>
      <c r="P46" s="7"/>
    </row>
    <row r="47" spans="1:16" x14ac:dyDescent="0.25">
      <c r="A47" s="22" t="s">
        <v>124</v>
      </c>
      <c r="B47" s="300">
        <v>50000</v>
      </c>
      <c r="C47" s="300">
        <v>50000</v>
      </c>
      <c r="D47" s="300">
        <v>0</v>
      </c>
      <c r="E47" s="300">
        <v>0</v>
      </c>
      <c r="F47" s="300">
        <v>0</v>
      </c>
      <c r="G47" s="300">
        <v>0</v>
      </c>
      <c r="H47" s="300">
        <v>0</v>
      </c>
      <c r="I47" s="300">
        <v>0</v>
      </c>
      <c r="J47" s="301">
        <v>0</v>
      </c>
      <c r="K47" s="9"/>
      <c r="L47" s="13" t="s">
        <v>245</v>
      </c>
      <c r="M47" s="14">
        <f t="shared" si="9"/>
        <v>100000</v>
      </c>
      <c r="N47" s="52">
        <f>+IF(M39=0,"-",+M47/M39)</f>
        <v>0.19030437281387852</v>
      </c>
      <c r="O47" s="7"/>
      <c r="P47" s="7"/>
    </row>
    <row r="48" spans="1:16" x14ac:dyDescent="0.25">
      <c r="A48" s="135">
        <f>+A39+33</f>
        <v>45548</v>
      </c>
      <c r="B48" s="136">
        <f t="shared" ref="B48:J48" si="10">SUM(B49:B55)</f>
        <v>0</v>
      </c>
      <c r="C48" s="136">
        <f t="shared" si="10"/>
        <v>0</v>
      </c>
      <c r="D48" s="136">
        <f t="shared" si="10"/>
        <v>0</v>
      </c>
      <c r="E48" s="136">
        <f t="shared" si="10"/>
        <v>0</v>
      </c>
      <c r="F48" s="136">
        <f t="shared" si="10"/>
        <v>0</v>
      </c>
      <c r="G48" s="136">
        <f t="shared" si="10"/>
        <v>0</v>
      </c>
      <c r="H48" s="136">
        <f t="shared" si="10"/>
        <v>0</v>
      </c>
      <c r="I48" s="136">
        <f t="shared" si="10"/>
        <v>0</v>
      </c>
      <c r="J48" s="160">
        <f t="shared" si="10"/>
        <v>0</v>
      </c>
      <c r="K48" s="6"/>
      <c r="L48" s="137">
        <f>+A48</f>
        <v>45548</v>
      </c>
      <c r="M48" s="138">
        <f>SUM(M49:M55)</f>
        <v>0</v>
      </c>
      <c r="N48" s="52">
        <f>+IF($M$1=0,"-",+M48/$M$1)</f>
        <v>0</v>
      </c>
      <c r="O48" s="7"/>
      <c r="P48" s="7"/>
    </row>
    <row r="49" spans="1:16" x14ac:dyDescent="0.25">
      <c r="A49" s="12" t="s">
        <v>8</v>
      </c>
      <c r="B49" s="298">
        <v>0</v>
      </c>
      <c r="C49" s="298">
        <v>0</v>
      </c>
      <c r="D49" s="298">
        <v>0</v>
      </c>
      <c r="E49" s="298">
        <v>0</v>
      </c>
      <c r="F49" s="298">
        <v>0</v>
      </c>
      <c r="G49" s="298">
        <v>0</v>
      </c>
      <c r="H49" s="298">
        <v>0</v>
      </c>
      <c r="I49" s="298">
        <v>0</v>
      </c>
      <c r="J49" s="299">
        <v>0</v>
      </c>
      <c r="K49" s="9"/>
      <c r="L49" s="158" t="s">
        <v>117</v>
      </c>
      <c r="M49" s="159">
        <f t="shared" ref="M49:M56" si="11">SUM(B49:J49)</f>
        <v>0</v>
      </c>
      <c r="N49" s="52" t="str">
        <f>+IF(M48=0,"-",+M49/M48)</f>
        <v>-</v>
      </c>
      <c r="O49" s="7"/>
      <c r="P49" s="7"/>
    </row>
    <row r="50" spans="1:16" x14ac:dyDescent="0.25">
      <c r="A50" s="12" t="s">
        <v>62</v>
      </c>
      <c r="B50" s="298">
        <v>0</v>
      </c>
      <c r="C50" s="298">
        <v>0</v>
      </c>
      <c r="D50" s="298">
        <v>0</v>
      </c>
      <c r="E50" s="298">
        <v>0</v>
      </c>
      <c r="F50" s="298">
        <v>0</v>
      </c>
      <c r="G50" s="298">
        <v>0</v>
      </c>
      <c r="H50" s="298">
        <v>0</v>
      </c>
      <c r="I50" s="298">
        <v>0</v>
      </c>
      <c r="J50" s="299">
        <v>0</v>
      </c>
      <c r="K50" s="9"/>
      <c r="L50" s="10" t="s">
        <v>118</v>
      </c>
      <c r="M50" s="11">
        <f t="shared" si="11"/>
        <v>0</v>
      </c>
      <c r="N50" s="52" t="str">
        <f>+IF(M48=0,"-",+M50/M48)</f>
        <v>-</v>
      </c>
      <c r="O50" s="7"/>
      <c r="P50" s="7"/>
    </row>
    <row r="51" spans="1:16" x14ac:dyDescent="0.25">
      <c r="A51" s="12" t="s">
        <v>63</v>
      </c>
      <c r="B51" s="298">
        <v>0</v>
      </c>
      <c r="C51" s="298">
        <v>0</v>
      </c>
      <c r="D51" s="298">
        <v>0</v>
      </c>
      <c r="E51" s="298">
        <v>0</v>
      </c>
      <c r="F51" s="298">
        <v>0</v>
      </c>
      <c r="G51" s="298">
        <v>0</v>
      </c>
      <c r="H51" s="298">
        <v>0</v>
      </c>
      <c r="I51" s="298">
        <v>0</v>
      </c>
      <c r="J51" s="299">
        <v>0</v>
      </c>
      <c r="K51" s="9"/>
      <c r="L51" s="10" t="s">
        <v>119</v>
      </c>
      <c r="M51" s="11">
        <f t="shared" si="11"/>
        <v>0</v>
      </c>
      <c r="N51" s="52" t="str">
        <f>+IF(M48=0,"-",+M51/M48)</f>
        <v>-</v>
      </c>
      <c r="O51" s="7"/>
      <c r="P51" s="7"/>
    </row>
    <row r="52" spans="1:16" x14ac:dyDescent="0.25">
      <c r="A52" s="12" t="s">
        <v>64</v>
      </c>
      <c r="B52" s="298">
        <v>0</v>
      </c>
      <c r="C52" s="298">
        <v>0</v>
      </c>
      <c r="D52" s="298">
        <v>0</v>
      </c>
      <c r="E52" s="298">
        <v>0</v>
      </c>
      <c r="F52" s="298">
        <v>0</v>
      </c>
      <c r="G52" s="298">
        <v>0</v>
      </c>
      <c r="H52" s="298">
        <v>0</v>
      </c>
      <c r="I52" s="298">
        <v>0</v>
      </c>
      <c r="J52" s="299">
        <v>0</v>
      </c>
      <c r="K52" s="9"/>
      <c r="L52" s="10" t="s">
        <v>120</v>
      </c>
      <c r="M52" s="11">
        <f t="shared" si="11"/>
        <v>0</v>
      </c>
      <c r="N52" s="52" t="str">
        <f>+IF(M48=0,"-",+M52/M48)</f>
        <v>-</v>
      </c>
      <c r="O52" s="7"/>
      <c r="P52" s="7"/>
    </row>
    <row r="53" spans="1:16" x14ac:dyDescent="0.25">
      <c r="A53" s="12" t="s">
        <v>121</v>
      </c>
      <c r="B53" s="298">
        <v>0</v>
      </c>
      <c r="C53" s="298">
        <v>0</v>
      </c>
      <c r="D53" s="298">
        <v>0</v>
      </c>
      <c r="E53" s="298">
        <v>0</v>
      </c>
      <c r="F53" s="298">
        <v>0</v>
      </c>
      <c r="G53" s="298">
        <v>0</v>
      </c>
      <c r="H53" s="298">
        <v>0</v>
      </c>
      <c r="I53" s="298">
        <v>0</v>
      </c>
      <c r="J53" s="299">
        <v>0</v>
      </c>
      <c r="K53" s="9"/>
      <c r="L53" s="10" t="s">
        <v>122</v>
      </c>
      <c r="M53" s="11">
        <f t="shared" si="11"/>
        <v>0</v>
      </c>
      <c r="N53" s="52" t="str">
        <f>+IF(M48=0,"-",+M53/M48)</f>
        <v>-</v>
      </c>
      <c r="O53" s="7"/>
      <c r="P53" s="7"/>
    </row>
    <row r="54" spans="1:16" x14ac:dyDescent="0.25">
      <c r="A54" s="12" t="s">
        <v>66</v>
      </c>
      <c r="B54" s="298">
        <v>0</v>
      </c>
      <c r="C54" s="298">
        <v>0</v>
      </c>
      <c r="D54" s="298">
        <v>0</v>
      </c>
      <c r="E54" s="298">
        <v>0</v>
      </c>
      <c r="F54" s="298">
        <v>0</v>
      </c>
      <c r="G54" s="298">
        <v>0</v>
      </c>
      <c r="H54" s="298">
        <v>0</v>
      </c>
      <c r="I54" s="298">
        <v>0</v>
      </c>
      <c r="J54" s="299">
        <v>0</v>
      </c>
      <c r="K54" s="9"/>
      <c r="L54" s="10" t="s">
        <v>123</v>
      </c>
      <c r="M54" s="11">
        <f t="shared" si="11"/>
        <v>0</v>
      </c>
      <c r="N54" s="52" t="str">
        <f>+IF(M48=0,"-",+M54/M48)</f>
        <v>-</v>
      </c>
      <c r="O54" s="7"/>
      <c r="P54" s="7"/>
    </row>
    <row r="55" spans="1:16" x14ac:dyDescent="0.25">
      <c r="A55" s="12" t="s">
        <v>68</v>
      </c>
      <c r="B55" s="298">
        <v>0</v>
      </c>
      <c r="C55" s="298">
        <v>0</v>
      </c>
      <c r="D55" s="298">
        <v>0</v>
      </c>
      <c r="E55" s="298">
        <v>0</v>
      </c>
      <c r="F55" s="298">
        <v>0</v>
      </c>
      <c r="G55" s="298">
        <v>0</v>
      </c>
      <c r="H55" s="298">
        <v>0</v>
      </c>
      <c r="I55" s="298">
        <v>0</v>
      </c>
      <c r="J55" s="299">
        <v>0</v>
      </c>
      <c r="K55" s="9"/>
      <c r="L55" s="10" t="s">
        <v>125</v>
      </c>
      <c r="M55" s="11">
        <f t="shared" si="11"/>
        <v>0</v>
      </c>
      <c r="N55" s="52" t="str">
        <f>+IF(M48=0,"-",+M55/M48)</f>
        <v>-</v>
      </c>
      <c r="O55" s="7"/>
      <c r="P55" s="7"/>
    </row>
    <row r="56" spans="1:16" x14ac:dyDescent="0.25">
      <c r="A56" s="22" t="s">
        <v>124</v>
      </c>
      <c r="B56" s="300">
        <v>0</v>
      </c>
      <c r="C56" s="300">
        <v>0</v>
      </c>
      <c r="D56" s="300">
        <v>0</v>
      </c>
      <c r="E56" s="300">
        <v>0</v>
      </c>
      <c r="F56" s="300">
        <v>0</v>
      </c>
      <c r="G56" s="300">
        <v>0</v>
      </c>
      <c r="H56" s="300">
        <v>0</v>
      </c>
      <c r="I56" s="300">
        <v>0</v>
      </c>
      <c r="J56" s="301">
        <v>0</v>
      </c>
      <c r="K56" s="9"/>
      <c r="L56" s="13" t="s">
        <v>245</v>
      </c>
      <c r="M56" s="14">
        <f t="shared" si="11"/>
        <v>0</v>
      </c>
      <c r="N56" s="52" t="str">
        <f>+IF(M48=0,"-",+M56/M48)</f>
        <v>-</v>
      </c>
      <c r="O56" s="7"/>
      <c r="P56" s="7"/>
    </row>
    <row r="57" spans="1:16" x14ac:dyDescent="0.25">
      <c r="A57" s="135">
        <f>+A48+33</f>
        <v>45581</v>
      </c>
      <c r="B57" s="136">
        <f t="shared" ref="B57:J57" si="12">SUM(B58:B64)</f>
        <v>97583</v>
      </c>
      <c r="C57" s="136">
        <f t="shared" si="12"/>
        <v>40083</v>
      </c>
      <c r="D57" s="136">
        <f t="shared" si="12"/>
        <v>37583</v>
      </c>
      <c r="E57" s="136">
        <f t="shared" si="12"/>
        <v>40083</v>
      </c>
      <c r="F57" s="136">
        <f t="shared" si="12"/>
        <v>34666</v>
      </c>
      <c r="G57" s="136">
        <f t="shared" si="12"/>
        <v>33833</v>
      </c>
      <c r="H57" s="136">
        <f t="shared" si="12"/>
        <v>35083</v>
      </c>
      <c r="I57" s="136">
        <f t="shared" si="12"/>
        <v>0</v>
      </c>
      <c r="J57" s="160">
        <f t="shared" si="12"/>
        <v>33833</v>
      </c>
      <c r="K57" s="6"/>
      <c r="L57" s="137">
        <f>+A57</f>
        <v>45581</v>
      </c>
      <c r="M57" s="138">
        <f>SUM(M58:M64)</f>
        <v>352747</v>
      </c>
      <c r="N57" s="52">
        <f>+IF($M$1=0,"-",+M57/$M$1)</f>
        <v>0.11605867634406303</v>
      </c>
      <c r="O57" s="7"/>
      <c r="P57" s="7"/>
    </row>
    <row r="58" spans="1:16" x14ac:dyDescent="0.25">
      <c r="A58" s="12" t="s">
        <v>8</v>
      </c>
      <c r="B58" s="298">
        <v>97583</v>
      </c>
      <c r="C58" s="298">
        <v>40083</v>
      </c>
      <c r="D58" s="298">
        <v>37583</v>
      </c>
      <c r="E58" s="298">
        <v>40083</v>
      </c>
      <c r="F58" s="298">
        <v>34666</v>
      </c>
      <c r="G58" s="298">
        <v>33833</v>
      </c>
      <c r="H58" s="298">
        <v>35083</v>
      </c>
      <c r="I58" s="298">
        <v>0</v>
      </c>
      <c r="J58" s="299">
        <v>33833</v>
      </c>
      <c r="K58" s="9"/>
      <c r="L58" s="158" t="s">
        <v>117</v>
      </c>
      <c r="M58" s="159">
        <f t="shared" ref="M58:M65" si="13">SUM(B58:J58)</f>
        <v>352747</v>
      </c>
      <c r="N58" s="52">
        <f>+IF(M57=0,"-",+M58/M57)</f>
        <v>1</v>
      </c>
      <c r="O58" s="7"/>
      <c r="P58" s="7"/>
    </row>
    <row r="59" spans="1:16" x14ac:dyDescent="0.25">
      <c r="A59" s="12" t="s">
        <v>62</v>
      </c>
      <c r="B59" s="298">
        <v>0</v>
      </c>
      <c r="C59" s="298">
        <v>0</v>
      </c>
      <c r="D59" s="298">
        <v>0</v>
      </c>
      <c r="E59" s="298">
        <v>0</v>
      </c>
      <c r="F59" s="298">
        <v>0</v>
      </c>
      <c r="G59" s="298">
        <v>0</v>
      </c>
      <c r="H59" s="298">
        <v>0</v>
      </c>
      <c r="I59" s="298">
        <v>0</v>
      </c>
      <c r="J59" s="299">
        <v>0</v>
      </c>
      <c r="K59" s="9"/>
      <c r="L59" s="10" t="s">
        <v>118</v>
      </c>
      <c r="M59" s="11">
        <f t="shared" si="13"/>
        <v>0</v>
      </c>
      <c r="N59" s="52">
        <f>+IF(M57=0,"-",+M59/M57)</f>
        <v>0</v>
      </c>
      <c r="O59" s="7"/>
      <c r="P59" s="7"/>
    </row>
    <row r="60" spans="1:16" x14ac:dyDescent="0.25">
      <c r="A60" s="12" t="s">
        <v>63</v>
      </c>
      <c r="B60" s="298">
        <v>0</v>
      </c>
      <c r="C60" s="298">
        <v>0</v>
      </c>
      <c r="D60" s="298">
        <v>0</v>
      </c>
      <c r="E60" s="298">
        <v>0</v>
      </c>
      <c r="F60" s="298">
        <v>0</v>
      </c>
      <c r="G60" s="298">
        <v>0</v>
      </c>
      <c r="H60" s="298">
        <v>0</v>
      </c>
      <c r="I60" s="298">
        <v>0</v>
      </c>
      <c r="J60" s="299">
        <v>0</v>
      </c>
      <c r="K60" s="9"/>
      <c r="L60" s="10" t="s">
        <v>119</v>
      </c>
      <c r="M60" s="11">
        <f t="shared" si="13"/>
        <v>0</v>
      </c>
      <c r="N60" s="52">
        <f>+IF(M57=0,"-",+M60/M57)</f>
        <v>0</v>
      </c>
      <c r="O60" s="7"/>
      <c r="P60" s="7"/>
    </row>
    <row r="61" spans="1:16" x14ac:dyDescent="0.25">
      <c r="A61" s="12" t="s">
        <v>64</v>
      </c>
      <c r="B61" s="298">
        <v>0</v>
      </c>
      <c r="C61" s="298">
        <v>0</v>
      </c>
      <c r="D61" s="298">
        <v>0</v>
      </c>
      <c r="E61" s="298">
        <v>0</v>
      </c>
      <c r="F61" s="298">
        <v>0</v>
      </c>
      <c r="G61" s="298">
        <v>0</v>
      </c>
      <c r="H61" s="298">
        <v>0</v>
      </c>
      <c r="I61" s="298">
        <v>0</v>
      </c>
      <c r="J61" s="299">
        <v>0</v>
      </c>
      <c r="K61" s="9"/>
      <c r="L61" s="10" t="s">
        <v>120</v>
      </c>
      <c r="M61" s="11">
        <f t="shared" si="13"/>
        <v>0</v>
      </c>
      <c r="N61" s="52">
        <f>+IF(M57=0,"-",+M61/M57)</f>
        <v>0</v>
      </c>
      <c r="O61" s="7"/>
      <c r="P61" s="7"/>
    </row>
    <row r="62" spans="1:16" x14ac:dyDescent="0.25">
      <c r="A62" s="12" t="s">
        <v>121</v>
      </c>
      <c r="B62" s="298">
        <v>0</v>
      </c>
      <c r="C62" s="298">
        <v>0</v>
      </c>
      <c r="D62" s="298">
        <v>0</v>
      </c>
      <c r="E62" s="298">
        <v>0</v>
      </c>
      <c r="F62" s="298">
        <v>0</v>
      </c>
      <c r="G62" s="298">
        <v>0</v>
      </c>
      <c r="H62" s="298">
        <v>0</v>
      </c>
      <c r="I62" s="298">
        <v>0</v>
      </c>
      <c r="J62" s="299">
        <v>0</v>
      </c>
      <c r="K62" s="9"/>
      <c r="L62" s="10" t="s">
        <v>122</v>
      </c>
      <c r="M62" s="11">
        <f t="shared" si="13"/>
        <v>0</v>
      </c>
      <c r="N62" s="52">
        <f>+IF(M57=0,"-",+M62/M57)</f>
        <v>0</v>
      </c>
      <c r="O62" s="7"/>
      <c r="P62" s="7"/>
    </row>
    <row r="63" spans="1:16" x14ac:dyDescent="0.25">
      <c r="A63" s="12" t="s">
        <v>66</v>
      </c>
      <c r="B63" s="298">
        <v>0</v>
      </c>
      <c r="C63" s="298">
        <v>0</v>
      </c>
      <c r="D63" s="298">
        <v>0</v>
      </c>
      <c r="E63" s="298">
        <v>0</v>
      </c>
      <c r="F63" s="298">
        <v>0</v>
      </c>
      <c r="G63" s="298">
        <v>0</v>
      </c>
      <c r="H63" s="298">
        <v>0</v>
      </c>
      <c r="I63" s="298">
        <v>0</v>
      </c>
      <c r="J63" s="299">
        <v>0</v>
      </c>
      <c r="K63" s="9"/>
      <c r="L63" s="10" t="s">
        <v>123</v>
      </c>
      <c r="M63" s="11">
        <f t="shared" si="13"/>
        <v>0</v>
      </c>
      <c r="N63" s="52">
        <f>+IF(M57=0,"-",+M63/M57)</f>
        <v>0</v>
      </c>
      <c r="O63" s="7"/>
      <c r="P63" s="7"/>
    </row>
    <row r="64" spans="1:16" x14ac:dyDescent="0.25">
      <c r="A64" s="12" t="s">
        <v>68</v>
      </c>
      <c r="B64" s="298">
        <v>0</v>
      </c>
      <c r="C64" s="298">
        <v>0</v>
      </c>
      <c r="D64" s="298">
        <v>0</v>
      </c>
      <c r="E64" s="298">
        <v>0</v>
      </c>
      <c r="F64" s="298">
        <v>0</v>
      </c>
      <c r="G64" s="298">
        <v>0</v>
      </c>
      <c r="H64" s="298">
        <v>0</v>
      </c>
      <c r="I64" s="298">
        <v>0</v>
      </c>
      <c r="J64" s="299">
        <v>0</v>
      </c>
      <c r="K64" s="9"/>
      <c r="L64" s="10" t="s">
        <v>125</v>
      </c>
      <c r="M64" s="11">
        <f t="shared" si="13"/>
        <v>0</v>
      </c>
      <c r="N64" s="52">
        <f>+IF(M57=0,"-",+M64/M57)</f>
        <v>0</v>
      </c>
      <c r="O64" s="7"/>
      <c r="P64" s="7"/>
    </row>
    <row r="65" spans="1:16" x14ac:dyDescent="0.25">
      <c r="A65" s="22" t="s">
        <v>124</v>
      </c>
      <c r="B65" s="300">
        <v>0</v>
      </c>
      <c r="C65" s="922">
        <v>40000</v>
      </c>
      <c r="D65" s="300">
        <v>0</v>
      </c>
      <c r="E65" s="300">
        <v>0</v>
      </c>
      <c r="F65" s="300">
        <v>0</v>
      </c>
      <c r="G65" s="300">
        <v>0</v>
      </c>
      <c r="H65" s="300">
        <v>0</v>
      </c>
      <c r="I65" s="300">
        <v>0</v>
      </c>
      <c r="J65" s="301">
        <v>0</v>
      </c>
      <c r="K65" s="9"/>
      <c r="L65" s="13" t="s">
        <v>245</v>
      </c>
      <c r="M65" s="14">
        <f t="shared" si="13"/>
        <v>40000</v>
      </c>
      <c r="N65" s="52">
        <f>+IF(M57=0,"-",+M65/M57)</f>
        <v>0.11339571987855318</v>
      </c>
      <c r="O65" s="7"/>
      <c r="P65" s="7"/>
    </row>
    <row r="66" spans="1:16" x14ac:dyDescent="0.25">
      <c r="A66" s="135">
        <f>+A57+33</f>
        <v>45614</v>
      </c>
      <c r="B66" s="136">
        <f t="shared" ref="B66:J66" si="14">SUM(B67:B73)</f>
        <v>0</v>
      </c>
      <c r="C66" s="136">
        <f t="shared" si="14"/>
        <v>0</v>
      </c>
      <c r="D66" s="136">
        <f t="shared" si="14"/>
        <v>0</v>
      </c>
      <c r="E66" s="136">
        <f t="shared" si="14"/>
        <v>0</v>
      </c>
      <c r="F66" s="136">
        <f t="shared" si="14"/>
        <v>0</v>
      </c>
      <c r="G66" s="136">
        <f t="shared" si="14"/>
        <v>0</v>
      </c>
      <c r="H66" s="136">
        <f t="shared" si="14"/>
        <v>0</v>
      </c>
      <c r="I66" s="136">
        <f t="shared" si="14"/>
        <v>0</v>
      </c>
      <c r="J66" s="160">
        <f t="shared" si="14"/>
        <v>0</v>
      </c>
      <c r="K66" s="6"/>
      <c r="L66" s="137">
        <f>+A66</f>
        <v>45614</v>
      </c>
      <c r="M66" s="138">
        <f>SUM(M67:M73)</f>
        <v>0</v>
      </c>
      <c r="N66" s="52">
        <f>+IF($M$1=0,"-",+M66/$M$1)</f>
        <v>0</v>
      </c>
      <c r="O66" s="7"/>
      <c r="P66" s="7"/>
    </row>
    <row r="67" spans="1:16" x14ac:dyDescent="0.25">
      <c r="A67" s="12" t="s">
        <v>8</v>
      </c>
      <c r="B67" s="298">
        <v>0</v>
      </c>
      <c r="C67" s="298">
        <v>0</v>
      </c>
      <c r="D67" s="298">
        <v>0</v>
      </c>
      <c r="E67" s="298">
        <v>0</v>
      </c>
      <c r="F67" s="298">
        <v>0</v>
      </c>
      <c r="G67" s="298">
        <v>0</v>
      </c>
      <c r="H67" s="298">
        <v>0</v>
      </c>
      <c r="I67" s="298">
        <v>0</v>
      </c>
      <c r="J67" s="299">
        <v>0</v>
      </c>
      <c r="K67" s="9"/>
      <c r="L67" s="158" t="s">
        <v>117</v>
      </c>
      <c r="M67" s="159">
        <f t="shared" ref="M67:M74" si="15">SUM(B67:J67)</f>
        <v>0</v>
      </c>
      <c r="N67" s="52" t="str">
        <f>+IF(M66=0,"-",+M67/M66)</f>
        <v>-</v>
      </c>
      <c r="O67" s="7"/>
      <c r="P67" s="7"/>
    </row>
    <row r="68" spans="1:16" x14ac:dyDescent="0.25">
      <c r="A68" s="12" t="s">
        <v>62</v>
      </c>
      <c r="B68" s="298">
        <v>0</v>
      </c>
      <c r="C68" s="298">
        <v>0</v>
      </c>
      <c r="D68" s="298">
        <v>0</v>
      </c>
      <c r="E68" s="298">
        <v>0</v>
      </c>
      <c r="F68" s="298">
        <v>0</v>
      </c>
      <c r="G68" s="298">
        <v>0</v>
      </c>
      <c r="H68" s="298">
        <v>0</v>
      </c>
      <c r="I68" s="298">
        <v>0</v>
      </c>
      <c r="J68" s="299">
        <v>0</v>
      </c>
      <c r="K68" s="9"/>
      <c r="L68" s="10" t="s">
        <v>118</v>
      </c>
      <c r="M68" s="11">
        <f t="shared" si="15"/>
        <v>0</v>
      </c>
      <c r="N68" s="52" t="str">
        <f>+IF(M66=0,"-",+M68/M66)</f>
        <v>-</v>
      </c>
      <c r="O68" s="18"/>
      <c r="P68" s="7"/>
    </row>
    <row r="69" spans="1:16" x14ac:dyDescent="0.25">
      <c r="A69" s="12" t="s">
        <v>63</v>
      </c>
      <c r="B69" s="298">
        <v>0</v>
      </c>
      <c r="C69" s="298">
        <v>0</v>
      </c>
      <c r="D69" s="298">
        <v>0</v>
      </c>
      <c r="E69" s="298">
        <v>0</v>
      </c>
      <c r="F69" s="298">
        <v>0</v>
      </c>
      <c r="G69" s="298">
        <v>0</v>
      </c>
      <c r="H69" s="298">
        <v>0</v>
      </c>
      <c r="I69" s="298">
        <v>0</v>
      </c>
      <c r="J69" s="299">
        <v>0</v>
      </c>
      <c r="K69" s="9"/>
      <c r="L69" s="10" t="s">
        <v>119</v>
      </c>
      <c r="M69" s="11">
        <f t="shared" si="15"/>
        <v>0</v>
      </c>
      <c r="N69" s="52" t="str">
        <f>+IF(M66=0,"-",+M69/M66)</f>
        <v>-</v>
      </c>
      <c r="O69" s="7"/>
      <c r="P69" s="7"/>
    </row>
    <row r="70" spans="1:16" x14ac:dyDescent="0.25">
      <c r="A70" s="12" t="s">
        <v>64</v>
      </c>
      <c r="B70" s="298">
        <v>0</v>
      </c>
      <c r="C70" s="298">
        <v>0</v>
      </c>
      <c r="D70" s="298">
        <v>0</v>
      </c>
      <c r="E70" s="298">
        <v>0</v>
      </c>
      <c r="F70" s="298">
        <v>0</v>
      </c>
      <c r="G70" s="298">
        <v>0</v>
      </c>
      <c r="H70" s="298">
        <v>0</v>
      </c>
      <c r="I70" s="298">
        <v>0</v>
      </c>
      <c r="J70" s="299">
        <v>0</v>
      </c>
      <c r="K70" s="9"/>
      <c r="L70" s="10" t="s">
        <v>120</v>
      </c>
      <c r="M70" s="11">
        <f t="shared" si="15"/>
        <v>0</v>
      </c>
      <c r="N70" s="52" t="str">
        <f>+IF(M66=0,"-",+M70/M66)</f>
        <v>-</v>
      </c>
      <c r="O70" s="7"/>
      <c r="P70" s="7"/>
    </row>
    <row r="71" spans="1:16" x14ac:dyDescent="0.25">
      <c r="A71" s="12" t="s">
        <v>121</v>
      </c>
      <c r="B71" s="298">
        <v>0</v>
      </c>
      <c r="C71" s="298">
        <v>0</v>
      </c>
      <c r="D71" s="298">
        <v>0</v>
      </c>
      <c r="E71" s="298">
        <v>0</v>
      </c>
      <c r="F71" s="298">
        <v>0</v>
      </c>
      <c r="G71" s="298">
        <v>0</v>
      </c>
      <c r="H71" s="298">
        <v>0</v>
      </c>
      <c r="I71" s="298">
        <v>0</v>
      </c>
      <c r="J71" s="299">
        <v>0</v>
      </c>
      <c r="K71" s="9"/>
      <c r="L71" s="10" t="s">
        <v>122</v>
      </c>
      <c r="M71" s="11">
        <f t="shared" si="15"/>
        <v>0</v>
      </c>
      <c r="N71" s="52" t="str">
        <f>+IF(M66=0,"-",+M71/M66)</f>
        <v>-</v>
      </c>
      <c r="O71" s="7"/>
      <c r="P71" s="7"/>
    </row>
    <row r="72" spans="1:16" x14ac:dyDescent="0.25">
      <c r="A72" s="12" t="s">
        <v>66</v>
      </c>
      <c r="B72" s="298">
        <v>0</v>
      </c>
      <c r="C72" s="298">
        <v>0</v>
      </c>
      <c r="D72" s="298">
        <v>0</v>
      </c>
      <c r="E72" s="298">
        <v>0</v>
      </c>
      <c r="F72" s="298">
        <v>0</v>
      </c>
      <c r="G72" s="298">
        <v>0</v>
      </c>
      <c r="H72" s="298">
        <v>0</v>
      </c>
      <c r="I72" s="298">
        <v>0</v>
      </c>
      <c r="J72" s="299">
        <v>0</v>
      </c>
      <c r="K72" s="9"/>
      <c r="L72" s="10" t="s">
        <v>123</v>
      </c>
      <c r="M72" s="11">
        <f t="shared" si="15"/>
        <v>0</v>
      </c>
      <c r="N72" s="52" t="str">
        <f>+IF(M66=0,"-",+M72/M66)</f>
        <v>-</v>
      </c>
      <c r="O72" s="7"/>
      <c r="P72" s="7"/>
    </row>
    <row r="73" spans="1:16" x14ac:dyDescent="0.25">
      <c r="A73" s="12" t="s">
        <v>68</v>
      </c>
      <c r="B73" s="298">
        <v>0</v>
      </c>
      <c r="C73" s="298">
        <v>0</v>
      </c>
      <c r="D73" s="298">
        <v>0</v>
      </c>
      <c r="E73" s="298">
        <v>0</v>
      </c>
      <c r="F73" s="298">
        <v>0</v>
      </c>
      <c r="G73" s="298">
        <v>0</v>
      </c>
      <c r="H73" s="298">
        <v>0</v>
      </c>
      <c r="I73" s="298">
        <v>0</v>
      </c>
      <c r="J73" s="299">
        <v>0</v>
      </c>
      <c r="K73" s="9"/>
      <c r="L73" s="10" t="s">
        <v>125</v>
      </c>
      <c r="M73" s="11">
        <f t="shared" si="15"/>
        <v>0</v>
      </c>
      <c r="N73" s="52" t="str">
        <f>+IF(M66=0,"-",+M73/M66)</f>
        <v>-</v>
      </c>
      <c r="O73" s="7"/>
      <c r="P73" s="7"/>
    </row>
    <row r="74" spans="1:16" x14ac:dyDescent="0.25">
      <c r="A74" s="22" t="s">
        <v>124</v>
      </c>
      <c r="B74" s="300">
        <v>0</v>
      </c>
      <c r="C74" s="922">
        <v>0</v>
      </c>
      <c r="D74" s="300">
        <v>0</v>
      </c>
      <c r="E74" s="300">
        <v>0</v>
      </c>
      <c r="F74" s="300">
        <v>0</v>
      </c>
      <c r="G74" s="300">
        <v>0</v>
      </c>
      <c r="H74" s="300">
        <v>0</v>
      </c>
      <c r="I74" s="300">
        <v>0</v>
      </c>
      <c r="J74" s="301">
        <v>0</v>
      </c>
      <c r="K74" s="9"/>
      <c r="L74" s="13" t="s">
        <v>245</v>
      </c>
      <c r="M74" s="14">
        <f t="shared" si="15"/>
        <v>0</v>
      </c>
      <c r="N74" s="52" t="str">
        <f>+IF(M66=0,"-",+M74/M66)</f>
        <v>-</v>
      </c>
      <c r="O74" s="7"/>
      <c r="P74" s="7"/>
    </row>
    <row r="75" spans="1:16" x14ac:dyDescent="0.25">
      <c r="A75" s="135">
        <f>+A66+33</f>
        <v>45647</v>
      </c>
      <c r="B75" s="136">
        <f t="shared" ref="B75:J75" si="16">SUM(B76:B82)</f>
        <v>19584</v>
      </c>
      <c r="C75" s="136">
        <f t="shared" si="16"/>
        <v>155819</v>
      </c>
      <c r="D75" s="136">
        <f t="shared" si="16"/>
        <v>81984</v>
      </c>
      <c r="E75" s="136">
        <f t="shared" si="16"/>
        <v>89988</v>
      </c>
      <c r="F75" s="136">
        <f t="shared" si="16"/>
        <v>19584</v>
      </c>
      <c r="G75" s="136">
        <f t="shared" si="16"/>
        <v>11459</v>
      </c>
      <c r="H75" s="136">
        <f t="shared" si="16"/>
        <v>14792</v>
      </c>
      <c r="I75" s="136">
        <f t="shared" si="16"/>
        <v>0</v>
      </c>
      <c r="J75" s="160">
        <f t="shared" si="16"/>
        <v>39734</v>
      </c>
      <c r="K75" s="6"/>
      <c r="L75" s="137">
        <f>+A75</f>
        <v>45647</v>
      </c>
      <c r="M75" s="138">
        <f>SUM(M76:M82)</f>
        <v>432944</v>
      </c>
      <c r="N75" s="52">
        <f>+IF($M$1=0,"-",+M75/$M$1)</f>
        <v>0.14244460639241163</v>
      </c>
      <c r="O75" s="7"/>
      <c r="P75" s="7"/>
    </row>
    <row r="76" spans="1:16" x14ac:dyDescent="0.25">
      <c r="A76" s="12" t="s">
        <v>8</v>
      </c>
      <c r="B76" s="298">
        <v>19584</v>
      </c>
      <c r="C76" s="298">
        <v>36459</v>
      </c>
      <c r="D76" s="298">
        <v>44584</v>
      </c>
      <c r="E76" s="298">
        <v>44584</v>
      </c>
      <c r="F76" s="298">
        <v>19584</v>
      </c>
      <c r="G76" s="298">
        <v>11459</v>
      </c>
      <c r="H76" s="298">
        <v>14792</v>
      </c>
      <c r="I76" s="298">
        <v>0</v>
      </c>
      <c r="J76" s="299">
        <v>24584</v>
      </c>
      <c r="K76" s="9"/>
      <c r="L76" s="158" t="s">
        <v>117</v>
      </c>
      <c r="M76" s="159">
        <f t="shared" ref="M76:M83" si="17">SUM(B76:J76)</f>
        <v>215630</v>
      </c>
      <c r="N76" s="52">
        <f>+IF(M75=0,"-",+M76/M75)</f>
        <v>0.49805517572711483</v>
      </c>
      <c r="O76" s="7"/>
      <c r="P76" s="7"/>
    </row>
    <row r="77" spans="1:16" x14ac:dyDescent="0.25">
      <c r="A77" s="12" t="s">
        <v>62</v>
      </c>
      <c r="B77" s="298">
        <v>0</v>
      </c>
      <c r="C77" s="298">
        <v>81900</v>
      </c>
      <c r="D77" s="298">
        <v>11500</v>
      </c>
      <c r="E77" s="298">
        <v>0</v>
      </c>
      <c r="F77" s="298">
        <v>0</v>
      </c>
      <c r="G77" s="298">
        <v>0</v>
      </c>
      <c r="H77" s="298">
        <v>0</v>
      </c>
      <c r="I77" s="298">
        <v>0</v>
      </c>
      <c r="J77" s="299">
        <v>3600</v>
      </c>
      <c r="K77" s="9"/>
      <c r="L77" s="10" t="s">
        <v>118</v>
      </c>
      <c r="M77" s="11">
        <f t="shared" si="17"/>
        <v>97000</v>
      </c>
      <c r="N77" s="52">
        <f>+IF(M75=0,"-",+M77/M75)</f>
        <v>0.22404745186444436</v>
      </c>
      <c r="O77" s="7"/>
      <c r="P77" s="7"/>
    </row>
    <row r="78" spans="1:16" x14ac:dyDescent="0.25">
      <c r="A78" s="12" t="s">
        <v>63</v>
      </c>
      <c r="B78" s="298">
        <v>0</v>
      </c>
      <c r="C78" s="298">
        <v>37460</v>
      </c>
      <c r="D78" s="298">
        <v>17800</v>
      </c>
      <c r="E78" s="298">
        <v>37300</v>
      </c>
      <c r="F78" s="298">
        <v>0</v>
      </c>
      <c r="G78" s="298">
        <v>0</v>
      </c>
      <c r="H78" s="298">
        <v>0</v>
      </c>
      <c r="I78" s="298">
        <v>0</v>
      </c>
      <c r="J78" s="299">
        <v>11550</v>
      </c>
      <c r="K78" s="9"/>
      <c r="L78" s="10" t="s">
        <v>119</v>
      </c>
      <c r="M78" s="11">
        <f t="shared" si="17"/>
        <v>104110</v>
      </c>
      <c r="N78" s="52">
        <f>+IF(M75=0,"-",+M78/M75)</f>
        <v>0.24046989910935362</v>
      </c>
      <c r="O78" s="7"/>
      <c r="P78" s="7"/>
    </row>
    <row r="79" spans="1:16" x14ac:dyDescent="0.25">
      <c r="A79" s="12" t="s">
        <v>64</v>
      </c>
      <c r="B79" s="298">
        <v>0</v>
      </c>
      <c r="C79" s="298">
        <v>0</v>
      </c>
      <c r="D79" s="298">
        <v>3000</v>
      </c>
      <c r="E79" s="298">
        <v>0</v>
      </c>
      <c r="F79" s="298">
        <v>0</v>
      </c>
      <c r="G79" s="298">
        <v>0</v>
      </c>
      <c r="H79" s="298">
        <v>0</v>
      </c>
      <c r="I79" s="298">
        <v>0</v>
      </c>
      <c r="J79" s="299">
        <v>0</v>
      </c>
      <c r="K79" s="9"/>
      <c r="L79" s="10" t="s">
        <v>120</v>
      </c>
      <c r="M79" s="11">
        <f t="shared" si="17"/>
        <v>3000</v>
      </c>
      <c r="N79" s="52">
        <f>+IF(M75=0,"-",+M79/M75)</f>
        <v>6.9293026349828155E-3</v>
      </c>
      <c r="O79" s="7"/>
      <c r="P79" s="7"/>
    </row>
    <row r="80" spans="1:16" x14ac:dyDescent="0.25">
      <c r="A80" s="12" t="s">
        <v>121</v>
      </c>
      <c r="B80" s="298">
        <v>0</v>
      </c>
      <c r="C80" s="298">
        <v>0</v>
      </c>
      <c r="D80" s="298">
        <v>5100</v>
      </c>
      <c r="E80" s="298">
        <v>8104</v>
      </c>
      <c r="F80" s="298">
        <v>0</v>
      </c>
      <c r="G80" s="298">
        <v>0</v>
      </c>
      <c r="H80" s="298">
        <v>0</v>
      </c>
      <c r="I80" s="298">
        <v>0</v>
      </c>
      <c r="J80" s="299">
        <v>0</v>
      </c>
      <c r="K80" s="9"/>
      <c r="L80" s="10" t="s">
        <v>122</v>
      </c>
      <c r="M80" s="11">
        <f t="shared" si="17"/>
        <v>13204</v>
      </c>
      <c r="N80" s="52">
        <f>+IF(M75=0,"-",+M80/M75)</f>
        <v>3.0498170664104363E-2</v>
      </c>
      <c r="O80" s="7"/>
      <c r="P80" s="7"/>
    </row>
    <row r="81" spans="1:16" x14ac:dyDescent="0.25">
      <c r="A81" s="12" t="s">
        <v>66</v>
      </c>
      <c r="B81" s="298">
        <v>0</v>
      </c>
      <c r="C81" s="298">
        <v>0</v>
      </c>
      <c r="D81" s="298">
        <v>0</v>
      </c>
      <c r="E81" s="298">
        <v>0</v>
      </c>
      <c r="F81" s="298">
        <v>0</v>
      </c>
      <c r="G81" s="298">
        <v>0</v>
      </c>
      <c r="H81" s="298">
        <v>0</v>
      </c>
      <c r="I81" s="298">
        <v>0</v>
      </c>
      <c r="J81" s="299">
        <v>0</v>
      </c>
      <c r="K81" s="9"/>
      <c r="L81" s="10" t="s">
        <v>123</v>
      </c>
      <c r="M81" s="11">
        <f t="shared" si="17"/>
        <v>0</v>
      </c>
      <c r="N81" s="52">
        <f>+IF(M75=0,"-",+M81/M75)</f>
        <v>0</v>
      </c>
      <c r="O81" s="7"/>
      <c r="P81" s="7"/>
    </row>
    <row r="82" spans="1:16" x14ac:dyDescent="0.25">
      <c r="A82" s="12" t="s">
        <v>68</v>
      </c>
      <c r="B82" s="298">
        <v>0</v>
      </c>
      <c r="C82" s="298">
        <v>0</v>
      </c>
      <c r="D82" s="298">
        <v>0</v>
      </c>
      <c r="E82" s="298">
        <v>0</v>
      </c>
      <c r="F82" s="298">
        <v>0</v>
      </c>
      <c r="G82" s="298">
        <v>0</v>
      </c>
      <c r="H82" s="298">
        <v>0</v>
      </c>
      <c r="I82" s="298">
        <v>0</v>
      </c>
      <c r="J82" s="299">
        <v>0</v>
      </c>
      <c r="K82" s="9"/>
      <c r="L82" s="10" t="s">
        <v>125</v>
      </c>
      <c r="M82" s="11">
        <f t="shared" si="17"/>
        <v>0</v>
      </c>
      <c r="N82" s="52">
        <f>+IF(M75=0,"-",+M82/M75)</f>
        <v>0</v>
      </c>
      <c r="O82" s="7"/>
      <c r="P82" s="7"/>
    </row>
    <row r="83" spans="1:16" x14ac:dyDescent="0.25">
      <c r="A83" s="22" t="s">
        <v>124</v>
      </c>
      <c r="B83" s="300">
        <v>0</v>
      </c>
      <c r="C83" s="300">
        <v>20000</v>
      </c>
      <c r="D83" s="300">
        <v>0</v>
      </c>
      <c r="E83" s="300">
        <v>0</v>
      </c>
      <c r="F83" s="300">
        <v>0</v>
      </c>
      <c r="G83" s="300">
        <v>0</v>
      </c>
      <c r="H83" s="300">
        <v>0</v>
      </c>
      <c r="I83" s="300">
        <v>0</v>
      </c>
      <c r="J83" s="301">
        <v>0</v>
      </c>
      <c r="K83" s="9"/>
      <c r="L83" s="13" t="s">
        <v>245</v>
      </c>
      <c r="M83" s="14">
        <f t="shared" si="17"/>
        <v>20000</v>
      </c>
      <c r="N83" s="52">
        <f>+IF(M75=0,"-",+M83/M75)</f>
        <v>4.6195350899885433E-2</v>
      </c>
      <c r="O83" s="7"/>
      <c r="P83" s="7"/>
    </row>
    <row r="84" spans="1:16" x14ac:dyDescent="0.25">
      <c r="A84" s="135">
        <f>+A75+33</f>
        <v>45680</v>
      </c>
      <c r="B84" s="136">
        <f t="shared" ref="B84:J84" si="18">SUM(B85:B91)</f>
        <v>0</v>
      </c>
      <c r="C84" s="136">
        <f t="shared" si="18"/>
        <v>0</v>
      </c>
      <c r="D84" s="136">
        <f t="shared" si="18"/>
        <v>0</v>
      </c>
      <c r="E84" s="136">
        <f t="shared" si="18"/>
        <v>0</v>
      </c>
      <c r="F84" s="136">
        <f t="shared" si="18"/>
        <v>0</v>
      </c>
      <c r="G84" s="136">
        <f t="shared" si="18"/>
        <v>0</v>
      </c>
      <c r="H84" s="136">
        <f t="shared" si="18"/>
        <v>0</v>
      </c>
      <c r="I84" s="136">
        <f t="shared" si="18"/>
        <v>0</v>
      </c>
      <c r="J84" s="160">
        <f t="shared" si="18"/>
        <v>0</v>
      </c>
      <c r="K84" s="6"/>
      <c r="L84" s="137">
        <f>+A84</f>
        <v>45680</v>
      </c>
      <c r="M84" s="138">
        <f>SUM(M85:M91)</f>
        <v>0</v>
      </c>
      <c r="N84" s="52">
        <f>+IF($M$1=0,"-",+M84/$M$1)</f>
        <v>0</v>
      </c>
      <c r="O84" s="7"/>
      <c r="P84" s="7"/>
    </row>
    <row r="85" spans="1:16" x14ac:dyDescent="0.25">
      <c r="A85" s="12" t="s">
        <v>8</v>
      </c>
      <c r="B85" s="298">
        <v>0</v>
      </c>
      <c r="C85" s="298">
        <v>0</v>
      </c>
      <c r="D85" s="298">
        <v>0</v>
      </c>
      <c r="E85" s="298">
        <v>0</v>
      </c>
      <c r="F85" s="298">
        <v>0</v>
      </c>
      <c r="G85" s="298">
        <v>0</v>
      </c>
      <c r="H85" s="298">
        <v>0</v>
      </c>
      <c r="I85" s="298">
        <v>0</v>
      </c>
      <c r="J85" s="299">
        <v>0</v>
      </c>
      <c r="K85" s="9"/>
      <c r="L85" s="158" t="s">
        <v>117</v>
      </c>
      <c r="M85" s="159">
        <f t="shared" ref="M85:M92" si="19">SUM(B85:J85)</f>
        <v>0</v>
      </c>
      <c r="N85" s="52" t="str">
        <f>+IF(M84=0,"-",+M85/M84)</f>
        <v>-</v>
      </c>
      <c r="O85" s="7"/>
      <c r="P85" s="7"/>
    </row>
    <row r="86" spans="1:16" x14ac:dyDescent="0.25">
      <c r="A86" s="12" t="s">
        <v>62</v>
      </c>
      <c r="B86" s="298">
        <v>0</v>
      </c>
      <c r="C86" s="298">
        <v>0</v>
      </c>
      <c r="D86" s="298">
        <v>0</v>
      </c>
      <c r="E86" s="298">
        <v>0</v>
      </c>
      <c r="F86" s="298">
        <v>0</v>
      </c>
      <c r="G86" s="298">
        <v>0</v>
      </c>
      <c r="H86" s="298">
        <v>0</v>
      </c>
      <c r="I86" s="298">
        <v>0</v>
      </c>
      <c r="J86" s="299">
        <v>0</v>
      </c>
      <c r="K86" s="9"/>
      <c r="L86" s="10" t="s">
        <v>118</v>
      </c>
      <c r="M86" s="11">
        <f t="shared" si="19"/>
        <v>0</v>
      </c>
      <c r="N86" s="52" t="str">
        <f>+IF(M84=0,"-",+M86/M84)</f>
        <v>-</v>
      </c>
      <c r="O86" s="7"/>
      <c r="P86" s="7"/>
    </row>
    <row r="87" spans="1:16" x14ac:dyDescent="0.25">
      <c r="A87" s="12" t="s">
        <v>63</v>
      </c>
      <c r="B87" s="298">
        <v>0</v>
      </c>
      <c r="C87" s="298">
        <v>0</v>
      </c>
      <c r="D87" s="298">
        <v>0</v>
      </c>
      <c r="E87" s="298">
        <v>0</v>
      </c>
      <c r="F87" s="298">
        <v>0</v>
      </c>
      <c r="G87" s="298">
        <v>0</v>
      </c>
      <c r="H87" s="298">
        <v>0</v>
      </c>
      <c r="I87" s="298">
        <v>0</v>
      </c>
      <c r="J87" s="299">
        <v>0</v>
      </c>
      <c r="K87" s="9"/>
      <c r="L87" s="10" t="s">
        <v>119</v>
      </c>
      <c r="M87" s="11">
        <f t="shared" si="19"/>
        <v>0</v>
      </c>
      <c r="N87" s="52" t="str">
        <f>+IF(M84=0,"-",+M87/M84)</f>
        <v>-</v>
      </c>
      <c r="O87" s="7"/>
      <c r="P87" s="7"/>
    </row>
    <row r="88" spans="1:16" x14ac:dyDescent="0.25">
      <c r="A88" s="12" t="s">
        <v>64</v>
      </c>
      <c r="B88" s="298">
        <v>0</v>
      </c>
      <c r="C88" s="298">
        <v>0</v>
      </c>
      <c r="D88" s="298">
        <v>0</v>
      </c>
      <c r="E88" s="298">
        <v>0</v>
      </c>
      <c r="F88" s="298">
        <v>0</v>
      </c>
      <c r="G88" s="298">
        <v>0</v>
      </c>
      <c r="H88" s="298">
        <v>0</v>
      </c>
      <c r="I88" s="298">
        <v>0</v>
      </c>
      <c r="J88" s="299">
        <v>0</v>
      </c>
      <c r="K88" s="9"/>
      <c r="L88" s="10" t="s">
        <v>120</v>
      </c>
      <c r="M88" s="11">
        <f t="shared" si="19"/>
        <v>0</v>
      </c>
      <c r="N88" s="52" t="str">
        <f>+IF(M84=0,"-",+M88/M84)</f>
        <v>-</v>
      </c>
      <c r="O88" s="7"/>
      <c r="P88" s="7"/>
    </row>
    <row r="89" spans="1:16" x14ac:dyDescent="0.25">
      <c r="A89" s="12" t="s">
        <v>121</v>
      </c>
      <c r="B89" s="298">
        <v>0</v>
      </c>
      <c r="C89" s="298">
        <v>0</v>
      </c>
      <c r="D89" s="298">
        <v>0</v>
      </c>
      <c r="E89" s="298">
        <v>0</v>
      </c>
      <c r="F89" s="298">
        <v>0</v>
      </c>
      <c r="G89" s="298">
        <v>0</v>
      </c>
      <c r="H89" s="298">
        <v>0</v>
      </c>
      <c r="I89" s="298">
        <v>0</v>
      </c>
      <c r="J89" s="299">
        <v>0</v>
      </c>
      <c r="K89" s="9"/>
      <c r="L89" s="10" t="s">
        <v>122</v>
      </c>
      <c r="M89" s="11">
        <f t="shared" si="19"/>
        <v>0</v>
      </c>
      <c r="N89" s="52" t="str">
        <f>+IF(M84=0,"-",+M89/M84)</f>
        <v>-</v>
      </c>
      <c r="O89" s="7"/>
      <c r="P89" s="7"/>
    </row>
    <row r="90" spans="1:16" x14ac:dyDescent="0.25">
      <c r="A90" s="12" t="s">
        <v>66</v>
      </c>
      <c r="B90" s="298">
        <v>0</v>
      </c>
      <c r="C90" s="298">
        <v>0</v>
      </c>
      <c r="D90" s="298">
        <v>0</v>
      </c>
      <c r="E90" s="298">
        <v>0</v>
      </c>
      <c r="F90" s="298">
        <v>0</v>
      </c>
      <c r="G90" s="298">
        <v>0</v>
      </c>
      <c r="H90" s="298">
        <v>0</v>
      </c>
      <c r="I90" s="298">
        <v>0</v>
      </c>
      <c r="J90" s="299">
        <v>0</v>
      </c>
      <c r="K90" s="9"/>
      <c r="L90" s="10" t="s">
        <v>123</v>
      </c>
      <c r="M90" s="11">
        <f t="shared" si="19"/>
        <v>0</v>
      </c>
      <c r="N90" s="52" t="str">
        <f>+IF(M84=0,"-",+M90/M84)</f>
        <v>-</v>
      </c>
      <c r="O90" s="7"/>
      <c r="P90" s="7"/>
    </row>
    <row r="91" spans="1:16" x14ac:dyDescent="0.25">
      <c r="A91" s="12" t="s">
        <v>68</v>
      </c>
      <c r="B91" s="298">
        <v>0</v>
      </c>
      <c r="C91" s="298">
        <v>0</v>
      </c>
      <c r="D91" s="298">
        <v>0</v>
      </c>
      <c r="E91" s="298">
        <v>0</v>
      </c>
      <c r="F91" s="298">
        <v>0</v>
      </c>
      <c r="G91" s="298">
        <v>0</v>
      </c>
      <c r="H91" s="298">
        <v>0</v>
      </c>
      <c r="I91" s="298">
        <v>0</v>
      </c>
      <c r="J91" s="299">
        <v>0</v>
      </c>
      <c r="K91" s="9"/>
      <c r="L91" s="10" t="s">
        <v>125</v>
      </c>
      <c r="M91" s="11">
        <f t="shared" si="19"/>
        <v>0</v>
      </c>
      <c r="N91" s="52" t="str">
        <f>+IF(M84=0,"-",+M91/M84)</f>
        <v>-</v>
      </c>
      <c r="O91" s="7"/>
      <c r="P91" s="7"/>
    </row>
    <row r="92" spans="1:16" x14ac:dyDescent="0.25">
      <c r="A92" s="22" t="s">
        <v>124</v>
      </c>
      <c r="B92" s="300">
        <v>0</v>
      </c>
      <c r="C92" s="300">
        <v>0</v>
      </c>
      <c r="D92" s="300">
        <v>0</v>
      </c>
      <c r="E92" s="300">
        <v>0</v>
      </c>
      <c r="F92" s="300">
        <v>0</v>
      </c>
      <c r="G92" s="300">
        <v>0</v>
      </c>
      <c r="H92" s="300">
        <v>0</v>
      </c>
      <c r="I92" s="300">
        <v>0</v>
      </c>
      <c r="J92" s="301">
        <v>0</v>
      </c>
      <c r="K92" s="9"/>
      <c r="L92" s="13" t="s">
        <v>245</v>
      </c>
      <c r="M92" s="14">
        <f t="shared" si="19"/>
        <v>0</v>
      </c>
      <c r="N92" s="52" t="str">
        <f>+IF(M84=0,"-",+M92/M84)</f>
        <v>-</v>
      </c>
      <c r="O92" s="7"/>
      <c r="P92" s="7"/>
    </row>
    <row r="93" spans="1:16" x14ac:dyDescent="0.25">
      <c r="A93" s="135">
        <f>+A84+33</f>
        <v>45713</v>
      </c>
      <c r="B93" s="136">
        <f t="shared" ref="B93:J93" si="20">SUM(B94:B100)</f>
        <v>30000</v>
      </c>
      <c r="C93" s="136">
        <f t="shared" si="20"/>
        <v>76104</v>
      </c>
      <c r="D93" s="136">
        <f t="shared" si="20"/>
        <v>3542</v>
      </c>
      <c r="E93" s="136">
        <f t="shared" si="20"/>
        <v>3542</v>
      </c>
      <c r="F93" s="136">
        <f t="shared" si="20"/>
        <v>23542</v>
      </c>
      <c r="G93" s="136">
        <f t="shared" si="20"/>
        <v>3542</v>
      </c>
      <c r="H93" s="136">
        <f t="shared" si="20"/>
        <v>3542</v>
      </c>
      <c r="I93" s="136">
        <f t="shared" si="20"/>
        <v>0</v>
      </c>
      <c r="J93" s="160">
        <f t="shared" si="20"/>
        <v>3542</v>
      </c>
      <c r="K93" s="6"/>
      <c r="L93" s="137">
        <f>+A93</f>
        <v>45713</v>
      </c>
      <c r="M93" s="138">
        <f>SUM(M94:M100)</f>
        <v>147356</v>
      </c>
      <c r="N93" s="52">
        <f>+IF($M$1=0,"-",+M93/$M$1)</f>
        <v>4.8482176492941828E-2</v>
      </c>
      <c r="O93" s="7"/>
      <c r="P93" s="7"/>
    </row>
    <row r="94" spans="1:16" x14ac:dyDescent="0.25">
      <c r="A94" s="12" t="s">
        <v>8</v>
      </c>
      <c r="B94" s="298">
        <v>20000</v>
      </c>
      <c r="C94" s="298">
        <v>23542</v>
      </c>
      <c r="D94" s="298">
        <v>3542</v>
      </c>
      <c r="E94" s="298">
        <v>3542</v>
      </c>
      <c r="F94" s="298">
        <v>23542</v>
      </c>
      <c r="G94" s="298">
        <v>3542</v>
      </c>
      <c r="H94" s="298">
        <v>3542</v>
      </c>
      <c r="I94" s="298">
        <v>0</v>
      </c>
      <c r="J94" s="299">
        <v>3542</v>
      </c>
      <c r="K94" s="9"/>
      <c r="L94" s="158" t="s">
        <v>117</v>
      </c>
      <c r="M94" s="159">
        <f t="shared" ref="M94:M101" si="21">SUM(B94:J94)</f>
        <v>84794</v>
      </c>
      <c r="N94" s="52">
        <f>+IF(M93=0,"-",+M94/M93)</f>
        <v>0.57543635820733463</v>
      </c>
      <c r="O94" s="7"/>
      <c r="P94" s="7"/>
    </row>
    <row r="95" spans="1:16" x14ac:dyDescent="0.25">
      <c r="A95" s="12" t="s">
        <v>62</v>
      </c>
      <c r="B95" s="298">
        <v>10000</v>
      </c>
      <c r="C95" s="298">
        <v>0</v>
      </c>
      <c r="D95" s="298">
        <v>0</v>
      </c>
      <c r="E95" s="298">
        <v>0</v>
      </c>
      <c r="F95" s="298">
        <v>0</v>
      </c>
      <c r="G95" s="298">
        <v>0</v>
      </c>
      <c r="H95" s="298">
        <v>0</v>
      </c>
      <c r="I95" s="298">
        <v>0</v>
      </c>
      <c r="J95" s="299">
        <v>0</v>
      </c>
      <c r="K95" s="9"/>
      <c r="L95" s="10" t="s">
        <v>118</v>
      </c>
      <c r="M95" s="11">
        <f t="shared" si="21"/>
        <v>10000</v>
      </c>
      <c r="N95" s="52">
        <f>+IF(M93=0,"-",+M95/M93)</f>
        <v>6.7862862727001275E-2</v>
      </c>
      <c r="O95" s="7"/>
      <c r="P95" s="7"/>
    </row>
    <row r="96" spans="1:16" x14ac:dyDescent="0.25">
      <c r="A96" s="12" t="s">
        <v>63</v>
      </c>
      <c r="B96" s="298">
        <v>0</v>
      </c>
      <c r="C96" s="298">
        <v>0</v>
      </c>
      <c r="D96" s="298">
        <v>0</v>
      </c>
      <c r="E96" s="298">
        <v>0</v>
      </c>
      <c r="F96" s="298">
        <v>0</v>
      </c>
      <c r="G96" s="298">
        <v>0</v>
      </c>
      <c r="H96" s="298">
        <v>0</v>
      </c>
      <c r="I96" s="298">
        <v>0</v>
      </c>
      <c r="J96" s="299">
        <v>0</v>
      </c>
      <c r="K96" s="9"/>
      <c r="L96" s="10" t="s">
        <v>119</v>
      </c>
      <c r="M96" s="11">
        <f t="shared" si="21"/>
        <v>0</v>
      </c>
      <c r="N96" s="52">
        <f>+IF(M93=0,"-",+M96/M93)</f>
        <v>0</v>
      </c>
      <c r="O96" s="7"/>
      <c r="P96" s="7"/>
    </row>
    <row r="97" spans="1:16" x14ac:dyDescent="0.25">
      <c r="A97" s="12" t="s">
        <v>64</v>
      </c>
      <c r="B97" s="298">
        <v>0</v>
      </c>
      <c r="C97" s="298">
        <v>0</v>
      </c>
      <c r="D97" s="298">
        <v>0</v>
      </c>
      <c r="E97" s="298">
        <v>0</v>
      </c>
      <c r="F97" s="298">
        <v>0</v>
      </c>
      <c r="G97" s="298">
        <v>0</v>
      </c>
      <c r="H97" s="298">
        <v>0</v>
      </c>
      <c r="I97" s="298">
        <v>0</v>
      </c>
      <c r="J97" s="299">
        <v>0</v>
      </c>
      <c r="K97" s="9"/>
      <c r="L97" s="10" t="s">
        <v>120</v>
      </c>
      <c r="M97" s="11">
        <f t="shared" si="21"/>
        <v>0</v>
      </c>
      <c r="N97" s="52">
        <f>+IF(M93=0,"-",+M97/M93)</f>
        <v>0</v>
      </c>
      <c r="O97" s="7"/>
      <c r="P97" s="7"/>
    </row>
    <row r="98" spans="1:16" x14ac:dyDescent="0.25">
      <c r="A98" s="12" t="s">
        <v>121</v>
      </c>
      <c r="B98" s="298">
        <v>0</v>
      </c>
      <c r="C98" s="298">
        <v>0</v>
      </c>
      <c r="D98" s="298">
        <v>0</v>
      </c>
      <c r="E98" s="298">
        <v>0</v>
      </c>
      <c r="F98" s="298">
        <v>0</v>
      </c>
      <c r="G98" s="298">
        <v>0</v>
      </c>
      <c r="H98" s="298">
        <v>0</v>
      </c>
      <c r="I98" s="298">
        <v>0</v>
      </c>
      <c r="J98" s="299">
        <v>0</v>
      </c>
      <c r="K98" s="9"/>
      <c r="L98" s="10" t="s">
        <v>122</v>
      </c>
      <c r="M98" s="11">
        <f t="shared" si="21"/>
        <v>0</v>
      </c>
      <c r="N98" s="52">
        <f>+IF(M93=0,"-",+M98/M93)</f>
        <v>0</v>
      </c>
      <c r="O98" s="7"/>
      <c r="P98" s="7"/>
    </row>
    <row r="99" spans="1:16" x14ac:dyDescent="0.25">
      <c r="A99" s="12" t="s">
        <v>66</v>
      </c>
      <c r="B99" s="298">
        <v>0</v>
      </c>
      <c r="C99" s="298">
        <v>0</v>
      </c>
      <c r="D99" s="298">
        <v>0</v>
      </c>
      <c r="E99" s="298">
        <v>0</v>
      </c>
      <c r="F99" s="298">
        <v>0</v>
      </c>
      <c r="G99" s="298">
        <v>0</v>
      </c>
      <c r="H99" s="298">
        <v>0</v>
      </c>
      <c r="I99" s="298">
        <v>0</v>
      </c>
      <c r="J99" s="299">
        <v>0</v>
      </c>
      <c r="K99" s="9"/>
      <c r="L99" s="10" t="s">
        <v>123</v>
      </c>
      <c r="M99" s="11">
        <f t="shared" si="21"/>
        <v>0</v>
      </c>
      <c r="N99" s="52">
        <f>+IF(M93=0,"-",+M99/M93)</f>
        <v>0</v>
      </c>
      <c r="O99" s="7"/>
      <c r="P99" s="7"/>
    </row>
    <row r="100" spans="1:16" x14ac:dyDescent="0.25">
      <c r="A100" s="12" t="s">
        <v>68</v>
      </c>
      <c r="B100" s="298">
        <v>0</v>
      </c>
      <c r="C100" s="298">
        <v>52562</v>
      </c>
      <c r="D100" s="298">
        <v>0</v>
      </c>
      <c r="E100" s="298">
        <v>0</v>
      </c>
      <c r="F100" s="298">
        <v>0</v>
      </c>
      <c r="G100" s="298">
        <v>0</v>
      </c>
      <c r="H100" s="298">
        <v>0</v>
      </c>
      <c r="I100" s="298">
        <v>0</v>
      </c>
      <c r="J100" s="299">
        <v>0</v>
      </c>
      <c r="K100" s="9"/>
      <c r="L100" s="10" t="s">
        <v>125</v>
      </c>
      <c r="M100" s="11">
        <f t="shared" si="21"/>
        <v>52562</v>
      </c>
      <c r="N100" s="52">
        <f>+IF(M93=0,"-",+M100/M93)</f>
        <v>0.35670077906566411</v>
      </c>
      <c r="O100" s="7"/>
      <c r="P100" s="7"/>
    </row>
    <row r="101" spans="1:16" x14ac:dyDescent="0.25">
      <c r="A101" s="22" t="s">
        <v>124</v>
      </c>
      <c r="B101" s="300">
        <v>0</v>
      </c>
      <c r="C101" s="300">
        <v>0</v>
      </c>
      <c r="D101" s="300">
        <v>0</v>
      </c>
      <c r="E101" s="300">
        <v>0</v>
      </c>
      <c r="F101" s="300">
        <v>0</v>
      </c>
      <c r="G101" s="300">
        <v>0</v>
      </c>
      <c r="H101" s="300">
        <v>0</v>
      </c>
      <c r="I101" s="300">
        <v>0</v>
      </c>
      <c r="J101" s="301">
        <v>0</v>
      </c>
      <c r="K101" s="9"/>
      <c r="L101" s="13" t="s">
        <v>245</v>
      </c>
      <c r="M101" s="14">
        <f t="shared" si="21"/>
        <v>0</v>
      </c>
      <c r="N101" s="52">
        <f>+IF(M93=0,"-",+M101/M93)</f>
        <v>0</v>
      </c>
      <c r="O101" s="7"/>
      <c r="P101" s="7"/>
    </row>
    <row r="102" spans="1:16" x14ac:dyDescent="0.25">
      <c r="A102" s="135">
        <f>+A93+33</f>
        <v>45746</v>
      </c>
      <c r="B102" s="136">
        <f t="shared" ref="B102:J102" si="22">SUM(B103:B109)</f>
        <v>72666</v>
      </c>
      <c r="C102" s="136">
        <f t="shared" si="22"/>
        <v>206603</v>
      </c>
      <c r="D102" s="136">
        <f t="shared" si="22"/>
        <v>340649</v>
      </c>
      <c r="E102" s="136">
        <f t="shared" si="22"/>
        <v>116862</v>
      </c>
      <c r="F102" s="136">
        <f t="shared" si="22"/>
        <v>14666</v>
      </c>
      <c r="G102" s="136">
        <f t="shared" si="22"/>
        <v>34666</v>
      </c>
      <c r="H102" s="136">
        <f t="shared" si="22"/>
        <v>14666</v>
      </c>
      <c r="I102" s="136">
        <f t="shared" si="22"/>
        <v>0</v>
      </c>
      <c r="J102" s="160">
        <f t="shared" si="22"/>
        <v>28666</v>
      </c>
      <c r="K102" s="6"/>
      <c r="L102" s="137">
        <f>+A102</f>
        <v>45746</v>
      </c>
      <c r="M102" s="138">
        <f>SUM(M103:M109)</f>
        <v>829444</v>
      </c>
      <c r="N102" s="52">
        <f>+IF($M$1=0,"-",+M102/$M$1)</f>
        <v>0.27289862916346563</v>
      </c>
      <c r="O102" s="7"/>
      <c r="P102" s="7"/>
    </row>
    <row r="103" spans="1:16" x14ac:dyDescent="0.25">
      <c r="A103" s="12" t="s">
        <v>8</v>
      </c>
      <c r="B103" s="298">
        <v>34666</v>
      </c>
      <c r="C103" s="298">
        <v>44083</v>
      </c>
      <c r="D103" s="298">
        <v>39666</v>
      </c>
      <c r="E103" s="298">
        <v>50916</v>
      </c>
      <c r="F103" s="298">
        <v>14666</v>
      </c>
      <c r="G103" s="298">
        <v>34666</v>
      </c>
      <c r="H103" s="298">
        <v>14666</v>
      </c>
      <c r="I103" s="298">
        <v>0</v>
      </c>
      <c r="J103" s="299">
        <v>14666</v>
      </c>
      <c r="K103" s="9"/>
      <c r="L103" s="158" t="s">
        <v>117</v>
      </c>
      <c r="M103" s="159">
        <f t="shared" ref="M103:M111" si="23">SUM(B103:J103)</f>
        <v>247995</v>
      </c>
      <c r="N103" s="52">
        <f>+IF(M102=0,"-",+M103/M102)</f>
        <v>0.29898944353084717</v>
      </c>
      <c r="O103" s="7"/>
      <c r="P103" s="7"/>
    </row>
    <row r="104" spans="1:16" x14ac:dyDescent="0.25">
      <c r="A104" s="12" t="s">
        <v>62</v>
      </c>
      <c r="B104" s="298">
        <v>35000</v>
      </c>
      <c r="C104" s="298">
        <v>0</v>
      </c>
      <c r="D104" s="298">
        <v>13000</v>
      </c>
      <c r="E104" s="298">
        <v>41470</v>
      </c>
      <c r="F104" s="298">
        <v>0</v>
      </c>
      <c r="G104" s="298">
        <v>0</v>
      </c>
      <c r="H104" s="298">
        <v>0</v>
      </c>
      <c r="I104" s="298">
        <v>0</v>
      </c>
      <c r="J104" s="299">
        <v>0</v>
      </c>
      <c r="K104" s="9"/>
      <c r="L104" s="10" t="s">
        <v>118</v>
      </c>
      <c r="M104" s="11">
        <f t="shared" si="23"/>
        <v>89470</v>
      </c>
      <c r="N104" s="52">
        <f>+IF(M102=0,"-",+M104/M102)</f>
        <v>0.10786743891088488</v>
      </c>
      <c r="O104" s="7"/>
      <c r="P104" s="7"/>
    </row>
    <row r="105" spans="1:16" x14ac:dyDescent="0.25">
      <c r="A105" s="12" t="s">
        <v>63</v>
      </c>
      <c r="B105" s="298">
        <v>0</v>
      </c>
      <c r="C105" s="298">
        <v>0</v>
      </c>
      <c r="D105" s="298">
        <v>3400</v>
      </c>
      <c r="E105" s="298">
        <v>10500</v>
      </c>
      <c r="F105" s="298">
        <v>0</v>
      </c>
      <c r="G105" s="298">
        <v>0</v>
      </c>
      <c r="H105" s="298">
        <v>0</v>
      </c>
      <c r="I105" s="298">
        <v>0</v>
      </c>
      <c r="J105" s="299">
        <v>0</v>
      </c>
      <c r="K105" s="9"/>
      <c r="L105" s="10" t="s">
        <v>119</v>
      </c>
      <c r="M105" s="11">
        <f t="shared" si="23"/>
        <v>13900</v>
      </c>
      <c r="N105" s="52">
        <f>+IF(M102=0,"-",+M105/M102)</f>
        <v>1.6758213936082483E-2</v>
      </c>
      <c r="O105" s="7"/>
      <c r="P105" s="7"/>
    </row>
    <row r="106" spans="1:16" x14ac:dyDescent="0.25">
      <c r="A106" s="12" t="s">
        <v>64</v>
      </c>
      <c r="B106" s="298">
        <v>3000</v>
      </c>
      <c r="C106" s="298">
        <v>0</v>
      </c>
      <c r="D106" s="298">
        <v>2000</v>
      </c>
      <c r="E106" s="298">
        <v>3000</v>
      </c>
      <c r="F106" s="298">
        <v>0</v>
      </c>
      <c r="G106" s="298">
        <v>0</v>
      </c>
      <c r="H106" s="298">
        <v>0</v>
      </c>
      <c r="I106" s="298">
        <v>0</v>
      </c>
      <c r="J106" s="299">
        <v>0</v>
      </c>
      <c r="K106" s="9"/>
      <c r="L106" s="10" t="s">
        <v>120</v>
      </c>
      <c r="M106" s="11">
        <f t="shared" si="23"/>
        <v>8000</v>
      </c>
      <c r="N106" s="52">
        <f>+IF(M102=0,"-",+M106/M102)</f>
        <v>9.6450152150115015E-3</v>
      </c>
      <c r="O106" s="7"/>
      <c r="P106" s="7"/>
    </row>
    <row r="107" spans="1:16" x14ac:dyDescent="0.25">
      <c r="A107" s="12" t="s">
        <v>121</v>
      </c>
      <c r="B107" s="298">
        <v>0</v>
      </c>
      <c r="C107" s="298">
        <v>0</v>
      </c>
      <c r="D107" s="298">
        <v>2000</v>
      </c>
      <c r="E107" s="298">
        <v>9876</v>
      </c>
      <c r="F107" s="298">
        <v>0</v>
      </c>
      <c r="G107" s="298">
        <v>0</v>
      </c>
      <c r="H107" s="298">
        <v>0</v>
      </c>
      <c r="I107" s="298">
        <v>0</v>
      </c>
      <c r="J107" s="299">
        <v>0</v>
      </c>
      <c r="K107" s="9"/>
      <c r="L107" s="10" t="s">
        <v>122</v>
      </c>
      <c r="M107" s="11">
        <f t="shared" si="23"/>
        <v>11876</v>
      </c>
      <c r="N107" s="52">
        <f>+IF(M102=0,"-",+M107/M102)</f>
        <v>1.4318025086684574E-2</v>
      </c>
      <c r="O107" s="7"/>
      <c r="P107" s="7"/>
    </row>
    <row r="108" spans="1:16" x14ac:dyDescent="0.25">
      <c r="A108" s="12" t="s">
        <v>66</v>
      </c>
      <c r="B108" s="298">
        <v>0</v>
      </c>
      <c r="C108" s="298">
        <v>0</v>
      </c>
      <c r="D108" s="298">
        <v>0</v>
      </c>
      <c r="E108" s="298">
        <v>1100</v>
      </c>
      <c r="F108" s="298">
        <v>0</v>
      </c>
      <c r="G108" s="298">
        <v>0</v>
      </c>
      <c r="H108" s="298">
        <v>0</v>
      </c>
      <c r="I108" s="298">
        <v>0</v>
      </c>
      <c r="J108" s="299">
        <v>0</v>
      </c>
      <c r="K108" s="9"/>
      <c r="L108" s="10" t="s">
        <v>123</v>
      </c>
      <c r="M108" s="11">
        <f t="shared" si="23"/>
        <v>1100</v>
      </c>
      <c r="N108" s="52">
        <f>+IF(M102=0,"-",+M108/M102)</f>
        <v>1.3261895920640815E-3</v>
      </c>
      <c r="O108" s="7"/>
      <c r="P108" s="7"/>
    </row>
    <row r="109" spans="1:16" x14ac:dyDescent="0.25">
      <c r="A109" s="12" t="s">
        <v>68</v>
      </c>
      <c r="B109" s="298">
        <v>0</v>
      </c>
      <c r="C109" s="298">
        <v>162520</v>
      </c>
      <c r="D109" s="298">
        <v>280583</v>
      </c>
      <c r="E109" s="863" t="s">
        <v>816</v>
      </c>
      <c r="F109" s="298">
        <v>0</v>
      </c>
      <c r="G109" s="298">
        <v>0</v>
      </c>
      <c r="H109" s="863" t="s">
        <v>817</v>
      </c>
      <c r="I109" s="298">
        <v>0</v>
      </c>
      <c r="J109" s="299">
        <v>14000</v>
      </c>
      <c r="K109" s="9"/>
      <c r="L109" s="10" t="s">
        <v>125</v>
      </c>
      <c r="M109" s="11">
        <f t="shared" si="23"/>
        <v>457103</v>
      </c>
      <c r="N109" s="52">
        <f>+IF(M102=0,"-",+M109/M102)</f>
        <v>0.55109567372842527</v>
      </c>
      <c r="O109" s="7"/>
      <c r="P109" s="7"/>
    </row>
    <row r="110" spans="1:16" ht="15.75" thickBot="1" x14ac:dyDescent="0.3">
      <c r="A110" s="22" t="s">
        <v>124</v>
      </c>
      <c r="B110" s="300">
        <v>0</v>
      </c>
      <c r="C110" s="300">
        <v>80000</v>
      </c>
      <c r="D110" s="300">
        <v>0</v>
      </c>
      <c r="E110" s="300">
        <v>0</v>
      </c>
      <c r="F110" s="300">
        <v>0</v>
      </c>
      <c r="G110" s="300">
        <v>0</v>
      </c>
      <c r="H110" s="300">
        <v>0</v>
      </c>
      <c r="I110" s="300">
        <v>0</v>
      </c>
      <c r="J110" s="301">
        <v>0</v>
      </c>
      <c r="K110" s="9"/>
      <c r="L110" s="10" t="s">
        <v>245</v>
      </c>
      <c r="M110" s="11">
        <f t="shared" si="23"/>
        <v>80000</v>
      </c>
      <c r="N110" s="52">
        <f>+IF(M102=0,"-",+M110/M102)</f>
        <v>9.6450152150115015E-2</v>
      </c>
      <c r="O110" s="7"/>
      <c r="P110" s="7"/>
    </row>
    <row r="111" spans="1:16" ht="15.75" thickBot="1" x14ac:dyDescent="0.3">
      <c r="A111" s="480" t="s">
        <v>8</v>
      </c>
      <c r="B111" s="481">
        <f t="shared" ref="B111:J111" si="24">+B103+B94+B85+B76+B67+B58+B49+B40+B31+B22+B13+B4</f>
        <v>334542</v>
      </c>
      <c r="C111" s="481">
        <f t="shared" si="24"/>
        <v>244625</v>
      </c>
      <c r="D111" s="481">
        <f t="shared" si="24"/>
        <v>212083</v>
      </c>
      <c r="E111" s="481">
        <f t="shared" si="24"/>
        <v>270959</v>
      </c>
      <c r="F111" s="481">
        <f t="shared" si="24"/>
        <v>230000</v>
      </c>
      <c r="G111" s="481">
        <f t="shared" si="24"/>
        <v>203875</v>
      </c>
      <c r="H111" s="481">
        <f t="shared" si="24"/>
        <v>167500</v>
      </c>
      <c r="I111" s="481">
        <f t="shared" si="24"/>
        <v>0</v>
      </c>
      <c r="J111" s="482">
        <f t="shared" si="24"/>
        <v>116249</v>
      </c>
      <c r="K111" s="21"/>
      <c r="L111" s="485" t="s">
        <v>425</v>
      </c>
      <c r="M111" s="486">
        <f t="shared" si="23"/>
        <v>1779833</v>
      </c>
      <c r="N111" s="504">
        <f>+M111/$M$118</f>
        <v>0.58558984794621283</v>
      </c>
      <c r="O111" s="7"/>
      <c r="P111" s="7"/>
    </row>
    <row r="112" spans="1:16" x14ac:dyDescent="0.25">
      <c r="A112" s="477" t="s">
        <v>62</v>
      </c>
      <c r="B112" s="478">
        <f t="shared" ref="B112:J112" si="25">+B104+B95+B86+B77+B68+B59+B50+B41+B32+B23+B14+B5</f>
        <v>45000</v>
      </c>
      <c r="C112" s="478">
        <f t="shared" si="25"/>
        <v>137470</v>
      </c>
      <c r="D112" s="478">
        <f t="shared" si="25"/>
        <v>36500</v>
      </c>
      <c r="E112" s="478">
        <f t="shared" si="25"/>
        <v>41470</v>
      </c>
      <c r="F112" s="478">
        <f t="shared" si="25"/>
        <v>11000</v>
      </c>
      <c r="G112" s="478">
        <f t="shared" si="25"/>
        <v>10000</v>
      </c>
      <c r="H112" s="478">
        <f t="shared" si="25"/>
        <v>0</v>
      </c>
      <c r="I112" s="478">
        <f t="shared" si="25"/>
        <v>0</v>
      </c>
      <c r="J112" s="479">
        <f t="shared" si="25"/>
        <v>3600</v>
      </c>
      <c r="K112" s="21"/>
      <c r="L112" s="483" t="s">
        <v>430</v>
      </c>
      <c r="M112" s="484">
        <f t="shared" ref="M112:M117" si="26">SUM(B112:J112)</f>
        <v>285040</v>
      </c>
      <c r="N112" s="504">
        <f t="shared" ref="N112:N118" si="27">+M112/$M$118</f>
        <v>9.3782130266484826E-2</v>
      </c>
      <c r="O112" s="7"/>
      <c r="P112" s="7"/>
    </row>
    <row r="113" spans="1:19" x14ac:dyDescent="0.25">
      <c r="A113" s="467" t="s">
        <v>63</v>
      </c>
      <c r="B113" s="468">
        <f t="shared" ref="B113:J113" si="28">+B105+B96+B87+B78+B69+B60+B51+B42+B33+B24+B15+B6</f>
        <v>0</v>
      </c>
      <c r="C113" s="468">
        <f t="shared" si="28"/>
        <v>61479</v>
      </c>
      <c r="D113" s="468">
        <f t="shared" si="28"/>
        <v>22690</v>
      </c>
      <c r="E113" s="468">
        <f t="shared" si="28"/>
        <v>47800</v>
      </c>
      <c r="F113" s="468">
        <f t="shared" si="28"/>
        <v>0</v>
      </c>
      <c r="G113" s="468">
        <f t="shared" si="28"/>
        <v>0</v>
      </c>
      <c r="H113" s="468">
        <f t="shared" si="28"/>
        <v>0</v>
      </c>
      <c r="I113" s="468">
        <f t="shared" si="28"/>
        <v>0</v>
      </c>
      <c r="J113" s="469">
        <f t="shared" si="28"/>
        <v>11550</v>
      </c>
      <c r="K113" s="21"/>
      <c r="L113" s="473" t="s">
        <v>431</v>
      </c>
      <c r="M113" s="474">
        <f t="shared" si="26"/>
        <v>143519</v>
      </c>
      <c r="N113" s="504">
        <f t="shared" si="27"/>
        <v>4.7219750048118285E-2</v>
      </c>
      <c r="O113" s="7"/>
      <c r="P113" s="7"/>
    </row>
    <row r="114" spans="1:19" x14ac:dyDescent="0.25">
      <c r="A114" s="467" t="s">
        <v>64</v>
      </c>
      <c r="B114" s="468">
        <f t="shared" ref="B114:J114" si="29">+B106+B97+B88+B79+B70+B61+B52+B43+B34+B25+B16+B7</f>
        <v>3000</v>
      </c>
      <c r="C114" s="468">
        <f t="shared" si="29"/>
        <v>3000</v>
      </c>
      <c r="D114" s="468">
        <f t="shared" si="29"/>
        <v>15000</v>
      </c>
      <c r="E114" s="468">
        <f t="shared" si="29"/>
        <v>3000</v>
      </c>
      <c r="F114" s="468">
        <f t="shared" si="29"/>
        <v>0</v>
      </c>
      <c r="G114" s="468">
        <f t="shared" si="29"/>
        <v>2000</v>
      </c>
      <c r="H114" s="468">
        <f t="shared" si="29"/>
        <v>0</v>
      </c>
      <c r="I114" s="468">
        <f t="shared" si="29"/>
        <v>0</v>
      </c>
      <c r="J114" s="469">
        <f t="shared" si="29"/>
        <v>0</v>
      </c>
      <c r="K114" s="21"/>
      <c r="L114" s="473" t="s">
        <v>432</v>
      </c>
      <c r="M114" s="474">
        <f t="shared" si="26"/>
        <v>26000</v>
      </c>
      <c r="N114" s="504">
        <f t="shared" si="27"/>
        <v>8.5543621489215741E-3</v>
      </c>
      <c r="O114" s="7"/>
      <c r="P114" s="7"/>
    </row>
    <row r="115" spans="1:19" x14ac:dyDescent="0.25">
      <c r="A115" s="467" t="s">
        <v>121</v>
      </c>
      <c r="B115" s="468">
        <f t="shared" ref="B115:J115" si="30">+B107+B98+B89+B80+B71+B62+B53+B44+B35+B26+B17+B8</f>
        <v>0</v>
      </c>
      <c r="C115" s="468">
        <f t="shared" si="30"/>
        <v>0</v>
      </c>
      <c r="D115" s="468">
        <f t="shared" si="30"/>
        <v>10800</v>
      </c>
      <c r="E115" s="468">
        <f t="shared" si="30"/>
        <v>17980</v>
      </c>
      <c r="F115" s="468">
        <f t="shared" si="30"/>
        <v>0</v>
      </c>
      <c r="G115" s="468">
        <f t="shared" si="30"/>
        <v>0</v>
      </c>
      <c r="H115" s="468">
        <f t="shared" si="30"/>
        <v>0</v>
      </c>
      <c r="I115" s="468">
        <f t="shared" si="30"/>
        <v>0</v>
      </c>
      <c r="J115" s="469">
        <f t="shared" si="30"/>
        <v>6600</v>
      </c>
      <c r="K115" s="21"/>
      <c r="L115" s="473" t="s">
        <v>433</v>
      </c>
      <c r="M115" s="474">
        <f t="shared" si="26"/>
        <v>35380</v>
      </c>
      <c r="N115" s="504">
        <f t="shared" si="27"/>
        <v>1.1640512801109434E-2</v>
      </c>
      <c r="O115" s="7"/>
      <c r="P115" s="7"/>
    </row>
    <row r="116" spans="1:19" x14ac:dyDescent="0.25">
      <c r="A116" s="467" t="s">
        <v>66</v>
      </c>
      <c r="B116" s="468">
        <f t="shared" ref="B116:J116" si="31">+B108+B99+B90+B81+B72+B63+B54+B45+B36+B27+B18+B9</f>
        <v>0</v>
      </c>
      <c r="C116" s="468">
        <f t="shared" si="31"/>
        <v>0</v>
      </c>
      <c r="D116" s="468">
        <f t="shared" si="31"/>
        <v>0</v>
      </c>
      <c r="E116" s="468">
        <f t="shared" si="31"/>
        <v>1100</v>
      </c>
      <c r="F116" s="468">
        <f t="shared" si="31"/>
        <v>0</v>
      </c>
      <c r="G116" s="468">
        <f t="shared" si="31"/>
        <v>0</v>
      </c>
      <c r="H116" s="468">
        <f t="shared" si="31"/>
        <v>0</v>
      </c>
      <c r="I116" s="468">
        <f t="shared" si="31"/>
        <v>0</v>
      </c>
      <c r="J116" s="469">
        <f t="shared" si="31"/>
        <v>0</v>
      </c>
      <c r="K116" s="21"/>
      <c r="L116" s="473" t="s">
        <v>457</v>
      </c>
      <c r="M116" s="474">
        <f t="shared" si="26"/>
        <v>1100</v>
      </c>
      <c r="N116" s="504">
        <f t="shared" si="27"/>
        <v>3.6191532168514356E-4</v>
      </c>
      <c r="O116" s="7"/>
      <c r="P116" s="7"/>
    </row>
    <row r="117" spans="1:19" ht="15.75" thickBot="1" x14ac:dyDescent="0.3">
      <c r="A117" s="470" t="s">
        <v>68</v>
      </c>
      <c r="B117" s="471">
        <f t="shared" ref="B117:J117" si="32">+B109+B100+B91+B82+B73+B64+B55+B46+B37+B28+B19+B10</f>
        <v>0</v>
      </c>
      <c r="C117" s="471">
        <f t="shared" si="32"/>
        <v>396840</v>
      </c>
      <c r="D117" s="471">
        <f t="shared" si="32"/>
        <v>357673</v>
      </c>
      <c r="E117" s="471">
        <f t="shared" si="32"/>
        <v>43461</v>
      </c>
      <c r="F117" s="471">
        <f t="shared" si="32"/>
        <v>0</v>
      </c>
      <c r="G117" s="471">
        <f t="shared" si="32"/>
        <v>0</v>
      </c>
      <c r="H117" s="471">
        <f t="shared" si="32"/>
        <v>5934</v>
      </c>
      <c r="I117" s="471">
        <f t="shared" si="32"/>
        <v>0</v>
      </c>
      <c r="J117" s="472">
        <f t="shared" si="32"/>
        <v>14000</v>
      </c>
      <c r="K117" s="21"/>
      <c r="L117" s="475" t="s">
        <v>434</v>
      </c>
      <c r="M117" s="476">
        <f t="shared" si="26"/>
        <v>817908</v>
      </c>
      <c r="N117" s="504">
        <f t="shared" si="27"/>
        <v>0.26910312448077489</v>
      </c>
      <c r="O117" s="7"/>
      <c r="P117" s="7"/>
    </row>
    <row r="118" spans="1:19" ht="15.75" thickBot="1" x14ac:dyDescent="0.3">
      <c r="A118" s="532" t="s">
        <v>429</v>
      </c>
      <c r="B118" s="533">
        <f t="shared" ref="B118:J118" si="33">+B102+B93+B84+B75+B66+B57+B48+B39+B30+B21+B12+B3</f>
        <v>382542</v>
      </c>
      <c r="C118" s="533">
        <f t="shared" si="33"/>
        <v>843414</v>
      </c>
      <c r="D118" s="533">
        <f t="shared" si="33"/>
        <v>654746</v>
      </c>
      <c r="E118" s="533">
        <f t="shared" si="33"/>
        <v>382309</v>
      </c>
      <c r="F118" s="533">
        <f t="shared" si="33"/>
        <v>241000</v>
      </c>
      <c r="G118" s="533">
        <f t="shared" si="33"/>
        <v>215875</v>
      </c>
      <c r="H118" s="533">
        <f t="shared" si="33"/>
        <v>167500</v>
      </c>
      <c r="I118" s="533">
        <f t="shared" si="33"/>
        <v>0</v>
      </c>
      <c r="J118" s="534">
        <f t="shared" si="33"/>
        <v>151999</v>
      </c>
      <c r="K118" s="6"/>
      <c r="L118" s="535" t="s">
        <v>428</v>
      </c>
      <c r="M118" s="536">
        <f>+M102+M93+M84+M75+M66+M57+M48+M39+M30+M21+M12+M3</f>
        <v>3039385</v>
      </c>
      <c r="N118" s="504">
        <f t="shared" si="27"/>
        <v>1</v>
      </c>
    </row>
    <row r="119" spans="1:19" ht="15.75" thickBot="1" x14ac:dyDescent="0.3">
      <c r="A119" s="532" t="s">
        <v>424</v>
      </c>
      <c r="B119" s="533">
        <f t="shared" ref="B119:J119" si="34">+B110+B101+B92+B83+B74+B65+B56+B47+B38+B29+B20+B11</f>
        <v>50000</v>
      </c>
      <c r="C119" s="533">
        <f t="shared" si="34"/>
        <v>190000</v>
      </c>
      <c r="D119" s="533">
        <f t="shared" si="34"/>
        <v>0</v>
      </c>
      <c r="E119" s="533">
        <f t="shared" si="34"/>
        <v>0</v>
      </c>
      <c r="F119" s="533">
        <f t="shared" si="34"/>
        <v>0</v>
      </c>
      <c r="G119" s="533">
        <f t="shared" si="34"/>
        <v>0</v>
      </c>
      <c r="H119" s="533">
        <f t="shared" si="34"/>
        <v>0</v>
      </c>
      <c r="I119" s="533">
        <f t="shared" si="34"/>
        <v>0</v>
      </c>
      <c r="J119" s="534">
        <f t="shared" si="34"/>
        <v>0</v>
      </c>
      <c r="K119" s="6"/>
      <c r="L119" s="535" t="s">
        <v>426</v>
      </c>
      <c r="M119" s="536">
        <f>+M110+M101+M92+M83+M74+M65+M56+M47+M38+M29+M20+M11</f>
        <v>240000</v>
      </c>
    </row>
    <row r="120" spans="1:19" ht="15.75" thickBot="1" x14ac:dyDescent="0.3">
      <c r="A120" s="8"/>
      <c r="L120" s="529" t="s">
        <v>427</v>
      </c>
      <c r="M120" s="530">
        <f>SUM(M111:M117)+M119</f>
        <v>3328780</v>
      </c>
      <c r="R120" s="158" t="s">
        <v>117</v>
      </c>
      <c r="S120" s="159">
        <f>+M4+M13+M22+M31+M40+M49+M58+M67+M76+M85+M94+M103</f>
        <v>1779833</v>
      </c>
    </row>
    <row r="121" spans="1:19" x14ac:dyDescent="0.25">
      <c r="A121" s="8"/>
      <c r="M121" s="16"/>
      <c r="R121" s="10" t="s">
        <v>118</v>
      </c>
      <c r="S121" s="11">
        <f>+M5+M14+M23+M32+M41+M50+M59+M68+M77+M86+M95+M104</f>
        <v>285040</v>
      </c>
    </row>
    <row r="122" spans="1:19" x14ac:dyDescent="0.25">
      <c r="B122" s="466"/>
    </row>
  </sheetData>
  <autoFilter ref="A1:J110" xr:uid="{00000000-0009-0000-0000-000006000000}"/>
  <mergeCells count="1">
    <mergeCell ref="A1:A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rowBreaks count="1" manualBreakCount="1">
    <brk id="65" max="13" man="1"/>
  </rowBreaks>
  <colBreaks count="1" manualBreakCount="1">
    <brk id="14" max="1048575" man="1"/>
  </colBreaks>
  <ignoredErrors>
    <ignoredError sqref="B3:C3 B12:C12 B66:C66 B75:C75 B84:C84 B93:C93 B102:C102 D102:J102 D93:J93 D84:J84 D75:J75 D66:J66 D12:J12 D3:M3 K12:L57 K59:L66 K58:L58 K83:L83 K74:L75 K67:L67 K68:L73 K85:L92 K84:L84 K76:L82 K93:L93 K102:L102 K96:L101 K94:L94 K95:L95 D111:L118 K110:L110 K103:L103 K104:L109 D119:L119 D120:L120 K4:M11 B21:C21 D21:J21 B30:C30 D30:J30 B39:C39 D39:J39 B48:C48 D48:J48 B57:C57 D57:J57" formulaRange="1"/>
    <ignoredError sqref="M120 M119 M104:M109 M103 M110 M111:M118 M95 M94 M96:M101 M102 M93 M76:M82 M84 M85:M92 M68:M73 M67 M74:M75 M83 M58 M59:M66 M12:M57" formula="1" formulaRange="1"/>
    <ignoredError sqref="E109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6C518-8D9E-47E0-A75B-B9FA585AE73A}">
  <sheetPr codeName="Hoja20"/>
  <dimension ref="A1:AB24"/>
  <sheetViews>
    <sheetView showGridLines="0" zoomScaleNormal="100" workbookViewId="0">
      <selection activeCell="F15" sqref="F15"/>
    </sheetView>
  </sheetViews>
  <sheetFormatPr baseColWidth="10" defaultRowHeight="15" x14ac:dyDescent="0.25"/>
  <cols>
    <col min="1" max="1" width="21.5703125" customWidth="1"/>
    <col min="2" max="2" width="8.28515625" bestFit="1" customWidth="1"/>
    <col min="3" max="14" width="5.140625" style="166" bestFit="1" customWidth="1"/>
    <col min="15" max="15" width="20.7109375" style="888" bestFit="1" customWidth="1"/>
    <col min="16" max="16" width="10.7109375" style="888" bestFit="1" customWidth="1"/>
    <col min="17" max="17" width="15" style="888" bestFit="1" customWidth="1"/>
    <col min="18" max="18" width="8.140625" style="888" bestFit="1" customWidth="1"/>
    <col min="19" max="19" width="4" style="888" bestFit="1" customWidth="1"/>
    <col min="20" max="20" width="2" style="887" bestFit="1" customWidth="1"/>
    <col min="21" max="21" width="4.7109375" style="887" bestFit="1" customWidth="1"/>
    <col min="22" max="22" width="7.7109375" style="886" bestFit="1" customWidth="1"/>
    <col min="23" max="24" width="5.140625" style="166" bestFit="1" customWidth="1"/>
    <col min="25" max="25" width="8" style="166" bestFit="1" customWidth="1"/>
    <col min="26" max="28" width="5.140625" style="166" bestFit="1" customWidth="1"/>
  </cols>
  <sheetData>
    <row r="1" spans="1:25" x14ac:dyDescent="0.25">
      <c r="A1" s="721" t="s">
        <v>805</v>
      </c>
      <c r="B1" s="901" t="s">
        <v>804</v>
      </c>
      <c r="D1" s="900">
        <v>1</v>
      </c>
      <c r="E1" s="900">
        <v>2</v>
      </c>
      <c r="F1" s="900">
        <v>3</v>
      </c>
      <c r="G1" s="900">
        <v>4</v>
      </c>
      <c r="H1" s="900">
        <v>5</v>
      </c>
      <c r="I1" s="900">
        <v>6</v>
      </c>
      <c r="J1" s="900">
        <v>7</v>
      </c>
      <c r="K1" s="900">
        <v>8</v>
      </c>
      <c r="L1" s="900">
        <v>9</v>
      </c>
      <c r="M1" s="900">
        <v>10</v>
      </c>
      <c r="O1" s="896" t="s">
        <v>232</v>
      </c>
      <c r="P1" s="895" t="s">
        <v>145</v>
      </c>
      <c r="Q1" s="895" t="s">
        <v>143</v>
      </c>
      <c r="R1" s="894" t="s">
        <v>768</v>
      </c>
      <c r="S1" s="888">
        <v>810</v>
      </c>
      <c r="T1" s="887">
        <v>9</v>
      </c>
      <c r="U1" s="887" t="s">
        <v>729</v>
      </c>
      <c r="V1" s="886" t="str">
        <f>+T1&amp;T2&amp;T3&amp;U1</f>
        <v>926scc</v>
      </c>
      <c r="Y1" s="886"/>
    </row>
    <row r="2" spans="1:25" x14ac:dyDescent="0.25">
      <c r="A2" s="721" t="s">
        <v>803</v>
      </c>
      <c r="B2" s="897" t="str">
        <f>+V1</f>
        <v>926scc</v>
      </c>
      <c r="D2" s="899" t="s">
        <v>802</v>
      </c>
      <c r="E2" s="899" t="s">
        <v>801</v>
      </c>
      <c r="F2" s="899" t="s">
        <v>800</v>
      </c>
      <c r="G2" s="899" t="s">
        <v>799</v>
      </c>
      <c r="H2" s="899" t="s">
        <v>798</v>
      </c>
      <c r="I2" s="899" t="s">
        <v>797</v>
      </c>
      <c r="J2" s="899" t="s">
        <v>796</v>
      </c>
      <c r="K2" s="899" t="s">
        <v>795</v>
      </c>
      <c r="L2" s="899" t="s">
        <v>794</v>
      </c>
      <c r="M2" s="899" t="s">
        <v>793</v>
      </c>
      <c r="O2" s="893" t="s">
        <v>228</v>
      </c>
      <c r="P2" s="888" t="s">
        <v>145</v>
      </c>
      <c r="Q2" s="888" t="s">
        <v>143</v>
      </c>
      <c r="R2" s="892" t="s">
        <v>768</v>
      </c>
      <c r="S2" s="888">
        <v>38</v>
      </c>
      <c r="T2" s="887">
        <v>2</v>
      </c>
    </row>
    <row r="3" spans="1:25" x14ac:dyDescent="0.25">
      <c r="A3" s="721" t="s">
        <v>792</v>
      </c>
      <c r="B3" s="897" t="str">
        <f>+V4</f>
        <v>433scm</v>
      </c>
      <c r="D3" s="899" t="s">
        <v>791</v>
      </c>
      <c r="E3" s="899" t="s">
        <v>790</v>
      </c>
      <c r="F3" s="899" t="s">
        <v>789</v>
      </c>
      <c r="G3" s="899" t="s">
        <v>788</v>
      </c>
      <c r="H3" s="899" t="s">
        <v>787</v>
      </c>
      <c r="I3" s="899" t="s">
        <v>786</v>
      </c>
      <c r="J3" s="899" t="s">
        <v>785</v>
      </c>
      <c r="K3" s="899" t="s">
        <v>784</v>
      </c>
      <c r="L3" s="899" t="s">
        <v>783</v>
      </c>
      <c r="M3" s="899" t="s">
        <v>782</v>
      </c>
      <c r="O3" s="891" t="s">
        <v>176</v>
      </c>
      <c r="P3" s="890" t="s">
        <v>145</v>
      </c>
      <c r="Q3" s="890" t="s">
        <v>143</v>
      </c>
      <c r="R3" s="889" t="s">
        <v>768</v>
      </c>
      <c r="S3" s="888">
        <v>69</v>
      </c>
      <c r="T3" s="887">
        <v>6</v>
      </c>
    </row>
    <row r="4" spans="1:25" x14ac:dyDescent="0.25">
      <c r="A4" s="721" t="s">
        <v>781</v>
      </c>
      <c r="B4" s="897" t="str">
        <f>+V7</f>
        <v>471scc</v>
      </c>
      <c r="D4" s="898" t="s">
        <v>780</v>
      </c>
      <c r="E4" s="898" t="s">
        <v>779</v>
      </c>
      <c r="F4" s="898" t="s">
        <v>778</v>
      </c>
      <c r="G4" s="898" t="s">
        <v>777</v>
      </c>
      <c r="H4" s="898" t="s">
        <v>776</v>
      </c>
      <c r="I4" s="898" t="s">
        <v>775</v>
      </c>
      <c r="J4" s="898"/>
      <c r="K4" s="898"/>
      <c r="L4" s="898"/>
      <c r="M4" s="898"/>
      <c r="O4" s="896" t="s">
        <v>163</v>
      </c>
      <c r="P4" s="895" t="s">
        <v>145</v>
      </c>
      <c r="Q4" s="895" t="s">
        <v>221</v>
      </c>
      <c r="R4" s="894" t="s">
        <v>765</v>
      </c>
      <c r="S4" s="888">
        <v>13</v>
      </c>
      <c r="T4" s="887">
        <v>4</v>
      </c>
      <c r="U4" s="887" t="s">
        <v>774</v>
      </c>
      <c r="V4" s="886" t="str">
        <f>+T4&amp;T5&amp;T6&amp;U4</f>
        <v>433scm</v>
      </c>
    </row>
    <row r="5" spans="1:25" x14ac:dyDescent="0.25">
      <c r="A5" s="721" t="s">
        <v>773</v>
      </c>
      <c r="B5" s="897" t="str">
        <f>+V10</f>
        <v>663sic</v>
      </c>
      <c r="O5" s="893" t="s">
        <v>164</v>
      </c>
      <c r="P5" s="888" t="s">
        <v>145</v>
      </c>
      <c r="Q5" s="888" t="s">
        <v>221</v>
      </c>
      <c r="R5" s="892" t="s">
        <v>765</v>
      </c>
      <c r="S5" s="888">
        <v>66</v>
      </c>
      <c r="T5" s="887">
        <v>3</v>
      </c>
    </row>
    <row r="6" spans="1:25" x14ac:dyDescent="0.25">
      <c r="A6" s="721" t="s">
        <v>772</v>
      </c>
      <c r="B6" s="897" t="str">
        <f>+V13</f>
        <v>868spn</v>
      </c>
      <c r="O6" s="891" t="s">
        <v>391</v>
      </c>
      <c r="P6" s="890" t="s">
        <v>145</v>
      </c>
      <c r="Q6" s="890" t="s">
        <v>221</v>
      </c>
      <c r="R6" s="889" t="s">
        <v>765</v>
      </c>
      <c r="S6" s="888">
        <v>210</v>
      </c>
      <c r="T6" s="887">
        <v>3</v>
      </c>
    </row>
    <row r="7" spans="1:25" x14ac:dyDescent="0.25">
      <c r="A7" s="721" t="s">
        <v>771</v>
      </c>
      <c r="B7" s="897" t="str">
        <f>+V16</f>
        <v>355spm</v>
      </c>
      <c r="O7" s="896" t="s">
        <v>168</v>
      </c>
      <c r="P7" s="895" t="s">
        <v>145</v>
      </c>
      <c r="Q7" s="895" t="s">
        <v>224</v>
      </c>
      <c r="R7" s="894" t="s">
        <v>768</v>
      </c>
      <c r="S7" s="888">
        <v>310</v>
      </c>
      <c r="T7" s="887">
        <v>4</v>
      </c>
      <c r="U7" s="887" t="s">
        <v>729</v>
      </c>
      <c r="V7" s="886" t="str">
        <f>+T7&amp;T8&amp;T9&amp;U7</f>
        <v>471scc</v>
      </c>
    </row>
    <row r="8" spans="1:25" x14ac:dyDescent="0.25">
      <c r="A8" s="721" t="s">
        <v>770</v>
      </c>
      <c r="B8" s="897" t="str">
        <f>+V19</f>
        <v>567srm</v>
      </c>
      <c r="O8" s="893" t="s">
        <v>169</v>
      </c>
      <c r="P8" s="888" t="s">
        <v>145</v>
      </c>
      <c r="Q8" s="888" t="s">
        <v>224</v>
      </c>
      <c r="R8" s="892" t="s">
        <v>768</v>
      </c>
      <c r="S8" s="888">
        <v>25</v>
      </c>
      <c r="T8" s="887">
        <v>7</v>
      </c>
    </row>
    <row r="9" spans="1:25" x14ac:dyDescent="0.25">
      <c r="A9" s="721" t="s">
        <v>769</v>
      </c>
      <c r="B9" s="897" t="str">
        <f>+V22</f>
        <v>664stm</v>
      </c>
      <c r="O9" s="891" t="s">
        <v>234</v>
      </c>
      <c r="P9" s="890" t="s">
        <v>145</v>
      </c>
      <c r="Q9" s="890" t="s">
        <v>224</v>
      </c>
      <c r="R9" s="889" t="s">
        <v>768</v>
      </c>
      <c r="S9" s="888">
        <v>82</v>
      </c>
      <c r="T9" s="887">
        <v>1</v>
      </c>
    </row>
    <row r="10" spans="1:25" x14ac:dyDescent="0.25">
      <c r="O10" s="896" t="s">
        <v>148</v>
      </c>
      <c r="P10" s="895" t="s">
        <v>145</v>
      </c>
      <c r="Q10" s="895" t="s">
        <v>216</v>
      </c>
      <c r="R10" s="894" t="s">
        <v>768</v>
      </c>
      <c r="S10" s="888">
        <v>33</v>
      </c>
      <c r="T10" s="887">
        <v>6</v>
      </c>
      <c r="U10" s="887" t="s">
        <v>728</v>
      </c>
      <c r="V10" s="886" t="str">
        <f>+T10&amp;T11&amp;T12&amp;U10</f>
        <v>663sic</v>
      </c>
    </row>
    <row r="11" spans="1:25" x14ac:dyDescent="0.25">
      <c r="O11" s="893" t="s">
        <v>149</v>
      </c>
      <c r="P11" s="888" t="s">
        <v>145</v>
      </c>
      <c r="Q11" s="888" t="s">
        <v>216</v>
      </c>
      <c r="R11" s="892" t="s">
        <v>768</v>
      </c>
      <c r="S11" s="888">
        <v>96</v>
      </c>
      <c r="T11" s="887">
        <v>6</v>
      </c>
    </row>
    <row r="12" spans="1:25" x14ac:dyDescent="0.25">
      <c r="O12" s="891" t="s">
        <v>766</v>
      </c>
      <c r="P12" s="890" t="s">
        <v>145</v>
      </c>
      <c r="Q12" s="890" t="s">
        <v>216</v>
      </c>
      <c r="R12" s="889" t="s">
        <v>768</v>
      </c>
      <c r="S12" s="888">
        <v>21</v>
      </c>
      <c r="T12" s="887">
        <v>3</v>
      </c>
    </row>
    <row r="13" spans="1:25" x14ac:dyDescent="0.25">
      <c r="O13" s="896" t="s">
        <v>158</v>
      </c>
      <c r="P13" s="895" t="s">
        <v>145</v>
      </c>
      <c r="Q13" s="895" t="s">
        <v>220</v>
      </c>
      <c r="R13" s="894" t="s">
        <v>765</v>
      </c>
      <c r="S13" s="888">
        <v>35</v>
      </c>
      <c r="T13" s="887">
        <v>8</v>
      </c>
      <c r="U13" s="887" t="s">
        <v>727</v>
      </c>
      <c r="V13" s="886" t="str">
        <f>+T13&amp;T14&amp;T15&amp;U13</f>
        <v>868spn</v>
      </c>
    </row>
    <row r="14" spans="1:25" x14ac:dyDescent="0.25">
      <c r="O14" s="893" t="s">
        <v>767</v>
      </c>
      <c r="P14" s="888" t="s">
        <v>145</v>
      </c>
      <c r="Q14" s="888" t="s">
        <v>220</v>
      </c>
      <c r="R14" s="892" t="s">
        <v>765</v>
      </c>
      <c r="S14" s="888">
        <v>69</v>
      </c>
      <c r="T14" s="887">
        <v>6</v>
      </c>
    </row>
    <row r="15" spans="1:25" x14ac:dyDescent="0.25">
      <c r="O15" s="891" t="s">
        <v>160</v>
      </c>
      <c r="P15" s="890" t="s">
        <v>145</v>
      </c>
      <c r="Q15" s="890" t="s">
        <v>220</v>
      </c>
      <c r="R15" s="889" t="s">
        <v>765</v>
      </c>
      <c r="S15" s="888">
        <v>89</v>
      </c>
      <c r="T15" s="887">
        <v>8</v>
      </c>
    </row>
    <row r="16" spans="1:25" x14ac:dyDescent="0.25">
      <c r="O16" s="896" t="s">
        <v>766</v>
      </c>
      <c r="P16" s="895" t="s">
        <v>145</v>
      </c>
      <c r="Q16" s="895" t="s">
        <v>226</v>
      </c>
      <c r="R16" s="894" t="s">
        <v>765</v>
      </c>
      <c r="S16" s="888">
        <v>21</v>
      </c>
      <c r="T16" s="887">
        <v>3</v>
      </c>
      <c r="U16" s="887" t="s">
        <v>726</v>
      </c>
      <c r="V16" s="886" t="str">
        <f>+T16&amp;T17&amp;T18&amp;U16</f>
        <v>355spm</v>
      </c>
    </row>
    <row r="17" spans="15:22" x14ac:dyDescent="0.25">
      <c r="O17" s="893" t="s">
        <v>132</v>
      </c>
      <c r="P17" s="888" t="s">
        <v>145</v>
      </c>
      <c r="Q17" s="888" t="s">
        <v>226</v>
      </c>
      <c r="R17" s="892" t="s">
        <v>765</v>
      </c>
      <c r="S17" s="888">
        <v>32</v>
      </c>
      <c r="T17" s="887">
        <v>5</v>
      </c>
    </row>
    <row r="18" spans="15:22" x14ac:dyDescent="0.25">
      <c r="O18" s="891" t="s">
        <v>178</v>
      </c>
      <c r="P18" s="890" t="s">
        <v>145</v>
      </c>
      <c r="Q18" s="890" t="s">
        <v>226</v>
      </c>
      <c r="R18" s="889" t="s">
        <v>765</v>
      </c>
      <c r="S18" s="888">
        <v>14</v>
      </c>
      <c r="T18" s="887">
        <v>5</v>
      </c>
    </row>
    <row r="19" spans="15:22" x14ac:dyDescent="0.25">
      <c r="O19" s="896" t="s">
        <v>131</v>
      </c>
      <c r="P19" s="895" t="s">
        <v>145</v>
      </c>
      <c r="Q19" s="895" t="s">
        <v>223</v>
      </c>
      <c r="R19" s="894" t="s">
        <v>765</v>
      </c>
      <c r="S19" s="888">
        <v>14</v>
      </c>
      <c r="T19" s="887">
        <v>5</v>
      </c>
      <c r="U19" s="887" t="s">
        <v>725</v>
      </c>
      <c r="V19" s="886" t="str">
        <f>+T19&amp;T20&amp;T21&amp;U19</f>
        <v>567srm</v>
      </c>
    </row>
    <row r="20" spans="15:22" x14ac:dyDescent="0.25">
      <c r="O20" s="893" t="s">
        <v>459</v>
      </c>
      <c r="P20" s="888" t="s">
        <v>145</v>
      </c>
      <c r="Q20" s="888" t="s">
        <v>223</v>
      </c>
      <c r="R20" s="892" t="s">
        <v>765</v>
      </c>
      <c r="S20" s="888">
        <v>33</v>
      </c>
      <c r="T20" s="887">
        <v>6</v>
      </c>
    </row>
    <row r="21" spans="15:22" x14ac:dyDescent="0.25">
      <c r="O21" s="891" t="s">
        <v>458</v>
      </c>
      <c r="P21" s="890" t="s">
        <v>145</v>
      </c>
      <c r="Q21" s="890" t="s">
        <v>223</v>
      </c>
      <c r="R21" s="889" t="s">
        <v>765</v>
      </c>
      <c r="S21" s="888">
        <v>52</v>
      </c>
      <c r="T21" s="887">
        <v>7</v>
      </c>
    </row>
    <row r="22" spans="15:22" x14ac:dyDescent="0.25">
      <c r="O22" s="896" t="s">
        <v>421</v>
      </c>
      <c r="P22" s="895" t="s">
        <v>145</v>
      </c>
      <c r="Q22" s="895" t="s">
        <v>225</v>
      </c>
      <c r="R22" s="894" t="s">
        <v>765</v>
      </c>
      <c r="S22" s="888">
        <v>33</v>
      </c>
      <c r="T22" s="887">
        <v>6</v>
      </c>
      <c r="U22" s="887" t="s">
        <v>724</v>
      </c>
      <c r="V22" s="886" t="str">
        <f>+T22&amp;T23&amp;T24&amp;U22</f>
        <v>664stm</v>
      </c>
    </row>
    <row r="23" spans="15:22" x14ac:dyDescent="0.25">
      <c r="O23" s="893" t="s">
        <v>174</v>
      </c>
      <c r="P23" s="888" t="s">
        <v>145</v>
      </c>
      <c r="Q23" s="888" t="s">
        <v>225</v>
      </c>
      <c r="R23" s="892" t="s">
        <v>765</v>
      </c>
      <c r="S23" s="888">
        <v>96</v>
      </c>
      <c r="T23" s="887">
        <v>6</v>
      </c>
    </row>
    <row r="24" spans="15:22" x14ac:dyDescent="0.25">
      <c r="O24" s="891" t="s">
        <v>128</v>
      </c>
      <c r="P24" s="890" t="s">
        <v>145</v>
      </c>
      <c r="Q24" s="890" t="s">
        <v>225</v>
      </c>
      <c r="R24" s="889" t="s">
        <v>765</v>
      </c>
      <c r="S24" s="888">
        <v>31</v>
      </c>
      <c r="T24" s="887">
        <v>4</v>
      </c>
    </row>
  </sheetData>
  <pageMargins left="0.7" right="0.7" top="0.75" bottom="0.75" header="0.3" footer="0.3"/>
  <pageSetup paperSize="13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0EE4E-1EF5-4EC7-A7BA-201B6FED5081}">
  <sheetPr codeName="Hoja18">
    <pageSetUpPr fitToPage="1"/>
  </sheetPr>
  <dimension ref="A1:XFD35"/>
  <sheetViews>
    <sheetView showGridLines="0" zoomScaleNormal="100" workbookViewId="0">
      <selection activeCell="A30" sqref="A30:A32"/>
    </sheetView>
  </sheetViews>
  <sheetFormatPr baseColWidth="10" defaultRowHeight="15" x14ac:dyDescent="0.25"/>
  <cols>
    <col min="1" max="1" width="8.42578125" bestFit="1" customWidth="1"/>
    <col min="2" max="2" width="9.5703125" customWidth="1"/>
    <col min="3" max="3" width="15.28515625" customWidth="1"/>
    <col min="4" max="4" width="24.85546875" customWidth="1"/>
    <col min="5" max="5" width="11.5703125" bestFit="1" customWidth="1"/>
    <col min="6" max="6" width="10.28515625" bestFit="1" customWidth="1"/>
    <col min="7" max="7" width="10" bestFit="1" customWidth="1"/>
    <col min="8" max="8" width="11.28515625" bestFit="1" customWidth="1"/>
    <col min="9" max="9" width="12.140625" bestFit="1" customWidth="1"/>
    <col min="10" max="10" width="10.140625" bestFit="1" customWidth="1"/>
    <col min="11" max="11" width="10" bestFit="1" customWidth="1"/>
    <col min="12" max="12" width="10.28515625" bestFit="1" customWidth="1"/>
    <col min="13" max="14" width="10.85546875" bestFit="1" customWidth="1"/>
    <col min="15" max="15" width="10" bestFit="1" customWidth="1"/>
    <col min="19" max="19" width="9.5703125" bestFit="1" customWidth="1"/>
    <col min="20" max="20" width="5.140625" bestFit="1" customWidth="1"/>
    <col min="22" max="22" width="27.5703125" bestFit="1" customWidth="1"/>
    <col min="23" max="23" width="7" bestFit="1" customWidth="1"/>
    <col min="24" max="24" width="8.5703125" bestFit="1" customWidth="1"/>
  </cols>
  <sheetData>
    <row r="1" spans="1:23" s="29" customFormat="1" x14ac:dyDescent="0.25">
      <c r="A1" s="92" t="s">
        <v>0</v>
      </c>
      <c r="B1" s="93" t="s">
        <v>1</v>
      </c>
      <c r="C1" s="93" t="s">
        <v>2</v>
      </c>
      <c r="D1" s="92" t="s">
        <v>3</v>
      </c>
      <c r="E1" s="92" t="s">
        <v>4</v>
      </c>
      <c r="F1" s="461" t="s">
        <v>381</v>
      </c>
      <c r="G1" s="461" t="s">
        <v>382</v>
      </c>
      <c r="H1" s="461" t="s">
        <v>383</v>
      </c>
      <c r="I1" s="461" t="s">
        <v>561</v>
      </c>
      <c r="J1" s="461" t="s">
        <v>384</v>
      </c>
      <c r="K1" s="461" t="s">
        <v>450</v>
      </c>
      <c r="L1" s="461" t="s">
        <v>385</v>
      </c>
      <c r="M1" s="461" t="s">
        <v>386</v>
      </c>
      <c r="N1" s="461" t="s">
        <v>562</v>
      </c>
      <c r="O1" s="458" t="s">
        <v>5</v>
      </c>
      <c r="T1" s="34"/>
      <c r="U1" s="27"/>
      <c r="W1" s="34"/>
    </row>
    <row r="2" spans="1:23" x14ac:dyDescent="0.25">
      <c r="A2" s="745">
        <v>45589</v>
      </c>
      <c r="B2" s="644">
        <v>0.41666666666666669</v>
      </c>
      <c r="C2" s="644">
        <v>0.49652777777777779</v>
      </c>
      <c r="D2" s="645" t="s">
        <v>18</v>
      </c>
      <c r="E2" s="646" t="s">
        <v>13</v>
      </c>
      <c r="F2" s="647">
        <v>4792</v>
      </c>
      <c r="G2" s="647">
        <v>4792</v>
      </c>
      <c r="H2" s="647">
        <v>4792</v>
      </c>
      <c r="I2" s="647">
        <v>4792</v>
      </c>
      <c r="J2" s="647">
        <v>4792</v>
      </c>
      <c r="K2" s="647">
        <v>4792</v>
      </c>
      <c r="L2" s="647">
        <v>0</v>
      </c>
      <c r="M2" s="647" t="s">
        <v>502</v>
      </c>
      <c r="N2" s="647">
        <v>4792</v>
      </c>
      <c r="O2" s="687">
        <v>33544</v>
      </c>
    </row>
    <row r="3" spans="1:23" x14ac:dyDescent="0.25">
      <c r="A3" s="745">
        <v>45594</v>
      </c>
      <c r="B3" s="649">
        <v>0.70833333333333337</v>
      </c>
      <c r="C3" s="649">
        <v>0.75</v>
      </c>
      <c r="D3" s="650" t="s">
        <v>14</v>
      </c>
      <c r="E3" s="651" t="s">
        <v>13</v>
      </c>
      <c r="F3" s="652">
        <v>0</v>
      </c>
      <c r="G3" s="652">
        <v>0</v>
      </c>
      <c r="H3" s="652">
        <v>0</v>
      </c>
      <c r="I3" s="652">
        <v>0</v>
      </c>
      <c r="J3" s="652">
        <v>0</v>
      </c>
      <c r="K3" s="652">
        <v>0</v>
      </c>
      <c r="L3" s="652">
        <v>0</v>
      </c>
      <c r="M3" s="652" t="s">
        <v>502</v>
      </c>
      <c r="N3" s="652">
        <v>0</v>
      </c>
      <c r="O3" s="686">
        <v>0</v>
      </c>
    </row>
    <row r="4" spans="1:23" x14ac:dyDescent="0.25">
      <c r="A4" s="745">
        <v>45594</v>
      </c>
      <c r="B4" s="644">
        <v>0.75</v>
      </c>
      <c r="C4" s="644">
        <v>0.78333333333333333</v>
      </c>
      <c r="D4" s="645" t="s">
        <v>18</v>
      </c>
      <c r="E4" s="646" t="s">
        <v>13</v>
      </c>
      <c r="F4" s="647">
        <v>2000</v>
      </c>
      <c r="G4" s="647">
        <v>2000</v>
      </c>
      <c r="H4" s="647">
        <v>2000</v>
      </c>
      <c r="I4" s="647">
        <v>2000</v>
      </c>
      <c r="J4" s="647">
        <v>2000</v>
      </c>
      <c r="K4" s="647">
        <v>2000</v>
      </c>
      <c r="L4" s="647">
        <v>2000</v>
      </c>
      <c r="M4" s="647" t="s">
        <v>502</v>
      </c>
      <c r="N4" s="647">
        <v>2000</v>
      </c>
      <c r="O4" s="687">
        <v>16000</v>
      </c>
    </row>
    <row r="5" spans="1:23" x14ac:dyDescent="0.25">
      <c r="A5" s="745">
        <v>45603</v>
      </c>
      <c r="B5" s="649">
        <v>0.5</v>
      </c>
      <c r="C5" s="649">
        <v>0.57777777777777772</v>
      </c>
      <c r="D5" s="650" t="s">
        <v>15</v>
      </c>
      <c r="E5" s="651" t="s">
        <v>13</v>
      </c>
      <c r="F5" s="652">
        <v>4667</v>
      </c>
      <c r="G5" s="652">
        <v>4667</v>
      </c>
      <c r="H5" s="652">
        <v>4667</v>
      </c>
      <c r="I5" s="652">
        <v>4667</v>
      </c>
      <c r="J5" s="652">
        <v>4667</v>
      </c>
      <c r="K5" s="652">
        <v>4667</v>
      </c>
      <c r="L5" s="652">
        <v>4667</v>
      </c>
      <c r="M5" s="652" t="s">
        <v>502</v>
      </c>
      <c r="N5" s="652">
        <v>4667</v>
      </c>
      <c r="O5" s="686">
        <v>37336</v>
      </c>
    </row>
    <row r="6" spans="1:23" x14ac:dyDescent="0.25">
      <c r="A6" s="745">
        <v>45618</v>
      </c>
      <c r="B6" s="644">
        <v>0.70833333333333337</v>
      </c>
      <c r="C6" s="644">
        <v>0.79166666666666663</v>
      </c>
      <c r="D6" s="645" t="s">
        <v>15</v>
      </c>
      <c r="E6" s="646" t="s">
        <v>13</v>
      </c>
      <c r="F6" s="647">
        <v>0</v>
      </c>
      <c r="G6" s="647">
        <v>5000</v>
      </c>
      <c r="H6" s="647">
        <v>5000</v>
      </c>
      <c r="I6" s="647">
        <v>0</v>
      </c>
      <c r="J6" s="647">
        <v>0</v>
      </c>
      <c r="K6" s="647">
        <v>5000</v>
      </c>
      <c r="L6" s="647">
        <v>0</v>
      </c>
      <c r="M6" s="647" t="s">
        <v>502</v>
      </c>
      <c r="N6" s="647">
        <v>5000</v>
      </c>
      <c r="O6" s="687">
        <v>20000</v>
      </c>
    </row>
    <row r="7" spans="1:23" x14ac:dyDescent="0.25">
      <c r="A7" s="745">
        <v>45621</v>
      </c>
      <c r="B7" s="649"/>
      <c r="C7" s="649"/>
      <c r="D7" s="650" t="s">
        <v>17</v>
      </c>
      <c r="E7" s="651" t="s">
        <v>16</v>
      </c>
      <c r="F7" s="652">
        <v>0</v>
      </c>
      <c r="G7" s="652">
        <v>20000</v>
      </c>
      <c r="H7" s="652">
        <v>20000</v>
      </c>
      <c r="I7" s="652">
        <v>0</v>
      </c>
      <c r="J7" s="652">
        <v>0</v>
      </c>
      <c r="K7" s="652">
        <v>20000</v>
      </c>
      <c r="L7" s="652">
        <v>0</v>
      </c>
      <c r="M7" s="652" t="s">
        <v>502</v>
      </c>
      <c r="N7" s="652">
        <v>0</v>
      </c>
      <c r="O7" s="686">
        <v>60000</v>
      </c>
    </row>
    <row r="8" spans="1:23" x14ac:dyDescent="0.25">
      <c r="A8" s="745">
        <v>45629</v>
      </c>
      <c r="B8" s="644">
        <v>0.41666666666666669</v>
      </c>
      <c r="C8" s="644">
        <v>0.55208333333333337</v>
      </c>
      <c r="D8" s="645" t="s">
        <v>15</v>
      </c>
      <c r="E8" s="646" t="s">
        <v>13</v>
      </c>
      <c r="F8" s="647">
        <v>8125</v>
      </c>
      <c r="G8" s="647">
        <v>0</v>
      </c>
      <c r="H8" s="647">
        <v>8125</v>
      </c>
      <c r="I8" s="647">
        <v>8125</v>
      </c>
      <c r="J8" s="647">
        <v>0</v>
      </c>
      <c r="K8" s="647">
        <v>8125</v>
      </c>
      <c r="L8" s="647">
        <v>8125</v>
      </c>
      <c r="M8" s="647" t="s">
        <v>502</v>
      </c>
      <c r="N8" s="647">
        <v>8125</v>
      </c>
      <c r="O8" s="687">
        <v>48750</v>
      </c>
    </row>
    <row r="9" spans="1:23" x14ac:dyDescent="0.25">
      <c r="F9" s="653">
        <f>SUM(F2:F8)</f>
        <v>19584</v>
      </c>
      <c r="G9" s="653">
        <f t="shared" ref="G9:O9" si="0">SUM(G2:G8)</f>
        <v>36459</v>
      </c>
      <c r="H9" s="653">
        <f t="shared" si="0"/>
        <v>44584</v>
      </c>
      <c r="I9" s="653">
        <f t="shared" si="0"/>
        <v>19584</v>
      </c>
      <c r="J9" s="653">
        <f t="shared" si="0"/>
        <v>11459</v>
      </c>
      <c r="K9" s="653">
        <f t="shared" si="0"/>
        <v>44584</v>
      </c>
      <c r="L9" s="653">
        <f t="shared" si="0"/>
        <v>14792</v>
      </c>
      <c r="M9" s="653">
        <f t="shared" si="0"/>
        <v>0</v>
      </c>
      <c r="N9" s="653">
        <f t="shared" si="0"/>
        <v>24584</v>
      </c>
      <c r="O9" s="653">
        <f t="shared" si="0"/>
        <v>215630</v>
      </c>
    </row>
    <row r="11" spans="1:23" x14ac:dyDescent="0.25">
      <c r="A11" s="694">
        <v>45621</v>
      </c>
      <c r="B11" s="695" t="s">
        <v>140</v>
      </c>
      <c r="C11" s="695" t="s">
        <v>17</v>
      </c>
      <c r="D11" s="696" t="s">
        <v>16</v>
      </c>
      <c r="E11" s="697">
        <v>81900</v>
      </c>
      <c r="F11" s="697">
        <v>37460</v>
      </c>
      <c r="G11" s="697">
        <v>0</v>
      </c>
      <c r="H11" s="697">
        <v>0</v>
      </c>
      <c r="I11" s="697">
        <v>0</v>
      </c>
      <c r="J11" s="697">
        <v>0</v>
      </c>
      <c r="K11" s="698">
        <f>SUM(E11:J11)</f>
        <v>119360</v>
      </c>
    </row>
    <row r="12" spans="1:23" x14ac:dyDescent="0.25">
      <c r="A12" s="689">
        <v>45621</v>
      </c>
      <c r="B12" s="690" t="s">
        <v>461</v>
      </c>
      <c r="C12" s="690" t="s">
        <v>17</v>
      </c>
      <c r="D12" s="691" t="s">
        <v>16</v>
      </c>
      <c r="E12" s="692">
        <v>0</v>
      </c>
      <c r="F12" s="692">
        <v>37300</v>
      </c>
      <c r="G12" s="692">
        <v>0</v>
      </c>
      <c r="H12" s="692">
        <v>8104</v>
      </c>
      <c r="I12" s="692">
        <v>0</v>
      </c>
      <c r="J12" s="692">
        <v>14498</v>
      </c>
      <c r="K12" s="698">
        <f>SUM(E12:J12)</f>
        <v>59902</v>
      </c>
    </row>
    <row r="13" spans="1:23" x14ac:dyDescent="0.25">
      <c r="A13" s="694">
        <v>45621</v>
      </c>
      <c r="B13" s="695" t="s">
        <v>139</v>
      </c>
      <c r="C13" s="695" t="s">
        <v>17</v>
      </c>
      <c r="D13" s="696" t="s">
        <v>16</v>
      </c>
      <c r="E13" s="697">
        <v>11500</v>
      </c>
      <c r="F13" s="697">
        <v>17800</v>
      </c>
      <c r="G13" s="697">
        <v>3000</v>
      </c>
      <c r="H13" s="697">
        <v>5100</v>
      </c>
      <c r="I13" s="697">
        <v>0</v>
      </c>
      <c r="J13" s="697">
        <v>0</v>
      </c>
      <c r="K13" s="698">
        <f>SUM(E13:J13)</f>
        <v>37400</v>
      </c>
    </row>
    <row r="14" spans="1:23" x14ac:dyDescent="0.25">
      <c r="A14" s="689">
        <v>45621</v>
      </c>
      <c r="B14" s="690" t="s">
        <v>581</v>
      </c>
      <c r="C14" s="690" t="s">
        <v>17</v>
      </c>
      <c r="D14" s="691" t="s">
        <v>16</v>
      </c>
      <c r="E14" s="692">
        <f>900*4</f>
        <v>3600</v>
      </c>
      <c r="F14" s="692">
        <v>11550</v>
      </c>
      <c r="G14" s="692">
        <v>0</v>
      </c>
      <c r="H14" s="692">
        <v>0</v>
      </c>
      <c r="I14" s="692">
        <v>0</v>
      </c>
      <c r="J14" s="692">
        <v>0</v>
      </c>
      <c r="K14" s="698">
        <f>SUM(E14:J14)</f>
        <v>15150</v>
      </c>
      <c r="L14" s="666">
        <f>SUM(K11:K14)</f>
        <v>231812</v>
      </c>
    </row>
    <row r="16" spans="1:23" s="29" customFormat="1" x14ac:dyDescent="0.25">
      <c r="A16" s="92"/>
      <c r="B16" s="93"/>
      <c r="C16" s="93"/>
      <c r="D16" s="92"/>
      <c r="E16" s="743" t="s">
        <v>677</v>
      </c>
      <c r="F16" s="746" t="s">
        <v>381</v>
      </c>
      <c r="G16" s="746" t="s">
        <v>382</v>
      </c>
      <c r="H16" s="746" t="s">
        <v>383</v>
      </c>
      <c r="I16" s="746" t="s">
        <v>561</v>
      </c>
      <c r="J16" s="746" t="s">
        <v>384</v>
      </c>
      <c r="K16" s="746" t="s">
        <v>450</v>
      </c>
      <c r="L16" s="746" t="s">
        <v>385</v>
      </c>
      <c r="M16" s="746" t="s">
        <v>562</v>
      </c>
      <c r="N16" s="746" t="s">
        <v>676</v>
      </c>
      <c r="O16" s="744" t="s">
        <v>678</v>
      </c>
      <c r="T16" s="34"/>
      <c r="U16" s="27"/>
      <c r="W16" s="34"/>
    </row>
    <row r="17" spans="1:16384" x14ac:dyDescent="0.25">
      <c r="E17" s="741" t="s">
        <v>675</v>
      </c>
      <c r="F17" s="747">
        <f>+F9</f>
        <v>19584</v>
      </c>
      <c r="G17" s="747">
        <f t="shared" ref="G17:L17" si="1">+G9</f>
        <v>36459</v>
      </c>
      <c r="H17" s="747">
        <f t="shared" si="1"/>
        <v>44584</v>
      </c>
      <c r="I17" s="747">
        <f t="shared" si="1"/>
        <v>19584</v>
      </c>
      <c r="J17" s="747">
        <f t="shared" si="1"/>
        <v>11459</v>
      </c>
      <c r="K17" s="747">
        <f t="shared" si="1"/>
        <v>44584</v>
      </c>
      <c r="L17" s="747">
        <f t="shared" si="1"/>
        <v>14792</v>
      </c>
      <c r="M17" s="747">
        <f>+N9</f>
        <v>24584</v>
      </c>
      <c r="N17" s="747">
        <v>0</v>
      </c>
      <c r="O17" s="739">
        <f>SUM(F17:N17)</f>
        <v>215630</v>
      </c>
    </row>
    <row r="18" spans="1:16384" x14ac:dyDescent="0.25">
      <c r="E18" s="741" t="s">
        <v>444</v>
      </c>
      <c r="F18" s="747">
        <v>0</v>
      </c>
      <c r="G18" s="747">
        <f>+K11</f>
        <v>119360</v>
      </c>
      <c r="H18" s="747">
        <f>+K13</f>
        <v>37400</v>
      </c>
      <c r="I18" s="747">
        <v>0</v>
      </c>
      <c r="J18" s="747">
        <v>0</v>
      </c>
      <c r="K18" s="747">
        <f>+K12</f>
        <v>59902</v>
      </c>
      <c r="L18" s="747">
        <v>0</v>
      </c>
      <c r="M18" s="747">
        <f>+K14</f>
        <v>15150</v>
      </c>
      <c r="N18" s="747">
        <v>0</v>
      </c>
      <c r="O18" s="739">
        <f>SUM(F18:N18)</f>
        <v>231812</v>
      </c>
    </row>
    <row r="19" spans="1:16384" x14ac:dyDescent="0.25">
      <c r="E19" s="741" t="s">
        <v>124</v>
      </c>
      <c r="F19" s="747"/>
      <c r="G19" s="747">
        <v>20000</v>
      </c>
      <c r="H19" s="747"/>
      <c r="I19" s="747"/>
      <c r="J19" s="747"/>
      <c r="K19" s="747"/>
      <c r="L19" s="747"/>
      <c r="M19" s="747"/>
      <c r="N19" s="747">
        <v>150000</v>
      </c>
      <c r="O19" s="739">
        <f>SUM(F19:N19)</f>
        <v>170000</v>
      </c>
    </row>
    <row r="20" spans="1:16384" x14ac:dyDescent="0.25">
      <c r="E20" s="742" t="s">
        <v>29</v>
      </c>
      <c r="F20" s="748">
        <f>SUM(F17:F19)</f>
        <v>19584</v>
      </c>
      <c r="G20" s="748">
        <f t="shared" ref="G20:N20" si="2">SUM(G17:G19)</f>
        <v>175819</v>
      </c>
      <c r="H20" s="748">
        <f t="shared" si="2"/>
        <v>81984</v>
      </c>
      <c r="I20" s="748">
        <f t="shared" si="2"/>
        <v>19584</v>
      </c>
      <c r="J20" s="748">
        <f t="shared" si="2"/>
        <v>11459</v>
      </c>
      <c r="K20" s="748">
        <f t="shared" si="2"/>
        <v>104486</v>
      </c>
      <c r="L20" s="748">
        <f t="shared" si="2"/>
        <v>14792</v>
      </c>
      <c r="M20" s="748">
        <f t="shared" si="2"/>
        <v>39734</v>
      </c>
      <c r="N20" s="748">
        <f t="shared" si="2"/>
        <v>150000</v>
      </c>
      <c r="O20" s="740">
        <f>SUM(F20:N20)</f>
        <v>617442</v>
      </c>
      <c r="P20" s="666"/>
    </row>
    <row r="21" spans="1:16384" x14ac:dyDescent="0.25">
      <c r="F21" s="720">
        <f>+F20/$O$20</f>
        <v>3.1717958933794595E-2</v>
      </c>
      <c r="G21" s="720">
        <f t="shared" ref="G21:N21" si="3">+G20/$O$20</f>
        <v>0.28475387161871074</v>
      </c>
      <c r="H21" s="720">
        <f t="shared" si="3"/>
        <v>0.13278008298755187</v>
      </c>
      <c r="I21" s="720">
        <f t="shared" si="3"/>
        <v>3.1717958933794595E-2</v>
      </c>
      <c r="J21" s="720">
        <f t="shared" si="3"/>
        <v>1.8558828197628278E-2</v>
      </c>
      <c r="K21" s="720">
        <f t="shared" si="3"/>
        <v>0.16922399188911671</v>
      </c>
      <c r="L21" s="720">
        <f t="shared" si="3"/>
        <v>2.3956906073768873E-2</v>
      </c>
      <c r="M21" s="720">
        <f t="shared" si="3"/>
        <v>6.4352603159487043E-2</v>
      </c>
      <c r="N21" s="720">
        <f t="shared" si="3"/>
        <v>0.2429377982061473</v>
      </c>
      <c r="O21" s="709"/>
    </row>
    <row r="22" spans="1:16384" x14ac:dyDescent="0.25">
      <c r="O22" s="709"/>
    </row>
    <row r="23" spans="1:16384" x14ac:dyDescent="0.25">
      <c r="E23" t="s">
        <v>679</v>
      </c>
      <c r="O23" s="709"/>
      <c r="P23" s="666"/>
    </row>
    <row r="25" spans="1:16384" customFormat="1" x14ac:dyDescent="0.25">
      <c r="A25" s="694">
        <v>45637</v>
      </c>
      <c r="B25" s="695" t="s">
        <v>140</v>
      </c>
      <c r="C25" s="695" t="s">
        <v>17</v>
      </c>
      <c r="D25" s="696" t="s">
        <v>16</v>
      </c>
      <c r="E25" s="697">
        <v>0</v>
      </c>
      <c r="F25" s="697">
        <v>0</v>
      </c>
      <c r="G25" s="697">
        <v>0</v>
      </c>
      <c r="H25" s="697">
        <v>0</v>
      </c>
      <c r="I25" s="697">
        <v>0</v>
      </c>
      <c r="J25" s="697">
        <v>52562</v>
      </c>
      <c r="K25" s="698">
        <v>52562</v>
      </c>
    </row>
    <row r="26" spans="1:16384" customFormat="1" x14ac:dyDescent="0.25">
      <c r="A26" s="689">
        <v>45637</v>
      </c>
      <c r="B26" s="690" t="s">
        <v>213</v>
      </c>
      <c r="C26" s="690" t="s">
        <v>17</v>
      </c>
      <c r="D26" s="691" t="s">
        <v>16</v>
      </c>
      <c r="E26" s="692">
        <v>10000</v>
      </c>
      <c r="F26" s="692">
        <v>0</v>
      </c>
      <c r="G26" s="692">
        <v>0</v>
      </c>
      <c r="H26" s="692">
        <v>0</v>
      </c>
      <c r="I26" s="692">
        <v>0</v>
      </c>
      <c r="J26" s="692">
        <v>0</v>
      </c>
      <c r="K26" s="693">
        <v>10000</v>
      </c>
    </row>
    <row r="27" spans="1:16384" customFormat="1" x14ac:dyDescent="0.25">
      <c r="A27" s="694">
        <v>45637</v>
      </c>
      <c r="B27" s="695" t="s">
        <v>461</v>
      </c>
      <c r="C27" s="695" t="s">
        <v>17</v>
      </c>
      <c r="D27" s="696" t="s">
        <v>16</v>
      </c>
      <c r="E27" s="697">
        <v>0</v>
      </c>
      <c r="F27" s="697">
        <v>0</v>
      </c>
      <c r="G27" s="697">
        <v>0</v>
      </c>
      <c r="H27" s="697">
        <v>0</v>
      </c>
      <c r="I27" s="697">
        <v>0</v>
      </c>
      <c r="J27" s="697">
        <v>14721</v>
      </c>
      <c r="K27" s="698">
        <v>14721</v>
      </c>
    </row>
    <row r="28" spans="1:16384" customFormat="1" x14ac:dyDescent="0.25">
      <c r="F28" s="653"/>
    </row>
    <row r="29" spans="1:16384" s="94" customFormat="1" ht="15.75" thickBot="1" x14ac:dyDescent="0.3">
      <c r="A29" s="655" t="s">
        <v>0</v>
      </c>
      <c r="B29" s="656" t="s">
        <v>1</v>
      </c>
      <c r="C29" s="656" t="s">
        <v>2</v>
      </c>
      <c r="D29" s="655" t="s">
        <v>3</v>
      </c>
      <c r="E29" s="655" t="s">
        <v>4</v>
      </c>
      <c r="F29" s="657" t="s">
        <v>381</v>
      </c>
      <c r="G29" s="657" t="s">
        <v>382</v>
      </c>
      <c r="H29" s="657" t="s">
        <v>383</v>
      </c>
      <c r="I29" s="657" t="s">
        <v>561</v>
      </c>
      <c r="J29" s="657" t="s">
        <v>384</v>
      </c>
      <c r="K29" s="657" t="s">
        <v>450</v>
      </c>
      <c r="L29" s="657" t="s">
        <v>385</v>
      </c>
      <c r="M29" s="657" t="s">
        <v>386</v>
      </c>
      <c r="N29" s="749" t="s">
        <v>562</v>
      </c>
      <c r="O29" s="750"/>
      <c r="P29" s="751"/>
      <c r="Q29" s="752"/>
      <c r="R29" s="751"/>
      <c r="S29" s="751"/>
      <c r="T29" s="752"/>
      <c r="U29" s="752"/>
      <c r="V29" s="753"/>
      <c r="W29" s="753"/>
      <c r="X29" s="753"/>
      <c r="Y29" s="753"/>
      <c r="Z29" s="753"/>
      <c r="AA29" s="753"/>
      <c r="AB29" s="753"/>
      <c r="AC29" s="753"/>
      <c r="AD29" s="753"/>
      <c r="AE29" s="750"/>
      <c r="AF29" s="751"/>
      <c r="AG29" s="752"/>
      <c r="AH29" s="751"/>
      <c r="AI29" s="751"/>
      <c r="AJ29" s="752"/>
      <c r="AK29" s="752"/>
      <c r="AL29" s="753"/>
      <c r="AM29" s="753"/>
      <c r="AN29" s="753"/>
      <c r="AO29" s="753"/>
      <c r="AP29" s="753"/>
      <c r="AQ29" s="753"/>
      <c r="AR29" s="753"/>
      <c r="AS29" s="753"/>
      <c r="AT29" s="753"/>
      <c r="AU29" s="750"/>
      <c r="AV29" s="751"/>
      <c r="AW29" s="752"/>
      <c r="AX29" s="751"/>
      <c r="AY29" s="751"/>
      <c r="AZ29" s="752"/>
      <c r="BA29" s="752"/>
      <c r="BB29" s="753"/>
      <c r="BC29" s="753"/>
      <c r="BD29" s="753"/>
      <c r="BE29" s="753"/>
      <c r="BF29" s="753"/>
      <c r="BG29" s="753"/>
      <c r="BH29" s="753"/>
      <c r="BI29" s="753"/>
      <c r="BJ29" s="753"/>
      <c r="BK29" s="750"/>
      <c r="BL29" s="751"/>
      <c r="BM29" s="752"/>
      <c r="BN29" s="751"/>
      <c r="BO29" s="751"/>
      <c r="BP29" s="752"/>
      <c r="BQ29" s="752"/>
      <c r="BR29" s="753"/>
      <c r="BS29" s="753"/>
      <c r="BT29" s="753"/>
      <c r="BU29" s="753"/>
      <c r="BV29" s="753"/>
      <c r="BW29" s="753"/>
      <c r="BX29" s="753"/>
      <c r="BY29" s="753"/>
      <c r="BZ29" s="753"/>
      <c r="CA29" s="750"/>
      <c r="CB29" s="751"/>
      <c r="CC29" s="752"/>
      <c r="CD29" s="751"/>
      <c r="CE29" s="751"/>
      <c r="CF29" s="752"/>
      <c r="CG29" s="752"/>
      <c r="CH29" s="753"/>
      <c r="CI29" s="753"/>
      <c r="CJ29" s="753"/>
      <c r="CK29" s="753"/>
      <c r="CL29" s="753"/>
      <c r="CM29" s="753"/>
      <c r="CN29" s="753"/>
      <c r="CO29" s="753"/>
      <c r="CP29" s="753"/>
      <c r="CQ29" s="750"/>
      <c r="CR29" s="751"/>
      <c r="CS29" s="752"/>
      <c r="CT29" s="751"/>
      <c r="CU29" s="751"/>
      <c r="CV29" s="752"/>
      <c r="CW29" s="752"/>
      <c r="CX29" s="753"/>
      <c r="CY29" s="753"/>
      <c r="CZ29" s="753"/>
      <c r="DA29" s="753"/>
      <c r="DB29" s="753"/>
      <c r="DC29" s="753"/>
      <c r="DD29" s="753"/>
      <c r="DE29" s="753"/>
      <c r="DF29" s="753"/>
      <c r="DG29" s="750"/>
      <c r="DH29" s="751"/>
      <c r="DI29" s="752"/>
      <c r="DJ29" s="751"/>
      <c r="DK29" s="751"/>
      <c r="DL29" s="752"/>
      <c r="DM29" s="752"/>
      <c r="DN29" s="753"/>
      <c r="DO29" s="753"/>
      <c r="DP29" s="753"/>
      <c r="DQ29" s="753"/>
      <c r="DR29" s="753"/>
      <c r="DS29" s="753"/>
      <c r="DT29" s="753"/>
      <c r="DU29" s="753"/>
      <c r="DV29" s="753"/>
      <c r="DW29" s="750"/>
      <c r="DX29" s="751"/>
      <c r="DY29" s="752"/>
      <c r="DZ29" s="751"/>
      <c r="EA29" s="751"/>
      <c r="EB29" s="752"/>
      <c r="EC29" s="752"/>
      <c r="ED29" s="753"/>
      <c r="EE29" s="753"/>
      <c r="EF29" s="753"/>
      <c r="EG29" s="753"/>
      <c r="EH29" s="753"/>
      <c r="EI29" s="753"/>
      <c r="EJ29" s="753"/>
      <c r="EK29" s="753"/>
      <c r="EL29" s="753"/>
      <c r="EM29" s="750"/>
      <c r="EN29" s="751"/>
      <c r="EO29" s="752"/>
      <c r="EP29" s="751"/>
      <c r="EQ29" s="751"/>
      <c r="ER29" s="752"/>
      <c r="ES29" s="752"/>
      <c r="ET29" s="753"/>
      <c r="EU29" s="753"/>
      <c r="EV29" s="753"/>
      <c r="EW29" s="753"/>
      <c r="EX29" s="753"/>
      <c r="EY29" s="753"/>
      <c r="EZ29" s="753"/>
      <c r="FA29" s="753"/>
      <c r="FB29" s="753"/>
      <c r="FC29" s="750"/>
      <c r="FD29" s="751"/>
      <c r="FE29" s="752"/>
      <c r="FF29" s="751"/>
      <c r="FG29" s="751"/>
      <c r="FH29" s="752"/>
      <c r="FI29" s="752"/>
      <c r="FJ29" s="753"/>
      <c r="FK29" s="753"/>
      <c r="FL29" s="753"/>
      <c r="FM29" s="753"/>
      <c r="FN29" s="753"/>
      <c r="FO29" s="753"/>
      <c r="FP29" s="753"/>
      <c r="FQ29" s="753"/>
      <c r="FR29" s="753"/>
      <c r="FS29" s="750"/>
      <c r="FT29" s="751"/>
      <c r="FU29" s="752"/>
      <c r="FV29" s="751"/>
      <c r="FW29" s="751"/>
      <c r="FX29" s="752"/>
      <c r="FY29" s="752"/>
      <c r="FZ29" s="753"/>
      <c r="GA29" s="753"/>
      <c r="GB29" s="753"/>
      <c r="GC29" s="753"/>
      <c r="GD29" s="753"/>
      <c r="GE29" s="753"/>
      <c r="GF29" s="753"/>
      <c r="GG29" s="753"/>
      <c r="GH29" s="753"/>
      <c r="GI29" s="750"/>
      <c r="GJ29" s="751"/>
      <c r="GK29" s="752"/>
      <c r="GL29" s="751"/>
      <c r="GM29" s="751"/>
      <c r="GN29" s="752"/>
      <c r="GO29" s="752"/>
      <c r="GP29" s="753"/>
      <c r="GQ29" s="753"/>
      <c r="GR29" s="753"/>
      <c r="GS29" s="753"/>
      <c r="GT29" s="753"/>
      <c r="GU29" s="753"/>
      <c r="GV29" s="753"/>
      <c r="GW29" s="753"/>
      <c r="GX29" s="753"/>
      <c r="GY29" s="750"/>
      <c r="GZ29" s="751"/>
      <c r="HA29" s="752"/>
      <c r="HB29" s="751"/>
      <c r="HC29" s="751"/>
      <c r="HD29" s="752"/>
      <c r="HE29" s="752"/>
      <c r="HF29" s="753"/>
      <c r="HG29" s="753"/>
      <c r="HH29" s="753"/>
      <c r="HI29" s="753"/>
      <c r="HJ29" s="753"/>
      <c r="HK29" s="753"/>
      <c r="HL29" s="753"/>
      <c r="HM29" s="753"/>
      <c r="HN29" s="753"/>
      <c r="HO29" s="750"/>
      <c r="HP29" s="751"/>
      <c r="HQ29" s="752"/>
      <c r="HR29" s="751"/>
      <c r="HS29" s="751"/>
      <c r="HT29" s="752"/>
      <c r="HU29" s="752"/>
      <c r="HV29" s="753"/>
      <c r="HW29" s="753"/>
      <c r="HX29" s="753"/>
      <c r="HY29" s="753"/>
      <c r="HZ29" s="753"/>
      <c r="IA29" s="753"/>
      <c r="IB29" s="753"/>
      <c r="IC29" s="753"/>
      <c r="ID29" s="753"/>
      <c r="IE29" s="750"/>
      <c r="IF29" s="751"/>
      <c r="IG29" s="752"/>
      <c r="IH29" s="751"/>
      <c r="II29" s="751"/>
      <c r="IJ29" s="752"/>
      <c r="IK29" s="752"/>
      <c r="IL29" s="753"/>
      <c r="IM29" s="753"/>
      <c r="IN29" s="753"/>
      <c r="IO29" s="753"/>
      <c r="IP29" s="753"/>
      <c r="IQ29" s="753"/>
      <c r="IR29" s="753"/>
      <c r="IS29" s="753"/>
      <c r="IT29" s="753"/>
      <c r="IU29" s="750"/>
      <c r="IV29" s="751"/>
      <c r="IW29" s="752"/>
      <c r="IX29" s="751"/>
      <c r="IY29" s="751"/>
      <c r="IZ29" s="752"/>
      <c r="JA29" s="752"/>
      <c r="JB29" s="753"/>
      <c r="JC29" s="753"/>
      <c r="JD29" s="753"/>
      <c r="JE29" s="753"/>
      <c r="JF29" s="753"/>
      <c r="JG29" s="753"/>
      <c r="JH29" s="753"/>
      <c r="JI29" s="753"/>
      <c r="JJ29" s="753"/>
      <c r="JK29" s="750"/>
      <c r="JL29" s="751"/>
      <c r="JM29" s="752"/>
      <c r="JN29" s="751"/>
      <c r="JO29" s="751"/>
      <c r="JP29" s="752"/>
      <c r="JQ29" s="752"/>
      <c r="JR29" s="753"/>
      <c r="JS29" s="753"/>
      <c r="JT29" s="753"/>
      <c r="JU29" s="753"/>
      <c r="JV29" s="753"/>
      <c r="JW29" s="753"/>
      <c r="JX29" s="753"/>
      <c r="JY29" s="753"/>
      <c r="JZ29" s="753"/>
      <c r="KA29" s="750"/>
      <c r="KB29" s="751"/>
      <c r="KC29" s="752"/>
      <c r="KD29" s="751"/>
      <c r="KE29" s="751"/>
      <c r="KF29" s="752"/>
      <c r="KG29" s="752"/>
      <c r="KH29" s="753"/>
      <c r="KI29" s="753"/>
      <c r="KJ29" s="753"/>
      <c r="KK29" s="753"/>
      <c r="KL29" s="753"/>
      <c r="KM29" s="753"/>
      <c r="KN29" s="753"/>
      <c r="KO29" s="753"/>
      <c r="KP29" s="753"/>
      <c r="KQ29" s="750"/>
      <c r="KR29" s="751"/>
      <c r="KS29" s="752"/>
      <c r="KT29" s="751"/>
      <c r="KU29" s="751"/>
      <c r="KV29" s="752"/>
      <c r="KW29" s="752"/>
      <c r="KX29" s="753"/>
      <c r="KY29" s="753"/>
      <c r="KZ29" s="753"/>
      <c r="LA29" s="753"/>
      <c r="LB29" s="753"/>
      <c r="LC29" s="753"/>
      <c r="LD29" s="753"/>
      <c r="LE29" s="753"/>
      <c r="LF29" s="753"/>
      <c r="LG29" s="750"/>
      <c r="LH29" s="751"/>
      <c r="LI29" s="752"/>
      <c r="LJ29" s="751"/>
      <c r="LK29" s="751"/>
      <c r="LL29" s="752"/>
      <c r="LM29" s="752"/>
      <c r="LN29" s="753"/>
      <c r="LO29" s="753"/>
      <c r="LP29" s="753"/>
      <c r="LQ29" s="753"/>
      <c r="LR29" s="753"/>
      <c r="LS29" s="753"/>
      <c r="LT29" s="753"/>
      <c r="LU29" s="753"/>
      <c r="LV29" s="753"/>
      <c r="LW29" s="750"/>
      <c r="LX29" s="751"/>
      <c r="LY29" s="752"/>
      <c r="LZ29" s="751"/>
      <c r="MA29" s="751"/>
      <c r="MB29" s="752"/>
      <c r="MC29" s="752"/>
      <c r="MD29" s="753"/>
      <c r="ME29" s="753"/>
      <c r="MF29" s="753"/>
      <c r="MG29" s="753"/>
      <c r="MH29" s="753"/>
      <c r="MI29" s="753"/>
      <c r="MJ29" s="753"/>
      <c r="MK29" s="753"/>
      <c r="ML29" s="753"/>
      <c r="MM29" s="750"/>
      <c r="MN29" s="751"/>
      <c r="MO29" s="752"/>
      <c r="MP29" s="751"/>
      <c r="MQ29" s="751"/>
      <c r="MR29" s="752"/>
      <c r="MS29" s="752"/>
      <c r="MT29" s="753"/>
      <c r="MU29" s="753"/>
      <c r="MV29" s="753"/>
      <c r="MW29" s="753"/>
      <c r="MX29" s="753"/>
      <c r="MY29" s="753"/>
      <c r="MZ29" s="753"/>
      <c r="NA29" s="753"/>
      <c r="NB29" s="753"/>
      <c r="NC29" s="750"/>
      <c r="ND29" s="751"/>
      <c r="NE29" s="752"/>
      <c r="NF29" s="751"/>
      <c r="NG29" s="751"/>
      <c r="NH29" s="752"/>
      <c r="NI29" s="752"/>
      <c r="NJ29" s="753"/>
      <c r="NK29" s="753"/>
      <c r="NL29" s="753"/>
      <c r="NM29" s="753"/>
      <c r="NN29" s="753"/>
      <c r="NO29" s="753"/>
      <c r="NP29" s="753"/>
      <c r="NQ29" s="753"/>
      <c r="NR29" s="753"/>
      <c r="NS29" s="750"/>
      <c r="NT29" s="751"/>
      <c r="NU29" s="752"/>
      <c r="NV29" s="751"/>
      <c r="NW29" s="751"/>
      <c r="NX29" s="752"/>
      <c r="NY29" s="752"/>
      <c r="NZ29" s="753"/>
      <c r="OA29" s="753"/>
      <c r="OB29" s="753"/>
      <c r="OC29" s="753"/>
      <c r="OD29" s="753"/>
      <c r="OE29" s="753"/>
      <c r="OF29" s="753"/>
      <c r="OG29" s="753"/>
      <c r="OH29" s="753"/>
      <c r="OI29" s="750"/>
      <c r="OJ29" s="751"/>
      <c r="OK29" s="752"/>
      <c r="OL29" s="751"/>
      <c r="OM29" s="751"/>
      <c r="ON29" s="752"/>
      <c r="OO29" s="752"/>
      <c r="OP29" s="753"/>
      <c r="OQ29" s="753"/>
      <c r="OR29" s="753"/>
      <c r="OS29" s="753"/>
      <c r="OT29" s="753"/>
      <c r="OU29" s="753"/>
      <c r="OV29" s="753"/>
      <c r="OW29" s="753"/>
      <c r="OX29" s="753"/>
      <c r="OY29" s="750"/>
      <c r="OZ29" s="751"/>
      <c r="PA29" s="752"/>
      <c r="PB29" s="751"/>
      <c r="PC29" s="751"/>
      <c r="PD29" s="752"/>
      <c r="PE29" s="752"/>
      <c r="PF29" s="753"/>
      <c r="PG29" s="753"/>
      <c r="PH29" s="753"/>
      <c r="PI29" s="753"/>
      <c r="PJ29" s="753"/>
      <c r="PK29" s="753"/>
      <c r="PL29" s="753"/>
      <c r="PM29" s="753"/>
      <c r="PN29" s="753"/>
      <c r="PO29" s="750"/>
      <c r="PP29" s="751"/>
      <c r="PQ29" s="752"/>
      <c r="PR29" s="751"/>
      <c r="PS29" s="751"/>
      <c r="PT29" s="752"/>
      <c r="PU29" s="752"/>
      <c r="PV29" s="753"/>
      <c r="PW29" s="753"/>
      <c r="PX29" s="753"/>
      <c r="PY29" s="753"/>
      <c r="PZ29" s="753"/>
      <c r="QA29" s="753"/>
      <c r="QB29" s="753"/>
      <c r="QC29" s="753"/>
      <c r="QD29" s="753"/>
      <c r="QE29" s="750"/>
      <c r="QF29" s="751"/>
      <c r="QG29" s="752"/>
      <c r="QH29" s="751"/>
      <c r="QI29" s="751"/>
      <c r="QJ29" s="752"/>
      <c r="QK29" s="752"/>
      <c r="QL29" s="753"/>
      <c r="QM29" s="753"/>
      <c r="QN29" s="753"/>
      <c r="QO29" s="753"/>
      <c r="QP29" s="753"/>
      <c r="QQ29" s="753"/>
      <c r="QR29" s="753"/>
      <c r="QS29" s="753"/>
      <c r="QT29" s="753"/>
      <c r="QU29" s="750"/>
      <c r="QV29" s="751"/>
      <c r="QW29" s="752"/>
      <c r="QX29" s="751"/>
      <c r="QY29" s="751"/>
      <c r="QZ29" s="752"/>
      <c r="RA29" s="752"/>
      <c r="RB29" s="753"/>
      <c r="RC29" s="753"/>
      <c r="RD29" s="753"/>
      <c r="RE29" s="753"/>
      <c r="RF29" s="753"/>
      <c r="RG29" s="753"/>
      <c r="RH29" s="753"/>
      <c r="RI29" s="753"/>
      <c r="RJ29" s="753"/>
      <c r="RK29" s="750"/>
      <c r="RL29" s="751"/>
      <c r="RM29" s="752"/>
      <c r="RN29" s="751"/>
      <c r="RO29" s="751"/>
      <c r="RP29" s="752"/>
      <c r="RQ29" s="752"/>
      <c r="RR29" s="753"/>
      <c r="RS29" s="753"/>
      <c r="RT29" s="753"/>
      <c r="RU29" s="753"/>
      <c r="RV29" s="753"/>
      <c r="RW29" s="753"/>
      <c r="RX29" s="753"/>
      <c r="RY29" s="753"/>
      <c r="RZ29" s="753"/>
      <c r="SA29" s="750"/>
      <c r="SB29" s="751"/>
      <c r="SC29" s="752"/>
      <c r="SD29" s="751"/>
      <c r="SE29" s="751"/>
      <c r="SF29" s="752"/>
      <c r="SG29" s="752"/>
      <c r="SH29" s="753"/>
      <c r="SI29" s="753"/>
      <c r="SJ29" s="753"/>
      <c r="SK29" s="753"/>
      <c r="SL29" s="753"/>
      <c r="SM29" s="753"/>
      <c r="SN29" s="753"/>
      <c r="SO29" s="753"/>
      <c r="SP29" s="753"/>
      <c r="SQ29" s="750"/>
      <c r="SR29" s="751"/>
      <c r="SS29" s="752"/>
      <c r="ST29" s="751"/>
      <c r="SU29" s="751"/>
      <c r="SV29" s="752"/>
      <c r="SW29" s="752"/>
      <c r="SX29" s="753"/>
      <c r="SY29" s="753"/>
      <c r="SZ29" s="753"/>
      <c r="TA29" s="753"/>
      <c r="TB29" s="753"/>
      <c r="TC29" s="753"/>
      <c r="TD29" s="753"/>
      <c r="TE29" s="753"/>
      <c r="TF29" s="753"/>
      <c r="TG29" s="750"/>
      <c r="TH29" s="751"/>
      <c r="TI29" s="752"/>
      <c r="TJ29" s="751"/>
      <c r="TK29" s="751"/>
      <c r="TL29" s="752"/>
      <c r="TM29" s="752"/>
      <c r="TN29" s="753"/>
      <c r="TO29" s="753"/>
      <c r="TP29" s="753"/>
      <c r="TQ29" s="753"/>
      <c r="TR29" s="753"/>
      <c r="TS29" s="753"/>
      <c r="TT29" s="753"/>
      <c r="TU29" s="753"/>
      <c r="TV29" s="753"/>
      <c r="TW29" s="750"/>
      <c r="TX29" s="751"/>
      <c r="TY29" s="752"/>
      <c r="TZ29" s="751"/>
      <c r="UA29" s="751"/>
      <c r="UB29" s="752"/>
      <c r="UC29" s="752"/>
      <c r="UD29" s="753"/>
      <c r="UE29" s="753"/>
      <c r="UF29" s="753"/>
      <c r="UG29" s="753"/>
      <c r="UH29" s="753"/>
      <c r="UI29" s="753"/>
      <c r="UJ29" s="753"/>
      <c r="UK29" s="753"/>
      <c r="UL29" s="753"/>
      <c r="UM29" s="750"/>
      <c r="UN29" s="751"/>
      <c r="UO29" s="752"/>
      <c r="UP29" s="751"/>
      <c r="UQ29" s="751"/>
      <c r="UR29" s="752"/>
      <c r="US29" s="752"/>
      <c r="UT29" s="753"/>
      <c r="UU29" s="753"/>
      <c r="UV29" s="753"/>
      <c r="UW29" s="753"/>
      <c r="UX29" s="753"/>
      <c r="UY29" s="753"/>
      <c r="UZ29" s="753"/>
      <c r="VA29" s="753"/>
      <c r="VB29" s="753"/>
      <c r="VC29" s="750"/>
      <c r="VD29" s="751"/>
      <c r="VE29" s="752"/>
      <c r="VF29" s="751"/>
      <c r="VG29" s="751"/>
      <c r="VH29" s="752"/>
      <c r="VI29" s="752"/>
      <c r="VJ29" s="753"/>
      <c r="VK29" s="753"/>
      <c r="VL29" s="753"/>
      <c r="VM29" s="753"/>
      <c r="VN29" s="753"/>
      <c r="VO29" s="753"/>
      <c r="VP29" s="753"/>
      <c r="VQ29" s="753"/>
      <c r="VR29" s="753"/>
      <c r="VS29" s="750"/>
      <c r="VT29" s="751"/>
      <c r="VU29" s="752"/>
      <c r="VV29" s="751"/>
      <c r="VW29" s="751"/>
      <c r="VX29" s="752"/>
      <c r="VY29" s="752"/>
      <c r="VZ29" s="753"/>
      <c r="WA29" s="753"/>
      <c r="WB29" s="753"/>
      <c r="WC29" s="753"/>
      <c r="WD29" s="753"/>
      <c r="WE29" s="753"/>
      <c r="WF29" s="753"/>
      <c r="WG29" s="753"/>
      <c r="WH29" s="753"/>
      <c r="WI29" s="750"/>
      <c r="WJ29" s="751"/>
      <c r="WK29" s="752"/>
      <c r="WL29" s="751"/>
      <c r="WM29" s="751"/>
      <c r="WN29" s="752"/>
      <c r="WO29" s="752"/>
      <c r="WP29" s="753"/>
      <c r="WQ29" s="753"/>
      <c r="WR29" s="753"/>
      <c r="WS29" s="753"/>
      <c r="WT29" s="753"/>
      <c r="WU29" s="753"/>
      <c r="WV29" s="753"/>
      <c r="WW29" s="753"/>
      <c r="WX29" s="753"/>
      <c r="WY29" s="750"/>
      <c r="WZ29" s="751"/>
      <c r="XA29" s="752"/>
      <c r="XB29" s="751"/>
      <c r="XC29" s="751"/>
      <c r="XD29" s="752"/>
      <c r="XE29" s="752"/>
      <c r="XF29" s="753"/>
      <c r="XG29" s="753"/>
      <c r="XH29" s="753"/>
      <c r="XI29" s="753"/>
      <c r="XJ29" s="753"/>
      <c r="XK29" s="753"/>
      <c r="XL29" s="753"/>
      <c r="XM29" s="753"/>
      <c r="XN29" s="753"/>
      <c r="XO29" s="750"/>
      <c r="XP29" s="751"/>
      <c r="XQ29" s="752"/>
      <c r="XR29" s="751"/>
      <c r="XS29" s="751"/>
      <c r="XT29" s="752"/>
      <c r="XU29" s="752"/>
      <c r="XV29" s="753"/>
      <c r="XW29" s="753"/>
      <c r="XX29" s="753"/>
      <c r="XY29" s="753"/>
      <c r="XZ29" s="753"/>
      <c r="YA29" s="753"/>
      <c r="YB29" s="753"/>
      <c r="YC29" s="753"/>
      <c r="YD29" s="753"/>
      <c r="YE29" s="750"/>
      <c r="YF29" s="751"/>
      <c r="YG29" s="752"/>
      <c r="YH29" s="751"/>
      <c r="YI29" s="751"/>
      <c r="YJ29" s="752"/>
      <c r="YK29" s="752"/>
      <c r="YL29" s="753"/>
      <c r="YM29" s="753"/>
      <c r="YN29" s="753"/>
      <c r="YO29" s="753"/>
      <c r="YP29" s="753"/>
      <c r="YQ29" s="753"/>
      <c r="YR29" s="753"/>
      <c r="YS29" s="753"/>
      <c r="YT29" s="753"/>
      <c r="YU29" s="750"/>
      <c r="YV29" s="751"/>
      <c r="YW29" s="752"/>
      <c r="YX29" s="751"/>
      <c r="YY29" s="751"/>
      <c r="YZ29" s="752"/>
      <c r="ZA29" s="752"/>
      <c r="ZB29" s="753"/>
      <c r="ZC29" s="753"/>
      <c r="ZD29" s="753"/>
      <c r="ZE29" s="753"/>
      <c r="ZF29" s="753"/>
      <c r="ZG29" s="753"/>
      <c r="ZH29" s="753"/>
      <c r="ZI29" s="753"/>
      <c r="ZJ29" s="753"/>
      <c r="ZK29" s="750"/>
      <c r="ZL29" s="751"/>
      <c r="ZM29" s="752"/>
      <c r="ZN29" s="751"/>
      <c r="ZO29" s="751"/>
      <c r="ZP29" s="752"/>
      <c r="ZQ29" s="752"/>
      <c r="ZR29" s="753"/>
      <c r="ZS29" s="753"/>
      <c r="ZT29" s="753"/>
      <c r="ZU29" s="753"/>
      <c r="ZV29" s="753"/>
      <c r="ZW29" s="753"/>
      <c r="ZX29" s="753"/>
      <c r="ZY29" s="753"/>
      <c r="ZZ29" s="753"/>
      <c r="AAA29" s="750"/>
      <c r="AAB29" s="751"/>
      <c r="AAC29" s="752"/>
      <c r="AAD29" s="751"/>
      <c r="AAE29" s="751"/>
      <c r="AAF29" s="752"/>
      <c r="AAG29" s="752"/>
      <c r="AAH29" s="753"/>
      <c r="AAI29" s="753"/>
      <c r="AAJ29" s="753"/>
      <c r="AAK29" s="753"/>
      <c r="AAL29" s="753"/>
      <c r="AAM29" s="753"/>
      <c r="AAN29" s="753"/>
      <c r="AAO29" s="753"/>
      <c r="AAP29" s="753"/>
      <c r="AAQ29" s="750"/>
      <c r="AAR29" s="751"/>
      <c r="AAS29" s="752"/>
      <c r="AAT29" s="751"/>
      <c r="AAU29" s="751"/>
      <c r="AAV29" s="752"/>
      <c r="AAW29" s="752"/>
      <c r="AAX29" s="753"/>
      <c r="AAY29" s="753"/>
      <c r="AAZ29" s="753"/>
      <c r="ABA29" s="753"/>
      <c r="ABB29" s="753"/>
      <c r="ABC29" s="753"/>
      <c r="ABD29" s="753"/>
      <c r="ABE29" s="753"/>
      <c r="ABF29" s="753"/>
      <c r="ABG29" s="750"/>
      <c r="ABH29" s="751"/>
      <c r="ABI29" s="752"/>
      <c r="ABJ29" s="751"/>
      <c r="ABK29" s="751"/>
      <c r="ABL29" s="752"/>
      <c r="ABM29" s="752"/>
      <c r="ABN29" s="753"/>
      <c r="ABO29" s="753"/>
      <c r="ABP29" s="753"/>
      <c r="ABQ29" s="753"/>
      <c r="ABR29" s="753"/>
      <c r="ABS29" s="753"/>
      <c r="ABT29" s="753"/>
      <c r="ABU29" s="753"/>
      <c r="ABV29" s="753"/>
      <c r="ABW29" s="750"/>
      <c r="ABX29" s="751"/>
      <c r="ABY29" s="752"/>
      <c r="ABZ29" s="751"/>
      <c r="ACA29" s="751"/>
      <c r="ACB29" s="752"/>
      <c r="ACC29" s="752"/>
      <c r="ACD29" s="753"/>
      <c r="ACE29" s="753"/>
      <c r="ACF29" s="753"/>
      <c r="ACG29" s="753"/>
      <c r="ACH29" s="753"/>
      <c r="ACI29" s="753"/>
      <c r="ACJ29" s="753"/>
      <c r="ACK29" s="753"/>
      <c r="ACL29" s="753"/>
      <c r="ACM29" s="750"/>
      <c r="ACN29" s="751"/>
      <c r="ACO29" s="752"/>
      <c r="ACP29" s="751"/>
      <c r="ACQ29" s="751"/>
      <c r="ACR29" s="752"/>
      <c r="ACS29" s="752"/>
      <c r="ACT29" s="753"/>
      <c r="ACU29" s="753"/>
      <c r="ACV29" s="753"/>
      <c r="ACW29" s="753"/>
      <c r="ACX29" s="753"/>
      <c r="ACY29" s="753"/>
      <c r="ACZ29" s="753"/>
      <c r="ADA29" s="753"/>
      <c r="ADB29" s="753"/>
      <c r="ADC29" s="750"/>
      <c r="ADD29" s="751"/>
      <c r="ADE29" s="752"/>
      <c r="ADF29" s="751"/>
      <c r="ADG29" s="751"/>
      <c r="ADH29" s="752"/>
      <c r="ADI29" s="752"/>
      <c r="ADJ29" s="753"/>
      <c r="ADK29" s="753"/>
      <c r="ADL29" s="753"/>
      <c r="ADM29" s="753"/>
      <c r="ADN29" s="753"/>
      <c r="ADO29" s="753"/>
      <c r="ADP29" s="753"/>
      <c r="ADQ29" s="753"/>
      <c r="ADR29" s="753"/>
      <c r="ADS29" s="750"/>
      <c r="ADT29" s="751"/>
      <c r="ADU29" s="752"/>
      <c r="ADV29" s="751"/>
      <c r="ADW29" s="751"/>
      <c r="ADX29" s="752"/>
      <c r="ADY29" s="752"/>
      <c r="ADZ29" s="753"/>
      <c r="AEA29" s="753"/>
      <c r="AEB29" s="753"/>
      <c r="AEC29" s="753"/>
      <c r="AED29" s="753"/>
      <c r="AEE29" s="753"/>
      <c r="AEF29" s="753"/>
      <c r="AEG29" s="753"/>
      <c r="AEH29" s="753"/>
      <c r="AEI29" s="750"/>
      <c r="AEJ29" s="751"/>
      <c r="AEK29" s="752"/>
      <c r="AEL29" s="751"/>
      <c r="AEM29" s="751"/>
      <c r="AEN29" s="752"/>
      <c r="AEO29" s="752"/>
      <c r="AEP29" s="753"/>
      <c r="AEQ29" s="753"/>
      <c r="AER29" s="753"/>
      <c r="AES29" s="753"/>
      <c r="AET29" s="753"/>
      <c r="AEU29" s="753"/>
      <c r="AEV29" s="753"/>
      <c r="AEW29" s="753"/>
      <c r="AEX29" s="753"/>
      <c r="AEY29" s="750"/>
      <c r="AEZ29" s="751"/>
      <c r="AFA29" s="752"/>
      <c r="AFB29" s="751"/>
      <c r="AFC29" s="751"/>
      <c r="AFD29" s="752"/>
      <c r="AFE29" s="752"/>
      <c r="AFF29" s="753"/>
      <c r="AFG29" s="753"/>
      <c r="AFH29" s="753"/>
      <c r="AFI29" s="753"/>
      <c r="AFJ29" s="753"/>
      <c r="AFK29" s="753"/>
      <c r="AFL29" s="753"/>
      <c r="AFM29" s="753"/>
      <c r="AFN29" s="753"/>
      <c r="AFO29" s="750"/>
      <c r="AFP29" s="751"/>
      <c r="AFQ29" s="752"/>
      <c r="AFR29" s="751"/>
      <c r="AFS29" s="751"/>
      <c r="AFT29" s="752"/>
      <c r="AFU29" s="752"/>
      <c r="AFV29" s="753"/>
      <c r="AFW29" s="753"/>
      <c r="AFX29" s="753"/>
      <c r="AFY29" s="753"/>
      <c r="AFZ29" s="753"/>
      <c r="AGA29" s="753"/>
      <c r="AGB29" s="753"/>
      <c r="AGC29" s="753"/>
      <c r="AGD29" s="753"/>
      <c r="AGE29" s="750"/>
      <c r="AGF29" s="751"/>
      <c r="AGG29" s="752"/>
      <c r="AGH29" s="751"/>
      <c r="AGI29" s="751"/>
      <c r="AGJ29" s="752"/>
      <c r="AGK29" s="752"/>
      <c r="AGL29" s="753"/>
      <c r="AGM29" s="753"/>
      <c r="AGN29" s="753"/>
      <c r="AGO29" s="753"/>
      <c r="AGP29" s="753"/>
      <c r="AGQ29" s="753"/>
      <c r="AGR29" s="753"/>
      <c r="AGS29" s="753"/>
      <c r="AGT29" s="753"/>
      <c r="AGU29" s="750"/>
      <c r="AGV29" s="751"/>
      <c r="AGW29" s="752"/>
      <c r="AGX29" s="751"/>
      <c r="AGY29" s="751"/>
      <c r="AGZ29" s="752"/>
      <c r="AHA29" s="752"/>
      <c r="AHB29" s="753"/>
      <c r="AHC29" s="753"/>
      <c r="AHD29" s="753"/>
      <c r="AHE29" s="753"/>
      <c r="AHF29" s="753"/>
      <c r="AHG29" s="753"/>
      <c r="AHH29" s="753"/>
      <c r="AHI29" s="753"/>
      <c r="AHJ29" s="753"/>
      <c r="AHK29" s="750"/>
      <c r="AHL29" s="751"/>
      <c r="AHM29" s="752"/>
      <c r="AHN29" s="751"/>
      <c r="AHO29" s="751"/>
      <c r="AHP29" s="752"/>
      <c r="AHQ29" s="752"/>
      <c r="AHR29" s="753"/>
      <c r="AHS29" s="753"/>
      <c r="AHT29" s="753"/>
      <c r="AHU29" s="753"/>
      <c r="AHV29" s="753"/>
      <c r="AHW29" s="753"/>
      <c r="AHX29" s="753"/>
      <c r="AHY29" s="753"/>
      <c r="AHZ29" s="753"/>
      <c r="AIA29" s="750"/>
      <c r="AIB29" s="751"/>
      <c r="AIC29" s="752"/>
      <c r="AID29" s="751"/>
      <c r="AIE29" s="751"/>
      <c r="AIF29" s="752"/>
      <c r="AIG29" s="752"/>
      <c r="AIH29" s="753"/>
      <c r="AII29" s="753"/>
      <c r="AIJ29" s="753"/>
      <c r="AIK29" s="753"/>
      <c r="AIL29" s="753"/>
      <c r="AIM29" s="753"/>
      <c r="AIN29" s="753"/>
      <c r="AIO29" s="753"/>
      <c r="AIP29" s="753"/>
      <c r="AIQ29" s="750"/>
      <c r="AIR29" s="751"/>
      <c r="AIS29" s="752"/>
      <c r="AIT29" s="751"/>
      <c r="AIU29" s="751"/>
      <c r="AIV29" s="752"/>
      <c r="AIW29" s="752"/>
      <c r="AIX29" s="753"/>
      <c r="AIY29" s="753"/>
      <c r="AIZ29" s="753"/>
      <c r="AJA29" s="753"/>
      <c r="AJB29" s="753"/>
      <c r="AJC29" s="753"/>
      <c r="AJD29" s="753"/>
      <c r="AJE29" s="753"/>
      <c r="AJF29" s="753"/>
      <c r="AJG29" s="750"/>
      <c r="AJH29" s="751"/>
      <c r="AJI29" s="752"/>
      <c r="AJJ29" s="751"/>
      <c r="AJK29" s="751"/>
      <c r="AJL29" s="752"/>
      <c r="AJM29" s="752"/>
      <c r="AJN29" s="753"/>
      <c r="AJO29" s="753"/>
      <c r="AJP29" s="753"/>
      <c r="AJQ29" s="753"/>
      <c r="AJR29" s="753"/>
      <c r="AJS29" s="753"/>
      <c r="AJT29" s="753"/>
      <c r="AJU29" s="753"/>
      <c r="AJV29" s="753"/>
      <c r="AJW29" s="750"/>
      <c r="AJX29" s="751"/>
      <c r="AJY29" s="752"/>
      <c r="AJZ29" s="751"/>
      <c r="AKA29" s="751"/>
      <c r="AKB29" s="752"/>
      <c r="AKC29" s="752"/>
      <c r="AKD29" s="753"/>
      <c r="AKE29" s="753"/>
      <c r="AKF29" s="753"/>
      <c r="AKG29" s="753"/>
      <c r="AKH29" s="753"/>
      <c r="AKI29" s="753"/>
      <c r="AKJ29" s="753"/>
      <c r="AKK29" s="753"/>
      <c r="AKL29" s="753"/>
      <c r="AKM29" s="750"/>
      <c r="AKN29" s="751"/>
      <c r="AKO29" s="752"/>
      <c r="AKP29" s="751"/>
      <c r="AKQ29" s="751"/>
      <c r="AKR29" s="752"/>
      <c r="AKS29" s="752"/>
      <c r="AKT29" s="753"/>
      <c r="AKU29" s="753"/>
      <c r="AKV29" s="753"/>
      <c r="AKW29" s="753"/>
      <c r="AKX29" s="753"/>
      <c r="AKY29" s="753"/>
      <c r="AKZ29" s="753"/>
      <c r="ALA29" s="753"/>
      <c r="ALB29" s="753"/>
      <c r="ALC29" s="750"/>
      <c r="ALD29" s="751"/>
      <c r="ALE29" s="752"/>
      <c r="ALF29" s="751"/>
      <c r="ALG29" s="751"/>
      <c r="ALH29" s="752"/>
      <c r="ALI29" s="752"/>
      <c r="ALJ29" s="753"/>
      <c r="ALK29" s="753"/>
      <c r="ALL29" s="753"/>
      <c r="ALM29" s="753"/>
      <c r="ALN29" s="753"/>
      <c r="ALO29" s="753"/>
      <c r="ALP29" s="753"/>
      <c r="ALQ29" s="753"/>
      <c r="ALR29" s="753"/>
      <c r="ALS29" s="750"/>
      <c r="ALT29" s="751"/>
      <c r="ALU29" s="752"/>
      <c r="ALV29" s="751"/>
      <c r="ALW29" s="751"/>
      <c r="ALX29" s="752"/>
      <c r="ALY29" s="752"/>
      <c r="ALZ29" s="753"/>
      <c r="AMA29" s="753"/>
      <c r="AMB29" s="753"/>
      <c r="AMC29" s="753"/>
      <c r="AMD29" s="753"/>
      <c r="AME29" s="753"/>
      <c r="AMF29" s="753"/>
      <c r="AMG29" s="753"/>
      <c r="AMH29" s="753"/>
      <c r="AMI29" s="750"/>
      <c r="AMJ29" s="751"/>
      <c r="AMK29" s="752"/>
      <c r="AML29" s="751"/>
      <c r="AMM29" s="751"/>
      <c r="AMN29" s="752"/>
      <c r="AMO29" s="752"/>
      <c r="AMP29" s="753"/>
      <c r="AMQ29" s="753"/>
      <c r="AMR29" s="753"/>
      <c r="AMS29" s="753"/>
      <c r="AMT29" s="753"/>
      <c r="AMU29" s="753"/>
      <c r="AMV29" s="753"/>
      <c r="AMW29" s="753"/>
      <c r="AMX29" s="753"/>
      <c r="AMY29" s="750"/>
      <c r="AMZ29" s="751"/>
      <c r="ANA29" s="752"/>
      <c r="ANB29" s="751"/>
      <c r="ANC29" s="751"/>
      <c r="AND29" s="752"/>
      <c r="ANE29" s="752"/>
      <c r="ANF29" s="753"/>
      <c r="ANG29" s="753"/>
      <c r="ANH29" s="753"/>
      <c r="ANI29" s="753"/>
      <c r="ANJ29" s="753"/>
      <c r="ANK29" s="753"/>
      <c r="ANL29" s="753"/>
      <c r="ANM29" s="753"/>
      <c r="ANN29" s="753"/>
      <c r="ANO29" s="750"/>
      <c r="ANP29" s="751"/>
      <c r="ANQ29" s="752"/>
      <c r="ANR29" s="751"/>
      <c r="ANS29" s="751"/>
      <c r="ANT29" s="752"/>
      <c r="ANU29" s="752"/>
      <c r="ANV29" s="753"/>
      <c r="ANW29" s="753"/>
      <c r="ANX29" s="753"/>
      <c r="ANY29" s="753"/>
      <c r="ANZ29" s="753"/>
      <c r="AOA29" s="753"/>
      <c r="AOB29" s="753"/>
      <c r="AOC29" s="753"/>
      <c r="AOD29" s="753"/>
      <c r="AOE29" s="750"/>
      <c r="AOF29" s="751"/>
      <c r="AOG29" s="752"/>
      <c r="AOH29" s="751"/>
      <c r="AOI29" s="751"/>
      <c r="AOJ29" s="752"/>
      <c r="AOK29" s="752"/>
      <c r="AOL29" s="753"/>
      <c r="AOM29" s="753"/>
      <c r="AON29" s="753"/>
      <c r="AOO29" s="753"/>
      <c r="AOP29" s="753"/>
      <c r="AOQ29" s="753"/>
      <c r="AOR29" s="753"/>
      <c r="AOS29" s="753"/>
      <c r="AOT29" s="753"/>
      <c r="AOU29" s="750"/>
      <c r="AOV29" s="751"/>
      <c r="AOW29" s="752"/>
      <c r="AOX29" s="751"/>
      <c r="AOY29" s="751"/>
      <c r="AOZ29" s="752"/>
      <c r="APA29" s="752"/>
      <c r="APB29" s="753"/>
      <c r="APC29" s="753"/>
      <c r="APD29" s="753"/>
      <c r="APE29" s="753"/>
      <c r="APF29" s="753"/>
      <c r="APG29" s="753"/>
      <c r="APH29" s="753"/>
      <c r="API29" s="753"/>
      <c r="APJ29" s="753"/>
      <c r="APK29" s="750"/>
      <c r="APL29" s="751"/>
      <c r="APM29" s="752"/>
      <c r="APN29" s="751"/>
      <c r="APO29" s="751"/>
      <c r="APP29" s="752"/>
      <c r="APQ29" s="752"/>
      <c r="APR29" s="753"/>
      <c r="APS29" s="753"/>
      <c r="APT29" s="753"/>
      <c r="APU29" s="753"/>
      <c r="APV29" s="753"/>
      <c r="APW29" s="753"/>
      <c r="APX29" s="753"/>
      <c r="APY29" s="753"/>
      <c r="APZ29" s="753"/>
      <c r="AQA29" s="750"/>
      <c r="AQB29" s="751"/>
      <c r="AQC29" s="752"/>
      <c r="AQD29" s="751"/>
      <c r="AQE29" s="751"/>
      <c r="AQF29" s="752"/>
      <c r="AQG29" s="752"/>
      <c r="AQH29" s="753"/>
      <c r="AQI29" s="753"/>
      <c r="AQJ29" s="753"/>
      <c r="AQK29" s="753"/>
      <c r="AQL29" s="753"/>
      <c r="AQM29" s="753"/>
      <c r="AQN29" s="753"/>
      <c r="AQO29" s="753"/>
      <c r="AQP29" s="753"/>
      <c r="AQQ29" s="750"/>
      <c r="AQR29" s="751"/>
      <c r="AQS29" s="752"/>
      <c r="AQT29" s="751"/>
      <c r="AQU29" s="751"/>
      <c r="AQV29" s="752"/>
      <c r="AQW29" s="752"/>
      <c r="AQX29" s="753"/>
      <c r="AQY29" s="753"/>
      <c r="AQZ29" s="753"/>
      <c r="ARA29" s="753"/>
      <c r="ARB29" s="753"/>
      <c r="ARC29" s="753"/>
      <c r="ARD29" s="753"/>
      <c r="ARE29" s="753"/>
      <c r="ARF29" s="753"/>
      <c r="ARG29" s="750"/>
      <c r="ARH29" s="751"/>
      <c r="ARI29" s="752"/>
      <c r="ARJ29" s="751"/>
      <c r="ARK29" s="751"/>
      <c r="ARL29" s="752"/>
      <c r="ARM29" s="752"/>
      <c r="ARN29" s="753"/>
      <c r="ARO29" s="753"/>
      <c r="ARP29" s="753"/>
      <c r="ARQ29" s="753"/>
      <c r="ARR29" s="753"/>
      <c r="ARS29" s="753"/>
      <c r="ART29" s="753"/>
      <c r="ARU29" s="753"/>
      <c r="ARV29" s="753"/>
      <c r="ARW29" s="750"/>
      <c r="ARX29" s="751"/>
      <c r="ARY29" s="752"/>
      <c r="ARZ29" s="751"/>
      <c r="ASA29" s="751"/>
      <c r="ASB29" s="752"/>
      <c r="ASC29" s="752"/>
      <c r="ASD29" s="753"/>
      <c r="ASE29" s="753"/>
      <c r="ASF29" s="753"/>
      <c r="ASG29" s="753"/>
      <c r="ASH29" s="753"/>
      <c r="ASI29" s="753"/>
      <c r="ASJ29" s="753"/>
      <c r="ASK29" s="753"/>
      <c r="ASL29" s="753"/>
      <c r="ASM29" s="750"/>
      <c r="ASN29" s="751"/>
      <c r="ASO29" s="752"/>
      <c r="ASP29" s="751"/>
      <c r="ASQ29" s="751"/>
      <c r="ASR29" s="752"/>
      <c r="ASS29" s="752"/>
      <c r="AST29" s="753"/>
      <c r="ASU29" s="753"/>
      <c r="ASV29" s="753"/>
      <c r="ASW29" s="753"/>
      <c r="ASX29" s="753"/>
      <c r="ASY29" s="753"/>
      <c r="ASZ29" s="753"/>
      <c r="ATA29" s="753"/>
      <c r="ATB29" s="753"/>
      <c r="ATC29" s="750"/>
      <c r="ATD29" s="751"/>
      <c r="ATE29" s="752"/>
      <c r="ATF29" s="751"/>
      <c r="ATG29" s="751"/>
      <c r="ATH29" s="752"/>
      <c r="ATI29" s="752"/>
      <c r="ATJ29" s="753"/>
      <c r="ATK29" s="753"/>
      <c r="ATL29" s="753"/>
      <c r="ATM29" s="753"/>
      <c r="ATN29" s="753"/>
      <c r="ATO29" s="753"/>
      <c r="ATP29" s="753"/>
      <c r="ATQ29" s="753"/>
      <c r="ATR29" s="753"/>
      <c r="ATS29" s="750"/>
      <c r="ATT29" s="751"/>
      <c r="ATU29" s="752"/>
      <c r="ATV29" s="751"/>
      <c r="ATW29" s="751"/>
      <c r="ATX29" s="752"/>
      <c r="ATY29" s="752"/>
      <c r="ATZ29" s="753"/>
      <c r="AUA29" s="753"/>
      <c r="AUB29" s="753"/>
      <c r="AUC29" s="753"/>
      <c r="AUD29" s="753"/>
      <c r="AUE29" s="753"/>
      <c r="AUF29" s="753"/>
      <c r="AUG29" s="753"/>
      <c r="AUH29" s="753"/>
      <c r="AUI29" s="750"/>
      <c r="AUJ29" s="751"/>
      <c r="AUK29" s="752"/>
      <c r="AUL29" s="751"/>
      <c r="AUM29" s="751"/>
      <c r="AUN29" s="752"/>
      <c r="AUO29" s="752"/>
      <c r="AUP29" s="753"/>
      <c r="AUQ29" s="753"/>
      <c r="AUR29" s="753"/>
      <c r="AUS29" s="753"/>
      <c r="AUT29" s="753"/>
      <c r="AUU29" s="753"/>
      <c r="AUV29" s="753"/>
      <c r="AUW29" s="753"/>
      <c r="AUX29" s="753"/>
      <c r="AUY29" s="750"/>
      <c r="AUZ29" s="751"/>
      <c r="AVA29" s="752"/>
      <c r="AVB29" s="751"/>
      <c r="AVC29" s="751"/>
      <c r="AVD29" s="752"/>
      <c r="AVE29" s="752"/>
      <c r="AVF29" s="753"/>
      <c r="AVG29" s="753"/>
      <c r="AVH29" s="753"/>
      <c r="AVI29" s="753"/>
      <c r="AVJ29" s="753"/>
      <c r="AVK29" s="753"/>
      <c r="AVL29" s="753"/>
      <c r="AVM29" s="753"/>
      <c r="AVN29" s="753"/>
      <c r="AVO29" s="750"/>
      <c r="AVP29" s="751"/>
      <c r="AVQ29" s="752"/>
      <c r="AVR29" s="751"/>
      <c r="AVS29" s="751"/>
      <c r="AVT29" s="752"/>
      <c r="AVU29" s="752"/>
      <c r="AVV29" s="753"/>
      <c r="AVW29" s="753"/>
      <c r="AVX29" s="753"/>
      <c r="AVY29" s="753"/>
      <c r="AVZ29" s="753"/>
      <c r="AWA29" s="753"/>
      <c r="AWB29" s="753"/>
      <c r="AWC29" s="753"/>
      <c r="AWD29" s="753"/>
      <c r="AWE29" s="750"/>
      <c r="AWF29" s="751"/>
      <c r="AWG29" s="752"/>
      <c r="AWH29" s="751"/>
      <c r="AWI29" s="751"/>
      <c r="AWJ29" s="752"/>
      <c r="AWK29" s="752"/>
      <c r="AWL29" s="753"/>
      <c r="AWM29" s="753"/>
      <c r="AWN29" s="753"/>
      <c r="AWO29" s="753"/>
      <c r="AWP29" s="753"/>
      <c r="AWQ29" s="753"/>
      <c r="AWR29" s="753"/>
      <c r="AWS29" s="753"/>
      <c r="AWT29" s="753"/>
      <c r="AWU29" s="750"/>
      <c r="AWV29" s="751"/>
      <c r="AWW29" s="752"/>
      <c r="AWX29" s="751"/>
      <c r="AWY29" s="751"/>
      <c r="AWZ29" s="752"/>
      <c r="AXA29" s="752"/>
      <c r="AXB29" s="753"/>
      <c r="AXC29" s="753"/>
      <c r="AXD29" s="753"/>
      <c r="AXE29" s="753"/>
      <c r="AXF29" s="753"/>
      <c r="AXG29" s="753"/>
      <c r="AXH29" s="753"/>
      <c r="AXI29" s="753"/>
      <c r="AXJ29" s="753"/>
      <c r="AXK29" s="750"/>
      <c r="AXL29" s="751"/>
      <c r="AXM29" s="752"/>
      <c r="AXN29" s="751"/>
      <c r="AXO29" s="751"/>
      <c r="AXP29" s="752"/>
      <c r="AXQ29" s="752"/>
      <c r="AXR29" s="753"/>
      <c r="AXS29" s="753"/>
      <c r="AXT29" s="753"/>
      <c r="AXU29" s="753"/>
      <c r="AXV29" s="753"/>
      <c r="AXW29" s="753"/>
      <c r="AXX29" s="753"/>
      <c r="AXY29" s="753"/>
      <c r="AXZ29" s="753"/>
      <c r="AYA29" s="750"/>
      <c r="AYB29" s="751"/>
      <c r="AYC29" s="752"/>
      <c r="AYD29" s="751"/>
      <c r="AYE29" s="751"/>
      <c r="AYF29" s="752"/>
      <c r="AYG29" s="752"/>
      <c r="AYH29" s="753"/>
      <c r="AYI29" s="753"/>
      <c r="AYJ29" s="753"/>
      <c r="AYK29" s="753"/>
      <c r="AYL29" s="753"/>
      <c r="AYM29" s="753"/>
      <c r="AYN29" s="753"/>
      <c r="AYO29" s="753"/>
      <c r="AYP29" s="753"/>
      <c r="AYQ29" s="750"/>
      <c r="AYR29" s="751"/>
      <c r="AYS29" s="752"/>
      <c r="AYT29" s="751"/>
      <c r="AYU29" s="751"/>
      <c r="AYV29" s="752"/>
      <c r="AYW29" s="752"/>
      <c r="AYX29" s="753"/>
      <c r="AYY29" s="753"/>
      <c r="AYZ29" s="753"/>
      <c r="AZA29" s="753"/>
      <c r="AZB29" s="753"/>
      <c r="AZC29" s="753"/>
      <c r="AZD29" s="753"/>
      <c r="AZE29" s="753"/>
      <c r="AZF29" s="753"/>
      <c r="AZG29" s="750"/>
      <c r="AZH29" s="751"/>
      <c r="AZI29" s="752"/>
      <c r="AZJ29" s="751"/>
      <c r="AZK29" s="751"/>
      <c r="AZL29" s="752"/>
      <c r="AZM29" s="752"/>
      <c r="AZN29" s="753"/>
      <c r="AZO29" s="753"/>
      <c r="AZP29" s="753"/>
      <c r="AZQ29" s="753"/>
      <c r="AZR29" s="753"/>
      <c r="AZS29" s="753"/>
      <c r="AZT29" s="753"/>
      <c r="AZU29" s="753"/>
      <c r="AZV29" s="753"/>
      <c r="AZW29" s="750"/>
      <c r="AZX29" s="751"/>
      <c r="AZY29" s="752"/>
      <c r="AZZ29" s="751"/>
      <c r="BAA29" s="751"/>
      <c r="BAB29" s="752"/>
      <c r="BAC29" s="752"/>
      <c r="BAD29" s="753"/>
      <c r="BAE29" s="753"/>
      <c r="BAF29" s="753"/>
      <c r="BAG29" s="753"/>
      <c r="BAH29" s="753"/>
      <c r="BAI29" s="753"/>
      <c r="BAJ29" s="753"/>
      <c r="BAK29" s="753"/>
      <c r="BAL29" s="753"/>
      <c r="BAM29" s="750"/>
      <c r="BAN29" s="751"/>
      <c r="BAO29" s="752"/>
      <c r="BAP29" s="751"/>
      <c r="BAQ29" s="751"/>
      <c r="BAR29" s="752"/>
      <c r="BAS29" s="752"/>
      <c r="BAT29" s="753"/>
      <c r="BAU29" s="753"/>
      <c r="BAV29" s="753"/>
      <c r="BAW29" s="753"/>
      <c r="BAX29" s="753"/>
      <c r="BAY29" s="753"/>
      <c r="BAZ29" s="753"/>
      <c r="BBA29" s="753"/>
      <c r="BBB29" s="753"/>
      <c r="BBC29" s="750"/>
      <c r="BBD29" s="751"/>
      <c r="BBE29" s="752"/>
      <c r="BBF29" s="751"/>
      <c r="BBG29" s="751"/>
      <c r="BBH29" s="752"/>
      <c r="BBI29" s="752"/>
      <c r="BBJ29" s="753"/>
      <c r="BBK29" s="753"/>
      <c r="BBL29" s="753"/>
      <c r="BBM29" s="753"/>
      <c r="BBN29" s="753"/>
      <c r="BBO29" s="753"/>
      <c r="BBP29" s="753"/>
      <c r="BBQ29" s="753"/>
      <c r="BBR29" s="753"/>
      <c r="BBS29" s="750"/>
      <c r="BBT29" s="751"/>
      <c r="BBU29" s="752"/>
      <c r="BBV29" s="751"/>
      <c r="BBW29" s="751"/>
      <c r="BBX29" s="752"/>
      <c r="BBY29" s="752"/>
      <c r="BBZ29" s="753"/>
      <c r="BCA29" s="753"/>
      <c r="BCB29" s="753"/>
      <c r="BCC29" s="753"/>
      <c r="BCD29" s="753"/>
      <c r="BCE29" s="753"/>
      <c r="BCF29" s="753"/>
      <c r="BCG29" s="753"/>
      <c r="BCH29" s="753"/>
      <c r="BCI29" s="750"/>
      <c r="BCJ29" s="751"/>
      <c r="BCK29" s="752"/>
      <c r="BCL29" s="751"/>
      <c r="BCM29" s="751"/>
      <c r="BCN29" s="752"/>
      <c r="BCO29" s="752"/>
      <c r="BCP29" s="753"/>
      <c r="BCQ29" s="753"/>
      <c r="BCR29" s="753"/>
      <c r="BCS29" s="753"/>
      <c r="BCT29" s="753"/>
      <c r="BCU29" s="753"/>
      <c r="BCV29" s="753"/>
      <c r="BCW29" s="753"/>
      <c r="BCX29" s="753"/>
      <c r="BCY29" s="750"/>
      <c r="BCZ29" s="751"/>
      <c r="BDA29" s="752"/>
      <c r="BDB29" s="751"/>
      <c r="BDC29" s="751"/>
      <c r="BDD29" s="752"/>
      <c r="BDE29" s="752"/>
      <c r="BDF29" s="753"/>
      <c r="BDG29" s="753"/>
      <c r="BDH29" s="753"/>
      <c r="BDI29" s="753"/>
      <c r="BDJ29" s="753"/>
      <c r="BDK29" s="753"/>
      <c r="BDL29" s="753"/>
      <c r="BDM29" s="753"/>
      <c r="BDN29" s="753"/>
      <c r="BDO29" s="750"/>
      <c r="BDP29" s="751"/>
      <c r="BDQ29" s="752"/>
      <c r="BDR29" s="751"/>
      <c r="BDS29" s="751"/>
      <c r="BDT29" s="752"/>
      <c r="BDU29" s="752"/>
      <c r="BDV29" s="753"/>
      <c r="BDW29" s="753"/>
      <c r="BDX29" s="753"/>
      <c r="BDY29" s="753"/>
      <c r="BDZ29" s="753"/>
      <c r="BEA29" s="753"/>
      <c r="BEB29" s="753"/>
      <c r="BEC29" s="753"/>
      <c r="BED29" s="753"/>
      <c r="BEE29" s="750"/>
      <c r="BEF29" s="751"/>
      <c r="BEG29" s="752"/>
      <c r="BEH29" s="751"/>
      <c r="BEI29" s="751"/>
      <c r="BEJ29" s="752"/>
      <c r="BEK29" s="752"/>
      <c r="BEL29" s="753"/>
      <c r="BEM29" s="753"/>
      <c r="BEN29" s="753"/>
      <c r="BEO29" s="753"/>
      <c r="BEP29" s="753"/>
      <c r="BEQ29" s="753"/>
      <c r="BER29" s="753"/>
      <c r="BES29" s="753"/>
      <c r="BET29" s="753"/>
      <c r="BEU29" s="750"/>
      <c r="BEV29" s="751"/>
      <c r="BEW29" s="752"/>
      <c r="BEX29" s="751"/>
      <c r="BEY29" s="751"/>
      <c r="BEZ29" s="752"/>
      <c r="BFA29" s="752"/>
      <c r="BFB29" s="753"/>
      <c r="BFC29" s="753"/>
      <c r="BFD29" s="753"/>
      <c r="BFE29" s="753"/>
      <c r="BFF29" s="753"/>
      <c r="BFG29" s="753"/>
      <c r="BFH29" s="753"/>
      <c r="BFI29" s="753"/>
      <c r="BFJ29" s="753"/>
      <c r="BFK29" s="750"/>
      <c r="BFL29" s="751"/>
      <c r="BFM29" s="752"/>
      <c r="BFN29" s="751"/>
      <c r="BFO29" s="751"/>
      <c r="BFP29" s="752"/>
      <c r="BFQ29" s="752"/>
      <c r="BFR29" s="753"/>
      <c r="BFS29" s="753"/>
      <c r="BFT29" s="753"/>
      <c r="BFU29" s="753"/>
      <c r="BFV29" s="753"/>
      <c r="BFW29" s="753"/>
      <c r="BFX29" s="753"/>
      <c r="BFY29" s="753"/>
      <c r="BFZ29" s="753"/>
      <c r="BGA29" s="750"/>
      <c r="BGB29" s="751"/>
      <c r="BGC29" s="752"/>
      <c r="BGD29" s="751"/>
      <c r="BGE29" s="751"/>
      <c r="BGF29" s="752"/>
      <c r="BGG29" s="752"/>
      <c r="BGH29" s="753"/>
      <c r="BGI29" s="753"/>
      <c r="BGJ29" s="753"/>
      <c r="BGK29" s="753"/>
      <c r="BGL29" s="753"/>
      <c r="BGM29" s="753"/>
      <c r="BGN29" s="753"/>
      <c r="BGO29" s="753"/>
      <c r="BGP29" s="753"/>
      <c r="BGQ29" s="750"/>
      <c r="BGR29" s="751"/>
      <c r="BGS29" s="752"/>
      <c r="BGT29" s="751"/>
      <c r="BGU29" s="751"/>
      <c r="BGV29" s="752"/>
      <c r="BGW29" s="752"/>
      <c r="BGX29" s="753"/>
      <c r="BGY29" s="753"/>
      <c r="BGZ29" s="753"/>
      <c r="BHA29" s="753"/>
      <c r="BHB29" s="753"/>
      <c r="BHC29" s="753"/>
      <c r="BHD29" s="753"/>
      <c r="BHE29" s="753"/>
      <c r="BHF29" s="753"/>
      <c r="BHG29" s="750"/>
      <c r="BHH29" s="751"/>
      <c r="BHI29" s="752"/>
      <c r="BHJ29" s="751"/>
      <c r="BHK29" s="751"/>
      <c r="BHL29" s="752"/>
      <c r="BHM29" s="752"/>
      <c r="BHN29" s="753"/>
      <c r="BHO29" s="753"/>
      <c r="BHP29" s="753"/>
      <c r="BHQ29" s="753"/>
      <c r="BHR29" s="753"/>
      <c r="BHS29" s="753"/>
      <c r="BHT29" s="753"/>
      <c r="BHU29" s="753"/>
      <c r="BHV29" s="753"/>
      <c r="BHW29" s="750"/>
      <c r="BHX29" s="751"/>
      <c r="BHY29" s="752"/>
      <c r="BHZ29" s="751"/>
      <c r="BIA29" s="751"/>
      <c r="BIB29" s="752"/>
      <c r="BIC29" s="752"/>
      <c r="BID29" s="753"/>
      <c r="BIE29" s="753"/>
      <c r="BIF29" s="753"/>
      <c r="BIG29" s="753"/>
      <c r="BIH29" s="753"/>
      <c r="BII29" s="753"/>
      <c r="BIJ29" s="753"/>
      <c r="BIK29" s="753"/>
      <c r="BIL29" s="753"/>
      <c r="BIM29" s="750"/>
      <c r="BIN29" s="751"/>
      <c r="BIO29" s="752"/>
      <c r="BIP29" s="751"/>
      <c r="BIQ29" s="751"/>
      <c r="BIR29" s="752"/>
      <c r="BIS29" s="752"/>
      <c r="BIT29" s="753"/>
      <c r="BIU29" s="753"/>
      <c r="BIV29" s="753"/>
      <c r="BIW29" s="753"/>
      <c r="BIX29" s="753"/>
      <c r="BIY29" s="753"/>
      <c r="BIZ29" s="753"/>
      <c r="BJA29" s="753"/>
      <c r="BJB29" s="753"/>
      <c r="BJC29" s="750"/>
      <c r="BJD29" s="751"/>
      <c r="BJE29" s="752"/>
      <c r="BJF29" s="751"/>
      <c r="BJG29" s="751"/>
      <c r="BJH29" s="752"/>
      <c r="BJI29" s="752"/>
      <c r="BJJ29" s="753"/>
      <c r="BJK29" s="753"/>
      <c r="BJL29" s="753"/>
      <c r="BJM29" s="753"/>
      <c r="BJN29" s="753"/>
      <c r="BJO29" s="753"/>
      <c r="BJP29" s="753"/>
      <c r="BJQ29" s="753"/>
      <c r="BJR29" s="753"/>
      <c r="BJS29" s="750"/>
      <c r="BJT29" s="751"/>
      <c r="BJU29" s="752"/>
      <c r="BJV29" s="751"/>
      <c r="BJW29" s="751"/>
      <c r="BJX29" s="752"/>
      <c r="BJY29" s="752"/>
      <c r="BJZ29" s="753"/>
      <c r="BKA29" s="753"/>
      <c r="BKB29" s="753"/>
      <c r="BKC29" s="753"/>
      <c r="BKD29" s="753"/>
      <c r="BKE29" s="753"/>
      <c r="BKF29" s="753"/>
      <c r="BKG29" s="753"/>
      <c r="BKH29" s="753"/>
      <c r="BKI29" s="750"/>
      <c r="BKJ29" s="751"/>
      <c r="BKK29" s="752"/>
      <c r="BKL29" s="751"/>
      <c r="BKM29" s="751"/>
      <c r="BKN29" s="752"/>
      <c r="BKO29" s="752"/>
      <c r="BKP29" s="753"/>
      <c r="BKQ29" s="753"/>
      <c r="BKR29" s="753"/>
      <c r="BKS29" s="753"/>
      <c r="BKT29" s="753"/>
      <c r="BKU29" s="753"/>
      <c r="BKV29" s="753"/>
      <c r="BKW29" s="753"/>
      <c r="BKX29" s="753"/>
      <c r="BKY29" s="750"/>
      <c r="BKZ29" s="751"/>
      <c r="BLA29" s="752"/>
      <c r="BLB29" s="751"/>
      <c r="BLC29" s="751"/>
      <c r="BLD29" s="752"/>
      <c r="BLE29" s="752"/>
      <c r="BLF29" s="753"/>
      <c r="BLG29" s="753"/>
      <c r="BLH29" s="753"/>
      <c r="BLI29" s="753"/>
      <c r="BLJ29" s="753"/>
      <c r="BLK29" s="753"/>
      <c r="BLL29" s="753"/>
      <c r="BLM29" s="753"/>
      <c r="BLN29" s="753"/>
      <c r="BLO29" s="750"/>
      <c r="BLP29" s="751"/>
      <c r="BLQ29" s="752"/>
      <c r="BLR29" s="751"/>
      <c r="BLS29" s="751"/>
      <c r="BLT29" s="752"/>
      <c r="BLU29" s="752"/>
      <c r="BLV29" s="753"/>
      <c r="BLW29" s="753"/>
      <c r="BLX29" s="753"/>
      <c r="BLY29" s="753"/>
      <c r="BLZ29" s="753"/>
      <c r="BMA29" s="753"/>
      <c r="BMB29" s="753"/>
      <c r="BMC29" s="753"/>
      <c r="BMD29" s="753"/>
      <c r="BME29" s="750"/>
      <c r="BMF29" s="751"/>
      <c r="BMG29" s="752"/>
      <c r="BMH29" s="751"/>
      <c r="BMI29" s="751"/>
      <c r="BMJ29" s="752"/>
      <c r="BMK29" s="752"/>
      <c r="BML29" s="753"/>
      <c r="BMM29" s="753"/>
      <c r="BMN29" s="753"/>
      <c r="BMO29" s="753"/>
      <c r="BMP29" s="753"/>
      <c r="BMQ29" s="753"/>
      <c r="BMR29" s="753"/>
      <c r="BMS29" s="753"/>
      <c r="BMT29" s="753"/>
      <c r="BMU29" s="750"/>
      <c r="BMV29" s="751"/>
      <c r="BMW29" s="752"/>
      <c r="BMX29" s="751"/>
      <c r="BMY29" s="751"/>
      <c r="BMZ29" s="752"/>
      <c r="BNA29" s="752"/>
      <c r="BNB29" s="753"/>
      <c r="BNC29" s="753"/>
      <c r="BND29" s="753"/>
      <c r="BNE29" s="753"/>
      <c r="BNF29" s="753"/>
      <c r="BNG29" s="753"/>
      <c r="BNH29" s="753"/>
      <c r="BNI29" s="753"/>
      <c r="BNJ29" s="753"/>
      <c r="BNK29" s="750"/>
      <c r="BNL29" s="751"/>
      <c r="BNM29" s="752"/>
      <c r="BNN29" s="751"/>
      <c r="BNO29" s="751"/>
      <c r="BNP29" s="752"/>
      <c r="BNQ29" s="752"/>
      <c r="BNR29" s="753"/>
      <c r="BNS29" s="753"/>
      <c r="BNT29" s="753"/>
      <c r="BNU29" s="753"/>
      <c r="BNV29" s="753"/>
      <c r="BNW29" s="753"/>
      <c r="BNX29" s="753"/>
      <c r="BNY29" s="753"/>
      <c r="BNZ29" s="753"/>
      <c r="BOA29" s="750"/>
      <c r="BOB29" s="751"/>
      <c r="BOC29" s="752"/>
      <c r="BOD29" s="751"/>
      <c r="BOE29" s="751"/>
      <c r="BOF29" s="752"/>
      <c r="BOG29" s="752"/>
      <c r="BOH29" s="753"/>
      <c r="BOI29" s="753"/>
      <c r="BOJ29" s="753"/>
      <c r="BOK29" s="753"/>
      <c r="BOL29" s="753"/>
      <c r="BOM29" s="753"/>
      <c r="BON29" s="753"/>
      <c r="BOO29" s="753"/>
      <c r="BOP29" s="753"/>
      <c r="BOQ29" s="750"/>
      <c r="BOR29" s="751"/>
      <c r="BOS29" s="752"/>
      <c r="BOT29" s="751"/>
      <c r="BOU29" s="751"/>
      <c r="BOV29" s="752"/>
      <c r="BOW29" s="752"/>
      <c r="BOX29" s="753"/>
      <c r="BOY29" s="753"/>
      <c r="BOZ29" s="753"/>
      <c r="BPA29" s="753"/>
      <c r="BPB29" s="753"/>
      <c r="BPC29" s="753"/>
      <c r="BPD29" s="753"/>
      <c r="BPE29" s="753"/>
      <c r="BPF29" s="753"/>
      <c r="BPG29" s="750"/>
      <c r="BPH29" s="751"/>
      <c r="BPI29" s="752"/>
      <c r="BPJ29" s="751"/>
      <c r="BPK29" s="751"/>
      <c r="BPL29" s="752"/>
      <c r="BPM29" s="752"/>
      <c r="BPN29" s="753"/>
      <c r="BPO29" s="753"/>
      <c r="BPP29" s="753"/>
      <c r="BPQ29" s="753"/>
      <c r="BPR29" s="753"/>
      <c r="BPS29" s="753"/>
      <c r="BPT29" s="753"/>
      <c r="BPU29" s="753"/>
      <c r="BPV29" s="753"/>
      <c r="BPW29" s="750"/>
      <c r="BPX29" s="751"/>
      <c r="BPY29" s="752"/>
      <c r="BPZ29" s="751"/>
      <c r="BQA29" s="751"/>
      <c r="BQB29" s="752"/>
      <c r="BQC29" s="752"/>
      <c r="BQD29" s="753"/>
      <c r="BQE29" s="753"/>
      <c r="BQF29" s="753"/>
      <c r="BQG29" s="753"/>
      <c r="BQH29" s="753"/>
      <c r="BQI29" s="753"/>
      <c r="BQJ29" s="753"/>
      <c r="BQK29" s="753"/>
      <c r="BQL29" s="753"/>
      <c r="BQM29" s="750"/>
      <c r="BQN29" s="751"/>
      <c r="BQO29" s="752"/>
      <c r="BQP29" s="751"/>
      <c r="BQQ29" s="751"/>
      <c r="BQR29" s="752"/>
      <c r="BQS29" s="752"/>
      <c r="BQT29" s="753"/>
      <c r="BQU29" s="753"/>
      <c r="BQV29" s="753"/>
      <c r="BQW29" s="753"/>
      <c r="BQX29" s="753"/>
      <c r="BQY29" s="753"/>
      <c r="BQZ29" s="753"/>
      <c r="BRA29" s="753"/>
      <c r="BRB29" s="753"/>
      <c r="BRC29" s="750"/>
      <c r="BRD29" s="751"/>
      <c r="BRE29" s="752"/>
      <c r="BRF29" s="751"/>
      <c r="BRG29" s="751"/>
      <c r="BRH29" s="752"/>
      <c r="BRI29" s="752"/>
      <c r="BRJ29" s="753"/>
      <c r="BRK29" s="753"/>
      <c r="BRL29" s="753"/>
      <c r="BRM29" s="753"/>
      <c r="BRN29" s="753"/>
      <c r="BRO29" s="753"/>
      <c r="BRP29" s="753"/>
      <c r="BRQ29" s="753"/>
      <c r="BRR29" s="753"/>
      <c r="BRS29" s="750"/>
      <c r="BRT29" s="751"/>
      <c r="BRU29" s="752"/>
      <c r="BRV29" s="751"/>
      <c r="BRW29" s="751"/>
      <c r="BRX29" s="752"/>
      <c r="BRY29" s="752"/>
      <c r="BRZ29" s="753"/>
      <c r="BSA29" s="753"/>
      <c r="BSB29" s="753"/>
      <c r="BSC29" s="753"/>
      <c r="BSD29" s="753"/>
      <c r="BSE29" s="753"/>
      <c r="BSF29" s="753"/>
      <c r="BSG29" s="753"/>
      <c r="BSH29" s="753"/>
      <c r="BSI29" s="750"/>
      <c r="BSJ29" s="751"/>
      <c r="BSK29" s="752"/>
      <c r="BSL29" s="751"/>
      <c r="BSM29" s="751"/>
      <c r="BSN29" s="752"/>
      <c r="BSO29" s="752"/>
      <c r="BSP29" s="753"/>
      <c r="BSQ29" s="753"/>
      <c r="BSR29" s="753"/>
      <c r="BSS29" s="753"/>
      <c r="BST29" s="753"/>
      <c r="BSU29" s="753"/>
      <c r="BSV29" s="753"/>
      <c r="BSW29" s="753"/>
      <c r="BSX29" s="753"/>
      <c r="BSY29" s="750"/>
      <c r="BSZ29" s="751"/>
      <c r="BTA29" s="752"/>
      <c r="BTB29" s="751"/>
      <c r="BTC29" s="751"/>
      <c r="BTD29" s="752"/>
      <c r="BTE29" s="752"/>
      <c r="BTF29" s="753"/>
      <c r="BTG29" s="753"/>
      <c r="BTH29" s="753"/>
      <c r="BTI29" s="753"/>
      <c r="BTJ29" s="753"/>
      <c r="BTK29" s="753"/>
      <c r="BTL29" s="753"/>
      <c r="BTM29" s="753"/>
      <c r="BTN29" s="753"/>
      <c r="BTO29" s="750"/>
      <c r="BTP29" s="751"/>
      <c r="BTQ29" s="752"/>
      <c r="BTR29" s="751"/>
      <c r="BTS29" s="751"/>
      <c r="BTT29" s="752"/>
      <c r="BTU29" s="752"/>
      <c r="BTV29" s="753"/>
      <c r="BTW29" s="753"/>
      <c r="BTX29" s="753"/>
      <c r="BTY29" s="753"/>
      <c r="BTZ29" s="753"/>
      <c r="BUA29" s="753"/>
      <c r="BUB29" s="753"/>
      <c r="BUC29" s="753"/>
      <c r="BUD29" s="753"/>
      <c r="BUE29" s="750"/>
      <c r="BUF29" s="751"/>
      <c r="BUG29" s="752"/>
      <c r="BUH29" s="751"/>
      <c r="BUI29" s="751"/>
      <c r="BUJ29" s="752"/>
      <c r="BUK29" s="752"/>
      <c r="BUL29" s="753"/>
      <c r="BUM29" s="753"/>
      <c r="BUN29" s="753"/>
      <c r="BUO29" s="753"/>
      <c r="BUP29" s="753"/>
      <c r="BUQ29" s="753"/>
      <c r="BUR29" s="753"/>
      <c r="BUS29" s="753"/>
      <c r="BUT29" s="753"/>
      <c r="BUU29" s="750"/>
      <c r="BUV29" s="751"/>
      <c r="BUW29" s="752"/>
      <c r="BUX29" s="751"/>
      <c r="BUY29" s="751"/>
      <c r="BUZ29" s="752"/>
      <c r="BVA29" s="752"/>
      <c r="BVB29" s="753"/>
      <c r="BVC29" s="753"/>
      <c r="BVD29" s="753"/>
      <c r="BVE29" s="753"/>
      <c r="BVF29" s="753"/>
      <c r="BVG29" s="753"/>
      <c r="BVH29" s="753"/>
      <c r="BVI29" s="753"/>
      <c r="BVJ29" s="753"/>
      <c r="BVK29" s="750"/>
      <c r="BVL29" s="751"/>
      <c r="BVM29" s="752"/>
      <c r="BVN29" s="751"/>
      <c r="BVO29" s="751"/>
      <c r="BVP29" s="752"/>
      <c r="BVQ29" s="752"/>
      <c r="BVR29" s="753"/>
      <c r="BVS29" s="753"/>
      <c r="BVT29" s="753"/>
      <c r="BVU29" s="753"/>
      <c r="BVV29" s="753"/>
      <c r="BVW29" s="753"/>
      <c r="BVX29" s="753"/>
      <c r="BVY29" s="753"/>
      <c r="BVZ29" s="753"/>
      <c r="BWA29" s="750"/>
      <c r="BWB29" s="751"/>
      <c r="BWC29" s="752"/>
      <c r="BWD29" s="751"/>
      <c r="BWE29" s="751"/>
      <c r="BWF29" s="752"/>
      <c r="BWG29" s="752"/>
      <c r="BWH29" s="753"/>
      <c r="BWI29" s="753"/>
      <c r="BWJ29" s="753"/>
      <c r="BWK29" s="753"/>
      <c r="BWL29" s="753"/>
      <c r="BWM29" s="753"/>
      <c r="BWN29" s="753"/>
      <c r="BWO29" s="753"/>
      <c r="BWP29" s="753"/>
      <c r="BWQ29" s="750"/>
      <c r="BWR29" s="751"/>
      <c r="BWS29" s="752"/>
      <c r="BWT29" s="751"/>
      <c r="BWU29" s="751"/>
      <c r="BWV29" s="752"/>
      <c r="BWW29" s="752"/>
      <c r="BWX29" s="753"/>
      <c r="BWY29" s="753"/>
      <c r="BWZ29" s="753"/>
      <c r="BXA29" s="753"/>
      <c r="BXB29" s="753"/>
      <c r="BXC29" s="753"/>
      <c r="BXD29" s="753"/>
      <c r="BXE29" s="753"/>
      <c r="BXF29" s="753"/>
      <c r="BXG29" s="750"/>
      <c r="BXH29" s="751"/>
      <c r="BXI29" s="752"/>
      <c r="BXJ29" s="751"/>
      <c r="BXK29" s="751"/>
      <c r="BXL29" s="752"/>
      <c r="BXM29" s="752"/>
      <c r="BXN29" s="753"/>
      <c r="BXO29" s="753"/>
      <c r="BXP29" s="753"/>
      <c r="BXQ29" s="753"/>
      <c r="BXR29" s="753"/>
      <c r="BXS29" s="753"/>
      <c r="BXT29" s="753"/>
      <c r="BXU29" s="753"/>
      <c r="BXV29" s="753"/>
      <c r="BXW29" s="750"/>
      <c r="BXX29" s="751"/>
      <c r="BXY29" s="752"/>
      <c r="BXZ29" s="751"/>
      <c r="BYA29" s="751"/>
      <c r="BYB29" s="752"/>
      <c r="BYC29" s="752"/>
      <c r="BYD29" s="753"/>
      <c r="BYE29" s="753"/>
      <c r="BYF29" s="753"/>
      <c r="BYG29" s="753"/>
      <c r="BYH29" s="753"/>
      <c r="BYI29" s="753"/>
      <c r="BYJ29" s="753"/>
      <c r="BYK29" s="753"/>
      <c r="BYL29" s="753"/>
      <c r="BYM29" s="750"/>
      <c r="BYN29" s="751"/>
      <c r="BYO29" s="752"/>
      <c r="BYP29" s="751"/>
      <c r="BYQ29" s="751"/>
      <c r="BYR29" s="752"/>
      <c r="BYS29" s="752"/>
      <c r="BYT29" s="753"/>
      <c r="BYU29" s="753"/>
      <c r="BYV29" s="753"/>
      <c r="BYW29" s="753"/>
      <c r="BYX29" s="753"/>
      <c r="BYY29" s="753"/>
      <c r="BYZ29" s="753"/>
      <c r="BZA29" s="753"/>
      <c r="BZB29" s="753"/>
      <c r="BZC29" s="750"/>
      <c r="BZD29" s="751"/>
      <c r="BZE29" s="752"/>
      <c r="BZF29" s="751"/>
      <c r="BZG29" s="751"/>
      <c r="BZH29" s="752"/>
      <c r="BZI29" s="752"/>
      <c r="BZJ29" s="753"/>
      <c r="BZK29" s="753"/>
      <c r="BZL29" s="753"/>
      <c r="BZM29" s="753"/>
      <c r="BZN29" s="753"/>
      <c r="BZO29" s="753"/>
      <c r="BZP29" s="753"/>
      <c r="BZQ29" s="753"/>
      <c r="BZR29" s="753"/>
      <c r="BZS29" s="750"/>
      <c r="BZT29" s="751"/>
      <c r="BZU29" s="752"/>
      <c r="BZV29" s="751"/>
      <c r="BZW29" s="751"/>
      <c r="BZX29" s="752"/>
      <c r="BZY29" s="752"/>
      <c r="BZZ29" s="753"/>
      <c r="CAA29" s="753"/>
      <c r="CAB29" s="753"/>
      <c r="CAC29" s="753"/>
      <c r="CAD29" s="753"/>
      <c r="CAE29" s="753"/>
      <c r="CAF29" s="753"/>
      <c r="CAG29" s="753"/>
      <c r="CAH29" s="753"/>
      <c r="CAI29" s="750"/>
      <c r="CAJ29" s="751"/>
      <c r="CAK29" s="752"/>
      <c r="CAL29" s="751"/>
      <c r="CAM29" s="751"/>
      <c r="CAN29" s="752"/>
      <c r="CAO29" s="752"/>
      <c r="CAP29" s="753"/>
      <c r="CAQ29" s="753"/>
      <c r="CAR29" s="753"/>
      <c r="CAS29" s="753"/>
      <c r="CAT29" s="753"/>
      <c r="CAU29" s="753"/>
      <c r="CAV29" s="753"/>
      <c r="CAW29" s="753"/>
      <c r="CAX29" s="753"/>
      <c r="CAY29" s="750"/>
      <c r="CAZ29" s="751"/>
      <c r="CBA29" s="752"/>
      <c r="CBB29" s="751"/>
      <c r="CBC29" s="751"/>
      <c r="CBD29" s="752"/>
      <c r="CBE29" s="752"/>
      <c r="CBF29" s="753"/>
      <c r="CBG29" s="753"/>
      <c r="CBH29" s="753"/>
      <c r="CBI29" s="753"/>
      <c r="CBJ29" s="753"/>
      <c r="CBK29" s="753"/>
      <c r="CBL29" s="753"/>
      <c r="CBM29" s="753"/>
      <c r="CBN29" s="753"/>
      <c r="CBO29" s="750"/>
      <c r="CBP29" s="751"/>
      <c r="CBQ29" s="752"/>
      <c r="CBR29" s="751"/>
      <c r="CBS29" s="751"/>
      <c r="CBT29" s="752"/>
      <c r="CBU29" s="752"/>
      <c r="CBV29" s="753"/>
      <c r="CBW29" s="753"/>
      <c r="CBX29" s="753"/>
      <c r="CBY29" s="753"/>
      <c r="CBZ29" s="753"/>
      <c r="CCA29" s="753"/>
      <c r="CCB29" s="753"/>
      <c r="CCC29" s="753"/>
      <c r="CCD29" s="753"/>
      <c r="CCE29" s="750"/>
      <c r="CCF29" s="751"/>
      <c r="CCG29" s="752"/>
      <c r="CCH29" s="751"/>
      <c r="CCI29" s="751"/>
      <c r="CCJ29" s="752"/>
      <c r="CCK29" s="752"/>
      <c r="CCL29" s="753"/>
      <c r="CCM29" s="753"/>
      <c r="CCN29" s="753"/>
      <c r="CCO29" s="753"/>
      <c r="CCP29" s="753"/>
      <c r="CCQ29" s="753"/>
      <c r="CCR29" s="753"/>
      <c r="CCS29" s="753"/>
      <c r="CCT29" s="753"/>
      <c r="CCU29" s="750"/>
      <c r="CCV29" s="751"/>
      <c r="CCW29" s="752"/>
      <c r="CCX29" s="751"/>
      <c r="CCY29" s="751"/>
      <c r="CCZ29" s="752"/>
      <c r="CDA29" s="752"/>
      <c r="CDB29" s="753"/>
      <c r="CDC29" s="753"/>
      <c r="CDD29" s="753"/>
      <c r="CDE29" s="753"/>
      <c r="CDF29" s="753"/>
      <c r="CDG29" s="753"/>
      <c r="CDH29" s="753"/>
      <c r="CDI29" s="753"/>
      <c r="CDJ29" s="753"/>
      <c r="CDK29" s="750"/>
      <c r="CDL29" s="751"/>
      <c r="CDM29" s="752"/>
      <c r="CDN29" s="751"/>
      <c r="CDO29" s="751"/>
      <c r="CDP29" s="752"/>
      <c r="CDQ29" s="752"/>
      <c r="CDR29" s="753"/>
      <c r="CDS29" s="753"/>
      <c r="CDT29" s="753"/>
      <c r="CDU29" s="753"/>
      <c r="CDV29" s="753"/>
      <c r="CDW29" s="753"/>
      <c r="CDX29" s="753"/>
      <c r="CDY29" s="753"/>
      <c r="CDZ29" s="753"/>
      <c r="CEA29" s="750"/>
      <c r="CEB29" s="751"/>
      <c r="CEC29" s="752"/>
      <c r="CED29" s="751"/>
      <c r="CEE29" s="751"/>
      <c r="CEF29" s="752"/>
      <c r="CEG29" s="752"/>
      <c r="CEH29" s="753"/>
      <c r="CEI29" s="753"/>
      <c r="CEJ29" s="753"/>
      <c r="CEK29" s="753"/>
      <c r="CEL29" s="753"/>
      <c r="CEM29" s="753"/>
      <c r="CEN29" s="753"/>
      <c r="CEO29" s="753"/>
      <c r="CEP29" s="753"/>
      <c r="CEQ29" s="750"/>
      <c r="CER29" s="751"/>
      <c r="CES29" s="752"/>
      <c r="CET29" s="751"/>
      <c r="CEU29" s="751"/>
      <c r="CEV29" s="752"/>
      <c r="CEW29" s="752"/>
      <c r="CEX29" s="753"/>
      <c r="CEY29" s="753"/>
      <c r="CEZ29" s="753"/>
      <c r="CFA29" s="753"/>
      <c r="CFB29" s="753"/>
      <c r="CFC29" s="753"/>
      <c r="CFD29" s="753"/>
      <c r="CFE29" s="753"/>
      <c r="CFF29" s="753"/>
      <c r="CFG29" s="750"/>
      <c r="CFH29" s="751"/>
      <c r="CFI29" s="752"/>
      <c r="CFJ29" s="751"/>
      <c r="CFK29" s="751"/>
      <c r="CFL29" s="752"/>
      <c r="CFM29" s="752"/>
      <c r="CFN29" s="753"/>
      <c r="CFO29" s="753"/>
      <c r="CFP29" s="753"/>
      <c r="CFQ29" s="753"/>
      <c r="CFR29" s="753"/>
      <c r="CFS29" s="753"/>
      <c r="CFT29" s="753"/>
      <c r="CFU29" s="753"/>
      <c r="CFV29" s="753"/>
      <c r="CFW29" s="750"/>
      <c r="CFX29" s="751"/>
      <c r="CFY29" s="752"/>
      <c r="CFZ29" s="751"/>
      <c r="CGA29" s="751"/>
      <c r="CGB29" s="752"/>
      <c r="CGC29" s="752"/>
      <c r="CGD29" s="753"/>
      <c r="CGE29" s="753"/>
      <c r="CGF29" s="753"/>
      <c r="CGG29" s="753"/>
      <c r="CGH29" s="753"/>
      <c r="CGI29" s="753"/>
      <c r="CGJ29" s="753"/>
      <c r="CGK29" s="753"/>
      <c r="CGL29" s="753"/>
      <c r="CGM29" s="750"/>
      <c r="CGN29" s="751"/>
      <c r="CGO29" s="752"/>
      <c r="CGP29" s="751"/>
      <c r="CGQ29" s="751"/>
      <c r="CGR29" s="752"/>
      <c r="CGS29" s="752"/>
      <c r="CGT29" s="753"/>
      <c r="CGU29" s="753"/>
      <c r="CGV29" s="753"/>
      <c r="CGW29" s="753"/>
      <c r="CGX29" s="753"/>
      <c r="CGY29" s="753"/>
      <c r="CGZ29" s="753"/>
      <c r="CHA29" s="753"/>
      <c r="CHB29" s="753"/>
      <c r="CHC29" s="750"/>
      <c r="CHD29" s="751"/>
      <c r="CHE29" s="752"/>
      <c r="CHF29" s="751"/>
      <c r="CHG29" s="751"/>
      <c r="CHH29" s="752"/>
      <c r="CHI29" s="752"/>
      <c r="CHJ29" s="753"/>
      <c r="CHK29" s="753"/>
      <c r="CHL29" s="753"/>
      <c r="CHM29" s="753"/>
      <c r="CHN29" s="753"/>
      <c r="CHO29" s="753"/>
      <c r="CHP29" s="753"/>
      <c r="CHQ29" s="753"/>
      <c r="CHR29" s="753"/>
      <c r="CHS29" s="750"/>
      <c r="CHT29" s="751"/>
      <c r="CHU29" s="752"/>
      <c r="CHV29" s="751"/>
      <c r="CHW29" s="751"/>
      <c r="CHX29" s="752"/>
      <c r="CHY29" s="752"/>
      <c r="CHZ29" s="753"/>
      <c r="CIA29" s="753"/>
      <c r="CIB29" s="753"/>
      <c r="CIC29" s="753"/>
      <c r="CID29" s="753"/>
      <c r="CIE29" s="753"/>
      <c r="CIF29" s="753"/>
      <c r="CIG29" s="753"/>
      <c r="CIH29" s="753"/>
      <c r="CII29" s="750"/>
      <c r="CIJ29" s="751"/>
      <c r="CIK29" s="752"/>
      <c r="CIL29" s="751"/>
      <c r="CIM29" s="751"/>
      <c r="CIN29" s="752"/>
      <c r="CIO29" s="752"/>
      <c r="CIP29" s="753"/>
      <c r="CIQ29" s="753"/>
      <c r="CIR29" s="753"/>
      <c r="CIS29" s="753"/>
      <c r="CIT29" s="753"/>
      <c r="CIU29" s="753"/>
      <c r="CIV29" s="753"/>
      <c r="CIW29" s="753"/>
      <c r="CIX29" s="753"/>
      <c r="CIY29" s="750"/>
      <c r="CIZ29" s="751"/>
      <c r="CJA29" s="752"/>
      <c r="CJB29" s="751"/>
      <c r="CJC29" s="751"/>
      <c r="CJD29" s="752"/>
      <c r="CJE29" s="752"/>
      <c r="CJF29" s="753"/>
      <c r="CJG29" s="753"/>
      <c r="CJH29" s="753"/>
      <c r="CJI29" s="753"/>
      <c r="CJJ29" s="753"/>
      <c r="CJK29" s="753"/>
      <c r="CJL29" s="753"/>
      <c r="CJM29" s="753"/>
      <c r="CJN29" s="753"/>
      <c r="CJO29" s="750"/>
      <c r="CJP29" s="751"/>
      <c r="CJQ29" s="752"/>
      <c r="CJR29" s="751"/>
      <c r="CJS29" s="751"/>
      <c r="CJT29" s="752"/>
      <c r="CJU29" s="752"/>
      <c r="CJV29" s="753"/>
      <c r="CJW29" s="753"/>
      <c r="CJX29" s="753"/>
      <c r="CJY29" s="753"/>
      <c r="CJZ29" s="753"/>
      <c r="CKA29" s="753"/>
      <c r="CKB29" s="753"/>
      <c r="CKC29" s="753"/>
      <c r="CKD29" s="753"/>
      <c r="CKE29" s="750"/>
      <c r="CKF29" s="751"/>
      <c r="CKG29" s="752"/>
      <c r="CKH29" s="751"/>
      <c r="CKI29" s="751"/>
      <c r="CKJ29" s="752"/>
      <c r="CKK29" s="752"/>
      <c r="CKL29" s="753"/>
      <c r="CKM29" s="753"/>
      <c r="CKN29" s="753"/>
      <c r="CKO29" s="753"/>
      <c r="CKP29" s="753"/>
      <c r="CKQ29" s="753"/>
      <c r="CKR29" s="753"/>
      <c r="CKS29" s="753"/>
      <c r="CKT29" s="753"/>
      <c r="CKU29" s="750"/>
      <c r="CKV29" s="751"/>
      <c r="CKW29" s="752"/>
      <c r="CKX29" s="751"/>
      <c r="CKY29" s="751"/>
      <c r="CKZ29" s="752"/>
      <c r="CLA29" s="752"/>
      <c r="CLB29" s="753"/>
      <c r="CLC29" s="753"/>
      <c r="CLD29" s="753"/>
      <c r="CLE29" s="753"/>
      <c r="CLF29" s="753"/>
      <c r="CLG29" s="753"/>
      <c r="CLH29" s="753"/>
      <c r="CLI29" s="753"/>
      <c r="CLJ29" s="753"/>
      <c r="CLK29" s="750"/>
      <c r="CLL29" s="751"/>
      <c r="CLM29" s="752"/>
      <c r="CLN29" s="751"/>
      <c r="CLO29" s="751"/>
      <c r="CLP29" s="752"/>
      <c r="CLQ29" s="752"/>
      <c r="CLR29" s="753"/>
      <c r="CLS29" s="753"/>
      <c r="CLT29" s="753"/>
      <c r="CLU29" s="753"/>
      <c r="CLV29" s="753"/>
      <c r="CLW29" s="753"/>
      <c r="CLX29" s="753"/>
      <c r="CLY29" s="753"/>
      <c r="CLZ29" s="753"/>
      <c r="CMA29" s="750"/>
      <c r="CMB29" s="751"/>
      <c r="CMC29" s="752"/>
      <c r="CMD29" s="751"/>
      <c r="CME29" s="751"/>
      <c r="CMF29" s="752"/>
      <c r="CMG29" s="752"/>
      <c r="CMH29" s="753"/>
      <c r="CMI29" s="753"/>
      <c r="CMJ29" s="753"/>
      <c r="CMK29" s="753"/>
      <c r="CML29" s="753"/>
      <c r="CMM29" s="753"/>
      <c r="CMN29" s="753"/>
      <c r="CMO29" s="753"/>
      <c r="CMP29" s="753"/>
      <c r="CMQ29" s="750"/>
      <c r="CMR29" s="751"/>
      <c r="CMS29" s="752"/>
      <c r="CMT29" s="751"/>
      <c r="CMU29" s="751"/>
      <c r="CMV29" s="752"/>
      <c r="CMW29" s="752"/>
      <c r="CMX29" s="753"/>
      <c r="CMY29" s="753"/>
      <c r="CMZ29" s="753"/>
      <c r="CNA29" s="753"/>
      <c r="CNB29" s="753"/>
      <c r="CNC29" s="753"/>
      <c r="CND29" s="753"/>
      <c r="CNE29" s="753"/>
      <c r="CNF29" s="753"/>
      <c r="CNG29" s="750"/>
      <c r="CNH29" s="751"/>
      <c r="CNI29" s="752"/>
      <c r="CNJ29" s="751"/>
      <c r="CNK29" s="751"/>
      <c r="CNL29" s="752"/>
      <c r="CNM29" s="752"/>
      <c r="CNN29" s="753"/>
      <c r="CNO29" s="753"/>
      <c r="CNP29" s="753"/>
      <c r="CNQ29" s="753"/>
      <c r="CNR29" s="753"/>
      <c r="CNS29" s="753"/>
      <c r="CNT29" s="753"/>
      <c r="CNU29" s="753"/>
      <c r="CNV29" s="753"/>
      <c r="CNW29" s="750"/>
      <c r="CNX29" s="751"/>
      <c r="CNY29" s="752"/>
      <c r="CNZ29" s="751"/>
      <c r="COA29" s="751"/>
      <c r="COB29" s="752"/>
      <c r="COC29" s="752"/>
      <c r="COD29" s="753"/>
      <c r="COE29" s="753"/>
      <c r="COF29" s="753"/>
      <c r="COG29" s="753"/>
      <c r="COH29" s="753"/>
      <c r="COI29" s="753"/>
      <c r="COJ29" s="753"/>
      <c r="COK29" s="753"/>
      <c r="COL29" s="753"/>
      <c r="COM29" s="750"/>
      <c r="CON29" s="751"/>
      <c r="COO29" s="752"/>
      <c r="COP29" s="751"/>
      <c r="COQ29" s="751"/>
      <c r="COR29" s="752"/>
      <c r="COS29" s="752"/>
      <c r="COT29" s="753"/>
      <c r="COU29" s="753"/>
      <c r="COV29" s="753"/>
      <c r="COW29" s="753"/>
      <c r="COX29" s="753"/>
      <c r="COY29" s="753"/>
      <c r="COZ29" s="753"/>
      <c r="CPA29" s="753"/>
      <c r="CPB29" s="753"/>
      <c r="CPC29" s="750"/>
      <c r="CPD29" s="751"/>
      <c r="CPE29" s="752"/>
      <c r="CPF29" s="751"/>
      <c r="CPG29" s="751"/>
      <c r="CPH29" s="752"/>
      <c r="CPI29" s="752"/>
      <c r="CPJ29" s="753"/>
      <c r="CPK29" s="753"/>
      <c r="CPL29" s="753"/>
      <c r="CPM29" s="753"/>
      <c r="CPN29" s="753"/>
      <c r="CPO29" s="753"/>
      <c r="CPP29" s="753"/>
      <c r="CPQ29" s="753"/>
      <c r="CPR29" s="753"/>
      <c r="CPS29" s="750"/>
      <c r="CPT29" s="751"/>
      <c r="CPU29" s="752"/>
      <c r="CPV29" s="751"/>
      <c r="CPW29" s="751"/>
      <c r="CPX29" s="752"/>
      <c r="CPY29" s="752"/>
      <c r="CPZ29" s="753"/>
      <c r="CQA29" s="753"/>
      <c r="CQB29" s="753"/>
      <c r="CQC29" s="753"/>
      <c r="CQD29" s="753"/>
      <c r="CQE29" s="753"/>
      <c r="CQF29" s="753"/>
      <c r="CQG29" s="753"/>
      <c r="CQH29" s="753"/>
      <c r="CQI29" s="750"/>
      <c r="CQJ29" s="751"/>
      <c r="CQK29" s="752"/>
      <c r="CQL29" s="751"/>
      <c r="CQM29" s="751"/>
      <c r="CQN29" s="752"/>
      <c r="CQO29" s="752"/>
      <c r="CQP29" s="753"/>
      <c r="CQQ29" s="753"/>
      <c r="CQR29" s="753"/>
      <c r="CQS29" s="753"/>
      <c r="CQT29" s="753"/>
      <c r="CQU29" s="753"/>
      <c r="CQV29" s="753"/>
      <c r="CQW29" s="753"/>
      <c r="CQX29" s="753"/>
      <c r="CQY29" s="750"/>
      <c r="CQZ29" s="751"/>
      <c r="CRA29" s="752"/>
      <c r="CRB29" s="751"/>
      <c r="CRC29" s="751"/>
      <c r="CRD29" s="752"/>
      <c r="CRE29" s="752"/>
      <c r="CRF29" s="753"/>
      <c r="CRG29" s="753"/>
      <c r="CRH29" s="753"/>
      <c r="CRI29" s="753"/>
      <c r="CRJ29" s="753"/>
      <c r="CRK29" s="753"/>
      <c r="CRL29" s="753"/>
      <c r="CRM29" s="753"/>
      <c r="CRN29" s="753"/>
      <c r="CRO29" s="750"/>
      <c r="CRP29" s="751"/>
      <c r="CRQ29" s="752"/>
      <c r="CRR29" s="751"/>
      <c r="CRS29" s="751"/>
      <c r="CRT29" s="752"/>
      <c r="CRU29" s="752"/>
      <c r="CRV29" s="753"/>
      <c r="CRW29" s="753"/>
      <c r="CRX29" s="753"/>
      <c r="CRY29" s="753"/>
      <c r="CRZ29" s="753"/>
      <c r="CSA29" s="753"/>
      <c r="CSB29" s="753"/>
      <c r="CSC29" s="753"/>
      <c r="CSD29" s="753"/>
      <c r="CSE29" s="750"/>
      <c r="CSF29" s="751"/>
      <c r="CSG29" s="752"/>
      <c r="CSH29" s="751"/>
      <c r="CSI29" s="751"/>
      <c r="CSJ29" s="752"/>
      <c r="CSK29" s="752"/>
      <c r="CSL29" s="753"/>
      <c r="CSM29" s="753"/>
      <c r="CSN29" s="753"/>
      <c r="CSO29" s="753"/>
      <c r="CSP29" s="753"/>
      <c r="CSQ29" s="753"/>
      <c r="CSR29" s="753"/>
      <c r="CSS29" s="753"/>
      <c r="CST29" s="753"/>
      <c r="CSU29" s="750"/>
      <c r="CSV29" s="751"/>
      <c r="CSW29" s="752"/>
      <c r="CSX29" s="751"/>
      <c r="CSY29" s="751"/>
      <c r="CSZ29" s="752"/>
      <c r="CTA29" s="752"/>
      <c r="CTB29" s="753"/>
      <c r="CTC29" s="753"/>
      <c r="CTD29" s="753"/>
      <c r="CTE29" s="753"/>
      <c r="CTF29" s="753"/>
      <c r="CTG29" s="753"/>
      <c r="CTH29" s="753"/>
      <c r="CTI29" s="753"/>
      <c r="CTJ29" s="753"/>
      <c r="CTK29" s="750"/>
      <c r="CTL29" s="751"/>
      <c r="CTM29" s="752"/>
      <c r="CTN29" s="751"/>
      <c r="CTO29" s="751"/>
      <c r="CTP29" s="752"/>
      <c r="CTQ29" s="752"/>
      <c r="CTR29" s="753"/>
      <c r="CTS29" s="753"/>
      <c r="CTT29" s="753"/>
      <c r="CTU29" s="753"/>
      <c r="CTV29" s="753"/>
      <c r="CTW29" s="753"/>
      <c r="CTX29" s="753"/>
      <c r="CTY29" s="753"/>
      <c r="CTZ29" s="753"/>
      <c r="CUA29" s="750"/>
      <c r="CUB29" s="751"/>
      <c r="CUC29" s="752"/>
      <c r="CUD29" s="751"/>
      <c r="CUE29" s="751"/>
      <c r="CUF29" s="752"/>
      <c r="CUG29" s="752"/>
      <c r="CUH29" s="753"/>
      <c r="CUI29" s="753"/>
      <c r="CUJ29" s="753"/>
      <c r="CUK29" s="753"/>
      <c r="CUL29" s="753"/>
      <c r="CUM29" s="753"/>
      <c r="CUN29" s="753"/>
      <c r="CUO29" s="753"/>
      <c r="CUP29" s="753"/>
      <c r="CUQ29" s="750"/>
      <c r="CUR29" s="751"/>
      <c r="CUS29" s="752"/>
      <c r="CUT29" s="751"/>
      <c r="CUU29" s="751"/>
      <c r="CUV29" s="752"/>
      <c r="CUW29" s="752"/>
      <c r="CUX29" s="753"/>
      <c r="CUY29" s="753"/>
      <c r="CUZ29" s="753"/>
      <c r="CVA29" s="753"/>
      <c r="CVB29" s="753"/>
      <c r="CVC29" s="753"/>
      <c r="CVD29" s="753"/>
      <c r="CVE29" s="753"/>
      <c r="CVF29" s="753"/>
      <c r="CVG29" s="750"/>
      <c r="CVH29" s="751"/>
      <c r="CVI29" s="752"/>
      <c r="CVJ29" s="751"/>
      <c r="CVK29" s="751"/>
      <c r="CVL29" s="752"/>
      <c r="CVM29" s="752"/>
      <c r="CVN29" s="753"/>
      <c r="CVO29" s="753"/>
      <c r="CVP29" s="753"/>
      <c r="CVQ29" s="753"/>
      <c r="CVR29" s="753"/>
      <c r="CVS29" s="753"/>
      <c r="CVT29" s="753"/>
      <c r="CVU29" s="753"/>
      <c r="CVV29" s="753"/>
      <c r="CVW29" s="750"/>
      <c r="CVX29" s="751"/>
      <c r="CVY29" s="752"/>
      <c r="CVZ29" s="751"/>
      <c r="CWA29" s="751"/>
      <c r="CWB29" s="752"/>
      <c r="CWC29" s="752"/>
      <c r="CWD29" s="753"/>
      <c r="CWE29" s="753"/>
      <c r="CWF29" s="753"/>
      <c r="CWG29" s="753"/>
      <c r="CWH29" s="753"/>
      <c r="CWI29" s="753"/>
      <c r="CWJ29" s="753"/>
      <c r="CWK29" s="753"/>
      <c r="CWL29" s="753"/>
      <c r="CWM29" s="750"/>
      <c r="CWN29" s="751"/>
      <c r="CWO29" s="752"/>
      <c r="CWP29" s="751"/>
      <c r="CWQ29" s="751"/>
      <c r="CWR29" s="752"/>
      <c r="CWS29" s="752"/>
      <c r="CWT29" s="753"/>
      <c r="CWU29" s="753"/>
      <c r="CWV29" s="753"/>
      <c r="CWW29" s="753"/>
      <c r="CWX29" s="753"/>
      <c r="CWY29" s="753"/>
      <c r="CWZ29" s="753"/>
      <c r="CXA29" s="753"/>
      <c r="CXB29" s="753"/>
      <c r="CXC29" s="750"/>
      <c r="CXD29" s="751"/>
      <c r="CXE29" s="752"/>
      <c r="CXF29" s="751"/>
      <c r="CXG29" s="751"/>
      <c r="CXH29" s="752"/>
      <c r="CXI29" s="752"/>
      <c r="CXJ29" s="753"/>
      <c r="CXK29" s="753"/>
      <c r="CXL29" s="753"/>
      <c r="CXM29" s="753"/>
      <c r="CXN29" s="753"/>
      <c r="CXO29" s="753"/>
      <c r="CXP29" s="753"/>
      <c r="CXQ29" s="753"/>
      <c r="CXR29" s="753"/>
      <c r="CXS29" s="750"/>
      <c r="CXT29" s="751"/>
      <c r="CXU29" s="752"/>
      <c r="CXV29" s="751"/>
      <c r="CXW29" s="751"/>
      <c r="CXX29" s="752"/>
      <c r="CXY29" s="752"/>
      <c r="CXZ29" s="753"/>
      <c r="CYA29" s="753"/>
      <c r="CYB29" s="753"/>
      <c r="CYC29" s="753"/>
      <c r="CYD29" s="753"/>
      <c r="CYE29" s="753"/>
      <c r="CYF29" s="753"/>
      <c r="CYG29" s="753"/>
      <c r="CYH29" s="753"/>
      <c r="CYI29" s="750"/>
      <c r="CYJ29" s="751"/>
      <c r="CYK29" s="752"/>
      <c r="CYL29" s="751"/>
      <c r="CYM29" s="751"/>
      <c r="CYN29" s="752"/>
      <c r="CYO29" s="752"/>
      <c r="CYP29" s="753"/>
      <c r="CYQ29" s="753"/>
      <c r="CYR29" s="753"/>
      <c r="CYS29" s="753"/>
      <c r="CYT29" s="753"/>
      <c r="CYU29" s="753"/>
      <c r="CYV29" s="753"/>
      <c r="CYW29" s="753"/>
      <c r="CYX29" s="753"/>
      <c r="CYY29" s="750"/>
      <c r="CYZ29" s="751"/>
      <c r="CZA29" s="752"/>
      <c r="CZB29" s="751"/>
      <c r="CZC29" s="751"/>
      <c r="CZD29" s="752"/>
      <c r="CZE29" s="752"/>
      <c r="CZF29" s="753"/>
      <c r="CZG29" s="753"/>
      <c r="CZH29" s="753"/>
      <c r="CZI29" s="753"/>
      <c r="CZJ29" s="753"/>
      <c r="CZK29" s="753"/>
      <c r="CZL29" s="753"/>
      <c r="CZM29" s="753"/>
      <c r="CZN29" s="753"/>
      <c r="CZO29" s="750"/>
      <c r="CZP29" s="751"/>
      <c r="CZQ29" s="752"/>
      <c r="CZR29" s="751"/>
      <c r="CZS29" s="751"/>
      <c r="CZT29" s="752"/>
      <c r="CZU29" s="752"/>
      <c r="CZV29" s="753"/>
      <c r="CZW29" s="753"/>
      <c r="CZX29" s="753"/>
      <c r="CZY29" s="753"/>
      <c r="CZZ29" s="753"/>
      <c r="DAA29" s="753"/>
      <c r="DAB29" s="753"/>
      <c r="DAC29" s="753"/>
      <c r="DAD29" s="753"/>
      <c r="DAE29" s="750"/>
      <c r="DAF29" s="751"/>
      <c r="DAG29" s="752"/>
      <c r="DAH29" s="751"/>
      <c r="DAI29" s="751"/>
      <c r="DAJ29" s="752"/>
      <c r="DAK29" s="752"/>
      <c r="DAL29" s="753"/>
      <c r="DAM29" s="753"/>
      <c r="DAN29" s="753"/>
      <c r="DAO29" s="753"/>
      <c r="DAP29" s="753"/>
      <c r="DAQ29" s="753"/>
      <c r="DAR29" s="753"/>
      <c r="DAS29" s="753"/>
      <c r="DAT29" s="753"/>
      <c r="DAU29" s="750"/>
      <c r="DAV29" s="751"/>
      <c r="DAW29" s="752"/>
      <c r="DAX29" s="751"/>
      <c r="DAY29" s="751"/>
      <c r="DAZ29" s="752"/>
      <c r="DBA29" s="752"/>
      <c r="DBB29" s="753"/>
      <c r="DBC29" s="753"/>
      <c r="DBD29" s="753"/>
      <c r="DBE29" s="753"/>
      <c r="DBF29" s="753"/>
      <c r="DBG29" s="753"/>
      <c r="DBH29" s="753"/>
      <c r="DBI29" s="753"/>
      <c r="DBJ29" s="753"/>
      <c r="DBK29" s="750"/>
      <c r="DBL29" s="751"/>
      <c r="DBM29" s="752"/>
      <c r="DBN29" s="751"/>
      <c r="DBO29" s="751"/>
      <c r="DBP29" s="752"/>
      <c r="DBQ29" s="752"/>
      <c r="DBR29" s="753"/>
      <c r="DBS29" s="753"/>
      <c r="DBT29" s="753"/>
      <c r="DBU29" s="753"/>
      <c r="DBV29" s="753"/>
      <c r="DBW29" s="753"/>
      <c r="DBX29" s="753"/>
      <c r="DBY29" s="753"/>
      <c r="DBZ29" s="753"/>
      <c r="DCA29" s="750"/>
      <c r="DCB29" s="751"/>
      <c r="DCC29" s="752"/>
      <c r="DCD29" s="751"/>
      <c r="DCE29" s="751"/>
      <c r="DCF29" s="752"/>
      <c r="DCG29" s="752"/>
      <c r="DCH29" s="753"/>
      <c r="DCI29" s="753"/>
      <c r="DCJ29" s="753"/>
      <c r="DCK29" s="753"/>
      <c r="DCL29" s="753"/>
      <c r="DCM29" s="753"/>
      <c r="DCN29" s="753"/>
      <c r="DCO29" s="753"/>
      <c r="DCP29" s="753"/>
      <c r="DCQ29" s="750"/>
      <c r="DCR29" s="751"/>
      <c r="DCS29" s="752"/>
      <c r="DCT29" s="751"/>
      <c r="DCU29" s="751"/>
      <c r="DCV29" s="752"/>
      <c r="DCW29" s="752"/>
      <c r="DCX29" s="753"/>
      <c r="DCY29" s="753"/>
      <c r="DCZ29" s="753"/>
      <c r="DDA29" s="753"/>
      <c r="DDB29" s="753"/>
      <c r="DDC29" s="753"/>
      <c r="DDD29" s="753"/>
      <c r="DDE29" s="753"/>
      <c r="DDF29" s="753"/>
      <c r="DDG29" s="750"/>
      <c r="DDH29" s="751"/>
      <c r="DDI29" s="752"/>
      <c r="DDJ29" s="751"/>
      <c r="DDK29" s="751"/>
      <c r="DDL29" s="752"/>
      <c r="DDM29" s="752"/>
      <c r="DDN29" s="753"/>
      <c r="DDO29" s="753"/>
      <c r="DDP29" s="753"/>
      <c r="DDQ29" s="753"/>
      <c r="DDR29" s="753"/>
      <c r="DDS29" s="753"/>
      <c r="DDT29" s="753"/>
      <c r="DDU29" s="753"/>
      <c r="DDV29" s="753"/>
      <c r="DDW29" s="750"/>
      <c r="DDX29" s="751"/>
      <c r="DDY29" s="752"/>
      <c r="DDZ29" s="751"/>
      <c r="DEA29" s="751"/>
      <c r="DEB29" s="752"/>
      <c r="DEC29" s="752"/>
      <c r="DED29" s="753"/>
      <c r="DEE29" s="753"/>
      <c r="DEF29" s="753"/>
      <c r="DEG29" s="753"/>
      <c r="DEH29" s="753"/>
      <c r="DEI29" s="753"/>
      <c r="DEJ29" s="753"/>
      <c r="DEK29" s="753"/>
      <c r="DEL29" s="753"/>
      <c r="DEM29" s="750"/>
      <c r="DEN29" s="751"/>
      <c r="DEO29" s="752"/>
      <c r="DEP29" s="751"/>
      <c r="DEQ29" s="751"/>
      <c r="DER29" s="752"/>
      <c r="DES29" s="752"/>
      <c r="DET29" s="753"/>
      <c r="DEU29" s="753"/>
      <c r="DEV29" s="753"/>
      <c r="DEW29" s="753"/>
      <c r="DEX29" s="753"/>
      <c r="DEY29" s="753"/>
      <c r="DEZ29" s="753"/>
      <c r="DFA29" s="753"/>
      <c r="DFB29" s="753"/>
      <c r="DFC29" s="750"/>
      <c r="DFD29" s="751"/>
      <c r="DFE29" s="752"/>
      <c r="DFF29" s="751"/>
      <c r="DFG29" s="751"/>
      <c r="DFH29" s="752"/>
      <c r="DFI29" s="752"/>
      <c r="DFJ29" s="753"/>
      <c r="DFK29" s="753"/>
      <c r="DFL29" s="753"/>
      <c r="DFM29" s="753"/>
      <c r="DFN29" s="753"/>
      <c r="DFO29" s="753"/>
      <c r="DFP29" s="753"/>
      <c r="DFQ29" s="753"/>
      <c r="DFR29" s="753"/>
      <c r="DFS29" s="750"/>
      <c r="DFT29" s="751"/>
      <c r="DFU29" s="752"/>
      <c r="DFV29" s="751"/>
      <c r="DFW29" s="751"/>
      <c r="DFX29" s="752"/>
      <c r="DFY29" s="752"/>
      <c r="DFZ29" s="753"/>
      <c r="DGA29" s="753"/>
      <c r="DGB29" s="753"/>
      <c r="DGC29" s="753"/>
      <c r="DGD29" s="753"/>
      <c r="DGE29" s="753"/>
      <c r="DGF29" s="753"/>
      <c r="DGG29" s="753"/>
      <c r="DGH29" s="753"/>
      <c r="DGI29" s="750"/>
      <c r="DGJ29" s="751"/>
      <c r="DGK29" s="752"/>
      <c r="DGL29" s="751"/>
      <c r="DGM29" s="751"/>
      <c r="DGN29" s="752"/>
      <c r="DGO29" s="752"/>
      <c r="DGP29" s="753"/>
      <c r="DGQ29" s="753"/>
      <c r="DGR29" s="753"/>
      <c r="DGS29" s="753"/>
      <c r="DGT29" s="753"/>
      <c r="DGU29" s="753"/>
      <c r="DGV29" s="753"/>
      <c r="DGW29" s="753"/>
      <c r="DGX29" s="753"/>
      <c r="DGY29" s="750"/>
      <c r="DGZ29" s="751"/>
      <c r="DHA29" s="752"/>
      <c r="DHB29" s="751"/>
      <c r="DHC29" s="751"/>
      <c r="DHD29" s="752"/>
      <c r="DHE29" s="752"/>
      <c r="DHF29" s="753"/>
      <c r="DHG29" s="753"/>
      <c r="DHH29" s="753"/>
      <c r="DHI29" s="753"/>
      <c r="DHJ29" s="753"/>
      <c r="DHK29" s="753"/>
      <c r="DHL29" s="753"/>
      <c r="DHM29" s="753"/>
      <c r="DHN29" s="753"/>
      <c r="DHO29" s="750"/>
      <c r="DHP29" s="751"/>
      <c r="DHQ29" s="752"/>
      <c r="DHR29" s="751"/>
      <c r="DHS29" s="751"/>
      <c r="DHT29" s="752"/>
      <c r="DHU29" s="752"/>
      <c r="DHV29" s="753"/>
      <c r="DHW29" s="753"/>
      <c r="DHX29" s="753"/>
      <c r="DHY29" s="753"/>
      <c r="DHZ29" s="753"/>
      <c r="DIA29" s="753"/>
      <c r="DIB29" s="753"/>
      <c r="DIC29" s="753"/>
      <c r="DID29" s="753"/>
      <c r="DIE29" s="750"/>
      <c r="DIF29" s="751"/>
      <c r="DIG29" s="752"/>
      <c r="DIH29" s="751"/>
      <c r="DII29" s="751"/>
      <c r="DIJ29" s="752"/>
      <c r="DIK29" s="752"/>
      <c r="DIL29" s="753"/>
      <c r="DIM29" s="753"/>
      <c r="DIN29" s="753"/>
      <c r="DIO29" s="753"/>
      <c r="DIP29" s="753"/>
      <c r="DIQ29" s="753"/>
      <c r="DIR29" s="753"/>
      <c r="DIS29" s="753"/>
      <c r="DIT29" s="753"/>
      <c r="DIU29" s="750"/>
      <c r="DIV29" s="751"/>
      <c r="DIW29" s="752"/>
      <c r="DIX29" s="751"/>
      <c r="DIY29" s="751"/>
      <c r="DIZ29" s="752"/>
      <c r="DJA29" s="752"/>
      <c r="DJB29" s="753"/>
      <c r="DJC29" s="753"/>
      <c r="DJD29" s="753"/>
      <c r="DJE29" s="753"/>
      <c r="DJF29" s="753"/>
      <c r="DJG29" s="753"/>
      <c r="DJH29" s="753"/>
      <c r="DJI29" s="753"/>
      <c r="DJJ29" s="753"/>
      <c r="DJK29" s="750"/>
      <c r="DJL29" s="751"/>
      <c r="DJM29" s="752"/>
      <c r="DJN29" s="751"/>
      <c r="DJO29" s="751"/>
      <c r="DJP29" s="752"/>
      <c r="DJQ29" s="752"/>
      <c r="DJR29" s="753"/>
      <c r="DJS29" s="753"/>
      <c r="DJT29" s="753"/>
      <c r="DJU29" s="753"/>
      <c r="DJV29" s="753"/>
      <c r="DJW29" s="753"/>
      <c r="DJX29" s="753"/>
      <c r="DJY29" s="753"/>
      <c r="DJZ29" s="753"/>
      <c r="DKA29" s="750"/>
      <c r="DKB29" s="751"/>
      <c r="DKC29" s="752"/>
      <c r="DKD29" s="751"/>
      <c r="DKE29" s="751"/>
      <c r="DKF29" s="752"/>
      <c r="DKG29" s="752"/>
      <c r="DKH29" s="753"/>
      <c r="DKI29" s="753"/>
      <c r="DKJ29" s="753"/>
      <c r="DKK29" s="753"/>
      <c r="DKL29" s="753"/>
      <c r="DKM29" s="753"/>
      <c r="DKN29" s="753"/>
      <c r="DKO29" s="753"/>
      <c r="DKP29" s="753"/>
      <c r="DKQ29" s="750"/>
      <c r="DKR29" s="751"/>
      <c r="DKS29" s="752"/>
      <c r="DKT29" s="751"/>
      <c r="DKU29" s="751"/>
      <c r="DKV29" s="752"/>
      <c r="DKW29" s="752"/>
      <c r="DKX29" s="753"/>
      <c r="DKY29" s="753"/>
      <c r="DKZ29" s="753"/>
      <c r="DLA29" s="753"/>
      <c r="DLB29" s="753"/>
      <c r="DLC29" s="753"/>
      <c r="DLD29" s="753"/>
      <c r="DLE29" s="753"/>
      <c r="DLF29" s="753"/>
      <c r="DLG29" s="750"/>
      <c r="DLH29" s="751"/>
      <c r="DLI29" s="752"/>
      <c r="DLJ29" s="751"/>
      <c r="DLK29" s="751"/>
      <c r="DLL29" s="752"/>
      <c r="DLM29" s="752"/>
      <c r="DLN29" s="753"/>
      <c r="DLO29" s="753"/>
      <c r="DLP29" s="753"/>
      <c r="DLQ29" s="753"/>
      <c r="DLR29" s="753"/>
      <c r="DLS29" s="753"/>
      <c r="DLT29" s="753"/>
      <c r="DLU29" s="753"/>
      <c r="DLV29" s="753"/>
      <c r="DLW29" s="750"/>
      <c r="DLX29" s="751"/>
      <c r="DLY29" s="752"/>
      <c r="DLZ29" s="751"/>
      <c r="DMA29" s="751"/>
      <c r="DMB29" s="752"/>
      <c r="DMC29" s="752"/>
      <c r="DMD29" s="753"/>
      <c r="DME29" s="753"/>
      <c r="DMF29" s="753"/>
      <c r="DMG29" s="753"/>
      <c r="DMH29" s="753"/>
      <c r="DMI29" s="753"/>
      <c r="DMJ29" s="753"/>
      <c r="DMK29" s="753"/>
      <c r="DML29" s="753"/>
      <c r="DMM29" s="750"/>
      <c r="DMN29" s="751"/>
      <c r="DMO29" s="752"/>
      <c r="DMP29" s="751"/>
      <c r="DMQ29" s="751"/>
      <c r="DMR29" s="752"/>
      <c r="DMS29" s="752"/>
      <c r="DMT29" s="753"/>
      <c r="DMU29" s="753"/>
      <c r="DMV29" s="753"/>
      <c r="DMW29" s="753"/>
      <c r="DMX29" s="753"/>
      <c r="DMY29" s="753"/>
      <c r="DMZ29" s="753"/>
      <c r="DNA29" s="753"/>
      <c r="DNB29" s="753"/>
      <c r="DNC29" s="750"/>
      <c r="DND29" s="751"/>
      <c r="DNE29" s="752"/>
      <c r="DNF29" s="751"/>
      <c r="DNG29" s="751"/>
      <c r="DNH29" s="752"/>
      <c r="DNI29" s="752"/>
      <c r="DNJ29" s="753"/>
      <c r="DNK29" s="753"/>
      <c r="DNL29" s="753"/>
      <c r="DNM29" s="753"/>
      <c r="DNN29" s="753"/>
      <c r="DNO29" s="753"/>
      <c r="DNP29" s="753"/>
      <c r="DNQ29" s="753"/>
      <c r="DNR29" s="753"/>
      <c r="DNS29" s="750"/>
      <c r="DNT29" s="751"/>
      <c r="DNU29" s="752"/>
      <c r="DNV29" s="751"/>
      <c r="DNW29" s="751"/>
      <c r="DNX29" s="752"/>
      <c r="DNY29" s="752"/>
      <c r="DNZ29" s="753"/>
      <c r="DOA29" s="753"/>
      <c r="DOB29" s="753"/>
      <c r="DOC29" s="753"/>
      <c r="DOD29" s="753"/>
      <c r="DOE29" s="753"/>
      <c r="DOF29" s="753"/>
      <c r="DOG29" s="753"/>
      <c r="DOH29" s="753"/>
      <c r="DOI29" s="750"/>
      <c r="DOJ29" s="751"/>
      <c r="DOK29" s="752"/>
      <c r="DOL29" s="751"/>
      <c r="DOM29" s="751"/>
      <c r="DON29" s="752"/>
      <c r="DOO29" s="752"/>
      <c r="DOP29" s="753"/>
      <c r="DOQ29" s="753"/>
      <c r="DOR29" s="753"/>
      <c r="DOS29" s="753"/>
      <c r="DOT29" s="753"/>
      <c r="DOU29" s="753"/>
      <c r="DOV29" s="753"/>
      <c r="DOW29" s="753"/>
      <c r="DOX29" s="753"/>
      <c r="DOY29" s="750"/>
      <c r="DOZ29" s="751"/>
      <c r="DPA29" s="752"/>
      <c r="DPB29" s="751"/>
      <c r="DPC29" s="751"/>
      <c r="DPD29" s="752"/>
      <c r="DPE29" s="752"/>
      <c r="DPF29" s="753"/>
      <c r="DPG29" s="753"/>
      <c r="DPH29" s="753"/>
      <c r="DPI29" s="753"/>
      <c r="DPJ29" s="753"/>
      <c r="DPK29" s="753"/>
      <c r="DPL29" s="753"/>
      <c r="DPM29" s="753"/>
      <c r="DPN29" s="753"/>
      <c r="DPO29" s="750"/>
      <c r="DPP29" s="751"/>
      <c r="DPQ29" s="752"/>
      <c r="DPR29" s="751"/>
      <c r="DPS29" s="751"/>
      <c r="DPT29" s="752"/>
      <c r="DPU29" s="752"/>
      <c r="DPV29" s="753"/>
      <c r="DPW29" s="753"/>
      <c r="DPX29" s="753"/>
      <c r="DPY29" s="753"/>
      <c r="DPZ29" s="753"/>
      <c r="DQA29" s="753"/>
      <c r="DQB29" s="753"/>
      <c r="DQC29" s="753"/>
      <c r="DQD29" s="753"/>
      <c r="DQE29" s="750"/>
      <c r="DQF29" s="751"/>
      <c r="DQG29" s="752"/>
      <c r="DQH29" s="751"/>
      <c r="DQI29" s="751"/>
      <c r="DQJ29" s="752"/>
      <c r="DQK29" s="752"/>
      <c r="DQL29" s="753"/>
      <c r="DQM29" s="753"/>
      <c r="DQN29" s="753"/>
      <c r="DQO29" s="753"/>
      <c r="DQP29" s="753"/>
      <c r="DQQ29" s="753"/>
      <c r="DQR29" s="753"/>
      <c r="DQS29" s="753"/>
      <c r="DQT29" s="753"/>
      <c r="DQU29" s="750"/>
      <c r="DQV29" s="751"/>
      <c r="DQW29" s="752"/>
      <c r="DQX29" s="751"/>
      <c r="DQY29" s="751"/>
      <c r="DQZ29" s="752"/>
      <c r="DRA29" s="752"/>
      <c r="DRB29" s="753"/>
      <c r="DRC29" s="753"/>
      <c r="DRD29" s="753"/>
      <c r="DRE29" s="753"/>
      <c r="DRF29" s="753"/>
      <c r="DRG29" s="753"/>
      <c r="DRH29" s="753"/>
      <c r="DRI29" s="753"/>
      <c r="DRJ29" s="753"/>
      <c r="DRK29" s="750"/>
      <c r="DRL29" s="751"/>
      <c r="DRM29" s="752"/>
      <c r="DRN29" s="751"/>
      <c r="DRO29" s="751"/>
      <c r="DRP29" s="752"/>
      <c r="DRQ29" s="752"/>
      <c r="DRR29" s="753"/>
      <c r="DRS29" s="753"/>
      <c r="DRT29" s="753"/>
      <c r="DRU29" s="753"/>
      <c r="DRV29" s="753"/>
      <c r="DRW29" s="753"/>
      <c r="DRX29" s="753"/>
      <c r="DRY29" s="753"/>
      <c r="DRZ29" s="753"/>
      <c r="DSA29" s="750"/>
      <c r="DSB29" s="751"/>
      <c r="DSC29" s="752"/>
      <c r="DSD29" s="751"/>
      <c r="DSE29" s="751"/>
      <c r="DSF29" s="752"/>
      <c r="DSG29" s="752"/>
      <c r="DSH29" s="753"/>
      <c r="DSI29" s="753"/>
      <c r="DSJ29" s="753"/>
      <c r="DSK29" s="753"/>
      <c r="DSL29" s="753"/>
      <c r="DSM29" s="753"/>
      <c r="DSN29" s="753"/>
      <c r="DSO29" s="753"/>
      <c r="DSP29" s="753"/>
      <c r="DSQ29" s="750"/>
      <c r="DSR29" s="751"/>
      <c r="DSS29" s="752"/>
      <c r="DST29" s="751"/>
      <c r="DSU29" s="751"/>
      <c r="DSV29" s="752"/>
      <c r="DSW29" s="752"/>
      <c r="DSX29" s="753"/>
      <c r="DSY29" s="753"/>
      <c r="DSZ29" s="753"/>
      <c r="DTA29" s="753"/>
      <c r="DTB29" s="753"/>
      <c r="DTC29" s="753"/>
      <c r="DTD29" s="753"/>
      <c r="DTE29" s="753"/>
      <c r="DTF29" s="753"/>
      <c r="DTG29" s="750"/>
      <c r="DTH29" s="751"/>
      <c r="DTI29" s="752"/>
      <c r="DTJ29" s="751"/>
      <c r="DTK29" s="751"/>
      <c r="DTL29" s="752"/>
      <c r="DTM29" s="752"/>
      <c r="DTN29" s="753"/>
      <c r="DTO29" s="753"/>
      <c r="DTP29" s="753"/>
      <c r="DTQ29" s="753"/>
      <c r="DTR29" s="753"/>
      <c r="DTS29" s="753"/>
      <c r="DTT29" s="753"/>
      <c r="DTU29" s="753"/>
      <c r="DTV29" s="753"/>
      <c r="DTW29" s="750"/>
      <c r="DTX29" s="751"/>
      <c r="DTY29" s="752"/>
      <c r="DTZ29" s="751"/>
      <c r="DUA29" s="751"/>
      <c r="DUB29" s="752"/>
      <c r="DUC29" s="752"/>
      <c r="DUD29" s="753"/>
      <c r="DUE29" s="753"/>
      <c r="DUF29" s="753"/>
      <c r="DUG29" s="753"/>
      <c r="DUH29" s="753"/>
      <c r="DUI29" s="753"/>
      <c r="DUJ29" s="753"/>
      <c r="DUK29" s="753"/>
      <c r="DUL29" s="753"/>
      <c r="DUM29" s="750"/>
      <c r="DUN29" s="751"/>
      <c r="DUO29" s="752"/>
      <c r="DUP29" s="751"/>
      <c r="DUQ29" s="751"/>
      <c r="DUR29" s="752"/>
      <c r="DUS29" s="752"/>
      <c r="DUT29" s="753"/>
      <c r="DUU29" s="753"/>
      <c r="DUV29" s="753"/>
      <c r="DUW29" s="753"/>
      <c r="DUX29" s="753"/>
      <c r="DUY29" s="753"/>
      <c r="DUZ29" s="753"/>
      <c r="DVA29" s="753"/>
      <c r="DVB29" s="753"/>
      <c r="DVC29" s="750"/>
      <c r="DVD29" s="751"/>
      <c r="DVE29" s="752"/>
      <c r="DVF29" s="751"/>
      <c r="DVG29" s="751"/>
      <c r="DVH29" s="752"/>
      <c r="DVI29" s="752"/>
      <c r="DVJ29" s="753"/>
      <c r="DVK29" s="753"/>
      <c r="DVL29" s="753"/>
      <c r="DVM29" s="753"/>
      <c r="DVN29" s="753"/>
      <c r="DVO29" s="753"/>
      <c r="DVP29" s="753"/>
      <c r="DVQ29" s="753"/>
      <c r="DVR29" s="753"/>
      <c r="DVS29" s="750"/>
      <c r="DVT29" s="751"/>
      <c r="DVU29" s="752"/>
      <c r="DVV29" s="751"/>
      <c r="DVW29" s="751"/>
      <c r="DVX29" s="752"/>
      <c r="DVY29" s="752"/>
      <c r="DVZ29" s="753"/>
      <c r="DWA29" s="753"/>
      <c r="DWB29" s="753"/>
      <c r="DWC29" s="753"/>
      <c r="DWD29" s="753"/>
      <c r="DWE29" s="753"/>
      <c r="DWF29" s="753"/>
      <c r="DWG29" s="753"/>
      <c r="DWH29" s="753"/>
      <c r="DWI29" s="750"/>
      <c r="DWJ29" s="751"/>
      <c r="DWK29" s="752"/>
      <c r="DWL29" s="751"/>
      <c r="DWM29" s="751"/>
      <c r="DWN29" s="752"/>
      <c r="DWO29" s="752"/>
      <c r="DWP29" s="753"/>
      <c r="DWQ29" s="753"/>
      <c r="DWR29" s="753"/>
      <c r="DWS29" s="753"/>
      <c r="DWT29" s="753"/>
      <c r="DWU29" s="753"/>
      <c r="DWV29" s="753"/>
      <c r="DWW29" s="753"/>
      <c r="DWX29" s="753"/>
      <c r="DWY29" s="750"/>
      <c r="DWZ29" s="751"/>
      <c r="DXA29" s="752"/>
      <c r="DXB29" s="751"/>
      <c r="DXC29" s="751"/>
      <c r="DXD29" s="752"/>
      <c r="DXE29" s="752"/>
      <c r="DXF29" s="753"/>
      <c r="DXG29" s="753"/>
      <c r="DXH29" s="753"/>
      <c r="DXI29" s="753"/>
      <c r="DXJ29" s="753"/>
      <c r="DXK29" s="753"/>
      <c r="DXL29" s="753"/>
      <c r="DXM29" s="753"/>
      <c r="DXN29" s="753"/>
      <c r="DXO29" s="750"/>
      <c r="DXP29" s="751"/>
      <c r="DXQ29" s="752"/>
      <c r="DXR29" s="751"/>
      <c r="DXS29" s="751"/>
      <c r="DXT29" s="752"/>
      <c r="DXU29" s="752"/>
      <c r="DXV29" s="753"/>
      <c r="DXW29" s="753"/>
      <c r="DXX29" s="753"/>
      <c r="DXY29" s="753"/>
      <c r="DXZ29" s="753"/>
      <c r="DYA29" s="753"/>
      <c r="DYB29" s="753"/>
      <c r="DYC29" s="753"/>
      <c r="DYD29" s="753"/>
      <c r="DYE29" s="750"/>
      <c r="DYF29" s="751"/>
      <c r="DYG29" s="752"/>
      <c r="DYH29" s="751"/>
      <c r="DYI29" s="751"/>
      <c r="DYJ29" s="752"/>
      <c r="DYK29" s="752"/>
      <c r="DYL29" s="753"/>
      <c r="DYM29" s="753"/>
      <c r="DYN29" s="753"/>
      <c r="DYO29" s="753"/>
      <c r="DYP29" s="753"/>
      <c r="DYQ29" s="753"/>
      <c r="DYR29" s="753"/>
      <c r="DYS29" s="753"/>
      <c r="DYT29" s="753"/>
      <c r="DYU29" s="750"/>
      <c r="DYV29" s="751"/>
      <c r="DYW29" s="752"/>
      <c r="DYX29" s="751"/>
      <c r="DYY29" s="751"/>
      <c r="DYZ29" s="752"/>
      <c r="DZA29" s="752"/>
      <c r="DZB29" s="753"/>
      <c r="DZC29" s="753"/>
      <c r="DZD29" s="753"/>
      <c r="DZE29" s="753"/>
      <c r="DZF29" s="753"/>
      <c r="DZG29" s="753"/>
      <c r="DZH29" s="753"/>
      <c r="DZI29" s="753"/>
      <c r="DZJ29" s="753"/>
      <c r="DZK29" s="750"/>
      <c r="DZL29" s="751"/>
      <c r="DZM29" s="752"/>
      <c r="DZN29" s="751"/>
      <c r="DZO29" s="751"/>
      <c r="DZP29" s="752"/>
      <c r="DZQ29" s="752"/>
      <c r="DZR29" s="753"/>
      <c r="DZS29" s="753"/>
      <c r="DZT29" s="753"/>
      <c r="DZU29" s="753"/>
      <c r="DZV29" s="753"/>
      <c r="DZW29" s="753"/>
      <c r="DZX29" s="753"/>
      <c r="DZY29" s="753"/>
      <c r="DZZ29" s="753"/>
      <c r="EAA29" s="750"/>
      <c r="EAB29" s="751"/>
      <c r="EAC29" s="752"/>
      <c r="EAD29" s="751"/>
      <c r="EAE29" s="751"/>
      <c r="EAF29" s="752"/>
      <c r="EAG29" s="752"/>
      <c r="EAH29" s="753"/>
      <c r="EAI29" s="753"/>
      <c r="EAJ29" s="753"/>
      <c r="EAK29" s="753"/>
      <c r="EAL29" s="753"/>
      <c r="EAM29" s="753"/>
      <c r="EAN29" s="753"/>
      <c r="EAO29" s="753"/>
      <c r="EAP29" s="753"/>
      <c r="EAQ29" s="750"/>
      <c r="EAR29" s="751"/>
      <c r="EAS29" s="752"/>
      <c r="EAT29" s="751"/>
      <c r="EAU29" s="751"/>
      <c r="EAV29" s="752"/>
      <c r="EAW29" s="752"/>
      <c r="EAX29" s="753"/>
      <c r="EAY29" s="753"/>
      <c r="EAZ29" s="753"/>
      <c r="EBA29" s="753"/>
      <c r="EBB29" s="753"/>
      <c r="EBC29" s="753"/>
      <c r="EBD29" s="753"/>
      <c r="EBE29" s="753"/>
      <c r="EBF29" s="753"/>
      <c r="EBG29" s="750"/>
      <c r="EBH29" s="751"/>
      <c r="EBI29" s="752"/>
      <c r="EBJ29" s="751"/>
      <c r="EBK29" s="751"/>
      <c r="EBL29" s="752"/>
      <c r="EBM29" s="752"/>
      <c r="EBN29" s="753"/>
      <c r="EBO29" s="753"/>
      <c r="EBP29" s="753"/>
      <c r="EBQ29" s="753"/>
      <c r="EBR29" s="753"/>
      <c r="EBS29" s="753"/>
      <c r="EBT29" s="753"/>
      <c r="EBU29" s="753"/>
      <c r="EBV29" s="753"/>
      <c r="EBW29" s="750"/>
      <c r="EBX29" s="751"/>
      <c r="EBY29" s="752"/>
      <c r="EBZ29" s="751"/>
      <c r="ECA29" s="751"/>
      <c r="ECB29" s="752"/>
      <c r="ECC29" s="752"/>
      <c r="ECD29" s="753"/>
      <c r="ECE29" s="753"/>
      <c r="ECF29" s="753"/>
      <c r="ECG29" s="753"/>
      <c r="ECH29" s="753"/>
      <c r="ECI29" s="753"/>
      <c r="ECJ29" s="753"/>
      <c r="ECK29" s="753"/>
      <c r="ECL29" s="753"/>
      <c r="ECM29" s="750"/>
      <c r="ECN29" s="751"/>
      <c r="ECO29" s="752"/>
      <c r="ECP29" s="751"/>
      <c r="ECQ29" s="751"/>
      <c r="ECR29" s="752"/>
      <c r="ECS29" s="752"/>
      <c r="ECT29" s="753"/>
      <c r="ECU29" s="753"/>
      <c r="ECV29" s="753"/>
      <c r="ECW29" s="753"/>
      <c r="ECX29" s="753"/>
      <c r="ECY29" s="753"/>
      <c r="ECZ29" s="753"/>
      <c r="EDA29" s="753"/>
      <c r="EDB29" s="753"/>
      <c r="EDC29" s="750"/>
      <c r="EDD29" s="751"/>
      <c r="EDE29" s="752"/>
      <c r="EDF29" s="751"/>
      <c r="EDG29" s="751"/>
      <c r="EDH29" s="752"/>
      <c r="EDI29" s="752"/>
      <c r="EDJ29" s="753"/>
      <c r="EDK29" s="753"/>
      <c r="EDL29" s="753"/>
      <c r="EDM29" s="753"/>
      <c r="EDN29" s="753"/>
      <c r="EDO29" s="753"/>
      <c r="EDP29" s="753"/>
      <c r="EDQ29" s="753"/>
      <c r="EDR29" s="753"/>
      <c r="EDS29" s="750"/>
      <c r="EDT29" s="751"/>
      <c r="EDU29" s="752"/>
      <c r="EDV29" s="751"/>
      <c r="EDW29" s="751"/>
      <c r="EDX29" s="752"/>
      <c r="EDY29" s="752"/>
      <c r="EDZ29" s="753"/>
      <c r="EEA29" s="753"/>
      <c r="EEB29" s="753"/>
      <c r="EEC29" s="753"/>
      <c r="EED29" s="753"/>
      <c r="EEE29" s="753"/>
      <c r="EEF29" s="753"/>
      <c r="EEG29" s="753"/>
      <c r="EEH29" s="753"/>
      <c r="EEI29" s="750"/>
      <c r="EEJ29" s="751"/>
      <c r="EEK29" s="752"/>
      <c r="EEL29" s="751"/>
      <c r="EEM29" s="751"/>
      <c r="EEN29" s="752"/>
      <c r="EEO29" s="752"/>
      <c r="EEP29" s="753"/>
      <c r="EEQ29" s="753"/>
      <c r="EER29" s="753"/>
      <c r="EES29" s="753"/>
      <c r="EET29" s="753"/>
      <c r="EEU29" s="753"/>
      <c r="EEV29" s="753"/>
      <c r="EEW29" s="753"/>
      <c r="EEX29" s="753"/>
      <c r="EEY29" s="750"/>
      <c r="EEZ29" s="751"/>
      <c r="EFA29" s="752"/>
      <c r="EFB29" s="751"/>
      <c r="EFC29" s="751"/>
      <c r="EFD29" s="752"/>
      <c r="EFE29" s="752"/>
      <c r="EFF29" s="753"/>
      <c r="EFG29" s="753"/>
      <c r="EFH29" s="753"/>
      <c r="EFI29" s="753"/>
      <c r="EFJ29" s="753"/>
      <c r="EFK29" s="753"/>
      <c r="EFL29" s="753"/>
      <c r="EFM29" s="753"/>
      <c r="EFN29" s="753"/>
      <c r="EFO29" s="750"/>
      <c r="EFP29" s="751"/>
      <c r="EFQ29" s="752"/>
      <c r="EFR29" s="751"/>
      <c r="EFS29" s="751"/>
      <c r="EFT29" s="752"/>
      <c r="EFU29" s="752"/>
      <c r="EFV29" s="753"/>
      <c r="EFW29" s="753"/>
      <c r="EFX29" s="753"/>
      <c r="EFY29" s="753"/>
      <c r="EFZ29" s="753"/>
      <c r="EGA29" s="753"/>
      <c r="EGB29" s="753"/>
      <c r="EGC29" s="753"/>
      <c r="EGD29" s="753"/>
      <c r="EGE29" s="750"/>
      <c r="EGF29" s="751"/>
      <c r="EGG29" s="752"/>
      <c r="EGH29" s="751"/>
      <c r="EGI29" s="751"/>
      <c r="EGJ29" s="752"/>
      <c r="EGK29" s="752"/>
      <c r="EGL29" s="753"/>
      <c r="EGM29" s="753"/>
      <c r="EGN29" s="753"/>
      <c r="EGO29" s="753"/>
      <c r="EGP29" s="753"/>
      <c r="EGQ29" s="753"/>
      <c r="EGR29" s="753"/>
      <c r="EGS29" s="753"/>
      <c r="EGT29" s="753"/>
      <c r="EGU29" s="750"/>
      <c r="EGV29" s="751"/>
      <c r="EGW29" s="752"/>
      <c r="EGX29" s="751"/>
      <c r="EGY29" s="751"/>
      <c r="EGZ29" s="752"/>
      <c r="EHA29" s="752"/>
      <c r="EHB29" s="753"/>
      <c r="EHC29" s="753"/>
      <c r="EHD29" s="753"/>
      <c r="EHE29" s="753"/>
      <c r="EHF29" s="753"/>
      <c r="EHG29" s="753"/>
      <c r="EHH29" s="753"/>
      <c r="EHI29" s="753"/>
      <c r="EHJ29" s="753"/>
      <c r="EHK29" s="750"/>
      <c r="EHL29" s="751"/>
      <c r="EHM29" s="752"/>
      <c r="EHN29" s="751"/>
      <c r="EHO29" s="751"/>
      <c r="EHP29" s="752"/>
      <c r="EHQ29" s="752"/>
      <c r="EHR29" s="753"/>
      <c r="EHS29" s="753"/>
      <c r="EHT29" s="753"/>
      <c r="EHU29" s="753"/>
      <c r="EHV29" s="753"/>
      <c r="EHW29" s="753"/>
      <c r="EHX29" s="753"/>
      <c r="EHY29" s="753"/>
      <c r="EHZ29" s="753"/>
      <c r="EIA29" s="750"/>
      <c r="EIB29" s="751"/>
      <c r="EIC29" s="752"/>
      <c r="EID29" s="751"/>
      <c r="EIE29" s="751"/>
      <c r="EIF29" s="752"/>
      <c r="EIG29" s="752"/>
      <c r="EIH29" s="753"/>
      <c r="EII29" s="753"/>
      <c r="EIJ29" s="753"/>
      <c r="EIK29" s="753"/>
      <c r="EIL29" s="753"/>
      <c r="EIM29" s="753"/>
      <c r="EIN29" s="753"/>
      <c r="EIO29" s="753"/>
      <c r="EIP29" s="753"/>
      <c r="EIQ29" s="750"/>
      <c r="EIR29" s="751"/>
      <c r="EIS29" s="752"/>
      <c r="EIT29" s="751"/>
      <c r="EIU29" s="751"/>
      <c r="EIV29" s="752"/>
      <c r="EIW29" s="752"/>
      <c r="EIX29" s="753"/>
      <c r="EIY29" s="753"/>
      <c r="EIZ29" s="753"/>
      <c r="EJA29" s="753"/>
      <c r="EJB29" s="753"/>
      <c r="EJC29" s="753"/>
      <c r="EJD29" s="753"/>
      <c r="EJE29" s="753"/>
      <c r="EJF29" s="753"/>
      <c r="EJG29" s="750"/>
      <c r="EJH29" s="751"/>
      <c r="EJI29" s="752"/>
      <c r="EJJ29" s="751"/>
      <c r="EJK29" s="751"/>
      <c r="EJL29" s="752"/>
      <c r="EJM29" s="752"/>
      <c r="EJN29" s="753"/>
      <c r="EJO29" s="753"/>
      <c r="EJP29" s="753"/>
      <c r="EJQ29" s="753"/>
      <c r="EJR29" s="753"/>
      <c r="EJS29" s="753"/>
      <c r="EJT29" s="753"/>
      <c r="EJU29" s="753"/>
      <c r="EJV29" s="753"/>
      <c r="EJW29" s="750"/>
      <c r="EJX29" s="751"/>
      <c r="EJY29" s="752"/>
      <c r="EJZ29" s="751"/>
      <c r="EKA29" s="751"/>
      <c r="EKB29" s="752"/>
      <c r="EKC29" s="752"/>
      <c r="EKD29" s="753"/>
      <c r="EKE29" s="753"/>
      <c r="EKF29" s="753"/>
      <c r="EKG29" s="753"/>
      <c r="EKH29" s="753"/>
      <c r="EKI29" s="753"/>
      <c r="EKJ29" s="753"/>
      <c r="EKK29" s="753"/>
      <c r="EKL29" s="753"/>
      <c r="EKM29" s="750"/>
      <c r="EKN29" s="751"/>
      <c r="EKO29" s="752"/>
      <c r="EKP29" s="751"/>
      <c r="EKQ29" s="751"/>
      <c r="EKR29" s="752"/>
      <c r="EKS29" s="752"/>
      <c r="EKT29" s="753"/>
      <c r="EKU29" s="753"/>
      <c r="EKV29" s="753"/>
      <c r="EKW29" s="753"/>
      <c r="EKX29" s="753"/>
      <c r="EKY29" s="753"/>
      <c r="EKZ29" s="753"/>
      <c r="ELA29" s="753"/>
      <c r="ELB29" s="753"/>
      <c r="ELC29" s="750"/>
      <c r="ELD29" s="751"/>
      <c r="ELE29" s="752"/>
      <c r="ELF29" s="751"/>
      <c r="ELG29" s="751"/>
      <c r="ELH29" s="752"/>
      <c r="ELI29" s="752"/>
      <c r="ELJ29" s="753"/>
      <c r="ELK29" s="753"/>
      <c r="ELL29" s="753"/>
      <c r="ELM29" s="753"/>
      <c r="ELN29" s="753"/>
      <c r="ELO29" s="753"/>
      <c r="ELP29" s="753"/>
      <c r="ELQ29" s="753"/>
      <c r="ELR29" s="753"/>
      <c r="ELS29" s="750"/>
      <c r="ELT29" s="751"/>
      <c r="ELU29" s="752"/>
      <c r="ELV29" s="751"/>
      <c r="ELW29" s="751"/>
      <c r="ELX29" s="752"/>
      <c r="ELY29" s="752"/>
      <c r="ELZ29" s="753"/>
      <c r="EMA29" s="753"/>
      <c r="EMB29" s="753"/>
      <c r="EMC29" s="753"/>
      <c r="EMD29" s="753"/>
      <c r="EME29" s="753"/>
      <c r="EMF29" s="753"/>
      <c r="EMG29" s="753"/>
      <c r="EMH29" s="753"/>
      <c r="EMI29" s="750"/>
      <c r="EMJ29" s="751"/>
      <c r="EMK29" s="752"/>
      <c r="EML29" s="751"/>
      <c r="EMM29" s="751"/>
      <c r="EMN29" s="752"/>
      <c r="EMO29" s="752"/>
      <c r="EMP29" s="753"/>
      <c r="EMQ29" s="753"/>
      <c r="EMR29" s="753"/>
      <c r="EMS29" s="753"/>
      <c r="EMT29" s="753"/>
      <c r="EMU29" s="753"/>
      <c r="EMV29" s="753"/>
      <c r="EMW29" s="753"/>
      <c r="EMX29" s="753"/>
      <c r="EMY29" s="750"/>
      <c r="EMZ29" s="751"/>
      <c r="ENA29" s="752"/>
      <c r="ENB29" s="751"/>
      <c r="ENC29" s="751"/>
      <c r="END29" s="752"/>
      <c r="ENE29" s="752"/>
      <c r="ENF29" s="753"/>
      <c r="ENG29" s="753"/>
      <c r="ENH29" s="753"/>
      <c r="ENI29" s="753"/>
      <c r="ENJ29" s="753"/>
      <c r="ENK29" s="753"/>
      <c r="ENL29" s="753"/>
      <c r="ENM29" s="753"/>
      <c r="ENN29" s="753"/>
      <c r="ENO29" s="750"/>
      <c r="ENP29" s="751"/>
      <c r="ENQ29" s="752"/>
      <c r="ENR29" s="751"/>
      <c r="ENS29" s="751"/>
      <c r="ENT29" s="752"/>
      <c r="ENU29" s="752"/>
      <c r="ENV29" s="753"/>
      <c r="ENW29" s="753"/>
      <c r="ENX29" s="753"/>
      <c r="ENY29" s="753"/>
      <c r="ENZ29" s="753"/>
      <c r="EOA29" s="753"/>
      <c r="EOB29" s="753"/>
      <c r="EOC29" s="753"/>
      <c r="EOD29" s="753"/>
      <c r="EOE29" s="750"/>
      <c r="EOF29" s="751"/>
      <c r="EOG29" s="752"/>
      <c r="EOH29" s="751"/>
      <c r="EOI29" s="751"/>
      <c r="EOJ29" s="752"/>
      <c r="EOK29" s="752"/>
      <c r="EOL29" s="753"/>
      <c r="EOM29" s="753"/>
      <c r="EON29" s="753"/>
      <c r="EOO29" s="753"/>
      <c r="EOP29" s="753"/>
      <c r="EOQ29" s="753"/>
      <c r="EOR29" s="753"/>
      <c r="EOS29" s="753"/>
      <c r="EOT29" s="753"/>
      <c r="EOU29" s="750"/>
      <c r="EOV29" s="751"/>
      <c r="EOW29" s="752"/>
      <c r="EOX29" s="751"/>
      <c r="EOY29" s="751"/>
      <c r="EOZ29" s="752"/>
      <c r="EPA29" s="752"/>
      <c r="EPB29" s="753"/>
      <c r="EPC29" s="753"/>
      <c r="EPD29" s="753"/>
      <c r="EPE29" s="753"/>
      <c r="EPF29" s="753"/>
      <c r="EPG29" s="753"/>
      <c r="EPH29" s="753"/>
      <c r="EPI29" s="753"/>
      <c r="EPJ29" s="753"/>
      <c r="EPK29" s="750"/>
      <c r="EPL29" s="751"/>
      <c r="EPM29" s="752"/>
      <c r="EPN29" s="751"/>
      <c r="EPO29" s="751"/>
      <c r="EPP29" s="752"/>
      <c r="EPQ29" s="752"/>
      <c r="EPR29" s="753"/>
      <c r="EPS29" s="753"/>
      <c r="EPT29" s="753"/>
      <c r="EPU29" s="753"/>
      <c r="EPV29" s="753"/>
      <c r="EPW29" s="753"/>
      <c r="EPX29" s="753"/>
      <c r="EPY29" s="753"/>
      <c r="EPZ29" s="753"/>
      <c r="EQA29" s="750"/>
      <c r="EQB29" s="751"/>
      <c r="EQC29" s="752"/>
      <c r="EQD29" s="751"/>
      <c r="EQE29" s="751"/>
      <c r="EQF29" s="752"/>
      <c r="EQG29" s="752"/>
      <c r="EQH29" s="753"/>
      <c r="EQI29" s="753"/>
      <c r="EQJ29" s="753"/>
      <c r="EQK29" s="753"/>
      <c r="EQL29" s="753"/>
      <c r="EQM29" s="753"/>
      <c r="EQN29" s="753"/>
      <c r="EQO29" s="753"/>
      <c r="EQP29" s="753"/>
      <c r="EQQ29" s="750"/>
      <c r="EQR29" s="751"/>
      <c r="EQS29" s="752"/>
      <c r="EQT29" s="751"/>
      <c r="EQU29" s="751"/>
      <c r="EQV29" s="752"/>
      <c r="EQW29" s="752"/>
      <c r="EQX29" s="753"/>
      <c r="EQY29" s="753"/>
      <c r="EQZ29" s="753"/>
      <c r="ERA29" s="753"/>
      <c r="ERB29" s="753"/>
      <c r="ERC29" s="753"/>
      <c r="ERD29" s="753"/>
      <c r="ERE29" s="753"/>
      <c r="ERF29" s="753"/>
      <c r="ERG29" s="750"/>
      <c r="ERH29" s="751"/>
      <c r="ERI29" s="752"/>
      <c r="ERJ29" s="751"/>
      <c r="ERK29" s="751"/>
      <c r="ERL29" s="752"/>
      <c r="ERM29" s="752"/>
      <c r="ERN29" s="753"/>
      <c r="ERO29" s="753"/>
      <c r="ERP29" s="753"/>
      <c r="ERQ29" s="753"/>
      <c r="ERR29" s="753"/>
      <c r="ERS29" s="753"/>
      <c r="ERT29" s="753"/>
      <c r="ERU29" s="753"/>
      <c r="ERV29" s="753"/>
      <c r="ERW29" s="750"/>
      <c r="ERX29" s="751"/>
      <c r="ERY29" s="752"/>
      <c r="ERZ29" s="751"/>
      <c r="ESA29" s="751"/>
      <c r="ESB29" s="752"/>
      <c r="ESC29" s="752"/>
      <c r="ESD29" s="753"/>
      <c r="ESE29" s="753"/>
      <c r="ESF29" s="753"/>
      <c r="ESG29" s="753"/>
      <c r="ESH29" s="753"/>
      <c r="ESI29" s="753"/>
      <c r="ESJ29" s="753"/>
      <c r="ESK29" s="753"/>
      <c r="ESL29" s="753"/>
      <c r="ESM29" s="750"/>
      <c r="ESN29" s="751"/>
      <c r="ESO29" s="752"/>
      <c r="ESP29" s="751"/>
      <c r="ESQ29" s="751"/>
      <c r="ESR29" s="752"/>
      <c r="ESS29" s="752"/>
      <c r="EST29" s="753"/>
      <c r="ESU29" s="753"/>
      <c r="ESV29" s="753"/>
      <c r="ESW29" s="753"/>
      <c r="ESX29" s="753"/>
      <c r="ESY29" s="753"/>
      <c r="ESZ29" s="753"/>
      <c r="ETA29" s="753"/>
      <c r="ETB29" s="753"/>
      <c r="ETC29" s="750"/>
      <c r="ETD29" s="751"/>
      <c r="ETE29" s="752"/>
      <c r="ETF29" s="751"/>
      <c r="ETG29" s="751"/>
      <c r="ETH29" s="752"/>
      <c r="ETI29" s="752"/>
      <c r="ETJ29" s="753"/>
      <c r="ETK29" s="753"/>
      <c r="ETL29" s="753"/>
      <c r="ETM29" s="753"/>
      <c r="ETN29" s="753"/>
      <c r="ETO29" s="753"/>
      <c r="ETP29" s="753"/>
      <c r="ETQ29" s="753"/>
      <c r="ETR29" s="753"/>
      <c r="ETS29" s="750"/>
      <c r="ETT29" s="751"/>
      <c r="ETU29" s="752"/>
      <c r="ETV29" s="751"/>
      <c r="ETW29" s="751"/>
      <c r="ETX29" s="752"/>
      <c r="ETY29" s="752"/>
      <c r="ETZ29" s="753"/>
      <c r="EUA29" s="753"/>
      <c r="EUB29" s="753"/>
      <c r="EUC29" s="753"/>
      <c r="EUD29" s="753"/>
      <c r="EUE29" s="753"/>
      <c r="EUF29" s="753"/>
      <c r="EUG29" s="753"/>
      <c r="EUH29" s="753"/>
      <c r="EUI29" s="750"/>
      <c r="EUJ29" s="751"/>
      <c r="EUK29" s="752"/>
      <c r="EUL29" s="751"/>
      <c r="EUM29" s="751"/>
      <c r="EUN29" s="752"/>
      <c r="EUO29" s="752"/>
      <c r="EUP29" s="753"/>
      <c r="EUQ29" s="753"/>
      <c r="EUR29" s="753"/>
      <c r="EUS29" s="753"/>
      <c r="EUT29" s="753"/>
      <c r="EUU29" s="753"/>
      <c r="EUV29" s="753"/>
      <c r="EUW29" s="753"/>
      <c r="EUX29" s="753"/>
      <c r="EUY29" s="750"/>
      <c r="EUZ29" s="751"/>
      <c r="EVA29" s="752"/>
      <c r="EVB29" s="751"/>
      <c r="EVC29" s="751"/>
      <c r="EVD29" s="752"/>
      <c r="EVE29" s="752"/>
      <c r="EVF29" s="753"/>
      <c r="EVG29" s="753"/>
      <c r="EVH29" s="753"/>
      <c r="EVI29" s="753"/>
      <c r="EVJ29" s="753"/>
      <c r="EVK29" s="753"/>
      <c r="EVL29" s="753"/>
      <c r="EVM29" s="753"/>
      <c r="EVN29" s="753"/>
      <c r="EVO29" s="750"/>
      <c r="EVP29" s="751"/>
      <c r="EVQ29" s="752"/>
      <c r="EVR29" s="751"/>
      <c r="EVS29" s="751"/>
      <c r="EVT29" s="752"/>
      <c r="EVU29" s="752"/>
      <c r="EVV29" s="753"/>
      <c r="EVW29" s="753"/>
      <c r="EVX29" s="753"/>
      <c r="EVY29" s="753"/>
      <c r="EVZ29" s="753"/>
      <c r="EWA29" s="753"/>
      <c r="EWB29" s="753"/>
      <c r="EWC29" s="753"/>
      <c r="EWD29" s="753"/>
      <c r="EWE29" s="750"/>
      <c r="EWF29" s="751"/>
      <c r="EWG29" s="752"/>
      <c r="EWH29" s="751"/>
      <c r="EWI29" s="751"/>
      <c r="EWJ29" s="752"/>
      <c r="EWK29" s="752"/>
      <c r="EWL29" s="753"/>
      <c r="EWM29" s="753"/>
      <c r="EWN29" s="753"/>
      <c r="EWO29" s="753"/>
      <c r="EWP29" s="753"/>
      <c r="EWQ29" s="753"/>
      <c r="EWR29" s="753"/>
      <c r="EWS29" s="753"/>
      <c r="EWT29" s="753"/>
      <c r="EWU29" s="750"/>
      <c r="EWV29" s="751"/>
      <c r="EWW29" s="752"/>
      <c r="EWX29" s="751"/>
      <c r="EWY29" s="751"/>
      <c r="EWZ29" s="752"/>
      <c r="EXA29" s="752"/>
      <c r="EXB29" s="753"/>
      <c r="EXC29" s="753"/>
      <c r="EXD29" s="753"/>
      <c r="EXE29" s="753"/>
      <c r="EXF29" s="753"/>
      <c r="EXG29" s="753"/>
      <c r="EXH29" s="753"/>
      <c r="EXI29" s="753"/>
      <c r="EXJ29" s="753"/>
      <c r="EXK29" s="750"/>
      <c r="EXL29" s="751"/>
      <c r="EXM29" s="752"/>
      <c r="EXN29" s="751"/>
      <c r="EXO29" s="751"/>
      <c r="EXP29" s="752"/>
      <c r="EXQ29" s="752"/>
      <c r="EXR29" s="753"/>
      <c r="EXS29" s="753"/>
      <c r="EXT29" s="753"/>
      <c r="EXU29" s="753"/>
      <c r="EXV29" s="753"/>
      <c r="EXW29" s="753"/>
      <c r="EXX29" s="753"/>
      <c r="EXY29" s="753"/>
      <c r="EXZ29" s="753"/>
      <c r="EYA29" s="750"/>
      <c r="EYB29" s="751"/>
      <c r="EYC29" s="752"/>
      <c r="EYD29" s="751"/>
      <c r="EYE29" s="751"/>
      <c r="EYF29" s="752"/>
      <c r="EYG29" s="752"/>
      <c r="EYH29" s="753"/>
      <c r="EYI29" s="753"/>
      <c r="EYJ29" s="753"/>
      <c r="EYK29" s="753"/>
      <c r="EYL29" s="753"/>
      <c r="EYM29" s="753"/>
      <c r="EYN29" s="753"/>
      <c r="EYO29" s="753"/>
      <c r="EYP29" s="753"/>
      <c r="EYQ29" s="750"/>
      <c r="EYR29" s="751"/>
      <c r="EYS29" s="752"/>
      <c r="EYT29" s="751"/>
      <c r="EYU29" s="751"/>
      <c r="EYV29" s="752"/>
      <c r="EYW29" s="752"/>
      <c r="EYX29" s="753"/>
      <c r="EYY29" s="753"/>
      <c r="EYZ29" s="753"/>
      <c r="EZA29" s="753"/>
      <c r="EZB29" s="753"/>
      <c r="EZC29" s="753"/>
      <c r="EZD29" s="753"/>
      <c r="EZE29" s="753"/>
      <c r="EZF29" s="753"/>
      <c r="EZG29" s="750"/>
      <c r="EZH29" s="751"/>
      <c r="EZI29" s="752"/>
      <c r="EZJ29" s="751"/>
      <c r="EZK29" s="751"/>
      <c r="EZL29" s="752"/>
      <c r="EZM29" s="752"/>
      <c r="EZN29" s="753"/>
      <c r="EZO29" s="753"/>
      <c r="EZP29" s="753"/>
      <c r="EZQ29" s="753"/>
      <c r="EZR29" s="753"/>
      <c r="EZS29" s="753"/>
      <c r="EZT29" s="753"/>
      <c r="EZU29" s="753"/>
      <c r="EZV29" s="753"/>
      <c r="EZW29" s="750"/>
      <c r="EZX29" s="751"/>
      <c r="EZY29" s="752"/>
      <c r="EZZ29" s="751"/>
      <c r="FAA29" s="751"/>
      <c r="FAB29" s="752"/>
      <c r="FAC29" s="752"/>
      <c r="FAD29" s="753"/>
      <c r="FAE29" s="753"/>
      <c r="FAF29" s="753"/>
      <c r="FAG29" s="753"/>
      <c r="FAH29" s="753"/>
      <c r="FAI29" s="753"/>
      <c r="FAJ29" s="753"/>
      <c r="FAK29" s="753"/>
      <c r="FAL29" s="753"/>
      <c r="FAM29" s="750"/>
      <c r="FAN29" s="751"/>
      <c r="FAO29" s="752"/>
      <c r="FAP29" s="751"/>
      <c r="FAQ29" s="751"/>
      <c r="FAR29" s="752"/>
      <c r="FAS29" s="752"/>
      <c r="FAT29" s="753"/>
      <c r="FAU29" s="753"/>
      <c r="FAV29" s="753"/>
      <c r="FAW29" s="753"/>
      <c r="FAX29" s="753"/>
      <c r="FAY29" s="753"/>
      <c r="FAZ29" s="753"/>
      <c r="FBA29" s="753"/>
      <c r="FBB29" s="753"/>
      <c r="FBC29" s="750"/>
      <c r="FBD29" s="751"/>
      <c r="FBE29" s="752"/>
      <c r="FBF29" s="751"/>
      <c r="FBG29" s="751"/>
      <c r="FBH29" s="752"/>
      <c r="FBI29" s="752"/>
      <c r="FBJ29" s="753"/>
      <c r="FBK29" s="753"/>
      <c r="FBL29" s="753"/>
      <c r="FBM29" s="753"/>
      <c r="FBN29" s="753"/>
      <c r="FBO29" s="753"/>
      <c r="FBP29" s="753"/>
      <c r="FBQ29" s="753"/>
      <c r="FBR29" s="753"/>
      <c r="FBS29" s="750"/>
      <c r="FBT29" s="751"/>
      <c r="FBU29" s="752"/>
      <c r="FBV29" s="751"/>
      <c r="FBW29" s="751"/>
      <c r="FBX29" s="752"/>
      <c r="FBY29" s="752"/>
      <c r="FBZ29" s="753"/>
      <c r="FCA29" s="753"/>
      <c r="FCB29" s="753"/>
      <c r="FCC29" s="753"/>
      <c r="FCD29" s="753"/>
      <c r="FCE29" s="753"/>
      <c r="FCF29" s="753"/>
      <c r="FCG29" s="753"/>
      <c r="FCH29" s="753"/>
      <c r="FCI29" s="750"/>
      <c r="FCJ29" s="751"/>
      <c r="FCK29" s="752"/>
      <c r="FCL29" s="751"/>
      <c r="FCM29" s="751"/>
      <c r="FCN29" s="752"/>
      <c r="FCO29" s="752"/>
      <c r="FCP29" s="753"/>
      <c r="FCQ29" s="753"/>
      <c r="FCR29" s="753"/>
      <c r="FCS29" s="753"/>
      <c r="FCT29" s="753"/>
      <c r="FCU29" s="753"/>
      <c r="FCV29" s="753"/>
      <c r="FCW29" s="753"/>
      <c r="FCX29" s="753"/>
      <c r="FCY29" s="750"/>
      <c r="FCZ29" s="751"/>
      <c r="FDA29" s="752"/>
      <c r="FDB29" s="751"/>
      <c r="FDC29" s="751"/>
      <c r="FDD29" s="752"/>
      <c r="FDE29" s="752"/>
      <c r="FDF29" s="753"/>
      <c r="FDG29" s="753"/>
      <c r="FDH29" s="753"/>
      <c r="FDI29" s="753"/>
      <c r="FDJ29" s="753"/>
      <c r="FDK29" s="753"/>
      <c r="FDL29" s="753"/>
      <c r="FDM29" s="753"/>
      <c r="FDN29" s="753"/>
      <c r="FDO29" s="750"/>
      <c r="FDP29" s="751"/>
      <c r="FDQ29" s="752"/>
      <c r="FDR29" s="751"/>
      <c r="FDS29" s="751"/>
      <c r="FDT29" s="752"/>
      <c r="FDU29" s="752"/>
      <c r="FDV29" s="753"/>
      <c r="FDW29" s="753"/>
      <c r="FDX29" s="753"/>
      <c r="FDY29" s="753"/>
      <c r="FDZ29" s="753"/>
      <c r="FEA29" s="753"/>
      <c r="FEB29" s="753"/>
      <c r="FEC29" s="753"/>
      <c r="FED29" s="753"/>
      <c r="FEE29" s="750"/>
      <c r="FEF29" s="751"/>
      <c r="FEG29" s="752"/>
      <c r="FEH29" s="751"/>
      <c r="FEI29" s="751"/>
      <c r="FEJ29" s="752"/>
      <c r="FEK29" s="752"/>
      <c r="FEL29" s="753"/>
      <c r="FEM29" s="753"/>
      <c r="FEN29" s="753"/>
      <c r="FEO29" s="753"/>
      <c r="FEP29" s="753"/>
      <c r="FEQ29" s="753"/>
      <c r="FER29" s="753"/>
      <c r="FES29" s="753"/>
      <c r="FET29" s="753"/>
      <c r="FEU29" s="750"/>
      <c r="FEV29" s="751"/>
      <c r="FEW29" s="752"/>
      <c r="FEX29" s="751"/>
      <c r="FEY29" s="751"/>
      <c r="FEZ29" s="752"/>
      <c r="FFA29" s="752"/>
      <c r="FFB29" s="753"/>
      <c r="FFC29" s="753"/>
      <c r="FFD29" s="753"/>
      <c r="FFE29" s="753"/>
      <c r="FFF29" s="753"/>
      <c r="FFG29" s="753"/>
      <c r="FFH29" s="753"/>
      <c r="FFI29" s="753"/>
      <c r="FFJ29" s="753"/>
      <c r="FFK29" s="750"/>
      <c r="FFL29" s="751"/>
      <c r="FFM29" s="752"/>
      <c r="FFN29" s="751"/>
      <c r="FFO29" s="751"/>
      <c r="FFP29" s="752"/>
      <c r="FFQ29" s="752"/>
      <c r="FFR29" s="753"/>
      <c r="FFS29" s="753"/>
      <c r="FFT29" s="753"/>
      <c r="FFU29" s="753"/>
      <c r="FFV29" s="753"/>
      <c r="FFW29" s="753"/>
      <c r="FFX29" s="753"/>
      <c r="FFY29" s="753"/>
      <c r="FFZ29" s="753"/>
      <c r="FGA29" s="750"/>
      <c r="FGB29" s="751"/>
      <c r="FGC29" s="752"/>
      <c r="FGD29" s="751"/>
      <c r="FGE29" s="751"/>
      <c r="FGF29" s="752"/>
      <c r="FGG29" s="752"/>
      <c r="FGH29" s="753"/>
      <c r="FGI29" s="753"/>
      <c r="FGJ29" s="753"/>
      <c r="FGK29" s="753"/>
      <c r="FGL29" s="753"/>
      <c r="FGM29" s="753"/>
      <c r="FGN29" s="753"/>
      <c r="FGO29" s="753"/>
      <c r="FGP29" s="753"/>
      <c r="FGQ29" s="750"/>
      <c r="FGR29" s="751"/>
      <c r="FGS29" s="752"/>
      <c r="FGT29" s="751"/>
      <c r="FGU29" s="751"/>
      <c r="FGV29" s="752"/>
      <c r="FGW29" s="752"/>
      <c r="FGX29" s="753"/>
      <c r="FGY29" s="753"/>
      <c r="FGZ29" s="753"/>
      <c r="FHA29" s="753"/>
      <c r="FHB29" s="753"/>
      <c r="FHC29" s="753"/>
      <c r="FHD29" s="753"/>
      <c r="FHE29" s="753"/>
      <c r="FHF29" s="753"/>
      <c r="FHG29" s="750"/>
      <c r="FHH29" s="751"/>
      <c r="FHI29" s="752"/>
      <c r="FHJ29" s="751"/>
      <c r="FHK29" s="751"/>
      <c r="FHL29" s="752"/>
      <c r="FHM29" s="752"/>
      <c r="FHN29" s="753"/>
      <c r="FHO29" s="753"/>
      <c r="FHP29" s="753"/>
      <c r="FHQ29" s="753"/>
      <c r="FHR29" s="753"/>
      <c r="FHS29" s="753"/>
      <c r="FHT29" s="753"/>
      <c r="FHU29" s="753"/>
      <c r="FHV29" s="753"/>
      <c r="FHW29" s="750"/>
      <c r="FHX29" s="751"/>
      <c r="FHY29" s="752"/>
      <c r="FHZ29" s="751"/>
      <c r="FIA29" s="751"/>
      <c r="FIB29" s="752"/>
      <c r="FIC29" s="752"/>
      <c r="FID29" s="753"/>
      <c r="FIE29" s="753"/>
      <c r="FIF29" s="753"/>
      <c r="FIG29" s="753"/>
      <c r="FIH29" s="753"/>
      <c r="FII29" s="753"/>
      <c r="FIJ29" s="753"/>
      <c r="FIK29" s="753"/>
      <c r="FIL29" s="753"/>
      <c r="FIM29" s="750"/>
      <c r="FIN29" s="751"/>
      <c r="FIO29" s="752"/>
      <c r="FIP29" s="751"/>
      <c r="FIQ29" s="751"/>
      <c r="FIR29" s="752"/>
      <c r="FIS29" s="752"/>
      <c r="FIT29" s="753"/>
      <c r="FIU29" s="753"/>
      <c r="FIV29" s="753"/>
      <c r="FIW29" s="753"/>
      <c r="FIX29" s="753"/>
      <c r="FIY29" s="753"/>
      <c r="FIZ29" s="753"/>
      <c r="FJA29" s="753"/>
      <c r="FJB29" s="753"/>
      <c r="FJC29" s="750"/>
      <c r="FJD29" s="751"/>
      <c r="FJE29" s="752"/>
      <c r="FJF29" s="751"/>
      <c r="FJG29" s="751"/>
      <c r="FJH29" s="752"/>
      <c r="FJI29" s="752"/>
      <c r="FJJ29" s="753"/>
      <c r="FJK29" s="753"/>
      <c r="FJL29" s="753"/>
      <c r="FJM29" s="753"/>
      <c r="FJN29" s="753"/>
      <c r="FJO29" s="753"/>
      <c r="FJP29" s="753"/>
      <c r="FJQ29" s="753"/>
      <c r="FJR29" s="753"/>
      <c r="FJS29" s="750"/>
      <c r="FJT29" s="751"/>
      <c r="FJU29" s="752"/>
      <c r="FJV29" s="751"/>
      <c r="FJW29" s="751"/>
      <c r="FJX29" s="752"/>
      <c r="FJY29" s="752"/>
      <c r="FJZ29" s="753"/>
      <c r="FKA29" s="753"/>
      <c r="FKB29" s="753"/>
      <c r="FKC29" s="753"/>
      <c r="FKD29" s="753"/>
      <c r="FKE29" s="753"/>
      <c r="FKF29" s="753"/>
      <c r="FKG29" s="753"/>
      <c r="FKH29" s="753"/>
      <c r="FKI29" s="750"/>
      <c r="FKJ29" s="751"/>
      <c r="FKK29" s="752"/>
      <c r="FKL29" s="751"/>
      <c r="FKM29" s="751"/>
      <c r="FKN29" s="752"/>
      <c r="FKO29" s="752"/>
      <c r="FKP29" s="753"/>
      <c r="FKQ29" s="753"/>
      <c r="FKR29" s="753"/>
      <c r="FKS29" s="753"/>
      <c r="FKT29" s="753"/>
      <c r="FKU29" s="753"/>
      <c r="FKV29" s="753"/>
      <c r="FKW29" s="753"/>
      <c r="FKX29" s="753"/>
      <c r="FKY29" s="750"/>
      <c r="FKZ29" s="751"/>
      <c r="FLA29" s="752"/>
      <c r="FLB29" s="751"/>
      <c r="FLC29" s="751"/>
      <c r="FLD29" s="752"/>
      <c r="FLE29" s="752"/>
      <c r="FLF29" s="753"/>
      <c r="FLG29" s="753"/>
      <c r="FLH29" s="753"/>
      <c r="FLI29" s="753"/>
      <c r="FLJ29" s="753"/>
      <c r="FLK29" s="753"/>
      <c r="FLL29" s="753"/>
      <c r="FLM29" s="753"/>
      <c r="FLN29" s="753"/>
      <c r="FLO29" s="750"/>
      <c r="FLP29" s="751"/>
      <c r="FLQ29" s="752"/>
      <c r="FLR29" s="751"/>
      <c r="FLS29" s="751"/>
      <c r="FLT29" s="752"/>
      <c r="FLU29" s="752"/>
      <c r="FLV29" s="753"/>
      <c r="FLW29" s="753"/>
      <c r="FLX29" s="753"/>
      <c r="FLY29" s="753"/>
      <c r="FLZ29" s="753"/>
      <c r="FMA29" s="753"/>
      <c r="FMB29" s="753"/>
      <c r="FMC29" s="753"/>
      <c r="FMD29" s="753"/>
      <c r="FME29" s="750"/>
      <c r="FMF29" s="751"/>
      <c r="FMG29" s="752"/>
      <c r="FMH29" s="751"/>
      <c r="FMI29" s="751"/>
      <c r="FMJ29" s="752"/>
      <c r="FMK29" s="752"/>
      <c r="FML29" s="753"/>
      <c r="FMM29" s="753"/>
      <c r="FMN29" s="753"/>
      <c r="FMO29" s="753"/>
      <c r="FMP29" s="753"/>
      <c r="FMQ29" s="753"/>
      <c r="FMR29" s="753"/>
      <c r="FMS29" s="753"/>
      <c r="FMT29" s="753"/>
      <c r="FMU29" s="750"/>
      <c r="FMV29" s="751"/>
      <c r="FMW29" s="752"/>
      <c r="FMX29" s="751"/>
      <c r="FMY29" s="751"/>
      <c r="FMZ29" s="752"/>
      <c r="FNA29" s="752"/>
      <c r="FNB29" s="753"/>
      <c r="FNC29" s="753"/>
      <c r="FND29" s="753"/>
      <c r="FNE29" s="753"/>
      <c r="FNF29" s="753"/>
      <c r="FNG29" s="753"/>
      <c r="FNH29" s="753"/>
      <c r="FNI29" s="753"/>
      <c r="FNJ29" s="753"/>
      <c r="FNK29" s="750"/>
      <c r="FNL29" s="751"/>
      <c r="FNM29" s="752"/>
      <c r="FNN29" s="751"/>
      <c r="FNO29" s="751"/>
      <c r="FNP29" s="752"/>
      <c r="FNQ29" s="752"/>
      <c r="FNR29" s="753"/>
      <c r="FNS29" s="753"/>
      <c r="FNT29" s="753"/>
      <c r="FNU29" s="753"/>
      <c r="FNV29" s="753"/>
      <c r="FNW29" s="753"/>
      <c r="FNX29" s="753"/>
      <c r="FNY29" s="753"/>
      <c r="FNZ29" s="753"/>
      <c r="FOA29" s="750"/>
      <c r="FOB29" s="751"/>
      <c r="FOC29" s="752"/>
      <c r="FOD29" s="751"/>
      <c r="FOE29" s="751"/>
      <c r="FOF29" s="752"/>
      <c r="FOG29" s="752"/>
      <c r="FOH29" s="753"/>
      <c r="FOI29" s="753"/>
      <c r="FOJ29" s="753"/>
      <c r="FOK29" s="753"/>
      <c r="FOL29" s="753"/>
      <c r="FOM29" s="753"/>
      <c r="FON29" s="753"/>
      <c r="FOO29" s="753"/>
      <c r="FOP29" s="753"/>
      <c r="FOQ29" s="750"/>
      <c r="FOR29" s="751"/>
      <c r="FOS29" s="752"/>
      <c r="FOT29" s="751"/>
      <c r="FOU29" s="751"/>
      <c r="FOV29" s="752"/>
      <c r="FOW29" s="752"/>
      <c r="FOX29" s="753"/>
      <c r="FOY29" s="753"/>
      <c r="FOZ29" s="753"/>
      <c r="FPA29" s="753"/>
      <c r="FPB29" s="753"/>
      <c r="FPC29" s="753"/>
      <c r="FPD29" s="753"/>
      <c r="FPE29" s="753"/>
      <c r="FPF29" s="753"/>
      <c r="FPG29" s="750"/>
      <c r="FPH29" s="751"/>
      <c r="FPI29" s="752"/>
      <c r="FPJ29" s="751"/>
      <c r="FPK29" s="751"/>
      <c r="FPL29" s="752"/>
      <c r="FPM29" s="752"/>
      <c r="FPN29" s="753"/>
      <c r="FPO29" s="753"/>
      <c r="FPP29" s="753"/>
      <c r="FPQ29" s="753"/>
      <c r="FPR29" s="753"/>
      <c r="FPS29" s="753"/>
      <c r="FPT29" s="753"/>
      <c r="FPU29" s="753"/>
      <c r="FPV29" s="753"/>
      <c r="FPW29" s="750"/>
      <c r="FPX29" s="751"/>
      <c r="FPY29" s="752"/>
      <c r="FPZ29" s="751"/>
      <c r="FQA29" s="751"/>
      <c r="FQB29" s="752"/>
      <c r="FQC29" s="752"/>
      <c r="FQD29" s="753"/>
      <c r="FQE29" s="753"/>
      <c r="FQF29" s="753"/>
      <c r="FQG29" s="753"/>
      <c r="FQH29" s="753"/>
      <c r="FQI29" s="753"/>
      <c r="FQJ29" s="753"/>
      <c r="FQK29" s="753"/>
      <c r="FQL29" s="753"/>
      <c r="FQM29" s="750"/>
      <c r="FQN29" s="751"/>
      <c r="FQO29" s="752"/>
      <c r="FQP29" s="751"/>
      <c r="FQQ29" s="751"/>
      <c r="FQR29" s="752"/>
      <c r="FQS29" s="752"/>
      <c r="FQT29" s="753"/>
      <c r="FQU29" s="753"/>
      <c r="FQV29" s="753"/>
      <c r="FQW29" s="753"/>
      <c r="FQX29" s="753"/>
      <c r="FQY29" s="753"/>
      <c r="FQZ29" s="753"/>
      <c r="FRA29" s="753"/>
      <c r="FRB29" s="753"/>
      <c r="FRC29" s="750"/>
      <c r="FRD29" s="751"/>
      <c r="FRE29" s="752"/>
      <c r="FRF29" s="751"/>
      <c r="FRG29" s="751"/>
      <c r="FRH29" s="752"/>
      <c r="FRI29" s="752"/>
      <c r="FRJ29" s="753"/>
      <c r="FRK29" s="753"/>
      <c r="FRL29" s="753"/>
      <c r="FRM29" s="753"/>
      <c r="FRN29" s="753"/>
      <c r="FRO29" s="753"/>
      <c r="FRP29" s="753"/>
      <c r="FRQ29" s="753"/>
      <c r="FRR29" s="753"/>
      <c r="FRS29" s="750"/>
      <c r="FRT29" s="751"/>
      <c r="FRU29" s="752"/>
      <c r="FRV29" s="751"/>
      <c r="FRW29" s="751"/>
      <c r="FRX29" s="752"/>
      <c r="FRY29" s="752"/>
      <c r="FRZ29" s="753"/>
      <c r="FSA29" s="753"/>
      <c r="FSB29" s="753"/>
      <c r="FSC29" s="753"/>
      <c r="FSD29" s="753"/>
      <c r="FSE29" s="753"/>
      <c r="FSF29" s="753"/>
      <c r="FSG29" s="753"/>
      <c r="FSH29" s="753"/>
      <c r="FSI29" s="750"/>
      <c r="FSJ29" s="751"/>
      <c r="FSK29" s="752"/>
      <c r="FSL29" s="751"/>
      <c r="FSM29" s="751"/>
      <c r="FSN29" s="752"/>
      <c r="FSO29" s="752"/>
      <c r="FSP29" s="753"/>
      <c r="FSQ29" s="753"/>
      <c r="FSR29" s="753"/>
      <c r="FSS29" s="753"/>
      <c r="FST29" s="753"/>
      <c r="FSU29" s="753"/>
      <c r="FSV29" s="753"/>
      <c r="FSW29" s="753"/>
      <c r="FSX29" s="753"/>
      <c r="FSY29" s="750"/>
      <c r="FSZ29" s="751"/>
      <c r="FTA29" s="752"/>
      <c r="FTB29" s="751"/>
      <c r="FTC29" s="751"/>
      <c r="FTD29" s="752"/>
      <c r="FTE29" s="752"/>
      <c r="FTF29" s="753"/>
      <c r="FTG29" s="753"/>
      <c r="FTH29" s="753"/>
      <c r="FTI29" s="753"/>
      <c r="FTJ29" s="753"/>
      <c r="FTK29" s="753"/>
      <c r="FTL29" s="753"/>
      <c r="FTM29" s="753"/>
      <c r="FTN29" s="753"/>
      <c r="FTO29" s="750"/>
      <c r="FTP29" s="751"/>
      <c r="FTQ29" s="752"/>
      <c r="FTR29" s="751"/>
      <c r="FTS29" s="751"/>
      <c r="FTT29" s="752"/>
      <c r="FTU29" s="752"/>
      <c r="FTV29" s="753"/>
      <c r="FTW29" s="753"/>
      <c r="FTX29" s="753"/>
      <c r="FTY29" s="753"/>
      <c r="FTZ29" s="753"/>
      <c r="FUA29" s="753"/>
      <c r="FUB29" s="753"/>
      <c r="FUC29" s="753"/>
      <c r="FUD29" s="753"/>
      <c r="FUE29" s="750"/>
      <c r="FUF29" s="751"/>
      <c r="FUG29" s="752"/>
      <c r="FUH29" s="751"/>
      <c r="FUI29" s="751"/>
      <c r="FUJ29" s="752"/>
      <c r="FUK29" s="752"/>
      <c r="FUL29" s="753"/>
      <c r="FUM29" s="753"/>
      <c r="FUN29" s="753"/>
      <c r="FUO29" s="753"/>
      <c r="FUP29" s="753"/>
      <c r="FUQ29" s="753"/>
      <c r="FUR29" s="753"/>
      <c r="FUS29" s="753"/>
      <c r="FUT29" s="753"/>
      <c r="FUU29" s="750"/>
      <c r="FUV29" s="751"/>
      <c r="FUW29" s="752"/>
      <c r="FUX29" s="751"/>
      <c r="FUY29" s="751"/>
      <c r="FUZ29" s="752"/>
      <c r="FVA29" s="752"/>
      <c r="FVB29" s="753"/>
      <c r="FVC29" s="753"/>
      <c r="FVD29" s="753"/>
      <c r="FVE29" s="753"/>
      <c r="FVF29" s="753"/>
      <c r="FVG29" s="753"/>
      <c r="FVH29" s="753"/>
      <c r="FVI29" s="753"/>
      <c r="FVJ29" s="753"/>
      <c r="FVK29" s="750"/>
      <c r="FVL29" s="751"/>
      <c r="FVM29" s="752"/>
      <c r="FVN29" s="751"/>
      <c r="FVO29" s="751"/>
      <c r="FVP29" s="752"/>
      <c r="FVQ29" s="752"/>
      <c r="FVR29" s="753"/>
      <c r="FVS29" s="753"/>
      <c r="FVT29" s="753"/>
      <c r="FVU29" s="753"/>
      <c r="FVV29" s="753"/>
      <c r="FVW29" s="753"/>
      <c r="FVX29" s="753"/>
      <c r="FVY29" s="753"/>
      <c r="FVZ29" s="753"/>
      <c r="FWA29" s="750"/>
      <c r="FWB29" s="751"/>
      <c r="FWC29" s="752"/>
      <c r="FWD29" s="751"/>
      <c r="FWE29" s="751"/>
      <c r="FWF29" s="752"/>
      <c r="FWG29" s="752"/>
      <c r="FWH29" s="753"/>
      <c r="FWI29" s="753"/>
      <c r="FWJ29" s="753"/>
      <c r="FWK29" s="753"/>
      <c r="FWL29" s="753"/>
      <c r="FWM29" s="753"/>
      <c r="FWN29" s="753"/>
      <c r="FWO29" s="753"/>
      <c r="FWP29" s="753"/>
      <c r="FWQ29" s="750"/>
      <c r="FWR29" s="751"/>
      <c r="FWS29" s="752"/>
      <c r="FWT29" s="751"/>
      <c r="FWU29" s="751"/>
      <c r="FWV29" s="752"/>
      <c r="FWW29" s="752"/>
      <c r="FWX29" s="753"/>
      <c r="FWY29" s="753"/>
      <c r="FWZ29" s="753"/>
      <c r="FXA29" s="753"/>
      <c r="FXB29" s="753"/>
      <c r="FXC29" s="753"/>
      <c r="FXD29" s="753"/>
      <c r="FXE29" s="753"/>
      <c r="FXF29" s="753"/>
      <c r="FXG29" s="750"/>
      <c r="FXH29" s="751"/>
      <c r="FXI29" s="752"/>
      <c r="FXJ29" s="751"/>
      <c r="FXK29" s="751"/>
      <c r="FXL29" s="752"/>
      <c r="FXM29" s="752"/>
      <c r="FXN29" s="753"/>
      <c r="FXO29" s="753"/>
      <c r="FXP29" s="753"/>
      <c r="FXQ29" s="753"/>
      <c r="FXR29" s="753"/>
      <c r="FXS29" s="753"/>
      <c r="FXT29" s="753"/>
      <c r="FXU29" s="753"/>
      <c r="FXV29" s="753"/>
      <c r="FXW29" s="750"/>
      <c r="FXX29" s="751"/>
      <c r="FXY29" s="752"/>
      <c r="FXZ29" s="751"/>
      <c r="FYA29" s="751"/>
      <c r="FYB29" s="752"/>
      <c r="FYC29" s="752"/>
      <c r="FYD29" s="753"/>
      <c r="FYE29" s="753"/>
      <c r="FYF29" s="753"/>
      <c r="FYG29" s="753"/>
      <c r="FYH29" s="753"/>
      <c r="FYI29" s="753"/>
      <c r="FYJ29" s="753"/>
      <c r="FYK29" s="753"/>
      <c r="FYL29" s="753"/>
      <c r="FYM29" s="750"/>
      <c r="FYN29" s="751"/>
      <c r="FYO29" s="752"/>
      <c r="FYP29" s="751"/>
      <c r="FYQ29" s="751"/>
      <c r="FYR29" s="752"/>
      <c r="FYS29" s="752"/>
      <c r="FYT29" s="753"/>
      <c r="FYU29" s="753"/>
      <c r="FYV29" s="753"/>
      <c r="FYW29" s="753"/>
      <c r="FYX29" s="753"/>
      <c r="FYY29" s="753"/>
      <c r="FYZ29" s="753"/>
      <c r="FZA29" s="753"/>
      <c r="FZB29" s="753"/>
      <c r="FZC29" s="750"/>
      <c r="FZD29" s="751"/>
      <c r="FZE29" s="752"/>
      <c r="FZF29" s="751"/>
      <c r="FZG29" s="751"/>
      <c r="FZH29" s="752"/>
      <c r="FZI29" s="752"/>
      <c r="FZJ29" s="753"/>
      <c r="FZK29" s="753"/>
      <c r="FZL29" s="753"/>
      <c r="FZM29" s="753"/>
      <c r="FZN29" s="753"/>
      <c r="FZO29" s="753"/>
      <c r="FZP29" s="753"/>
      <c r="FZQ29" s="753"/>
      <c r="FZR29" s="753"/>
      <c r="FZS29" s="750"/>
      <c r="FZT29" s="751"/>
      <c r="FZU29" s="752"/>
      <c r="FZV29" s="751"/>
      <c r="FZW29" s="751"/>
      <c r="FZX29" s="752"/>
      <c r="FZY29" s="752"/>
      <c r="FZZ29" s="753"/>
      <c r="GAA29" s="753"/>
      <c r="GAB29" s="753"/>
      <c r="GAC29" s="753"/>
      <c r="GAD29" s="753"/>
      <c r="GAE29" s="753"/>
      <c r="GAF29" s="753"/>
      <c r="GAG29" s="753"/>
      <c r="GAH29" s="753"/>
      <c r="GAI29" s="750"/>
      <c r="GAJ29" s="751"/>
      <c r="GAK29" s="752"/>
      <c r="GAL29" s="751"/>
      <c r="GAM29" s="751"/>
      <c r="GAN29" s="752"/>
      <c r="GAO29" s="752"/>
      <c r="GAP29" s="753"/>
      <c r="GAQ29" s="753"/>
      <c r="GAR29" s="753"/>
      <c r="GAS29" s="753"/>
      <c r="GAT29" s="753"/>
      <c r="GAU29" s="753"/>
      <c r="GAV29" s="753"/>
      <c r="GAW29" s="753"/>
      <c r="GAX29" s="753"/>
      <c r="GAY29" s="750"/>
      <c r="GAZ29" s="751"/>
      <c r="GBA29" s="752"/>
      <c r="GBB29" s="751"/>
      <c r="GBC29" s="751"/>
      <c r="GBD29" s="752"/>
      <c r="GBE29" s="752"/>
      <c r="GBF29" s="753"/>
      <c r="GBG29" s="753"/>
      <c r="GBH29" s="753"/>
      <c r="GBI29" s="753"/>
      <c r="GBJ29" s="753"/>
      <c r="GBK29" s="753"/>
      <c r="GBL29" s="753"/>
      <c r="GBM29" s="753"/>
      <c r="GBN29" s="753"/>
      <c r="GBO29" s="750"/>
      <c r="GBP29" s="751"/>
      <c r="GBQ29" s="752"/>
      <c r="GBR29" s="751"/>
      <c r="GBS29" s="751"/>
      <c r="GBT29" s="752"/>
      <c r="GBU29" s="752"/>
      <c r="GBV29" s="753"/>
      <c r="GBW29" s="753"/>
      <c r="GBX29" s="753"/>
      <c r="GBY29" s="753"/>
      <c r="GBZ29" s="753"/>
      <c r="GCA29" s="753"/>
      <c r="GCB29" s="753"/>
      <c r="GCC29" s="753"/>
      <c r="GCD29" s="753"/>
      <c r="GCE29" s="750"/>
      <c r="GCF29" s="751"/>
      <c r="GCG29" s="752"/>
      <c r="GCH29" s="751"/>
      <c r="GCI29" s="751"/>
      <c r="GCJ29" s="752"/>
      <c r="GCK29" s="752"/>
      <c r="GCL29" s="753"/>
      <c r="GCM29" s="753"/>
      <c r="GCN29" s="753"/>
      <c r="GCO29" s="753"/>
      <c r="GCP29" s="753"/>
      <c r="GCQ29" s="753"/>
      <c r="GCR29" s="753"/>
      <c r="GCS29" s="753"/>
      <c r="GCT29" s="753"/>
      <c r="GCU29" s="750"/>
      <c r="GCV29" s="751"/>
      <c r="GCW29" s="752"/>
      <c r="GCX29" s="751"/>
      <c r="GCY29" s="751"/>
      <c r="GCZ29" s="752"/>
      <c r="GDA29" s="752"/>
      <c r="GDB29" s="753"/>
      <c r="GDC29" s="753"/>
      <c r="GDD29" s="753"/>
      <c r="GDE29" s="753"/>
      <c r="GDF29" s="753"/>
      <c r="GDG29" s="753"/>
      <c r="GDH29" s="753"/>
      <c r="GDI29" s="753"/>
      <c r="GDJ29" s="753"/>
      <c r="GDK29" s="750"/>
      <c r="GDL29" s="751"/>
      <c r="GDM29" s="752"/>
      <c r="GDN29" s="751"/>
      <c r="GDO29" s="751"/>
      <c r="GDP29" s="752"/>
      <c r="GDQ29" s="752"/>
      <c r="GDR29" s="753"/>
      <c r="GDS29" s="753"/>
      <c r="GDT29" s="753"/>
      <c r="GDU29" s="753"/>
      <c r="GDV29" s="753"/>
      <c r="GDW29" s="753"/>
      <c r="GDX29" s="753"/>
      <c r="GDY29" s="753"/>
      <c r="GDZ29" s="753"/>
      <c r="GEA29" s="750"/>
      <c r="GEB29" s="751"/>
      <c r="GEC29" s="752"/>
      <c r="GED29" s="751"/>
      <c r="GEE29" s="751"/>
      <c r="GEF29" s="752"/>
      <c r="GEG29" s="752"/>
      <c r="GEH29" s="753"/>
      <c r="GEI29" s="753"/>
      <c r="GEJ29" s="753"/>
      <c r="GEK29" s="753"/>
      <c r="GEL29" s="753"/>
      <c r="GEM29" s="753"/>
      <c r="GEN29" s="753"/>
      <c r="GEO29" s="753"/>
      <c r="GEP29" s="753"/>
      <c r="GEQ29" s="750"/>
      <c r="GER29" s="751"/>
      <c r="GES29" s="752"/>
      <c r="GET29" s="751"/>
      <c r="GEU29" s="751"/>
      <c r="GEV29" s="752"/>
      <c r="GEW29" s="752"/>
      <c r="GEX29" s="753"/>
      <c r="GEY29" s="753"/>
      <c r="GEZ29" s="753"/>
      <c r="GFA29" s="753"/>
      <c r="GFB29" s="753"/>
      <c r="GFC29" s="753"/>
      <c r="GFD29" s="753"/>
      <c r="GFE29" s="753"/>
      <c r="GFF29" s="753"/>
      <c r="GFG29" s="750"/>
      <c r="GFH29" s="751"/>
      <c r="GFI29" s="752"/>
      <c r="GFJ29" s="751"/>
      <c r="GFK29" s="751"/>
      <c r="GFL29" s="752"/>
      <c r="GFM29" s="752"/>
      <c r="GFN29" s="753"/>
      <c r="GFO29" s="753"/>
      <c r="GFP29" s="753"/>
      <c r="GFQ29" s="753"/>
      <c r="GFR29" s="753"/>
      <c r="GFS29" s="753"/>
      <c r="GFT29" s="753"/>
      <c r="GFU29" s="753"/>
      <c r="GFV29" s="753"/>
      <c r="GFW29" s="750"/>
      <c r="GFX29" s="751"/>
      <c r="GFY29" s="752"/>
      <c r="GFZ29" s="751"/>
      <c r="GGA29" s="751"/>
      <c r="GGB29" s="752"/>
      <c r="GGC29" s="752"/>
      <c r="GGD29" s="753"/>
      <c r="GGE29" s="753"/>
      <c r="GGF29" s="753"/>
      <c r="GGG29" s="753"/>
      <c r="GGH29" s="753"/>
      <c r="GGI29" s="753"/>
      <c r="GGJ29" s="753"/>
      <c r="GGK29" s="753"/>
      <c r="GGL29" s="753"/>
      <c r="GGM29" s="750"/>
      <c r="GGN29" s="751"/>
      <c r="GGO29" s="752"/>
      <c r="GGP29" s="751"/>
      <c r="GGQ29" s="751"/>
      <c r="GGR29" s="752"/>
      <c r="GGS29" s="752"/>
      <c r="GGT29" s="753"/>
      <c r="GGU29" s="753"/>
      <c r="GGV29" s="753"/>
      <c r="GGW29" s="753"/>
      <c r="GGX29" s="753"/>
      <c r="GGY29" s="753"/>
      <c r="GGZ29" s="753"/>
      <c r="GHA29" s="753"/>
      <c r="GHB29" s="753"/>
      <c r="GHC29" s="750"/>
      <c r="GHD29" s="751"/>
      <c r="GHE29" s="752"/>
      <c r="GHF29" s="751"/>
      <c r="GHG29" s="751"/>
      <c r="GHH29" s="752"/>
      <c r="GHI29" s="752"/>
      <c r="GHJ29" s="753"/>
      <c r="GHK29" s="753"/>
      <c r="GHL29" s="753"/>
      <c r="GHM29" s="753"/>
      <c r="GHN29" s="753"/>
      <c r="GHO29" s="753"/>
      <c r="GHP29" s="753"/>
      <c r="GHQ29" s="753"/>
      <c r="GHR29" s="753"/>
      <c r="GHS29" s="750"/>
      <c r="GHT29" s="751"/>
      <c r="GHU29" s="752"/>
      <c r="GHV29" s="751"/>
      <c r="GHW29" s="751"/>
      <c r="GHX29" s="752"/>
      <c r="GHY29" s="752"/>
      <c r="GHZ29" s="753"/>
      <c r="GIA29" s="753"/>
      <c r="GIB29" s="753"/>
      <c r="GIC29" s="753"/>
      <c r="GID29" s="753"/>
      <c r="GIE29" s="753"/>
      <c r="GIF29" s="753"/>
      <c r="GIG29" s="753"/>
      <c r="GIH29" s="753"/>
      <c r="GII29" s="750"/>
      <c r="GIJ29" s="751"/>
      <c r="GIK29" s="752"/>
      <c r="GIL29" s="751"/>
      <c r="GIM29" s="751"/>
      <c r="GIN29" s="752"/>
      <c r="GIO29" s="752"/>
      <c r="GIP29" s="753"/>
      <c r="GIQ29" s="753"/>
      <c r="GIR29" s="753"/>
      <c r="GIS29" s="753"/>
      <c r="GIT29" s="753"/>
      <c r="GIU29" s="753"/>
      <c r="GIV29" s="753"/>
      <c r="GIW29" s="753"/>
      <c r="GIX29" s="753"/>
      <c r="GIY29" s="750"/>
      <c r="GIZ29" s="751"/>
      <c r="GJA29" s="752"/>
      <c r="GJB29" s="751"/>
      <c r="GJC29" s="751"/>
      <c r="GJD29" s="752"/>
      <c r="GJE29" s="752"/>
      <c r="GJF29" s="753"/>
      <c r="GJG29" s="753"/>
      <c r="GJH29" s="753"/>
      <c r="GJI29" s="753"/>
      <c r="GJJ29" s="753"/>
      <c r="GJK29" s="753"/>
      <c r="GJL29" s="753"/>
      <c r="GJM29" s="753"/>
      <c r="GJN29" s="753"/>
      <c r="GJO29" s="750"/>
      <c r="GJP29" s="751"/>
      <c r="GJQ29" s="752"/>
      <c r="GJR29" s="751"/>
      <c r="GJS29" s="751"/>
      <c r="GJT29" s="752"/>
      <c r="GJU29" s="752"/>
      <c r="GJV29" s="753"/>
      <c r="GJW29" s="753"/>
      <c r="GJX29" s="753"/>
      <c r="GJY29" s="753"/>
      <c r="GJZ29" s="753"/>
      <c r="GKA29" s="753"/>
      <c r="GKB29" s="753"/>
      <c r="GKC29" s="753"/>
      <c r="GKD29" s="753"/>
      <c r="GKE29" s="750"/>
      <c r="GKF29" s="751"/>
      <c r="GKG29" s="752"/>
      <c r="GKH29" s="751"/>
      <c r="GKI29" s="751"/>
      <c r="GKJ29" s="752"/>
      <c r="GKK29" s="752"/>
      <c r="GKL29" s="753"/>
      <c r="GKM29" s="753"/>
      <c r="GKN29" s="753"/>
      <c r="GKO29" s="753"/>
      <c r="GKP29" s="753"/>
      <c r="GKQ29" s="753"/>
      <c r="GKR29" s="753"/>
      <c r="GKS29" s="753"/>
      <c r="GKT29" s="753"/>
      <c r="GKU29" s="750"/>
      <c r="GKV29" s="751"/>
      <c r="GKW29" s="752"/>
      <c r="GKX29" s="751"/>
      <c r="GKY29" s="751"/>
      <c r="GKZ29" s="752"/>
      <c r="GLA29" s="752"/>
      <c r="GLB29" s="753"/>
      <c r="GLC29" s="753"/>
      <c r="GLD29" s="753"/>
      <c r="GLE29" s="753"/>
      <c r="GLF29" s="753"/>
      <c r="GLG29" s="753"/>
      <c r="GLH29" s="753"/>
      <c r="GLI29" s="753"/>
      <c r="GLJ29" s="753"/>
      <c r="GLK29" s="750"/>
      <c r="GLL29" s="751"/>
      <c r="GLM29" s="752"/>
      <c r="GLN29" s="751"/>
      <c r="GLO29" s="751"/>
      <c r="GLP29" s="752"/>
      <c r="GLQ29" s="752"/>
      <c r="GLR29" s="753"/>
      <c r="GLS29" s="753"/>
      <c r="GLT29" s="753"/>
      <c r="GLU29" s="753"/>
      <c r="GLV29" s="753"/>
      <c r="GLW29" s="753"/>
      <c r="GLX29" s="753"/>
      <c r="GLY29" s="753"/>
      <c r="GLZ29" s="753"/>
      <c r="GMA29" s="750"/>
      <c r="GMB29" s="751"/>
      <c r="GMC29" s="752"/>
      <c r="GMD29" s="751"/>
      <c r="GME29" s="751"/>
      <c r="GMF29" s="752"/>
      <c r="GMG29" s="752"/>
      <c r="GMH29" s="753"/>
      <c r="GMI29" s="753"/>
      <c r="GMJ29" s="753"/>
      <c r="GMK29" s="753"/>
      <c r="GML29" s="753"/>
      <c r="GMM29" s="753"/>
      <c r="GMN29" s="753"/>
      <c r="GMO29" s="753"/>
      <c r="GMP29" s="753"/>
      <c r="GMQ29" s="750"/>
      <c r="GMR29" s="751"/>
      <c r="GMS29" s="752"/>
      <c r="GMT29" s="751"/>
      <c r="GMU29" s="751"/>
      <c r="GMV29" s="752"/>
      <c r="GMW29" s="752"/>
      <c r="GMX29" s="753"/>
      <c r="GMY29" s="753"/>
      <c r="GMZ29" s="753"/>
      <c r="GNA29" s="753"/>
      <c r="GNB29" s="753"/>
      <c r="GNC29" s="753"/>
      <c r="GND29" s="753"/>
      <c r="GNE29" s="753"/>
      <c r="GNF29" s="753"/>
      <c r="GNG29" s="750"/>
      <c r="GNH29" s="751"/>
      <c r="GNI29" s="752"/>
      <c r="GNJ29" s="751"/>
      <c r="GNK29" s="751"/>
      <c r="GNL29" s="752"/>
      <c r="GNM29" s="752"/>
      <c r="GNN29" s="753"/>
      <c r="GNO29" s="753"/>
      <c r="GNP29" s="753"/>
      <c r="GNQ29" s="753"/>
      <c r="GNR29" s="753"/>
      <c r="GNS29" s="753"/>
      <c r="GNT29" s="753"/>
      <c r="GNU29" s="753"/>
      <c r="GNV29" s="753"/>
      <c r="GNW29" s="750"/>
      <c r="GNX29" s="751"/>
      <c r="GNY29" s="752"/>
      <c r="GNZ29" s="751"/>
      <c r="GOA29" s="751"/>
      <c r="GOB29" s="752"/>
      <c r="GOC29" s="752"/>
      <c r="GOD29" s="753"/>
      <c r="GOE29" s="753"/>
      <c r="GOF29" s="753"/>
      <c r="GOG29" s="753"/>
      <c r="GOH29" s="753"/>
      <c r="GOI29" s="753"/>
      <c r="GOJ29" s="753"/>
      <c r="GOK29" s="753"/>
      <c r="GOL29" s="753"/>
      <c r="GOM29" s="750"/>
      <c r="GON29" s="751"/>
      <c r="GOO29" s="752"/>
      <c r="GOP29" s="751"/>
      <c r="GOQ29" s="751"/>
      <c r="GOR29" s="752"/>
      <c r="GOS29" s="752"/>
      <c r="GOT29" s="753"/>
      <c r="GOU29" s="753"/>
      <c r="GOV29" s="753"/>
      <c r="GOW29" s="753"/>
      <c r="GOX29" s="753"/>
      <c r="GOY29" s="753"/>
      <c r="GOZ29" s="753"/>
      <c r="GPA29" s="753"/>
      <c r="GPB29" s="753"/>
      <c r="GPC29" s="750"/>
      <c r="GPD29" s="751"/>
      <c r="GPE29" s="752"/>
      <c r="GPF29" s="751"/>
      <c r="GPG29" s="751"/>
      <c r="GPH29" s="752"/>
      <c r="GPI29" s="752"/>
      <c r="GPJ29" s="753"/>
      <c r="GPK29" s="753"/>
      <c r="GPL29" s="753"/>
      <c r="GPM29" s="753"/>
      <c r="GPN29" s="753"/>
      <c r="GPO29" s="753"/>
      <c r="GPP29" s="753"/>
      <c r="GPQ29" s="753"/>
      <c r="GPR29" s="753"/>
      <c r="GPS29" s="750"/>
      <c r="GPT29" s="751"/>
      <c r="GPU29" s="752"/>
      <c r="GPV29" s="751"/>
      <c r="GPW29" s="751"/>
      <c r="GPX29" s="752"/>
      <c r="GPY29" s="752"/>
      <c r="GPZ29" s="753"/>
      <c r="GQA29" s="753"/>
      <c r="GQB29" s="753"/>
      <c r="GQC29" s="753"/>
      <c r="GQD29" s="753"/>
      <c r="GQE29" s="753"/>
      <c r="GQF29" s="753"/>
      <c r="GQG29" s="753"/>
      <c r="GQH29" s="753"/>
      <c r="GQI29" s="750"/>
      <c r="GQJ29" s="751"/>
      <c r="GQK29" s="752"/>
      <c r="GQL29" s="751"/>
      <c r="GQM29" s="751"/>
      <c r="GQN29" s="752"/>
      <c r="GQO29" s="752"/>
      <c r="GQP29" s="753"/>
      <c r="GQQ29" s="753"/>
      <c r="GQR29" s="753"/>
      <c r="GQS29" s="753"/>
      <c r="GQT29" s="753"/>
      <c r="GQU29" s="753"/>
      <c r="GQV29" s="753"/>
      <c r="GQW29" s="753"/>
      <c r="GQX29" s="753"/>
      <c r="GQY29" s="750"/>
      <c r="GQZ29" s="751"/>
      <c r="GRA29" s="752"/>
      <c r="GRB29" s="751"/>
      <c r="GRC29" s="751"/>
      <c r="GRD29" s="752"/>
      <c r="GRE29" s="752"/>
      <c r="GRF29" s="753"/>
      <c r="GRG29" s="753"/>
      <c r="GRH29" s="753"/>
      <c r="GRI29" s="753"/>
      <c r="GRJ29" s="753"/>
      <c r="GRK29" s="753"/>
      <c r="GRL29" s="753"/>
      <c r="GRM29" s="753"/>
      <c r="GRN29" s="753"/>
      <c r="GRO29" s="750"/>
      <c r="GRP29" s="751"/>
      <c r="GRQ29" s="752"/>
      <c r="GRR29" s="751"/>
      <c r="GRS29" s="751"/>
      <c r="GRT29" s="752"/>
      <c r="GRU29" s="752"/>
      <c r="GRV29" s="753"/>
      <c r="GRW29" s="753"/>
      <c r="GRX29" s="753"/>
      <c r="GRY29" s="753"/>
      <c r="GRZ29" s="753"/>
      <c r="GSA29" s="753"/>
      <c r="GSB29" s="753"/>
      <c r="GSC29" s="753"/>
      <c r="GSD29" s="753"/>
      <c r="GSE29" s="750"/>
      <c r="GSF29" s="751"/>
      <c r="GSG29" s="752"/>
      <c r="GSH29" s="751"/>
      <c r="GSI29" s="751"/>
      <c r="GSJ29" s="752"/>
      <c r="GSK29" s="752"/>
      <c r="GSL29" s="753"/>
      <c r="GSM29" s="753"/>
      <c r="GSN29" s="753"/>
      <c r="GSO29" s="753"/>
      <c r="GSP29" s="753"/>
      <c r="GSQ29" s="753"/>
      <c r="GSR29" s="753"/>
      <c r="GSS29" s="753"/>
      <c r="GST29" s="753"/>
      <c r="GSU29" s="750"/>
      <c r="GSV29" s="751"/>
      <c r="GSW29" s="752"/>
      <c r="GSX29" s="751"/>
      <c r="GSY29" s="751"/>
      <c r="GSZ29" s="752"/>
      <c r="GTA29" s="752"/>
      <c r="GTB29" s="753"/>
      <c r="GTC29" s="753"/>
      <c r="GTD29" s="753"/>
      <c r="GTE29" s="753"/>
      <c r="GTF29" s="753"/>
      <c r="GTG29" s="753"/>
      <c r="GTH29" s="753"/>
      <c r="GTI29" s="753"/>
      <c r="GTJ29" s="753"/>
      <c r="GTK29" s="750"/>
      <c r="GTL29" s="751"/>
      <c r="GTM29" s="752"/>
      <c r="GTN29" s="751"/>
      <c r="GTO29" s="751"/>
      <c r="GTP29" s="752"/>
      <c r="GTQ29" s="752"/>
      <c r="GTR29" s="753"/>
      <c r="GTS29" s="753"/>
      <c r="GTT29" s="753"/>
      <c r="GTU29" s="753"/>
      <c r="GTV29" s="753"/>
      <c r="GTW29" s="753"/>
      <c r="GTX29" s="753"/>
      <c r="GTY29" s="753"/>
      <c r="GTZ29" s="753"/>
      <c r="GUA29" s="750"/>
      <c r="GUB29" s="751"/>
      <c r="GUC29" s="752"/>
      <c r="GUD29" s="751"/>
      <c r="GUE29" s="751"/>
      <c r="GUF29" s="752"/>
      <c r="GUG29" s="752"/>
      <c r="GUH29" s="753"/>
      <c r="GUI29" s="753"/>
      <c r="GUJ29" s="753"/>
      <c r="GUK29" s="753"/>
      <c r="GUL29" s="753"/>
      <c r="GUM29" s="753"/>
      <c r="GUN29" s="753"/>
      <c r="GUO29" s="753"/>
      <c r="GUP29" s="753"/>
      <c r="GUQ29" s="750"/>
      <c r="GUR29" s="751"/>
      <c r="GUS29" s="752"/>
      <c r="GUT29" s="751"/>
      <c r="GUU29" s="751"/>
      <c r="GUV29" s="752"/>
      <c r="GUW29" s="752"/>
      <c r="GUX29" s="753"/>
      <c r="GUY29" s="753"/>
      <c r="GUZ29" s="753"/>
      <c r="GVA29" s="753"/>
      <c r="GVB29" s="753"/>
      <c r="GVC29" s="753"/>
      <c r="GVD29" s="753"/>
      <c r="GVE29" s="753"/>
      <c r="GVF29" s="753"/>
      <c r="GVG29" s="750"/>
      <c r="GVH29" s="751"/>
      <c r="GVI29" s="752"/>
      <c r="GVJ29" s="751"/>
      <c r="GVK29" s="751"/>
      <c r="GVL29" s="752"/>
      <c r="GVM29" s="752"/>
      <c r="GVN29" s="753"/>
      <c r="GVO29" s="753"/>
      <c r="GVP29" s="753"/>
      <c r="GVQ29" s="753"/>
      <c r="GVR29" s="753"/>
      <c r="GVS29" s="753"/>
      <c r="GVT29" s="753"/>
      <c r="GVU29" s="753"/>
      <c r="GVV29" s="753"/>
      <c r="GVW29" s="750"/>
      <c r="GVX29" s="751"/>
      <c r="GVY29" s="752"/>
      <c r="GVZ29" s="751"/>
      <c r="GWA29" s="751"/>
      <c r="GWB29" s="752"/>
      <c r="GWC29" s="752"/>
      <c r="GWD29" s="753"/>
      <c r="GWE29" s="753"/>
      <c r="GWF29" s="753"/>
      <c r="GWG29" s="753"/>
      <c r="GWH29" s="753"/>
      <c r="GWI29" s="753"/>
      <c r="GWJ29" s="753"/>
      <c r="GWK29" s="753"/>
      <c r="GWL29" s="753"/>
      <c r="GWM29" s="750"/>
      <c r="GWN29" s="751"/>
      <c r="GWO29" s="752"/>
      <c r="GWP29" s="751"/>
      <c r="GWQ29" s="751"/>
      <c r="GWR29" s="752"/>
      <c r="GWS29" s="752"/>
      <c r="GWT29" s="753"/>
      <c r="GWU29" s="753"/>
      <c r="GWV29" s="753"/>
      <c r="GWW29" s="753"/>
      <c r="GWX29" s="753"/>
      <c r="GWY29" s="753"/>
      <c r="GWZ29" s="753"/>
      <c r="GXA29" s="753"/>
      <c r="GXB29" s="753"/>
      <c r="GXC29" s="750"/>
      <c r="GXD29" s="751"/>
      <c r="GXE29" s="752"/>
      <c r="GXF29" s="751"/>
      <c r="GXG29" s="751"/>
      <c r="GXH29" s="752"/>
      <c r="GXI29" s="752"/>
      <c r="GXJ29" s="753"/>
      <c r="GXK29" s="753"/>
      <c r="GXL29" s="753"/>
      <c r="GXM29" s="753"/>
      <c r="GXN29" s="753"/>
      <c r="GXO29" s="753"/>
      <c r="GXP29" s="753"/>
      <c r="GXQ29" s="753"/>
      <c r="GXR29" s="753"/>
      <c r="GXS29" s="750"/>
      <c r="GXT29" s="751"/>
      <c r="GXU29" s="752"/>
      <c r="GXV29" s="751"/>
      <c r="GXW29" s="751"/>
      <c r="GXX29" s="752"/>
      <c r="GXY29" s="752"/>
      <c r="GXZ29" s="753"/>
      <c r="GYA29" s="753"/>
      <c r="GYB29" s="753"/>
      <c r="GYC29" s="753"/>
      <c r="GYD29" s="753"/>
      <c r="GYE29" s="753"/>
      <c r="GYF29" s="753"/>
      <c r="GYG29" s="753"/>
      <c r="GYH29" s="753"/>
      <c r="GYI29" s="750"/>
      <c r="GYJ29" s="751"/>
      <c r="GYK29" s="752"/>
      <c r="GYL29" s="751"/>
      <c r="GYM29" s="751"/>
      <c r="GYN29" s="752"/>
      <c r="GYO29" s="752"/>
      <c r="GYP29" s="753"/>
      <c r="GYQ29" s="753"/>
      <c r="GYR29" s="753"/>
      <c r="GYS29" s="753"/>
      <c r="GYT29" s="753"/>
      <c r="GYU29" s="753"/>
      <c r="GYV29" s="753"/>
      <c r="GYW29" s="753"/>
      <c r="GYX29" s="753"/>
      <c r="GYY29" s="750"/>
      <c r="GYZ29" s="751"/>
      <c r="GZA29" s="752"/>
      <c r="GZB29" s="751"/>
      <c r="GZC29" s="751"/>
      <c r="GZD29" s="752"/>
      <c r="GZE29" s="752"/>
      <c r="GZF29" s="753"/>
      <c r="GZG29" s="753"/>
      <c r="GZH29" s="753"/>
      <c r="GZI29" s="753"/>
      <c r="GZJ29" s="753"/>
      <c r="GZK29" s="753"/>
      <c r="GZL29" s="753"/>
      <c r="GZM29" s="753"/>
      <c r="GZN29" s="753"/>
      <c r="GZO29" s="750"/>
      <c r="GZP29" s="751"/>
      <c r="GZQ29" s="752"/>
      <c r="GZR29" s="751"/>
      <c r="GZS29" s="751"/>
      <c r="GZT29" s="752"/>
      <c r="GZU29" s="752"/>
      <c r="GZV29" s="753"/>
      <c r="GZW29" s="753"/>
      <c r="GZX29" s="753"/>
      <c r="GZY29" s="753"/>
      <c r="GZZ29" s="753"/>
      <c r="HAA29" s="753"/>
      <c r="HAB29" s="753"/>
      <c r="HAC29" s="753"/>
      <c r="HAD29" s="753"/>
      <c r="HAE29" s="750"/>
      <c r="HAF29" s="751"/>
      <c r="HAG29" s="752"/>
      <c r="HAH29" s="751"/>
      <c r="HAI29" s="751"/>
      <c r="HAJ29" s="752"/>
      <c r="HAK29" s="752"/>
      <c r="HAL29" s="753"/>
      <c r="HAM29" s="753"/>
      <c r="HAN29" s="753"/>
      <c r="HAO29" s="753"/>
      <c r="HAP29" s="753"/>
      <c r="HAQ29" s="753"/>
      <c r="HAR29" s="753"/>
      <c r="HAS29" s="753"/>
      <c r="HAT29" s="753"/>
      <c r="HAU29" s="750"/>
      <c r="HAV29" s="751"/>
      <c r="HAW29" s="752"/>
      <c r="HAX29" s="751"/>
      <c r="HAY29" s="751"/>
      <c r="HAZ29" s="752"/>
      <c r="HBA29" s="752"/>
      <c r="HBB29" s="753"/>
      <c r="HBC29" s="753"/>
      <c r="HBD29" s="753"/>
      <c r="HBE29" s="753"/>
      <c r="HBF29" s="753"/>
      <c r="HBG29" s="753"/>
      <c r="HBH29" s="753"/>
      <c r="HBI29" s="753"/>
      <c r="HBJ29" s="753"/>
      <c r="HBK29" s="750"/>
      <c r="HBL29" s="751"/>
      <c r="HBM29" s="752"/>
      <c r="HBN29" s="751"/>
      <c r="HBO29" s="751"/>
      <c r="HBP29" s="752"/>
      <c r="HBQ29" s="752"/>
      <c r="HBR29" s="753"/>
      <c r="HBS29" s="753"/>
      <c r="HBT29" s="753"/>
      <c r="HBU29" s="753"/>
      <c r="HBV29" s="753"/>
      <c r="HBW29" s="753"/>
      <c r="HBX29" s="753"/>
      <c r="HBY29" s="753"/>
      <c r="HBZ29" s="753"/>
      <c r="HCA29" s="750"/>
      <c r="HCB29" s="751"/>
      <c r="HCC29" s="752"/>
      <c r="HCD29" s="751"/>
      <c r="HCE29" s="751"/>
      <c r="HCF29" s="752"/>
      <c r="HCG29" s="752"/>
      <c r="HCH29" s="753"/>
      <c r="HCI29" s="753"/>
      <c r="HCJ29" s="753"/>
      <c r="HCK29" s="753"/>
      <c r="HCL29" s="753"/>
      <c r="HCM29" s="753"/>
      <c r="HCN29" s="753"/>
      <c r="HCO29" s="753"/>
      <c r="HCP29" s="753"/>
      <c r="HCQ29" s="750"/>
      <c r="HCR29" s="751"/>
      <c r="HCS29" s="752"/>
      <c r="HCT29" s="751"/>
      <c r="HCU29" s="751"/>
      <c r="HCV29" s="752"/>
      <c r="HCW29" s="752"/>
      <c r="HCX29" s="753"/>
      <c r="HCY29" s="753"/>
      <c r="HCZ29" s="753"/>
      <c r="HDA29" s="753"/>
      <c r="HDB29" s="753"/>
      <c r="HDC29" s="753"/>
      <c r="HDD29" s="753"/>
      <c r="HDE29" s="753"/>
      <c r="HDF29" s="753"/>
      <c r="HDG29" s="750"/>
      <c r="HDH29" s="751"/>
      <c r="HDI29" s="752"/>
      <c r="HDJ29" s="751"/>
      <c r="HDK29" s="751"/>
      <c r="HDL29" s="752"/>
      <c r="HDM29" s="752"/>
      <c r="HDN29" s="753"/>
      <c r="HDO29" s="753"/>
      <c r="HDP29" s="753"/>
      <c r="HDQ29" s="753"/>
      <c r="HDR29" s="753"/>
      <c r="HDS29" s="753"/>
      <c r="HDT29" s="753"/>
      <c r="HDU29" s="753"/>
      <c r="HDV29" s="753"/>
      <c r="HDW29" s="750"/>
      <c r="HDX29" s="751"/>
      <c r="HDY29" s="752"/>
      <c r="HDZ29" s="751"/>
      <c r="HEA29" s="751"/>
      <c r="HEB29" s="752"/>
      <c r="HEC29" s="752"/>
      <c r="HED29" s="753"/>
      <c r="HEE29" s="753"/>
      <c r="HEF29" s="753"/>
      <c r="HEG29" s="753"/>
      <c r="HEH29" s="753"/>
      <c r="HEI29" s="753"/>
      <c r="HEJ29" s="753"/>
      <c r="HEK29" s="753"/>
      <c r="HEL29" s="753"/>
      <c r="HEM29" s="750"/>
      <c r="HEN29" s="751"/>
      <c r="HEO29" s="752"/>
      <c r="HEP29" s="751"/>
      <c r="HEQ29" s="751"/>
      <c r="HER29" s="752"/>
      <c r="HES29" s="752"/>
      <c r="HET29" s="753"/>
      <c r="HEU29" s="753"/>
      <c r="HEV29" s="753"/>
      <c r="HEW29" s="753"/>
      <c r="HEX29" s="753"/>
      <c r="HEY29" s="753"/>
      <c r="HEZ29" s="753"/>
      <c r="HFA29" s="753"/>
      <c r="HFB29" s="753"/>
      <c r="HFC29" s="750"/>
      <c r="HFD29" s="751"/>
      <c r="HFE29" s="752"/>
      <c r="HFF29" s="751"/>
      <c r="HFG29" s="751"/>
      <c r="HFH29" s="752"/>
      <c r="HFI29" s="752"/>
      <c r="HFJ29" s="753"/>
      <c r="HFK29" s="753"/>
      <c r="HFL29" s="753"/>
      <c r="HFM29" s="753"/>
      <c r="HFN29" s="753"/>
      <c r="HFO29" s="753"/>
      <c r="HFP29" s="753"/>
      <c r="HFQ29" s="753"/>
      <c r="HFR29" s="753"/>
      <c r="HFS29" s="750"/>
      <c r="HFT29" s="751"/>
      <c r="HFU29" s="752"/>
      <c r="HFV29" s="751"/>
      <c r="HFW29" s="751"/>
      <c r="HFX29" s="752"/>
      <c r="HFY29" s="752"/>
      <c r="HFZ29" s="753"/>
      <c r="HGA29" s="753"/>
      <c r="HGB29" s="753"/>
      <c r="HGC29" s="753"/>
      <c r="HGD29" s="753"/>
      <c r="HGE29" s="753"/>
      <c r="HGF29" s="753"/>
      <c r="HGG29" s="753"/>
      <c r="HGH29" s="753"/>
      <c r="HGI29" s="750"/>
      <c r="HGJ29" s="751"/>
      <c r="HGK29" s="752"/>
      <c r="HGL29" s="751"/>
      <c r="HGM29" s="751"/>
      <c r="HGN29" s="752"/>
      <c r="HGO29" s="752"/>
      <c r="HGP29" s="753"/>
      <c r="HGQ29" s="753"/>
      <c r="HGR29" s="753"/>
      <c r="HGS29" s="753"/>
      <c r="HGT29" s="753"/>
      <c r="HGU29" s="753"/>
      <c r="HGV29" s="753"/>
      <c r="HGW29" s="753"/>
      <c r="HGX29" s="753"/>
      <c r="HGY29" s="750"/>
      <c r="HGZ29" s="751"/>
      <c r="HHA29" s="752"/>
      <c r="HHB29" s="751"/>
      <c r="HHC29" s="751"/>
      <c r="HHD29" s="752"/>
      <c r="HHE29" s="752"/>
      <c r="HHF29" s="753"/>
      <c r="HHG29" s="753"/>
      <c r="HHH29" s="753"/>
      <c r="HHI29" s="753"/>
      <c r="HHJ29" s="753"/>
      <c r="HHK29" s="753"/>
      <c r="HHL29" s="753"/>
      <c r="HHM29" s="753"/>
      <c r="HHN29" s="753"/>
      <c r="HHO29" s="750"/>
      <c r="HHP29" s="751"/>
      <c r="HHQ29" s="752"/>
      <c r="HHR29" s="751"/>
      <c r="HHS29" s="751"/>
      <c r="HHT29" s="752"/>
      <c r="HHU29" s="752"/>
      <c r="HHV29" s="753"/>
      <c r="HHW29" s="753"/>
      <c r="HHX29" s="753"/>
      <c r="HHY29" s="753"/>
      <c r="HHZ29" s="753"/>
      <c r="HIA29" s="753"/>
      <c r="HIB29" s="753"/>
      <c r="HIC29" s="753"/>
      <c r="HID29" s="753"/>
      <c r="HIE29" s="750"/>
      <c r="HIF29" s="751"/>
      <c r="HIG29" s="752"/>
      <c r="HIH29" s="751"/>
      <c r="HII29" s="751"/>
      <c r="HIJ29" s="752"/>
      <c r="HIK29" s="752"/>
      <c r="HIL29" s="753"/>
      <c r="HIM29" s="753"/>
      <c r="HIN29" s="753"/>
      <c r="HIO29" s="753"/>
      <c r="HIP29" s="753"/>
      <c r="HIQ29" s="753"/>
      <c r="HIR29" s="753"/>
      <c r="HIS29" s="753"/>
      <c r="HIT29" s="753"/>
      <c r="HIU29" s="750"/>
      <c r="HIV29" s="751"/>
      <c r="HIW29" s="752"/>
      <c r="HIX29" s="751"/>
      <c r="HIY29" s="751"/>
      <c r="HIZ29" s="752"/>
      <c r="HJA29" s="752"/>
      <c r="HJB29" s="753"/>
      <c r="HJC29" s="753"/>
      <c r="HJD29" s="753"/>
      <c r="HJE29" s="753"/>
      <c r="HJF29" s="753"/>
      <c r="HJG29" s="753"/>
      <c r="HJH29" s="753"/>
      <c r="HJI29" s="753"/>
      <c r="HJJ29" s="753"/>
      <c r="HJK29" s="750"/>
      <c r="HJL29" s="751"/>
      <c r="HJM29" s="752"/>
      <c r="HJN29" s="751"/>
      <c r="HJO29" s="751"/>
      <c r="HJP29" s="752"/>
      <c r="HJQ29" s="752"/>
      <c r="HJR29" s="753"/>
      <c r="HJS29" s="753"/>
      <c r="HJT29" s="753"/>
      <c r="HJU29" s="753"/>
      <c r="HJV29" s="753"/>
      <c r="HJW29" s="753"/>
      <c r="HJX29" s="753"/>
      <c r="HJY29" s="753"/>
      <c r="HJZ29" s="753"/>
      <c r="HKA29" s="750"/>
      <c r="HKB29" s="751"/>
      <c r="HKC29" s="752"/>
      <c r="HKD29" s="751"/>
      <c r="HKE29" s="751"/>
      <c r="HKF29" s="752"/>
      <c r="HKG29" s="752"/>
      <c r="HKH29" s="753"/>
      <c r="HKI29" s="753"/>
      <c r="HKJ29" s="753"/>
      <c r="HKK29" s="753"/>
      <c r="HKL29" s="753"/>
      <c r="HKM29" s="753"/>
      <c r="HKN29" s="753"/>
      <c r="HKO29" s="753"/>
      <c r="HKP29" s="753"/>
      <c r="HKQ29" s="750"/>
      <c r="HKR29" s="751"/>
      <c r="HKS29" s="752"/>
      <c r="HKT29" s="751"/>
      <c r="HKU29" s="751"/>
      <c r="HKV29" s="752"/>
      <c r="HKW29" s="752"/>
      <c r="HKX29" s="753"/>
      <c r="HKY29" s="753"/>
      <c r="HKZ29" s="753"/>
      <c r="HLA29" s="753"/>
      <c r="HLB29" s="753"/>
      <c r="HLC29" s="753"/>
      <c r="HLD29" s="753"/>
      <c r="HLE29" s="753"/>
      <c r="HLF29" s="753"/>
      <c r="HLG29" s="750"/>
      <c r="HLH29" s="751"/>
      <c r="HLI29" s="752"/>
      <c r="HLJ29" s="751"/>
      <c r="HLK29" s="751"/>
      <c r="HLL29" s="752"/>
      <c r="HLM29" s="752"/>
      <c r="HLN29" s="753"/>
      <c r="HLO29" s="753"/>
      <c r="HLP29" s="753"/>
      <c r="HLQ29" s="753"/>
      <c r="HLR29" s="753"/>
      <c r="HLS29" s="753"/>
      <c r="HLT29" s="753"/>
      <c r="HLU29" s="753"/>
      <c r="HLV29" s="753"/>
      <c r="HLW29" s="750"/>
      <c r="HLX29" s="751"/>
      <c r="HLY29" s="752"/>
      <c r="HLZ29" s="751"/>
      <c r="HMA29" s="751"/>
      <c r="HMB29" s="752"/>
      <c r="HMC29" s="752"/>
      <c r="HMD29" s="753"/>
      <c r="HME29" s="753"/>
      <c r="HMF29" s="753"/>
      <c r="HMG29" s="753"/>
      <c r="HMH29" s="753"/>
      <c r="HMI29" s="753"/>
      <c r="HMJ29" s="753"/>
      <c r="HMK29" s="753"/>
      <c r="HML29" s="753"/>
      <c r="HMM29" s="750"/>
      <c r="HMN29" s="751"/>
      <c r="HMO29" s="752"/>
      <c r="HMP29" s="751"/>
      <c r="HMQ29" s="751"/>
      <c r="HMR29" s="752"/>
      <c r="HMS29" s="752"/>
      <c r="HMT29" s="753"/>
      <c r="HMU29" s="753"/>
      <c r="HMV29" s="753"/>
      <c r="HMW29" s="753"/>
      <c r="HMX29" s="753"/>
      <c r="HMY29" s="753"/>
      <c r="HMZ29" s="753"/>
      <c r="HNA29" s="753"/>
      <c r="HNB29" s="753"/>
      <c r="HNC29" s="750"/>
      <c r="HND29" s="751"/>
      <c r="HNE29" s="752"/>
      <c r="HNF29" s="751"/>
      <c r="HNG29" s="751"/>
      <c r="HNH29" s="752"/>
      <c r="HNI29" s="752"/>
      <c r="HNJ29" s="753"/>
      <c r="HNK29" s="753"/>
      <c r="HNL29" s="753"/>
      <c r="HNM29" s="753"/>
      <c r="HNN29" s="753"/>
      <c r="HNO29" s="753"/>
      <c r="HNP29" s="753"/>
      <c r="HNQ29" s="753"/>
      <c r="HNR29" s="753"/>
      <c r="HNS29" s="750"/>
      <c r="HNT29" s="751"/>
      <c r="HNU29" s="752"/>
      <c r="HNV29" s="751"/>
      <c r="HNW29" s="751"/>
      <c r="HNX29" s="752"/>
      <c r="HNY29" s="752"/>
      <c r="HNZ29" s="753"/>
      <c r="HOA29" s="753"/>
      <c r="HOB29" s="753"/>
      <c r="HOC29" s="753"/>
      <c r="HOD29" s="753"/>
      <c r="HOE29" s="753"/>
      <c r="HOF29" s="753"/>
      <c r="HOG29" s="753"/>
      <c r="HOH29" s="753"/>
      <c r="HOI29" s="750"/>
      <c r="HOJ29" s="751"/>
      <c r="HOK29" s="752"/>
      <c r="HOL29" s="751"/>
      <c r="HOM29" s="751"/>
      <c r="HON29" s="752"/>
      <c r="HOO29" s="752"/>
      <c r="HOP29" s="753"/>
      <c r="HOQ29" s="753"/>
      <c r="HOR29" s="753"/>
      <c r="HOS29" s="753"/>
      <c r="HOT29" s="753"/>
      <c r="HOU29" s="753"/>
      <c r="HOV29" s="753"/>
      <c r="HOW29" s="753"/>
      <c r="HOX29" s="753"/>
      <c r="HOY29" s="750"/>
      <c r="HOZ29" s="751"/>
      <c r="HPA29" s="752"/>
      <c r="HPB29" s="751"/>
      <c r="HPC29" s="751"/>
      <c r="HPD29" s="752"/>
      <c r="HPE29" s="752"/>
      <c r="HPF29" s="753"/>
      <c r="HPG29" s="753"/>
      <c r="HPH29" s="753"/>
      <c r="HPI29" s="753"/>
      <c r="HPJ29" s="753"/>
      <c r="HPK29" s="753"/>
      <c r="HPL29" s="753"/>
      <c r="HPM29" s="753"/>
      <c r="HPN29" s="753"/>
      <c r="HPO29" s="750"/>
      <c r="HPP29" s="751"/>
      <c r="HPQ29" s="752"/>
      <c r="HPR29" s="751"/>
      <c r="HPS29" s="751"/>
      <c r="HPT29" s="752"/>
      <c r="HPU29" s="752"/>
      <c r="HPV29" s="753"/>
      <c r="HPW29" s="753"/>
      <c r="HPX29" s="753"/>
      <c r="HPY29" s="753"/>
      <c r="HPZ29" s="753"/>
      <c r="HQA29" s="753"/>
      <c r="HQB29" s="753"/>
      <c r="HQC29" s="753"/>
      <c r="HQD29" s="753"/>
      <c r="HQE29" s="750"/>
      <c r="HQF29" s="751"/>
      <c r="HQG29" s="752"/>
      <c r="HQH29" s="751"/>
      <c r="HQI29" s="751"/>
      <c r="HQJ29" s="752"/>
      <c r="HQK29" s="752"/>
      <c r="HQL29" s="753"/>
      <c r="HQM29" s="753"/>
      <c r="HQN29" s="753"/>
      <c r="HQO29" s="753"/>
      <c r="HQP29" s="753"/>
      <c r="HQQ29" s="753"/>
      <c r="HQR29" s="753"/>
      <c r="HQS29" s="753"/>
      <c r="HQT29" s="753"/>
      <c r="HQU29" s="750"/>
      <c r="HQV29" s="751"/>
      <c r="HQW29" s="752"/>
      <c r="HQX29" s="751"/>
      <c r="HQY29" s="751"/>
      <c r="HQZ29" s="752"/>
      <c r="HRA29" s="752"/>
      <c r="HRB29" s="753"/>
      <c r="HRC29" s="753"/>
      <c r="HRD29" s="753"/>
      <c r="HRE29" s="753"/>
      <c r="HRF29" s="753"/>
      <c r="HRG29" s="753"/>
      <c r="HRH29" s="753"/>
      <c r="HRI29" s="753"/>
      <c r="HRJ29" s="753"/>
      <c r="HRK29" s="750"/>
      <c r="HRL29" s="751"/>
      <c r="HRM29" s="752"/>
      <c r="HRN29" s="751"/>
      <c r="HRO29" s="751"/>
      <c r="HRP29" s="752"/>
      <c r="HRQ29" s="752"/>
      <c r="HRR29" s="753"/>
      <c r="HRS29" s="753"/>
      <c r="HRT29" s="753"/>
      <c r="HRU29" s="753"/>
      <c r="HRV29" s="753"/>
      <c r="HRW29" s="753"/>
      <c r="HRX29" s="753"/>
      <c r="HRY29" s="753"/>
      <c r="HRZ29" s="753"/>
      <c r="HSA29" s="750"/>
      <c r="HSB29" s="751"/>
      <c r="HSC29" s="752"/>
      <c r="HSD29" s="751"/>
      <c r="HSE29" s="751"/>
      <c r="HSF29" s="752"/>
      <c r="HSG29" s="752"/>
      <c r="HSH29" s="753"/>
      <c r="HSI29" s="753"/>
      <c r="HSJ29" s="753"/>
      <c r="HSK29" s="753"/>
      <c r="HSL29" s="753"/>
      <c r="HSM29" s="753"/>
      <c r="HSN29" s="753"/>
      <c r="HSO29" s="753"/>
      <c r="HSP29" s="753"/>
      <c r="HSQ29" s="750"/>
      <c r="HSR29" s="751"/>
      <c r="HSS29" s="752"/>
      <c r="HST29" s="751"/>
      <c r="HSU29" s="751"/>
      <c r="HSV29" s="752"/>
      <c r="HSW29" s="752"/>
      <c r="HSX29" s="753"/>
      <c r="HSY29" s="753"/>
      <c r="HSZ29" s="753"/>
      <c r="HTA29" s="753"/>
      <c r="HTB29" s="753"/>
      <c r="HTC29" s="753"/>
      <c r="HTD29" s="753"/>
      <c r="HTE29" s="753"/>
      <c r="HTF29" s="753"/>
      <c r="HTG29" s="750"/>
      <c r="HTH29" s="751"/>
      <c r="HTI29" s="752"/>
      <c r="HTJ29" s="751"/>
      <c r="HTK29" s="751"/>
      <c r="HTL29" s="752"/>
      <c r="HTM29" s="752"/>
      <c r="HTN29" s="753"/>
      <c r="HTO29" s="753"/>
      <c r="HTP29" s="753"/>
      <c r="HTQ29" s="753"/>
      <c r="HTR29" s="753"/>
      <c r="HTS29" s="753"/>
      <c r="HTT29" s="753"/>
      <c r="HTU29" s="753"/>
      <c r="HTV29" s="753"/>
      <c r="HTW29" s="750"/>
      <c r="HTX29" s="751"/>
      <c r="HTY29" s="752"/>
      <c r="HTZ29" s="751"/>
      <c r="HUA29" s="751"/>
      <c r="HUB29" s="752"/>
      <c r="HUC29" s="752"/>
      <c r="HUD29" s="753"/>
      <c r="HUE29" s="753"/>
      <c r="HUF29" s="753"/>
      <c r="HUG29" s="753"/>
      <c r="HUH29" s="753"/>
      <c r="HUI29" s="753"/>
      <c r="HUJ29" s="753"/>
      <c r="HUK29" s="753"/>
      <c r="HUL29" s="753"/>
      <c r="HUM29" s="750"/>
      <c r="HUN29" s="751"/>
      <c r="HUO29" s="752"/>
      <c r="HUP29" s="751"/>
      <c r="HUQ29" s="751"/>
      <c r="HUR29" s="752"/>
      <c r="HUS29" s="752"/>
      <c r="HUT29" s="753"/>
      <c r="HUU29" s="753"/>
      <c r="HUV29" s="753"/>
      <c r="HUW29" s="753"/>
      <c r="HUX29" s="753"/>
      <c r="HUY29" s="753"/>
      <c r="HUZ29" s="753"/>
      <c r="HVA29" s="753"/>
      <c r="HVB29" s="753"/>
      <c r="HVC29" s="750"/>
      <c r="HVD29" s="751"/>
      <c r="HVE29" s="752"/>
      <c r="HVF29" s="751"/>
      <c r="HVG29" s="751"/>
      <c r="HVH29" s="752"/>
      <c r="HVI29" s="752"/>
      <c r="HVJ29" s="753"/>
      <c r="HVK29" s="753"/>
      <c r="HVL29" s="753"/>
      <c r="HVM29" s="753"/>
      <c r="HVN29" s="753"/>
      <c r="HVO29" s="753"/>
      <c r="HVP29" s="753"/>
      <c r="HVQ29" s="753"/>
      <c r="HVR29" s="753"/>
      <c r="HVS29" s="750"/>
      <c r="HVT29" s="751"/>
      <c r="HVU29" s="752"/>
      <c r="HVV29" s="751"/>
      <c r="HVW29" s="751"/>
      <c r="HVX29" s="752"/>
      <c r="HVY29" s="752"/>
      <c r="HVZ29" s="753"/>
      <c r="HWA29" s="753"/>
      <c r="HWB29" s="753"/>
      <c r="HWC29" s="753"/>
      <c r="HWD29" s="753"/>
      <c r="HWE29" s="753"/>
      <c r="HWF29" s="753"/>
      <c r="HWG29" s="753"/>
      <c r="HWH29" s="753"/>
      <c r="HWI29" s="750"/>
      <c r="HWJ29" s="751"/>
      <c r="HWK29" s="752"/>
      <c r="HWL29" s="751"/>
      <c r="HWM29" s="751"/>
      <c r="HWN29" s="752"/>
      <c r="HWO29" s="752"/>
      <c r="HWP29" s="753"/>
      <c r="HWQ29" s="753"/>
      <c r="HWR29" s="753"/>
      <c r="HWS29" s="753"/>
      <c r="HWT29" s="753"/>
      <c r="HWU29" s="753"/>
      <c r="HWV29" s="753"/>
      <c r="HWW29" s="753"/>
      <c r="HWX29" s="753"/>
      <c r="HWY29" s="750"/>
      <c r="HWZ29" s="751"/>
      <c r="HXA29" s="752"/>
      <c r="HXB29" s="751"/>
      <c r="HXC29" s="751"/>
      <c r="HXD29" s="752"/>
      <c r="HXE29" s="752"/>
      <c r="HXF29" s="753"/>
      <c r="HXG29" s="753"/>
      <c r="HXH29" s="753"/>
      <c r="HXI29" s="753"/>
      <c r="HXJ29" s="753"/>
      <c r="HXK29" s="753"/>
      <c r="HXL29" s="753"/>
      <c r="HXM29" s="753"/>
      <c r="HXN29" s="753"/>
      <c r="HXO29" s="750"/>
      <c r="HXP29" s="751"/>
      <c r="HXQ29" s="752"/>
      <c r="HXR29" s="751"/>
      <c r="HXS29" s="751"/>
      <c r="HXT29" s="752"/>
      <c r="HXU29" s="752"/>
      <c r="HXV29" s="753"/>
      <c r="HXW29" s="753"/>
      <c r="HXX29" s="753"/>
      <c r="HXY29" s="753"/>
      <c r="HXZ29" s="753"/>
      <c r="HYA29" s="753"/>
      <c r="HYB29" s="753"/>
      <c r="HYC29" s="753"/>
      <c r="HYD29" s="753"/>
      <c r="HYE29" s="750"/>
      <c r="HYF29" s="751"/>
      <c r="HYG29" s="752"/>
      <c r="HYH29" s="751"/>
      <c r="HYI29" s="751"/>
      <c r="HYJ29" s="752"/>
      <c r="HYK29" s="752"/>
      <c r="HYL29" s="753"/>
      <c r="HYM29" s="753"/>
      <c r="HYN29" s="753"/>
      <c r="HYO29" s="753"/>
      <c r="HYP29" s="753"/>
      <c r="HYQ29" s="753"/>
      <c r="HYR29" s="753"/>
      <c r="HYS29" s="753"/>
      <c r="HYT29" s="753"/>
      <c r="HYU29" s="750"/>
      <c r="HYV29" s="751"/>
      <c r="HYW29" s="752"/>
      <c r="HYX29" s="751"/>
      <c r="HYY29" s="751"/>
      <c r="HYZ29" s="752"/>
      <c r="HZA29" s="752"/>
      <c r="HZB29" s="753"/>
      <c r="HZC29" s="753"/>
      <c r="HZD29" s="753"/>
      <c r="HZE29" s="753"/>
      <c r="HZF29" s="753"/>
      <c r="HZG29" s="753"/>
      <c r="HZH29" s="753"/>
      <c r="HZI29" s="753"/>
      <c r="HZJ29" s="753"/>
      <c r="HZK29" s="750"/>
      <c r="HZL29" s="751"/>
      <c r="HZM29" s="752"/>
      <c r="HZN29" s="751"/>
      <c r="HZO29" s="751"/>
      <c r="HZP29" s="752"/>
      <c r="HZQ29" s="752"/>
      <c r="HZR29" s="753"/>
      <c r="HZS29" s="753"/>
      <c r="HZT29" s="753"/>
      <c r="HZU29" s="753"/>
      <c r="HZV29" s="753"/>
      <c r="HZW29" s="753"/>
      <c r="HZX29" s="753"/>
      <c r="HZY29" s="753"/>
      <c r="HZZ29" s="753"/>
      <c r="IAA29" s="750"/>
      <c r="IAB29" s="751"/>
      <c r="IAC29" s="752"/>
      <c r="IAD29" s="751"/>
      <c r="IAE29" s="751"/>
      <c r="IAF29" s="752"/>
      <c r="IAG29" s="752"/>
      <c r="IAH29" s="753"/>
      <c r="IAI29" s="753"/>
      <c r="IAJ29" s="753"/>
      <c r="IAK29" s="753"/>
      <c r="IAL29" s="753"/>
      <c r="IAM29" s="753"/>
      <c r="IAN29" s="753"/>
      <c r="IAO29" s="753"/>
      <c r="IAP29" s="753"/>
      <c r="IAQ29" s="750"/>
      <c r="IAR29" s="751"/>
      <c r="IAS29" s="752"/>
      <c r="IAT29" s="751"/>
      <c r="IAU29" s="751"/>
      <c r="IAV29" s="752"/>
      <c r="IAW29" s="752"/>
      <c r="IAX29" s="753"/>
      <c r="IAY29" s="753"/>
      <c r="IAZ29" s="753"/>
      <c r="IBA29" s="753"/>
      <c r="IBB29" s="753"/>
      <c r="IBC29" s="753"/>
      <c r="IBD29" s="753"/>
      <c r="IBE29" s="753"/>
      <c r="IBF29" s="753"/>
      <c r="IBG29" s="750"/>
      <c r="IBH29" s="751"/>
      <c r="IBI29" s="752"/>
      <c r="IBJ29" s="751"/>
      <c r="IBK29" s="751"/>
      <c r="IBL29" s="752"/>
      <c r="IBM29" s="752"/>
      <c r="IBN29" s="753"/>
      <c r="IBO29" s="753"/>
      <c r="IBP29" s="753"/>
      <c r="IBQ29" s="753"/>
      <c r="IBR29" s="753"/>
      <c r="IBS29" s="753"/>
      <c r="IBT29" s="753"/>
      <c r="IBU29" s="753"/>
      <c r="IBV29" s="753"/>
      <c r="IBW29" s="750"/>
      <c r="IBX29" s="751"/>
      <c r="IBY29" s="752"/>
      <c r="IBZ29" s="751"/>
      <c r="ICA29" s="751"/>
      <c r="ICB29" s="752"/>
      <c r="ICC29" s="752"/>
      <c r="ICD29" s="753"/>
      <c r="ICE29" s="753"/>
      <c r="ICF29" s="753"/>
      <c r="ICG29" s="753"/>
      <c r="ICH29" s="753"/>
      <c r="ICI29" s="753"/>
      <c r="ICJ29" s="753"/>
      <c r="ICK29" s="753"/>
      <c r="ICL29" s="753"/>
      <c r="ICM29" s="750"/>
      <c r="ICN29" s="751"/>
      <c r="ICO29" s="752"/>
      <c r="ICP29" s="751"/>
      <c r="ICQ29" s="751"/>
      <c r="ICR29" s="752"/>
      <c r="ICS29" s="752"/>
      <c r="ICT29" s="753"/>
      <c r="ICU29" s="753"/>
      <c r="ICV29" s="753"/>
      <c r="ICW29" s="753"/>
      <c r="ICX29" s="753"/>
      <c r="ICY29" s="753"/>
      <c r="ICZ29" s="753"/>
      <c r="IDA29" s="753"/>
      <c r="IDB29" s="753"/>
      <c r="IDC29" s="750"/>
      <c r="IDD29" s="751"/>
      <c r="IDE29" s="752"/>
      <c r="IDF29" s="751"/>
      <c r="IDG29" s="751"/>
      <c r="IDH29" s="752"/>
      <c r="IDI29" s="752"/>
      <c r="IDJ29" s="753"/>
      <c r="IDK29" s="753"/>
      <c r="IDL29" s="753"/>
      <c r="IDM29" s="753"/>
      <c r="IDN29" s="753"/>
      <c r="IDO29" s="753"/>
      <c r="IDP29" s="753"/>
      <c r="IDQ29" s="753"/>
      <c r="IDR29" s="753"/>
      <c r="IDS29" s="750"/>
      <c r="IDT29" s="751"/>
      <c r="IDU29" s="752"/>
      <c r="IDV29" s="751"/>
      <c r="IDW29" s="751"/>
      <c r="IDX29" s="752"/>
      <c r="IDY29" s="752"/>
      <c r="IDZ29" s="753"/>
      <c r="IEA29" s="753"/>
      <c r="IEB29" s="753"/>
      <c r="IEC29" s="753"/>
      <c r="IED29" s="753"/>
      <c r="IEE29" s="753"/>
      <c r="IEF29" s="753"/>
      <c r="IEG29" s="753"/>
      <c r="IEH29" s="753"/>
      <c r="IEI29" s="750"/>
      <c r="IEJ29" s="751"/>
      <c r="IEK29" s="752"/>
      <c r="IEL29" s="751"/>
      <c r="IEM29" s="751"/>
      <c r="IEN29" s="752"/>
      <c r="IEO29" s="752"/>
      <c r="IEP29" s="753"/>
      <c r="IEQ29" s="753"/>
      <c r="IER29" s="753"/>
      <c r="IES29" s="753"/>
      <c r="IET29" s="753"/>
      <c r="IEU29" s="753"/>
      <c r="IEV29" s="753"/>
      <c r="IEW29" s="753"/>
      <c r="IEX29" s="753"/>
      <c r="IEY29" s="750"/>
      <c r="IEZ29" s="751"/>
      <c r="IFA29" s="752"/>
      <c r="IFB29" s="751"/>
      <c r="IFC29" s="751"/>
      <c r="IFD29" s="752"/>
      <c r="IFE29" s="752"/>
      <c r="IFF29" s="753"/>
      <c r="IFG29" s="753"/>
      <c r="IFH29" s="753"/>
      <c r="IFI29" s="753"/>
      <c r="IFJ29" s="753"/>
      <c r="IFK29" s="753"/>
      <c r="IFL29" s="753"/>
      <c r="IFM29" s="753"/>
      <c r="IFN29" s="753"/>
      <c r="IFO29" s="750"/>
      <c r="IFP29" s="751"/>
      <c r="IFQ29" s="752"/>
      <c r="IFR29" s="751"/>
      <c r="IFS29" s="751"/>
      <c r="IFT29" s="752"/>
      <c r="IFU29" s="752"/>
      <c r="IFV29" s="753"/>
      <c r="IFW29" s="753"/>
      <c r="IFX29" s="753"/>
      <c r="IFY29" s="753"/>
      <c r="IFZ29" s="753"/>
      <c r="IGA29" s="753"/>
      <c r="IGB29" s="753"/>
      <c r="IGC29" s="753"/>
      <c r="IGD29" s="753"/>
      <c r="IGE29" s="750"/>
      <c r="IGF29" s="751"/>
      <c r="IGG29" s="752"/>
      <c r="IGH29" s="751"/>
      <c r="IGI29" s="751"/>
      <c r="IGJ29" s="752"/>
      <c r="IGK29" s="752"/>
      <c r="IGL29" s="753"/>
      <c r="IGM29" s="753"/>
      <c r="IGN29" s="753"/>
      <c r="IGO29" s="753"/>
      <c r="IGP29" s="753"/>
      <c r="IGQ29" s="753"/>
      <c r="IGR29" s="753"/>
      <c r="IGS29" s="753"/>
      <c r="IGT29" s="753"/>
      <c r="IGU29" s="750"/>
      <c r="IGV29" s="751"/>
      <c r="IGW29" s="752"/>
      <c r="IGX29" s="751"/>
      <c r="IGY29" s="751"/>
      <c r="IGZ29" s="752"/>
      <c r="IHA29" s="752"/>
      <c r="IHB29" s="753"/>
      <c r="IHC29" s="753"/>
      <c r="IHD29" s="753"/>
      <c r="IHE29" s="753"/>
      <c r="IHF29" s="753"/>
      <c r="IHG29" s="753"/>
      <c r="IHH29" s="753"/>
      <c r="IHI29" s="753"/>
      <c r="IHJ29" s="753"/>
      <c r="IHK29" s="750"/>
      <c r="IHL29" s="751"/>
      <c r="IHM29" s="752"/>
      <c r="IHN29" s="751"/>
      <c r="IHO29" s="751"/>
      <c r="IHP29" s="752"/>
      <c r="IHQ29" s="752"/>
      <c r="IHR29" s="753"/>
      <c r="IHS29" s="753"/>
      <c r="IHT29" s="753"/>
      <c r="IHU29" s="753"/>
      <c r="IHV29" s="753"/>
      <c r="IHW29" s="753"/>
      <c r="IHX29" s="753"/>
      <c r="IHY29" s="753"/>
      <c r="IHZ29" s="753"/>
      <c r="IIA29" s="750"/>
      <c r="IIB29" s="751"/>
      <c r="IIC29" s="752"/>
      <c r="IID29" s="751"/>
      <c r="IIE29" s="751"/>
      <c r="IIF29" s="752"/>
      <c r="IIG29" s="752"/>
      <c r="IIH29" s="753"/>
      <c r="III29" s="753"/>
      <c r="IIJ29" s="753"/>
      <c r="IIK29" s="753"/>
      <c r="IIL29" s="753"/>
      <c r="IIM29" s="753"/>
      <c r="IIN29" s="753"/>
      <c r="IIO29" s="753"/>
      <c r="IIP29" s="753"/>
      <c r="IIQ29" s="750"/>
      <c r="IIR29" s="751"/>
      <c r="IIS29" s="752"/>
      <c r="IIT29" s="751"/>
      <c r="IIU29" s="751"/>
      <c r="IIV29" s="752"/>
      <c r="IIW29" s="752"/>
      <c r="IIX29" s="753"/>
      <c r="IIY29" s="753"/>
      <c r="IIZ29" s="753"/>
      <c r="IJA29" s="753"/>
      <c r="IJB29" s="753"/>
      <c r="IJC29" s="753"/>
      <c r="IJD29" s="753"/>
      <c r="IJE29" s="753"/>
      <c r="IJF29" s="753"/>
      <c r="IJG29" s="750"/>
      <c r="IJH29" s="751"/>
      <c r="IJI29" s="752"/>
      <c r="IJJ29" s="751"/>
      <c r="IJK29" s="751"/>
      <c r="IJL29" s="752"/>
      <c r="IJM29" s="752"/>
      <c r="IJN29" s="753"/>
      <c r="IJO29" s="753"/>
      <c r="IJP29" s="753"/>
      <c r="IJQ29" s="753"/>
      <c r="IJR29" s="753"/>
      <c r="IJS29" s="753"/>
      <c r="IJT29" s="753"/>
      <c r="IJU29" s="753"/>
      <c r="IJV29" s="753"/>
      <c r="IJW29" s="750"/>
      <c r="IJX29" s="751"/>
      <c r="IJY29" s="752"/>
      <c r="IJZ29" s="751"/>
      <c r="IKA29" s="751"/>
      <c r="IKB29" s="752"/>
      <c r="IKC29" s="752"/>
      <c r="IKD29" s="753"/>
      <c r="IKE29" s="753"/>
      <c r="IKF29" s="753"/>
      <c r="IKG29" s="753"/>
      <c r="IKH29" s="753"/>
      <c r="IKI29" s="753"/>
      <c r="IKJ29" s="753"/>
      <c r="IKK29" s="753"/>
      <c r="IKL29" s="753"/>
      <c r="IKM29" s="750"/>
      <c r="IKN29" s="751"/>
      <c r="IKO29" s="752"/>
      <c r="IKP29" s="751"/>
      <c r="IKQ29" s="751"/>
      <c r="IKR29" s="752"/>
      <c r="IKS29" s="752"/>
      <c r="IKT29" s="753"/>
      <c r="IKU29" s="753"/>
      <c r="IKV29" s="753"/>
      <c r="IKW29" s="753"/>
      <c r="IKX29" s="753"/>
      <c r="IKY29" s="753"/>
      <c r="IKZ29" s="753"/>
      <c r="ILA29" s="753"/>
      <c r="ILB29" s="753"/>
      <c r="ILC29" s="750"/>
      <c r="ILD29" s="751"/>
      <c r="ILE29" s="752"/>
      <c r="ILF29" s="751"/>
      <c r="ILG29" s="751"/>
      <c r="ILH29" s="752"/>
      <c r="ILI29" s="752"/>
      <c r="ILJ29" s="753"/>
      <c r="ILK29" s="753"/>
      <c r="ILL29" s="753"/>
      <c r="ILM29" s="753"/>
      <c r="ILN29" s="753"/>
      <c r="ILO29" s="753"/>
      <c r="ILP29" s="753"/>
      <c r="ILQ29" s="753"/>
      <c r="ILR29" s="753"/>
      <c r="ILS29" s="750"/>
      <c r="ILT29" s="751"/>
      <c r="ILU29" s="752"/>
      <c r="ILV29" s="751"/>
      <c r="ILW29" s="751"/>
      <c r="ILX29" s="752"/>
      <c r="ILY29" s="752"/>
      <c r="ILZ29" s="753"/>
      <c r="IMA29" s="753"/>
      <c r="IMB29" s="753"/>
      <c r="IMC29" s="753"/>
      <c r="IMD29" s="753"/>
      <c r="IME29" s="753"/>
      <c r="IMF29" s="753"/>
      <c r="IMG29" s="753"/>
      <c r="IMH29" s="753"/>
      <c r="IMI29" s="750"/>
      <c r="IMJ29" s="751"/>
      <c r="IMK29" s="752"/>
      <c r="IML29" s="751"/>
      <c r="IMM29" s="751"/>
      <c r="IMN29" s="752"/>
      <c r="IMO29" s="752"/>
      <c r="IMP29" s="753"/>
      <c r="IMQ29" s="753"/>
      <c r="IMR29" s="753"/>
      <c r="IMS29" s="753"/>
      <c r="IMT29" s="753"/>
      <c r="IMU29" s="753"/>
      <c r="IMV29" s="753"/>
      <c r="IMW29" s="753"/>
      <c r="IMX29" s="753"/>
      <c r="IMY29" s="750"/>
      <c r="IMZ29" s="751"/>
      <c r="INA29" s="752"/>
      <c r="INB29" s="751"/>
      <c r="INC29" s="751"/>
      <c r="IND29" s="752"/>
      <c r="INE29" s="752"/>
      <c r="INF29" s="753"/>
      <c r="ING29" s="753"/>
      <c r="INH29" s="753"/>
      <c r="INI29" s="753"/>
      <c r="INJ29" s="753"/>
      <c r="INK29" s="753"/>
      <c r="INL29" s="753"/>
      <c r="INM29" s="753"/>
      <c r="INN29" s="753"/>
      <c r="INO29" s="750"/>
      <c r="INP29" s="751"/>
      <c r="INQ29" s="752"/>
      <c r="INR29" s="751"/>
      <c r="INS29" s="751"/>
      <c r="INT29" s="752"/>
      <c r="INU29" s="752"/>
      <c r="INV29" s="753"/>
      <c r="INW29" s="753"/>
      <c r="INX29" s="753"/>
      <c r="INY29" s="753"/>
      <c r="INZ29" s="753"/>
      <c r="IOA29" s="753"/>
      <c r="IOB29" s="753"/>
      <c r="IOC29" s="753"/>
      <c r="IOD29" s="753"/>
      <c r="IOE29" s="750"/>
      <c r="IOF29" s="751"/>
      <c r="IOG29" s="752"/>
      <c r="IOH29" s="751"/>
      <c r="IOI29" s="751"/>
      <c r="IOJ29" s="752"/>
      <c r="IOK29" s="752"/>
      <c r="IOL29" s="753"/>
      <c r="IOM29" s="753"/>
      <c r="ION29" s="753"/>
      <c r="IOO29" s="753"/>
      <c r="IOP29" s="753"/>
      <c r="IOQ29" s="753"/>
      <c r="IOR29" s="753"/>
      <c r="IOS29" s="753"/>
      <c r="IOT29" s="753"/>
      <c r="IOU29" s="750"/>
      <c r="IOV29" s="751"/>
      <c r="IOW29" s="752"/>
      <c r="IOX29" s="751"/>
      <c r="IOY29" s="751"/>
      <c r="IOZ29" s="752"/>
      <c r="IPA29" s="752"/>
      <c r="IPB29" s="753"/>
      <c r="IPC29" s="753"/>
      <c r="IPD29" s="753"/>
      <c r="IPE29" s="753"/>
      <c r="IPF29" s="753"/>
      <c r="IPG29" s="753"/>
      <c r="IPH29" s="753"/>
      <c r="IPI29" s="753"/>
      <c r="IPJ29" s="753"/>
      <c r="IPK29" s="750"/>
      <c r="IPL29" s="751"/>
      <c r="IPM29" s="752"/>
      <c r="IPN29" s="751"/>
      <c r="IPO29" s="751"/>
      <c r="IPP29" s="752"/>
      <c r="IPQ29" s="752"/>
      <c r="IPR29" s="753"/>
      <c r="IPS29" s="753"/>
      <c r="IPT29" s="753"/>
      <c r="IPU29" s="753"/>
      <c r="IPV29" s="753"/>
      <c r="IPW29" s="753"/>
      <c r="IPX29" s="753"/>
      <c r="IPY29" s="753"/>
      <c r="IPZ29" s="753"/>
      <c r="IQA29" s="750"/>
      <c r="IQB29" s="751"/>
      <c r="IQC29" s="752"/>
      <c r="IQD29" s="751"/>
      <c r="IQE29" s="751"/>
      <c r="IQF29" s="752"/>
      <c r="IQG29" s="752"/>
      <c r="IQH29" s="753"/>
      <c r="IQI29" s="753"/>
      <c r="IQJ29" s="753"/>
      <c r="IQK29" s="753"/>
      <c r="IQL29" s="753"/>
      <c r="IQM29" s="753"/>
      <c r="IQN29" s="753"/>
      <c r="IQO29" s="753"/>
      <c r="IQP29" s="753"/>
      <c r="IQQ29" s="750"/>
      <c r="IQR29" s="751"/>
      <c r="IQS29" s="752"/>
      <c r="IQT29" s="751"/>
      <c r="IQU29" s="751"/>
      <c r="IQV29" s="752"/>
      <c r="IQW29" s="752"/>
      <c r="IQX29" s="753"/>
      <c r="IQY29" s="753"/>
      <c r="IQZ29" s="753"/>
      <c r="IRA29" s="753"/>
      <c r="IRB29" s="753"/>
      <c r="IRC29" s="753"/>
      <c r="IRD29" s="753"/>
      <c r="IRE29" s="753"/>
      <c r="IRF29" s="753"/>
      <c r="IRG29" s="750"/>
      <c r="IRH29" s="751"/>
      <c r="IRI29" s="752"/>
      <c r="IRJ29" s="751"/>
      <c r="IRK29" s="751"/>
      <c r="IRL29" s="752"/>
      <c r="IRM29" s="752"/>
      <c r="IRN29" s="753"/>
      <c r="IRO29" s="753"/>
      <c r="IRP29" s="753"/>
      <c r="IRQ29" s="753"/>
      <c r="IRR29" s="753"/>
      <c r="IRS29" s="753"/>
      <c r="IRT29" s="753"/>
      <c r="IRU29" s="753"/>
      <c r="IRV29" s="753"/>
      <c r="IRW29" s="750"/>
      <c r="IRX29" s="751"/>
      <c r="IRY29" s="752"/>
      <c r="IRZ29" s="751"/>
      <c r="ISA29" s="751"/>
      <c r="ISB29" s="752"/>
      <c r="ISC29" s="752"/>
      <c r="ISD29" s="753"/>
      <c r="ISE29" s="753"/>
      <c r="ISF29" s="753"/>
      <c r="ISG29" s="753"/>
      <c r="ISH29" s="753"/>
      <c r="ISI29" s="753"/>
      <c r="ISJ29" s="753"/>
      <c r="ISK29" s="753"/>
      <c r="ISL29" s="753"/>
      <c r="ISM29" s="750"/>
      <c r="ISN29" s="751"/>
      <c r="ISO29" s="752"/>
      <c r="ISP29" s="751"/>
      <c r="ISQ29" s="751"/>
      <c r="ISR29" s="752"/>
      <c r="ISS29" s="752"/>
      <c r="IST29" s="753"/>
      <c r="ISU29" s="753"/>
      <c r="ISV29" s="753"/>
      <c r="ISW29" s="753"/>
      <c r="ISX29" s="753"/>
      <c r="ISY29" s="753"/>
      <c r="ISZ29" s="753"/>
      <c r="ITA29" s="753"/>
      <c r="ITB29" s="753"/>
      <c r="ITC29" s="750"/>
      <c r="ITD29" s="751"/>
      <c r="ITE29" s="752"/>
      <c r="ITF29" s="751"/>
      <c r="ITG29" s="751"/>
      <c r="ITH29" s="752"/>
      <c r="ITI29" s="752"/>
      <c r="ITJ29" s="753"/>
      <c r="ITK29" s="753"/>
      <c r="ITL29" s="753"/>
      <c r="ITM29" s="753"/>
      <c r="ITN29" s="753"/>
      <c r="ITO29" s="753"/>
      <c r="ITP29" s="753"/>
      <c r="ITQ29" s="753"/>
      <c r="ITR29" s="753"/>
      <c r="ITS29" s="750"/>
      <c r="ITT29" s="751"/>
      <c r="ITU29" s="752"/>
      <c r="ITV29" s="751"/>
      <c r="ITW29" s="751"/>
      <c r="ITX29" s="752"/>
      <c r="ITY29" s="752"/>
      <c r="ITZ29" s="753"/>
      <c r="IUA29" s="753"/>
      <c r="IUB29" s="753"/>
      <c r="IUC29" s="753"/>
      <c r="IUD29" s="753"/>
      <c r="IUE29" s="753"/>
      <c r="IUF29" s="753"/>
      <c r="IUG29" s="753"/>
      <c r="IUH29" s="753"/>
      <c r="IUI29" s="750"/>
      <c r="IUJ29" s="751"/>
      <c r="IUK29" s="752"/>
      <c r="IUL29" s="751"/>
      <c r="IUM29" s="751"/>
      <c r="IUN29" s="752"/>
      <c r="IUO29" s="752"/>
      <c r="IUP29" s="753"/>
      <c r="IUQ29" s="753"/>
      <c r="IUR29" s="753"/>
      <c r="IUS29" s="753"/>
      <c r="IUT29" s="753"/>
      <c r="IUU29" s="753"/>
      <c r="IUV29" s="753"/>
      <c r="IUW29" s="753"/>
      <c r="IUX29" s="753"/>
      <c r="IUY29" s="750"/>
      <c r="IUZ29" s="751"/>
      <c r="IVA29" s="752"/>
      <c r="IVB29" s="751"/>
      <c r="IVC29" s="751"/>
      <c r="IVD29" s="752"/>
      <c r="IVE29" s="752"/>
      <c r="IVF29" s="753"/>
      <c r="IVG29" s="753"/>
      <c r="IVH29" s="753"/>
      <c r="IVI29" s="753"/>
      <c r="IVJ29" s="753"/>
      <c r="IVK29" s="753"/>
      <c r="IVL29" s="753"/>
      <c r="IVM29" s="753"/>
      <c r="IVN29" s="753"/>
      <c r="IVO29" s="750"/>
      <c r="IVP29" s="751"/>
      <c r="IVQ29" s="752"/>
      <c r="IVR29" s="751"/>
      <c r="IVS29" s="751"/>
      <c r="IVT29" s="752"/>
      <c r="IVU29" s="752"/>
      <c r="IVV29" s="753"/>
      <c r="IVW29" s="753"/>
      <c r="IVX29" s="753"/>
      <c r="IVY29" s="753"/>
      <c r="IVZ29" s="753"/>
      <c r="IWA29" s="753"/>
      <c r="IWB29" s="753"/>
      <c r="IWC29" s="753"/>
      <c r="IWD29" s="753"/>
      <c r="IWE29" s="750"/>
      <c r="IWF29" s="751"/>
      <c r="IWG29" s="752"/>
      <c r="IWH29" s="751"/>
      <c r="IWI29" s="751"/>
      <c r="IWJ29" s="752"/>
      <c r="IWK29" s="752"/>
      <c r="IWL29" s="753"/>
      <c r="IWM29" s="753"/>
      <c r="IWN29" s="753"/>
      <c r="IWO29" s="753"/>
      <c r="IWP29" s="753"/>
      <c r="IWQ29" s="753"/>
      <c r="IWR29" s="753"/>
      <c r="IWS29" s="753"/>
      <c r="IWT29" s="753"/>
      <c r="IWU29" s="750"/>
      <c r="IWV29" s="751"/>
      <c r="IWW29" s="752"/>
      <c r="IWX29" s="751"/>
      <c r="IWY29" s="751"/>
      <c r="IWZ29" s="752"/>
      <c r="IXA29" s="752"/>
      <c r="IXB29" s="753"/>
      <c r="IXC29" s="753"/>
      <c r="IXD29" s="753"/>
      <c r="IXE29" s="753"/>
      <c r="IXF29" s="753"/>
      <c r="IXG29" s="753"/>
      <c r="IXH29" s="753"/>
      <c r="IXI29" s="753"/>
      <c r="IXJ29" s="753"/>
      <c r="IXK29" s="750"/>
      <c r="IXL29" s="751"/>
      <c r="IXM29" s="752"/>
      <c r="IXN29" s="751"/>
      <c r="IXO29" s="751"/>
      <c r="IXP29" s="752"/>
      <c r="IXQ29" s="752"/>
      <c r="IXR29" s="753"/>
      <c r="IXS29" s="753"/>
      <c r="IXT29" s="753"/>
      <c r="IXU29" s="753"/>
      <c r="IXV29" s="753"/>
      <c r="IXW29" s="753"/>
      <c r="IXX29" s="753"/>
      <c r="IXY29" s="753"/>
      <c r="IXZ29" s="753"/>
      <c r="IYA29" s="750"/>
      <c r="IYB29" s="751"/>
      <c r="IYC29" s="752"/>
      <c r="IYD29" s="751"/>
      <c r="IYE29" s="751"/>
      <c r="IYF29" s="752"/>
      <c r="IYG29" s="752"/>
      <c r="IYH29" s="753"/>
      <c r="IYI29" s="753"/>
      <c r="IYJ29" s="753"/>
      <c r="IYK29" s="753"/>
      <c r="IYL29" s="753"/>
      <c r="IYM29" s="753"/>
      <c r="IYN29" s="753"/>
      <c r="IYO29" s="753"/>
      <c r="IYP29" s="753"/>
      <c r="IYQ29" s="750"/>
      <c r="IYR29" s="751"/>
      <c r="IYS29" s="752"/>
      <c r="IYT29" s="751"/>
      <c r="IYU29" s="751"/>
      <c r="IYV29" s="752"/>
      <c r="IYW29" s="752"/>
      <c r="IYX29" s="753"/>
      <c r="IYY29" s="753"/>
      <c r="IYZ29" s="753"/>
      <c r="IZA29" s="753"/>
      <c r="IZB29" s="753"/>
      <c r="IZC29" s="753"/>
      <c r="IZD29" s="753"/>
      <c r="IZE29" s="753"/>
      <c r="IZF29" s="753"/>
      <c r="IZG29" s="750"/>
      <c r="IZH29" s="751"/>
      <c r="IZI29" s="752"/>
      <c r="IZJ29" s="751"/>
      <c r="IZK29" s="751"/>
      <c r="IZL29" s="752"/>
      <c r="IZM29" s="752"/>
      <c r="IZN29" s="753"/>
      <c r="IZO29" s="753"/>
      <c r="IZP29" s="753"/>
      <c r="IZQ29" s="753"/>
      <c r="IZR29" s="753"/>
      <c r="IZS29" s="753"/>
      <c r="IZT29" s="753"/>
      <c r="IZU29" s="753"/>
      <c r="IZV29" s="753"/>
      <c r="IZW29" s="750"/>
      <c r="IZX29" s="751"/>
      <c r="IZY29" s="752"/>
      <c r="IZZ29" s="751"/>
      <c r="JAA29" s="751"/>
      <c r="JAB29" s="752"/>
      <c r="JAC29" s="752"/>
      <c r="JAD29" s="753"/>
      <c r="JAE29" s="753"/>
      <c r="JAF29" s="753"/>
      <c r="JAG29" s="753"/>
      <c r="JAH29" s="753"/>
      <c r="JAI29" s="753"/>
      <c r="JAJ29" s="753"/>
      <c r="JAK29" s="753"/>
      <c r="JAL29" s="753"/>
      <c r="JAM29" s="750"/>
      <c r="JAN29" s="751"/>
      <c r="JAO29" s="752"/>
      <c r="JAP29" s="751"/>
      <c r="JAQ29" s="751"/>
      <c r="JAR29" s="752"/>
      <c r="JAS29" s="752"/>
      <c r="JAT29" s="753"/>
      <c r="JAU29" s="753"/>
      <c r="JAV29" s="753"/>
      <c r="JAW29" s="753"/>
      <c r="JAX29" s="753"/>
      <c r="JAY29" s="753"/>
      <c r="JAZ29" s="753"/>
      <c r="JBA29" s="753"/>
      <c r="JBB29" s="753"/>
      <c r="JBC29" s="750"/>
      <c r="JBD29" s="751"/>
      <c r="JBE29" s="752"/>
      <c r="JBF29" s="751"/>
      <c r="JBG29" s="751"/>
      <c r="JBH29" s="752"/>
      <c r="JBI29" s="752"/>
      <c r="JBJ29" s="753"/>
      <c r="JBK29" s="753"/>
      <c r="JBL29" s="753"/>
      <c r="JBM29" s="753"/>
      <c r="JBN29" s="753"/>
      <c r="JBO29" s="753"/>
      <c r="JBP29" s="753"/>
      <c r="JBQ29" s="753"/>
      <c r="JBR29" s="753"/>
      <c r="JBS29" s="750"/>
      <c r="JBT29" s="751"/>
      <c r="JBU29" s="752"/>
      <c r="JBV29" s="751"/>
      <c r="JBW29" s="751"/>
      <c r="JBX29" s="752"/>
      <c r="JBY29" s="752"/>
      <c r="JBZ29" s="753"/>
      <c r="JCA29" s="753"/>
      <c r="JCB29" s="753"/>
      <c r="JCC29" s="753"/>
      <c r="JCD29" s="753"/>
      <c r="JCE29" s="753"/>
      <c r="JCF29" s="753"/>
      <c r="JCG29" s="753"/>
      <c r="JCH29" s="753"/>
      <c r="JCI29" s="750"/>
      <c r="JCJ29" s="751"/>
      <c r="JCK29" s="752"/>
      <c r="JCL29" s="751"/>
      <c r="JCM29" s="751"/>
      <c r="JCN29" s="752"/>
      <c r="JCO29" s="752"/>
      <c r="JCP29" s="753"/>
      <c r="JCQ29" s="753"/>
      <c r="JCR29" s="753"/>
      <c r="JCS29" s="753"/>
      <c r="JCT29" s="753"/>
      <c r="JCU29" s="753"/>
      <c r="JCV29" s="753"/>
      <c r="JCW29" s="753"/>
      <c r="JCX29" s="753"/>
      <c r="JCY29" s="750"/>
      <c r="JCZ29" s="751"/>
      <c r="JDA29" s="752"/>
      <c r="JDB29" s="751"/>
      <c r="JDC29" s="751"/>
      <c r="JDD29" s="752"/>
      <c r="JDE29" s="752"/>
      <c r="JDF29" s="753"/>
      <c r="JDG29" s="753"/>
      <c r="JDH29" s="753"/>
      <c r="JDI29" s="753"/>
      <c r="JDJ29" s="753"/>
      <c r="JDK29" s="753"/>
      <c r="JDL29" s="753"/>
      <c r="JDM29" s="753"/>
      <c r="JDN29" s="753"/>
      <c r="JDO29" s="750"/>
      <c r="JDP29" s="751"/>
      <c r="JDQ29" s="752"/>
      <c r="JDR29" s="751"/>
      <c r="JDS29" s="751"/>
      <c r="JDT29" s="752"/>
      <c r="JDU29" s="752"/>
      <c r="JDV29" s="753"/>
      <c r="JDW29" s="753"/>
      <c r="JDX29" s="753"/>
      <c r="JDY29" s="753"/>
      <c r="JDZ29" s="753"/>
      <c r="JEA29" s="753"/>
      <c r="JEB29" s="753"/>
      <c r="JEC29" s="753"/>
      <c r="JED29" s="753"/>
      <c r="JEE29" s="750"/>
      <c r="JEF29" s="751"/>
      <c r="JEG29" s="752"/>
      <c r="JEH29" s="751"/>
      <c r="JEI29" s="751"/>
      <c r="JEJ29" s="752"/>
      <c r="JEK29" s="752"/>
      <c r="JEL29" s="753"/>
      <c r="JEM29" s="753"/>
      <c r="JEN29" s="753"/>
      <c r="JEO29" s="753"/>
      <c r="JEP29" s="753"/>
      <c r="JEQ29" s="753"/>
      <c r="JER29" s="753"/>
      <c r="JES29" s="753"/>
      <c r="JET29" s="753"/>
      <c r="JEU29" s="750"/>
      <c r="JEV29" s="751"/>
      <c r="JEW29" s="752"/>
      <c r="JEX29" s="751"/>
      <c r="JEY29" s="751"/>
      <c r="JEZ29" s="752"/>
      <c r="JFA29" s="752"/>
      <c r="JFB29" s="753"/>
      <c r="JFC29" s="753"/>
      <c r="JFD29" s="753"/>
      <c r="JFE29" s="753"/>
      <c r="JFF29" s="753"/>
      <c r="JFG29" s="753"/>
      <c r="JFH29" s="753"/>
      <c r="JFI29" s="753"/>
      <c r="JFJ29" s="753"/>
      <c r="JFK29" s="750"/>
      <c r="JFL29" s="751"/>
      <c r="JFM29" s="752"/>
      <c r="JFN29" s="751"/>
      <c r="JFO29" s="751"/>
      <c r="JFP29" s="752"/>
      <c r="JFQ29" s="752"/>
      <c r="JFR29" s="753"/>
      <c r="JFS29" s="753"/>
      <c r="JFT29" s="753"/>
      <c r="JFU29" s="753"/>
      <c r="JFV29" s="753"/>
      <c r="JFW29" s="753"/>
      <c r="JFX29" s="753"/>
      <c r="JFY29" s="753"/>
      <c r="JFZ29" s="753"/>
      <c r="JGA29" s="750"/>
      <c r="JGB29" s="751"/>
      <c r="JGC29" s="752"/>
      <c r="JGD29" s="751"/>
      <c r="JGE29" s="751"/>
      <c r="JGF29" s="752"/>
      <c r="JGG29" s="752"/>
      <c r="JGH29" s="753"/>
      <c r="JGI29" s="753"/>
      <c r="JGJ29" s="753"/>
      <c r="JGK29" s="753"/>
      <c r="JGL29" s="753"/>
      <c r="JGM29" s="753"/>
      <c r="JGN29" s="753"/>
      <c r="JGO29" s="753"/>
      <c r="JGP29" s="753"/>
      <c r="JGQ29" s="750"/>
      <c r="JGR29" s="751"/>
      <c r="JGS29" s="752"/>
      <c r="JGT29" s="751"/>
      <c r="JGU29" s="751"/>
      <c r="JGV29" s="752"/>
      <c r="JGW29" s="752"/>
      <c r="JGX29" s="753"/>
      <c r="JGY29" s="753"/>
      <c r="JGZ29" s="753"/>
      <c r="JHA29" s="753"/>
      <c r="JHB29" s="753"/>
      <c r="JHC29" s="753"/>
      <c r="JHD29" s="753"/>
      <c r="JHE29" s="753"/>
      <c r="JHF29" s="753"/>
      <c r="JHG29" s="750"/>
      <c r="JHH29" s="751"/>
      <c r="JHI29" s="752"/>
      <c r="JHJ29" s="751"/>
      <c r="JHK29" s="751"/>
      <c r="JHL29" s="752"/>
      <c r="JHM29" s="752"/>
      <c r="JHN29" s="753"/>
      <c r="JHO29" s="753"/>
      <c r="JHP29" s="753"/>
      <c r="JHQ29" s="753"/>
      <c r="JHR29" s="753"/>
      <c r="JHS29" s="753"/>
      <c r="JHT29" s="753"/>
      <c r="JHU29" s="753"/>
      <c r="JHV29" s="753"/>
      <c r="JHW29" s="750"/>
      <c r="JHX29" s="751"/>
      <c r="JHY29" s="752"/>
      <c r="JHZ29" s="751"/>
      <c r="JIA29" s="751"/>
      <c r="JIB29" s="752"/>
      <c r="JIC29" s="752"/>
      <c r="JID29" s="753"/>
      <c r="JIE29" s="753"/>
      <c r="JIF29" s="753"/>
      <c r="JIG29" s="753"/>
      <c r="JIH29" s="753"/>
      <c r="JII29" s="753"/>
      <c r="JIJ29" s="753"/>
      <c r="JIK29" s="753"/>
      <c r="JIL29" s="753"/>
      <c r="JIM29" s="750"/>
      <c r="JIN29" s="751"/>
      <c r="JIO29" s="752"/>
      <c r="JIP29" s="751"/>
      <c r="JIQ29" s="751"/>
      <c r="JIR29" s="752"/>
      <c r="JIS29" s="752"/>
      <c r="JIT29" s="753"/>
      <c r="JIU29" s="753"/>
      <c r="JIV29" s="753"/>
      <c r="JIW29" s="753"/>
      <c r="JIX29" s="753"/>
      <c r="JIY29" s="753"/>
      <c r="JIZ29" s="753"/>
      <c r="JJA29" s="753"/>
      <c r="JJB29" s="753"/>
      <c r="JJC29" s="750"/>
      <c r="JJD29" s="751"/>
      <c r="JJE29" s="752"/>
      <c r="JJF29" s="751"/>
      <c r="JJG29" s="751"/>
      <c r="JJH29" s="752"/>
      <c r="JJI29" s="752"/>
      <c r="JJJ29" s="753"/>
      <c r="JJK29" s="753"/>
      <c r="JJL29" s="753"/>
      <c r="JJM29" s="753"/>
      <c r="JJN29" s="753"/>
      <c r="JJO29" s="753"/>
      <c r="JJP29" s="753"/>
      <c r="JJQ29" s="753"/>
      <c r="JJR29" s="753"/>
      <c r="JJS29" s="750"/>
      <c r="JJT29" s="751"/>
      <c r="JJU29" s="752"/>
      <c r="JJV29" s="751"/>
      <c r="JJW29" s="751"/>
      <c r="JJX29" s="752"/>
      <c r="JJY29" s="752"/>
      <c r="JJZ29" s="753"/>
      <c r="JKA29" s="753"/>
      <c r="JKB29" s="753"/>
      <c r="JKC29" s="753"/>
      <c r="JKD29" s="753"/>
      <c r="JKE29" s="753"/>
      <c r="JKF29" s="753"/>
      <c r="JKG29" s="753"/>
      <c r="JKH29" s="753"/>
      <c r="JKI29" s="750"/>
      <c r="JKJ29" s="751"/>
      <c r="JKK29" s="752"/>
      <c r="JKL29" s="751"/>
      <c r="JKM29" s="751"/>
      <c r="JKN29" s="752"/>
      <c r="JKO29" s="752"/>
      <c r="JKP29" s="753"/>
      <c r="JKQ29" s="753"/>
      <c r="JKR29" s="753"/>
      <c r="JKS29" s="753"/>
      <c r="JKT29" s="753"/>
      <c r="JKU29" s="753"/>
      <c r="JKV29" s="753"/>
      <c r="JKW29" s="753"/>
      <c r="JKX29" s="753"/>
      <c r="JKY29" s="750"/>
      <c r="JKZ29" s="751"/>
      <c r="JLA29" s="752"/>
      <c r="JLB29" s="751"/>
      <c r="JLC29" s="751"/>
      <c r="JLD29" s="752"/>
      <c r="JLE29" s="752"/>
      <c r="JLF29" s="753"/>
      <c r="JLG29" s="753"/>
      <c r="JLH29" s="753"/>
      <c r="JLI29" s="753"/>
      <c r="JLJ29" s="753"/>
      <c r="JLK29" s="753"/>
      <c r="JLL29" s="753"/>
      <c r="JLM29" s="753"/>
      <c r="JLN29" s="753"/>
      <c r="JLO29" s="750"/>
      <c r="JLP29" s="751"/>
      <c r="JLQ29" s="752"/>
      <c r="JLR29" s="751"/>
      <c r="JLS29" s="751"/>
      <c r="JLT29" s="752"/>
      <c r="JLU29" s="752"/>
      <c r="JLV29" s="753"/>
      <c r="JLW29" s="753"/>
      <c r="JLX29" s="753"/>
      <c r="JLY29" s="753"/>
      <c r="JLZ29" s="753"/>
      <c r="JMA29" s="753"/>
      <c r="JMB29" s="753"/>
      <c r="JMC29" s="753"/>
      <c r="JMD29" s="753"/>
      <c r="JME29" s="750"/>
      <c r="JMF29" s="751"/>
      <c r="JMG29" s="752"/>
      <c r="JMH29" s="751"/>
      <c r="JMI29" s="751"/>
      <c r="JMJ29" s="752"/>
      <c r="JMK29" s="752"/>
      <c r="JML29" s="753"/>
      <c r="JMM29" s="753"/>
      <c r="JMN29" s="753"/>
      <c r="JMO29" s="753"/>
      <c r="JMP29" s="753"/>
      <c r="JMQ29" s="753"/>
      <c r="JMR29" s="753"/>
      <c r="JMS29" s="753"/>
      <c r="JMT29" s="753"/>
      <c r="JMU29" s="750"/>
      <c r="JMV29" s="751"/>
      <c r="JMW29" s="752"/>
      <c r="JMX29" s="751"/>
      <c r="JMY29" s="751"/>
      <c r="JMZ29" s="752"/>
      <c r="JNA29" s="752"/>
      <c r="JNB29" s="753"/>
      <c r="JNC29" s="753"/>
      <c r="JND29" s="753"/>
      <c r="JNE29" s="753"/>
      <c r="JNF29" s="753"/>
      <c r="JNG29" s="753"/>
      <c r="JNH29" s="753"/>
      <c r="JNI29" s="753"/>
      <c r="JNJ29" s="753"/>
      <c r="JNK29" s="750"/>
      <c r="JNL29" s="751"/>
      <c r="JNM29" s="752"/>
      <c r="JNN29" s="751"/>
      <c r="JNO29" s="751"/>
      <c r="JNP29" s="752"/>
      <c r="JNQ29" s="752"/>
      <c r="JNR29" s="753"/>
      <c r="JNS29" s="753"/>
      <c r="JNT29" s="753"/>
      <c r="JNU29" s="753"/>
      <c r="JNV29" s="753"/>
      <c r="JNW29" s="753"/>
      <c r="JNX29" s="753"/>
      <c r="JNY29" s="753"/>
      <c r="JNZ29" s="753"/>
      <c r="JOA29" s="750"/>
      <c r="JOB29" s="751"/>
      <c r="JOC29" s="752"/>
      <c r="JOD29" s="751"/>
      <c r="JOE29" s="751"/>
      <c r="JOF29" s="752"/>
      <c r="JOG29" s="752"/>
      <c r="JOH29" s="753"/>
      <c r="JOI29" s="753"/>
      <c r="JOJ29" s="753"/>
      <c r="JOK29" s="753"/>
      <c r="JOL29" s="753"/>
      <c r="JOM29" s="753"/>
      <c r="JON29" s="753"/>
      <c r="JOO29" s="753"/>
      <c r="JOP29" s="753"/>
      <c r="JOQ29" s="750"/>
      <c r="JOR29" s="751"/>
      <c r="JOS29" s="752"/>
      <c r="JOT29" s="751"/>
      <c r="JOU29" s="751"/>
      <c r="JOV29" s="752"/>
      <c r="JOW29" s="752"/>
      <c r="JOX29" s="753"/>
      <c r="JOY29" s="753"/>
      <c r="JOZ29" s="753"/>
      <c r="JPA29" s="753"/>
      <c r="JPB29" s="753"/>
      <c r="JPC29" s="753"/>
      <c r="JPD29" s="753"/>
      <c r="JPE29" s="753"/>
      <c r="JPF29" s="753"/>
      <c r="JPG29" s="750"/>
      <c r="JPH29" s="751"/>
      <c r="JPI29" s="752"/>
      <c r="JPJ29" s="751"/>
      <c r="JPK29" s="751"/>
      <c r="JPL29" s="752"/>
      <c r="JPM29" s="752"/>
      <c r="JPN29" s="753"/>
      <c r="JPO29" s="753"/>
      <c r="JPP29" s="753"/>
      <c r="JPQ29" s="753"/>
      <c r="JPR29" s="753"/>
      <c r="JPS29" s="753"/>
      <c r="JPT29" s="753"/>
      <c r="JPU29" s="753"/>
      <c r="JPV29" s="753"/>
      <c r="JPW29" s="750"/>
      <c r="JPX29" s="751"/>
      <c r="JPY29" s="752"/>
      <c r="JPZ29" s="751"/>
      <c r="JQA29" s="751"/>
      <c r="JQB29" s="752"/>
      <c r="JQC29" s="752"/>
      <c r="JQD29" s="753"/>
      <c r="JQE29" s="753"/>
      <c r="JQF29" s="753"/>
      <c r="JQG29" s="753"/>
      <c r="JQH29" s="753"/>
      <c r="JQI29" s="753"/>
      <c r="JQJ29" s="753"/>
      <c r="JQK29" s="753"/>
      <c r="JQL29" s="753"/>
      <c r="JQM29" s="750"/>
      <c r="JQN29" s="751"/>
      <c r="JQO29" s="752"/>
      <c r="JQP29" s="751"/>
      <c r="JQQ29" s="751"/>
      <c r="JQR29" s="752"/>
      <c r="JQS29" s="752"/>
      <c r="JQT29" s="753"/>
      <c r="JQU29" s="753"/>
      <c r="JQV29" s="753"/>
      <c r="JQW29" s="753"/>
      <c r="JQX29" s="753"/>
      <c r="JQY29" s="753"/>
      <c r="JQZ29" s="753"/>
      <c r="JRA29" s="753"/>
      <c r="JRB29" s="753"/>
      <c r="JRC29" s="750"/>
      <c r="JRD29" s="751"/>
      <c r="JRE29" s="752"/>
      <c r="JRF29" s="751"/>
      <c r="JRG29" s="751"/>
      <c r="JRH29" s="752"/>
      <c r="JRI29" s="752"/>
      <c r="JRJ29" s="753"/>
      <c r="JRK29" s="753"/>
      <c r="JRL29" s="753"/>
      <c r="JRM29" s="753"/>
      <c r="JRN29" s="753"/>
      <c r="JRO29" s="753"/>
      <c r="JRP29" s="753"/>
      <c r="JRQ29" s="753"/>
      <c r="JRR29" s="753"/>
      <c r="JRS29" s="750"/>
      <c r="JRT29" s="751"/>
      <c r="JRU29" s="752"/>
      <c r="JRV29" s="751"/>
      <c r="JRW29" s="751"/>
      <c r="JRX29" s="752"/>
      <c r="JRY29" s="752"/>
      <c r="JRZ29" s="753"/>
      <c r="JSA29" s="753"/>
      <c r="JSB29" s="753"/>
      <c r="JSC29" s="753"/>
      <c r="JSD29" s="753"/>
      <c r="JSE29" s="753"/>
      <c r="JSF29" s="753"/>
      <c r="JSG29" s="753"/>
      <c r="JSH29" s="753"/>
      <c r="JSI29" s="750"/>
      <c r="JSJ29" s="751"/>
      <c r="JSK29" s="752"/>
      <c r="JSL29" s="751"/>
      <c r="JSM29" s="751"/>
      <c r="JSN29" s="752"/>
      <c r="JSO29" s="752"/>
      <c r="JSP29" s="753"/>
      <c r="JSQ29" s="753"/>
      <c r="JSR29" s="753"/>
      <c r="JSS29" s="753"/>
      <c r="JST29" s="753"/>
      <c r="JSU29" s="753"/>
      <c r="JSV29" s="753"/>
      <c r="JSW29" s="753"/>
      <c r="JSX29" s="753"/>
      <c r="JSY29" s="750"/>
      <c r="JSZ29" s="751"/>
      <c r="JTA29" s="752"/>
      <c r="JTB29" s="751"/>
      <c r="JTC29" s="751"/>
      <c r="JTD29" s="752"/>
      <c r="JTE29" s="752"/>
      <c r="JTF29" s="753"/>
      <c r="JTG29" s="753"/>
      <c r="JTH29" s="753"/>
      <c r="JTI29" s="753"/>
      <c r="JTJ29" s="753"/>
      <c r="JTK29" s="753"/>
      <c r="JTL29" s="753"/>
      <c r="JTM29" s="753"/>
      <c r="JTN29" s="753"/>
      <c r="JTO29" s="750"/>
      <c r="JTP29" s="751"/>
      <c r="JTQ29" s="752"/>
      <c r="JTR29" s="751"/>
      <c r="JTS29" s="751"/>
      <c r="JTT29" s="752"/>
      <c r="JTU29" s="752"/>
      <c r="JTV29" s="753"/>
      <c r="JTW29" s="753"/>
      <c r="JTX29" s="753"/>
      <c r="JTY29" s="753"/>
      <c r="JTZ29" s="753"/>
      <c r="JUA29" s="753"/>
      <c r="JUB29" s="753"/>
      <c r="JUC29" s="753"/>
      <c r="JUD29" s="753"/>
      <c r="JUE29" s="750"/>
      <c r="JUF29" s="751"/>
      <c r="JUG29" s="752"/>
      <c r="JUH29" s="751"/>
      <c r="JUI29" s="751"/>
      <c r="JUJ29" s="752"/>
      <c r="JUK29" s="752"/>
      <c r="JUL29" s="753"/>
      <c r="JUM29" s="753"/>
      <c r="JUN29" s="753"/>
      <c r="JUO29" s="753"/>
      <c r="JUP29" s="753"/>
      <c r="JUQ29" s="753"/>
      <c r="JUR29" s="753"/>
      <c r="JUS29" s="753"/>
      <c r="JUT29" s="753"/>
      <c r="JUU29" s="750"/>
      <c r="JUV29" s="751"/>
      <c r="JUW29" s="752"/>
      <c r="JUX29" s="751"/>
      <c r="JUY29" s="751"/>
      <c r="JUZ29" s="752"/>
      <c r="JVA29" s="752"/>
      <c r="JVB29" s="753"/>
      <c r="JVC29" s="753"/>
      <c r="JVD29" s="753"/>
      <c r="JVE29" s="753"/>
      <c r="JVF29" s="753"/>
      <c r="JVG29" s="753"/>
      <c r="JVH29" s="753"/>
      <c r="JVI29" s="753"/>
      <c r="JVJ29" s="753"/>
      <c r="JVK29" s="750"/>
      <c r="JVL29" s="751"/>
      <c r="JVM29" s="752"/>
      <c r="JVN29" s="751"/>
      <c r="JVO29" s="751"/>
      <c r="JVP29" s="752"/>
      <c r="JVQ29" s="752"/>
      <c r="JVR29" s="753"/>
      <c r="JVS29" s="753"/>
      <c r="JVT29" s="753"/>
      <c r="JVU29" s="753"/>
      <c r="JVV29" s="753"/>
      <c r="JVW29" s="753"/>
      <c r="JVX29" s="753"/>
      <c r="JVY29" s="753"/>
      <c r="JVZ29" s="753"/>
      <c r="JWA29" s="750"/>
      <c r="JWB29" s="751"/>
      <c r="JWC29" s="752"/>
      <c r="JWD29" s="751"/>
      <c r="JWE29" s="751"/>
      <c r="JWF29" s="752"/>
      <c r="JWG29" s="752"/>
      <c r="JWH29" s="753"/>
      <c r="JWI29" s="753"/>
      <c r="JWJ29" s="753"/>
      <c r="JWK29" s="753"/>
      <c r="JWL29" s="753"/>
      <c r="JWM29" s="753"/>
      <c r="JWN29" s="753"/>
      <c r="JWO29" s="753"/>
      <c r="JWP29" s="753"/>
      <c r="JWQ29" s="750"/>
      <c r="JWR29" s="751"/>
      <c r="JWS29" s="752"/>
      <c r="JWT29" s="751"/>
      <c r="JWU29" s="751"/>
      <c r="JWV29" s="752"/>
      <c r="JWW29" s="752"/>
      <c r="JWX29" s="753"/>
      <c r="JWY29" s="753"/>
      <c r="JWZ29" s="753"/>
      <c r="JXA29" s="753"/>
      <c r="JXB29" s="753"/>
      <c r="JXC29" s="753"/>
      <c r="JXD29" s="753"/>
      <c r="JXE29" s="753"/>
      <c r="JXF29" s="753"/>
      <c r="JXG29" s="750"/>
      <c r="JXH29" s="751"/>
      <c r="JXI29" s="752"/>
      <c r="JXJ29" s="751"/>
      <c r="JXK29" s="751"/>
      <c r="JXL29" s="752"/>
      <c r="JXM29" s="752"/>
      <c r="JXN29" s="753"/>
      <c r="JXO29" s="753"/>
      <c r="JXP29" s="753"/>
      <c r="JXQ29" s="753"/>
      <c r="JXR29" s="753"/>
      <c r="JXS29" s="753"/>
      <c r="JXT29" s="753"/>
      <c r="JXU29" s="753"/>
      <c r="JXV29" s="753"/>
      <c r="JXW29" s="750"/>
      <c r="JXX29" s="751"/>
      <c r="JXY29" s="752"/>
      <c r="JXZ29" s="751"/>
      <c r="JYA29" s="751"/>
      <c r="JYB29" s="752"/>
      <c r="JYC29" s="752"/>
      <c r="JYD29" s="753"/>
      <c r="JYE29" s="753"/>
      <c r="JYF29" s="753"/>
      <c r="JYG29" s="753"/>
      <c r="JYH29" s="753"/>
      <c r="JYI29" s="753"/>
      <c r="JYJ29" s="753"/>
      <c r="JYK29" s="753"/>
      <c r="JYL29" s="753"/>
      <c r="JYM29" s="750"/>
      <c r="JYN29" s="751"/>
      <c r="JYO29" s="752"/>
      <c r="JYP29" s="751"/>
      <c r="JYQ29" s="751"/>
      <c r="JYR29" s="752"/>
      <c r="JYS29" s="752"/>
      <c r="JYT29" s="753"/>
      <c r="JYU29" s="753"/>
      <c r="JYV29" s="753"/>
      <c r="JYW29" s="753"/>
      <c r="JYX29" s="753"/>
      <c r="JYY29" s="753"/>
      <c r="JYZ29" s="753"/>
      <c r="JZA29" s="753"/>
      <c r="JZB29" s="753"/>
      <c r="JZC29" s="750"/>
      <c r="JZD29" s="751"/>
      <c r="JZE29" s="752"/>
      <c r="JZF29" s="751"/>
      <c r="JZG29" s="751"/>
      <c r="JZH29" s="752"/>
      <c r="JZI29" s="752"/>
      <c r="JZJ29" s="753"/>
      <c r="JZK29" s="753"/>
      <c r="JZL29" s="753"/>
      <c r="JZM29" s="753"/>
      <c r="JZN29" s="753"/>
      <c r="JZO29" s="753"/>
      <c r="JZP29" s="753"/>
      <c r="JZQ29" s="753"/>
      <c r="JZR29" s="753"/>
      <c r="JZS29" s="750"/>
      <c r="JZT29" s="751"/>
      <c r="JZU29" s="752"/>
      <c r="JZV29" s="751"/>
      <c r="JZW29" s="751"/>
      <c r="JZX29" s="752"/>
      <c r="JZY29" s="752"/>
      <c r="JZZ29" s="753"/>
      <c r="KAA29" s="753"/>
      <c r="KAB29" s="753"/>
      <c r="KAC29" s="753"/>
      <c r="KAD29" s="753"/>
      <c r="KAE29" s="753"/>
      <c r="KAF29" s="753"/>
      <c r="KAG29" s="753"/>
      <c r="KAH29" s="753"/>
      <c r="KAI29" s="750"/>
      <c r="KAJ29" s="751"/>
      <c r="KAK29" s="752"/>
      <c r="KAL29" s="751"/>
      <c r="KAM29" s="751"/>
      <c r="KAN29" s="752"/>
      <c r="KAO29" s="752"/>
      <c r="KAP29" s="753"/>
      <c r="KAQ29" s="753"/>
      <c r="KAR29" s="753"/>
      <c r="KAS29" s="753"/>
      <c r="KAT29" s="753"/>
      <c r="KAU29" s="753"/>
      <c r="KAV29" s="753"/>
      <c r="KAW29" s="753"/>
      <c r="KAX29" s="753"/>
      <c r="KAY29" s="750"/>
      <c r="KAZ29" s="751"/>
      <c r="KBA29" s="752"/>
      <c r="KBB29" s="751"/>
      <c r="KBC29" s="751"/>
      <c r="KBD29" s="752"/>
      <c r="KBE29" s="752"/>
      <c r="KBF29" s="753"/>
      <c r="KBG29" s="753"/>
      <c r="KBH29" s="753"/>
      <c r="KBI29" s="753"/>
      <c r="KBJ29" s="753"/>
      <c r="KBK29" s="753"/>
      <c r="KBL29" s="753"/>
      <c r="KBM29" s="753"/>
      <c r="KBN29" s="753"/>
      <c r="KBO29" s="750"/>
      <c r="KBP29" s="751"/>
      <c r="KBQ29" s="752"/>
      <c r="KBR29" s="751"/>
      <c r="KBS29" s="751"/>
      <c r="KBT29" s="752"/>
      <c r="KBU29" s="752"/>
      <c r="KBV29" s="753"/>
      <c r="KBW29" s="753"/>
      <c r="KBX29" s="753"/>
      <c r="KBY29" s="753"/>
      <c r="KBZ29" s="753"/>
      <c r="KCA29" s="753"/>
      <c r="KCB29" s="753"/>
      <c r="KCC29" s="753"/>
      <c r="KCD29" s="753"/>
      <c r="KCE29" s="750"/>
      <c r="KCF29" s="751"/>
      <c r="KCG29" s="752"/>
      <c r="KCH29" s="751"/>
      <c r="KCI29" s="751"/>
      <c r="KCJ29" s="752"/>
      <c r="KCK29" s="752"/>
      <c r="KCL29" s="753"/>
      <c r="KCM29" s="753"/>
      <c r="KCN29" s="753"/>
      <c r="KCO29" s="753"/>
      <c r="KCP29" s="753"/>
      <c r="KCQ29" s="753"/>
      <c r="KCR29" s="753"/>
      <c r="KCS29" s="753"/>
      <c r="KCT29" s="753"/>
      <c r="KCU29" s="750"/>
      <c r="KCV29" s="751"/>
      <c r="KCW29" s="752"/>
      <c r="KCX29" s="751"/>
      <c r="KCY29" s="751"/>
      <c r="KCZ29" s="752"/>
      <c r="KDA29" s="752"/>
      <c r="KDB29" s="753"/>
      <c r="KDC29" s="753"/>
      <c r="KDD29" s="753"/>
      <c r="KDE29" s="753"/>
      <c r="KDF29" s="753"/>
      <c r="KDG29" s="753"/>
      <c r="KDH29" s="753"/>
      <c r="KDI29" s="753"/>
      <c r="KDJ29" s="753"/>
      <c r="KDK29" s="750"/>
      <c r="KDL29" s="751"/>
      <c r="KDM29" s="752"/>
      <c r="KDN29" s="751"/>
      <c r="KDO29" s="751"/>
      <c r="KDP29" s="752"/>
      <c r="KDQ29" s="752"/>
      <c r="KDR29" s="753"/>
      <c r="KDS29" s="753"/>
      <c r="KDT29" s="753"/>
      <c r="KDU29" s="753"/>
      <c r="KDV29" s="753"/>
      <c r="KDW29" s="753"/>
      <c r="KDX29" s="753"/>
      <c r="KDY29" s="753"/>
      <c r="KDZ29" s="753"/>
      <c r="KEA29" s="750"/>
      <c r="KEB29" s="751"/>
      <c r="KEC29" s="752"/>
      <c r="KED29" s="751"/>
      <c r="KEE29" s="751"/>
      <c r="KEF29" s="752"/>
      <c r="KEG29" s="752"/>
      <c r="KEH29" s="753"/>
      <c r="KEI29" s="753"/>
      <c r="KEJ29" s="753"/>
      <c r="KEK29" s="753"/>
      <c r="KEL29" s="753"/>
      <c r="KEM29" s="753"/>
      <c r="KEN29" s="753"/>
      <c r="KEO29" s="753"/>
      <c r="KEP29" s="753"/>
      <c r="KEQ29" s="750"/>
      <c r="KER29" s="751"/>
      <c r="KES29" s="752"/>
      <c r="KET29" s="751"/>
      <c r="KEU29" s="751"/>
      <c r="KEV29" s="752"/>
      <c r="KEW29" s="752"/>
      <c r="KEX29" s="753"/>
      <c r="KEY29" s="753"/>
      <c r="KEZ29" s="753"/>
      <c r="KFA29" s="753"/>
      <c r="KFB29" s="753"/>
      <c r="KFC29" s="753"/>
      <c r="KFD29" s="753"/>
      <c r="KFE29" s="753"/>
      <c r="KFF29" s="753"/>
      <c r="KFG29" s="750"/>
      <c r="KFH29" s="751"/>
      <c r="KFI29" s="752"/>
      <c r="KFJ29" s="751"/>
      <c r="KFK29" s="751"/>
      <c r="KFL29" s="752"/>
      <c r="KFM29" s="752"/>
      <c r="KFN29" s="753"/>
      <c r="KFO29" s="753"/>
      <c r="KFP29" s="753"/>
      <c r="KFQ29" s="753"/>
      <c r="KFR29" s="753"/>
      <c r="KFS29" s="753"/>
      <c r="KFT29" s="753"/>
      <c r="KFU29" s="753"/>
      <c r="KFV29" s="753"/>
      <c r="KFW29" s="750"/>
      <c r="KFX29" s="751"/>
      <c r="KFY29" s="752"/>
      <c r="KFZ29" s="751"/>
      <c r="KGA29" s="751"/>
      <c r="KGB29" s="752"/>
      <c r="KGC29" s="752"/>
      <c r="KGD29" s="753"/>
      <c r="KGE29" s="753"/>
      <c r="KGF29" s="753"/>
      <c r="KGG29" s="753"/>
      <c r="KGH29" s="753"/>
      <c r="KGI29" s="753"/>
      <c r="KGJ29" s="753"/>
      <c r="KGK29" s="753"/>
      <c r="KGL29" s="753"/>
      <c r="KGM29" s="750"/>
      <c r="KGN29" s="751"/>
      <c r="KGO29" s="752"/>
      <c r="KGP29" s="751"/>
      <c r="KGQ29" s="751"/>
      <c r="KGR29" s="752"/>
      <c r="KGS29" s="752"/>
      <c r="KGT29" s="753"/>
      <c r="KGU29" s="753"/>
      <c r="KGV29" s="753"/>
      <c r="KGW29" s="753"/>
      <c r="KGX29" s="753"/>
      <c r="KGY29" s="753"/>
      <c r="KGZ29" s="753"/>
      <c r="KHA29" s="753"/>
      <c r="KHB29" s="753"/>
      <c r="KHC29" s="750"/>
      <c r="KHD29" s="751"/>
      <c r="KHE29" s="752"/>
      <c r="KHF29" s="751"/>
      <c r="KHG29" s="751"/>
      <c r="KHH29" s="752"/>
      <c r="KHI29" s="752"/>
      <c r="KHJ29" s="753"/>
      <c r="KHK29" s="753"/>
      <c r="KHL29" s="753"/>
      <c r="KHM29" s="753"/>
      <c r="KHN29" s="753"/>
      <c r="KHO29" s="753"/>
      <c r="KHP29" s="753"/>
      <c r="KHQ29" s="753"/>
      <c r="KHR29" s="753"/>
      <c r="KHS29" s="750"/>
      <c r="KHT29" s="751"/>
      <c r="KHU29" s="752"/>
      <c r="KHV29" s="751"/>
      <c r="KHW29" s="751"/>
      <c r="KHX29" s="752"/>
      <c r="KHY29" s="752"/>
      <c r="KHZ29" s="753"/>
      <c r="KIA29" s="753"/>
      <c r="KIB29" s="753"/>
      <c r="KIC29" s="753"/>
      <c r="KID29" s="753"/>
      <c r="KIE29" s="753"/>
      <c r="KIF29" s="753"/>
      <c r="KIG29" s="753"/>
      <c r="KIH29" s="753"/>
      <c r="KII29" s="750"/>
      <c r="KIJ29" s="751"/>
      <c r="KIK29" s="752"/>
      <c r="KIL29" s="751"/>
      <c r="KIM29" s="751"/>
      <c r="KIN29" s="752"/>
      <c r="KIO29" s="752"/>
      <c r="KIP29" s="753"/>
      <c r="KIQ29" s="753"/>
      <c r="KIR29" s="753"/>
      <c r="KIS29" s="753"/>
      <c r="KIT29" s="753"/>
      <c r="KIU29" s="753"/>
      <c r="KIV29" s="753"/>
      <c r="KIW29" s="753"/>
      <c r="KIX29" s="753"/>
      <c r="KIY29" s="750"/>
      <c r="KIZ29" s="751"/>
      <c r="KJA29" s="752"/>
      <c r="KJB29" s="751"/>
      <c r="KJC29" s="751"/>
      <c r="KJD29" s="752"/>
      <c r="KJE29" s="752"/>
      <c r="KJF29" s="753"/>
      <c r="KJG29" s="753"/>
      <c r="KJH29" s="753"/>
      <c r="KJI29" s="753"/>
      <c r="KJJ29" s="753"/>
      <c r="KJK29" s="753"/>
      <c r="KJL29" s="753"/>
      <c r="KJM29" s="753"/>
      <c r="KJN29" s="753"/>
      <c r="KJO29" s="750"/>
      <c r="KJP29" s="751"/>
      <c r="KJQ29" s="752"/>
      <c r="KJR29" s="751"/>
      <c r="KJS29" s="751"/>
      <c r="KJT29" s="752"/>
      <c r="KJU29" s="752"/>
      <c r="KJV29" s="753"/>
      <c r="KJW29" s="753"/>
      <c r="KJX29" s="753"/>
      <c r="KJY29" s="753"/>
      <c r="KJZ29" s="753"/>
      <c r="KKA29" s="753"/>
      <c r="KKB29" s="753"/>
      <c r="KKC29" s="753"/>
      <c r="KKD29" s="753"/>
      <c r="KKE29" s="750"/>
      <c r="KKF29" s="751"/>
      <c r="KKG29" s="752"/>
      <c r="KKH29" s="751"/>
      <c r="KKI29" s="751"/>
      <c r="KKJ29" s="752"/>
      <c r="KKK29" s="752"/>
      <c r="KKL29" s="753"/>
      <c r="KKM29" s="753"/>
      <c r="KKN29" s="753"/>
      <c r="KKO29" s="753"/>
      <c r="KKP29" s="753"/>
      <c r="KKQ29" s="753"/>
      <c r="KKR29" s="753"/>
      <c r="KKS29" s="753"/>
      <c r="KKT29" s="753"/>
      <c r="KKU29" s="750"/>
      <c r="KKV29" s="751"/>
      <c r="KKW29" s="752"/>
      <c r="KKX29" s="751"/>
      <c r="KKY29" s="751"/>
      <c r="KKZ29" s="752"/>
      <c r="KLA29" s="752"/>
      <c r="KLB29" s="753"/>
      <c r="KLC29" s="753"/>
      <c r="KLD29" s="753"/>
      <c r="KLE29" s="753"/>
      <c r="KLF29" s="753"/>
      <c r="KLG29" s="753"/>
      <c r="KLH29" s="753"/>
      <c r="KLI29" s="753"/>
      <c r="KLJ29" s="753"/>
      <c r="KLK29" s="750"/>
      <c r="KLL29" s="751"/>
      <c r="KLM29" s="752"/>
      <c r="KLN29" s="751"/>
      <c r="KLO29" s="751"/>
      <c r="KLP29" s="752"/>
      <c r="KLQ29" s="752"/>
      <c r="KLR29" s="753"/>
      <c r="KLS29" s="753"/>
      <c r="KLT29" s="753"/>
      <c r="KLU29" s="753"/>
      <c r="KLV29" s="753"/>
      <c r="KLW29" s="753"/>
      <c r="KLX29" s="753"/>
      <c r="KLY29" s="753"/>
      <c r="KLZ29" s="753"/>
      <c r="KMA29" s="750"/>
      <c r="KMB29" s="751"/>
      <c r="KMC29" s="752"/>
      <c r="KMD29" s="751"/>
      <c r="KME29" s="751"/>
      <c r="KMF29" s="752"/>
      <c r="KMG29" s="752"/>
      <c r="KMH29" s="753"/>
      <c r="KMI29" s="753"/>
      <c r="KMJ29" s="753"/>
      <c r="KMK29" s="753"/>
      <c r="KML29" s="753"/>
      <c r="KMM29" s="753"/>
      <c r="KMN29" s="753"/>
      <c r="KMO29" s="753"/>
      <c r="KMP29" s="753"/>
      <c r="KMQ29" s="750"/>
      <c r="KMR29" s="751"/>
      <c r="KMS29" s="752"/>
      <c r="KMT29" s="751"/>
      <c r="KMU29" s="751"/>
      <c r="KMV29" s="752"/>
      <c r="KMW29" s="752"/>
      <c r="KMX29" s="753"/>
      <c r="KMY29" s="753"/>
      <c r="KMZ29" s="753"/>
      <c r="KNA29" s="753"/>
      <c r="KNB29" s="753"/>
      <c r="KNC29" s="753"/>
      <c r="KND29" s="753"/>
      <c r="KNE29" s="753"/>
      <c r="KNF29" s="753"/>
      <c r="KNG29" s="750"/>
      <c r="KNH29" s="751"/>
      <c r="KNI29" s="752"/>
      <c r="KNJ29" s="751"/>
      <c r="KNK29" s="751"/>
      <c r="KNL29" s="752"/>
      <c r="KNM29" s="752"/>
      <c r="KNN29" s="753"/>
      <c r="KNO29" s="753"/>
      <c r="KNP29" s="753"/>
      <c r="KNQ29" s="753"/>
      <c r="KNR29" s="753"/>
      <c r="KNS29" s="753"/>
      <c r="KNT29" s="753"/>
      <c r="KNU29" s="753"/>
      <c r="KNV29" s="753"/>
      <c r="KNW29" s="750"/>
      <c r="KNX29" s="751"/>
      <c r="KNY29" s="752"/>
      <c r="KNZ29" s="751"/>
      <c r="KOA29" s="751"/>
      <c r="KOB29" s="752"/>
      <c r="KOC29" s="752"/>
      <c r="KOD29" s="753"/>
      <c r="KOE29" s="753"/>
      <c r="KOF29" s="753"/>
      <c r="KOG29" s="753"/>
      <c r="KOH29" s="753"/>
      <c r="KOI29" s="753"/>
      <c r="KOJ29" s="753"/>
      <c r="KOK29" s="753"/>
      <c r="KOL29" s="753"/>
      <c r="KOM29" s="750"/>
      <c r="KON29" s="751"/>
      <c r="KOO29" s="752"/>
      <c r="KOP29" s="751"/>
      <c r="KOQ29" s="751"/>
      <c r="KOR29" s="752"/>
      <c r="KOS29" s="752"/>
      <c r="KOT29" s="753"/>
      <c r="KOU29" s="753"/>
      <c r="KOV29" s="753"/>
      <c r="KOW29" s="753"/>
      <c r="KOX29" s="753"/>
      <c r="KOY29" s="753"/>
      <c r="KOZ29" s="753"/>
      <c r="KPA29" s="753"/>
      <c r="KPB29" s="753"/>
      <c r="KPC29" s="750"/>
      <c r="KPD29" s="751"/>
      <c r="KPE29" s="752"/>
      <c r="KPF29" s="751"/>
      <c r="KPG29" s="751"/>
      <c r="KPH29" s="752"/>
      <c r="KPI29" s="752"/>
      <c r="KPJ29" s="753"/>
      <c r="KPK29" s="753"/>
      <c r="KPL29" s="753"/>
      <c r="KPM29" s="753"/>
      <c r="KPN29" s="753"/>
      <c r="KPO29" s="753"/>
      <c r="KPP29" s="753"/>
      <c r="KPQ29" s="753"/>
      <c r="KPR29" s="753"/>
      <c r="KPS29" s="750"/>
      <c r="KPT29" s="751"/>
      <c r="KPU29" s="752"/>
      <c r="KPV29" s="751"/>
      <c r="KPW29" s="751"/>
      <c r="KPX29" s="752"/>
      <c r="KPY29" s="752"/>
      <c r="KPZ29" s="753"/>
      <c r="KQA29" s="753"/>
      <c r="KQB29" s="753"/>
      <c r="KQC29" s="753"/>
      <c r="KQD29" s="753"/>
      <c r="KQE29" s="753"/>
      <c r="KQF29" s="753"/>
      <c r="KQG29" s="753"/>
      <c r="KQH29" s="753"/>
      <c r="KQI29" s="750"/>
      <c r="KQJ29" s="751"/>
      <c r="KQK29" s="752"/>
      <c r="KQL29" s="751"/>
      <c r="KQM29" s="751"/>
      <c r="KQN29" s="752"/>
      <c r="KQO29" s="752"/>
      <c r="KQP29" s="753"/>
      <c r="KQQ29" s="753"/>
      <c r="KQR29" s="753"/>
      <c r="KQS29" s="753"/>
      <c r="KQT29" s="753"/>
      <c r="KQU29" s="753"/>
      <c r="KQV29" s="753"/>
      <c r="KQW29" s="753"/>
      <c r="KQX29" s="753"/>
      <c r="KQY29" s="750"/>
      <c r="KQZ29" s="751"/>
      <c r="KRA29" s="752"/>
      <c r="KRB29" s="751"/>
      <c r="KRC29" s="751"/>
      <c r="KRD29" s="752"/>
      <c r="KRE29" s="752"/>
      <c r="KRF29" s="753"/>
      <c r="KRG29" s="753"/>
      <c r="KRH29" s="753"/>
      <c r="KRI29" s="753"/>
      <c r="KRJ29" s="753"/>
      <c r="KRK29" s="753"/>
      <c r="KRL29" s="753"/>
      <c r="KRM29" s="753"/>
      <c r="KRN29" s="753"/>
      <c r="KRO29" s="750"/>
      <c r="KRP29" s="751"/>
      <c r="KRQ29" s="752"/>
      <c r="KRR29" s="751"/>
      <c r="KRS29" s="751"/>
      <c r="KRT29" s="752"/>
      <c r="KRU29" s="752"/>
      <c r="KRV29" s="753"/>
      <c r="KRW29" s="753"/>
      <c r="KRX29" s="753"/>
      <c r="KRY29" s="753"/>
      <c r="KRZ29" s="753"/>
      <c r="KSA29" s="753"/>
      <c r="KSB29" s="753"/>
      <c r="KSC29" s="753"/>
      <c r="KSD29" s="753"/>
      <c r="KSE29" s="750"/>
      <c r="KSF29" s="751"/>
      <c r="KSG29" s="752"/>
      <c r="KSH29" s="751"/>
      <c r="KSI29" s="751"/>
      <c r="KSJ29" s="752"/>
      <c r="KSK29" s="752"/>
      <c r="KSL29" s="753"/>
      <c r="KSM29" s="753"/>
      <c r="KSN29" s="753"/>
      <c r="KSO29" s="753"/>
      <c r="KSP29" s="753"/>
      <c r="KSQ29" s="753"/>
      <c r="KSR29" s="753"/>
      <c r="KSS29" s="753"/>
      <c r="KST29" s="753"/>
      <c r="KSU29" s="750"/>
      <c r="KSV29" s="751"/>
      <c r="KSW29" s="752"/>
      <c r="KSX29" s="751"/>
      <c r="KSY29" s="751"/>
      <c r="KSZ29" s="752"/>
      <c r="KTA29" s="752"/>
      <c r="KTB29" s="753"/>
      <c r="KTC29" s="753"/>
      <c r="KTD29" s="753"/>
      <c r="KTE29" s="753"/>
      <c r="KTF29" s="753"/>
      <c r="KTG29" s="753"/>
      <c r="KTH29" s="753"/>
      <c r="KTI29" s="753"/>
      <c r="KTJ29" s="753"/>
      <c r="KTK29" s="750"/>
      <c r="KTL29" s="751"/>
      <c r="KTM29" s="752"/>
      <c r="KTN29" s="751"/>
      <c r="KTO29" s="751"/>
      <c r="KTP29" s="752"/>
      <c r="KTQ29" s="752"/>
      <c r="KTR29" s="753"/>
      <c r="KTS29" s="753"/>
      <c r="KTT29" s="753"/>
      <c r="KTU29" s="753"/>
      <c r="KTV29" s="753"/>
      <c r="KTW29" s="753"/>
      <c r="KTX29" s="753"/>
      <c r="KTY29" s="753"/>
      <c r="KTZ29" s="753"/>
      <c r="KUA29" s="750"/>
      <c r="KUB29" s="751"/>
      <c r="KUC29" s="752"/>
      <c r="KUD29" s="751"/>
      <c r="KUE29" s="751"/>
      <c r="KUF29" s="752"/>
      <c r="KUG29" s="752"/>
      <c r="KUH29" s="753"/>
      <c r="KUI29" s="753"/>
      <c r="KUJ29" s="753"/>
      <c r="KUK29" s="753"/>
      <c r="KUL29" s="753"/>
      <c r="KUM29" s="753"/>
      <c r="KUN29" s="753"/>
      <c r="KUO29" s="753"/>
      <c r="KUP29" s="753"/>
      <c r="KUQ29" s="750"/>
      <c r="KUR29" s="751"/>
      <c r="KUS29" s="752"/>
      <c r="KUT29" s="751"/>
      <c r="KUU29" s="751"/>
      <c r="KUV29" s="752"/>
      <c r="KUW29" s="752"/>
      <c r="KUX29" s="753"/>
      <c r="KUY29" s="753"/>
      <c r="KUZ29" s="753"/>
      <c r="KVA29" s="753"/>
      <c r="KVB29" s="753"/>
      <c r="KVC29" s="753"/>
      <c r="KVD29" s="753"/>
      <c r="KVE29" s="753"/>
      <c r="KVF29" s="753"/>
      <c r="KVG29" s="750"/>
      <c r="KVH29" s="751"/>
      <c r="KVI29" s="752"/>
      <c r="KVJ29" s="751"/>
      <c r="KVK29" s="751"/>
      <c r="KVL29" s="752"/>
      <c r="KVM29" s="752"/>
      <c r="KVN29" s="753"/>
      <c r="KVO29" s="753"/>
      <c r="KVP29" s="753"/>
      <c r="KVQ29" s="753"/>
      <c r="KVR29" s="753"/>
      <c r="KVS29" s="753"/>
      <c r="KVT29" s="753"/>
      <c r="KVU29" s="753"/>
      <c r="KVV29" s="753"/>
      <c r="KVW29" s="750"/>
      <c r="KVX29" s="751"/>
      <c r="KVY29" s="752"/>
      <c r="KVZ29" s="751"/>
      <c r="KWA29" s="751"/>
      <c r="KWB29" s="752"/>
      <c r="KWC29" s="752"/>
      <c r="KWD29" s="753"/>
      <c r="KWE29" s="753"/>
      <c r="KWF29" s="753"/>
      <c r="KWG29" s="753"/>
      <c r="KWH29" s="753"/>
      <c r="KWI29" s="753"/>
      <c r="KWJ29" s="753"/>
      <c r="KWK29" s="753"/>
      <c r="KWL29" s="753"/>
      <c r="KWM29" s="750"/>
      <c r="KWN29" s="751"/>
      <c r="KWO29" s="752"/>
      <c r="KWP29" s="751"/>
      <c r="KWQ29" s="751"/>
      <c r="KWR29" s="752"/>
      <c r="KWS29" s="752"/>
      <c r="KWT29" s="753"/>
      <c r="KWU29" s="753"/>
      <c r="KWV29" s="753"/>
      <c r="KWW29" s="753"/>
      <c r="KWX29" s="753"/>
      <c r="KWY29" s="753"/>
      <c r="KWZ29" s="753"/>
      <c r="KXA29" s="753"/>
      <c r="KXB29" s="753"/>
      <c r="KXC29" s="750"/>
      <c r="KXD29" s="751"/>
      <c r="KXE29" s="752"/>
      <c r="KXF29" s="751"/>
      <c r="KXG29" s="751"/>
      <c r="KXH29" s="752"/>
      <c r="KXI29" s="752"/>
      <c r="KXJ29" s="753"/>
      <c r="KXK29" s="753"/>
      <c r="KXL29" s="753"/>
      <c r="KXM29" s="753"/>
      <c r="KXN29" s="753"/>
      <c r="KXO29" s="753"/>
      <c r="KXP29" s="753"/>
      <c r="KXQ29" s="753"/>
      <c r="KXR29" s="753"/>
      <c r="KXS29" s="750"/>
      <c r="KXT29" s="751"/>
      <c r="KXU29" s="752"/>
      <c r="KXV29" s="751"/>
      <c r="KXW29" s="751"/>
      <c r="KXX29" s="752"/>
      <c r="KXY29" s="752"/>
      <c r="KXZ29" s="753"/>
      <c r="KYA29" s="753"/>
      <c r="KYB29" s="753"/>
      <c r="KYC29" s="753"/>
      <c r="KYD29" s="753"/>
      <c r="KYE29" s="753"/>
      <c r="KYF29" s="753"/>
      <c r="KYG29" s="753"/>
      <c r="KYH29" s="753"/>
      <c r="KYI29" s="750"/>
      <c r="KYJ29" s="751"/>
      <c r="KYK29" s="752"/>
      <c r="KYL29" s="751"/>
      <c r="KYM29" s="751"/>
      <c r="KYN29" s="752"/>
      <c r="KYO29" s="752"/>
      <c r="KYP29" s="753"/>
      <c r="KYQ29" s="753"/>
      <c r="KYR29" s="753"/>
      <c r="KYS29" s="753"/>
      <c r="KYT29" s="753"/>
      <c r="KYU29" s="753"/>
      <c r="KYV29" s="753"/>
      <c r="KYW29" s="753"/>
      <c r="KYX29" s="753"/>
      <c r="KYY29" s="750"/>
      <c r="KYZ29" s="751"/>
      <c r="KZA29" s="752"/>
      <c r="KZB29" s="751"/>
      <c r="KZC29" s="751"/>
      <c r="KZD29" s="752"/>
      <c r="KZE29" s="752"/>
      <c r="KZF29" s="753"/>
      <c r="KZG29" s="753"/>
      <c r="KZH29" s="753"/>
      <c r="KZI29" s="753"/>
      <c r="KZJ29" s="753"/>
      <c r="KZK29" s="753"/>
      <c r="KZL29" s="753"/>
      <c r="KZM29" s="753"/>
      <c r="KZN29" s="753"/>
      <c r="KZO29" s="750"/>
      <c r="KZP29" s="751"/>
      <c r="KZQ29" s="752"/>
      <c r="KZR29" s="751"/>
      <c r="KZS29" s="751"/>
      <c r="KZT29" s="752"/>
      <c r="KZU29" s="752"/>
      <c r="KZV29" s="753"/>
      <c r="KZW29" s="753"/>
      <c r="KZX29" s="753"/>
      <c r="KZY29" s="753"/>
      <c r="KZZ29" s="753"/>
      <c r="LAA29" s="753"/>
      <c r="LAB29" s="753"/>
      <c r="LAC29" s="753"/>
      <c r="LAD29" s="753"/>
      <c r="LAE29" s="750"/>
      <c r="LAF29" s="751"/>
      <c r="LAG29" s="752"/>
      <c r="LAH29" s="751"/>
      <c r="LAI29" s="751"/>
      <c r="LAJ29" s="752"/>
      <c r="LAK29" s="752"/>
      <c r="LAL29" s="753"/>
      <c r="LAM29" s="753"/>
      <c r="LAN29" s="753"/>
      <c r="LAO29" s="753"/>
      <c r="LAP29" s="753"/>
      <c r="LAQ29" s="753"/>
      <c r="LAR29" s="753"/>
      <c r="LAS29" s="753"/>
      <c r="LAT29" s="753"/>
      <c r="LAU29" s="750"/>
      <c r="LAV29" s="751"/>
      <c r="LAW29" s="752"/>
      <c r="LAX29" s="751"/>
      <c r="LAY29" s="751"/>
      <c r="LAZ29" s="752"/>
      <c r="LBA29" s="752"/>
      <c r="LBB29" s="753"/>
      <c r="LBC29" s="753"/>
      <c r="LBD29" s="753"/>
      <c r="LBE29" s="753"/>
      <c r="LBF29" s="753"/>
      <c r="LBG29" s="753"/>
      <c r="LBH29" s="753"/>
      <c r="LBI29" s="753"/>
      <c r="LBJ29" s="753"/>
      <c r="LBK29" s="750"/>
      <c r="LBL29" s="751"/>
      <c r="LBM29" s="752"/>
      <c r="LBN29" s="751"/>
      <c r="LBO29" s="751"/>
      <c r="LBP29" s="752"/>
      <c r="LBQ29" s="752"/>
      <c r="LBR29" s="753"/>
      <c r="LBS29" s="753"/>
      <c r="LBT29" s="753"/>
      <c r="LBU29" s="753"/>
      <c r="LBV29" s="753"/>
      <c r="LBW29" s="753"/>
      <c r="LBX29" s="753"/>
      <c r="LBY29" s="753"/>
      <c r="LBZ29" s="753"/>
      <c r="LCA29" s="750"/>
      <c r="LCB29" s="751"/>
      <c r="LCC29" s="752"/>
      <c r="LCD29" s="751"/>
      <c r="LCE29" s="751"/>
      <c r="LCF29" s="752"/>
      <c r="LCG29" s="752"/>
      <c r="LCH29" s="753"/>
      <c r="LCI29" s="753"/>
      <c r="LCJ29" s="753"/>
      <c r="LCK29" s="753"/>
      <c r="LCL29" s="753"/>
      <c r="LCM29" s="753"/>
      <c r="LCN29" s="753"/>
      <c r="LCO29" s="753"/>
      <c r="LCP29" s="753"/>
      <c r="LCQ29" s="750"/>
      <c r="LCR29" s="751"/>
      <c r="LCS29" s="752"/>
      <c r="LCT29" s="751"/>
      <c r="LCU29" s="751"/>
      <c r="LCV29" s="752"/>
      <c r="LCW29" s="752"/>
      <c r="LCX29" s="753"/>
      <c r="LCY29" s="753"/>
      <c r="LCZ29" s="753"/>
      <c r="LDA29" s="753"/>
      <c r="LDB29" s="753"/>
      <c r="LDC29" s="753"/>
      <c r="LDD29" s="753"/>
      <c r="LDE29" s="753"/>
      <c r="LDF29" s="753"/>
      <c r="LDG29" s="750"/>
      <c r="LDH29" s="751"/>
      <c r="LDI29" s="752"/>
      <c r="LDJ29" s="751"/>
      <c r="LDK29" s="751"/>
      <c r="LDL29" s="752"/>
      <c r="LDM29" s="752"/>
      <c r="LDN29" s="753"/>
      <c r="LDO29" s="753"/>
      <c r="LDP29" s="753"/>
      <c r="LDQ29" s="753"/>
      <c r="LDR29" s="753"/>
      <c r="LDS29" s="753"/>
      <c r="LDT29" s="753"/>
      <c r="LDU29" s="753"/>
      <c r="LDV29" s="753"/>
      <c r="LDW29" s="750"/>
      <c r="LDX29" s="751"/>
      <c r="LDY29" s="752"/>
      <c r="LDZ29" s="751"/>
      <c r="LEA29" s="751"/>
      <c r="LEB29" s="752"/>
      <c r="LEC29" s="752"/>
      <c r="LED29" s="753"/>
      <c r="LEE29" s="753"/>
      <c r="LEF29" s="753"/>
      <c r="LEG29" s="753"/>
      <c r="LEH29" s="753"/>
      <c r="LEI29" s="753"/>
      <c r="LEJ29" s="753"/>
      <c r="LEK29" s="753"/>
      <c r="LEL29" s="753"/>
      <c r="LEM29" s="750"/>
      <c r="LEN29" s="751"/>
      <c r="LEO29" s="752"/>
      <c r="LEP29" s="751"/>
      <c r="LEQ29" s="751"/>
      <c r="LER29" s="752"/>
      <c r="LES29" s="752"/>
      <c r="LET29" s="753"/>
      <c r="LEU29" s="753"/>
      <c r="LEV29" s="753"/>
      <c r="LEW29" s="753"/>
      <c r="LEX29" s="753"/>
      <c r="LEY29" s="753"/>
      <c r="LEZ29" s="753"/>
      <c r="LFA29" s="753"/>
      <c r="LFB29" s="753"/>
      <c r="LFC29" s="750"/>
      <c r="LFD29" s="751"/>
      <c r="LFE29" s="752"/>
      <c r="LFF29" s="751"/>
      <c r="LFG29" s="751"/>
      <c r="LFH29" s="752"/>
      <c r="LFI29" s="752"/>
      <c r="LFJ29" s="753"/>
      <c r="LFK29" s="753"/>
      <c r="LFL29" s="753"/>
      <c r="LFM29" s="753"/>
      <c r="LFN29" s="753"/>
      <c r="LFO29" s="753"/>
      <c r="LFP29" s="753"/>
      <c r="LFQ29" s="753"/>
      <c r="LFR29" s="753"/>
      <c r="LFS29" s="750"/>
      <c r="LFT29" s="751"/>
      <c r="LFU29" s="752"/>
      <c r="LFV29" s="751"/>
      <c r="LFW29" s="751"/>
      <c r="LFX29" s="752"/>
      <c r="LFY29" s="752"/>
      <c r="LFZ29" s="753"/>
      <c r="LGA29" s="753"/>
      <c r="LGB29" s="753"/>
      <c r="LGC29" s="753"/>
      <c r="LGD29" s="753"/>
      <c r="LGE29" s="753"/>
      <c r="LGF29" s="753"/>
      <c r="LGG29" s="753"/>
      <c r="LGH29" s="753"/>
      <c r="LGI29" s="750"/>
      <c r="LGJ29" s="751"/>
      <c r="LGK29" s="752"/>
      <c r="LGL29" s="751"/>
      <c r="LGM29" s="751"/>
      <c r="LGN29" s="752"/>
      <c r="LGO29" s="752"/>
      <c r="LGP29" s="753"/>
      <c r="LGQ29" s="753"/>
      <c r="LGR29" s="753"/>
      <c r="LGS29" s="753"/>
      <c r="LGT29" s="753"/>
      <c r="LGU29" s="753"/>
      <c r="LGV29" s="753"/>
      <c r="LGW29" s="753"/>
      <c r="LGX29" s="753"/>
      <c r="LGY29" s="750"/>
      <c r="LGZ29" s="751"/>
      <c r="LHA29" s="752"/>
      <c r="LHB29" s="751"/>
      <c r="LHC29" s="751"/>
      <c r="LHD29" s="752"/>
      <c r="LHE29" s="752"/>
      <c r="LHF29" s="753"/>
      <c r="LHG29" s="753"/>
      <c r="LHH29" s="753"/>
      <c r="LHI29" s="753"/>
      <c r="LHJ29" s="753"/>
      <c r="LHK29" s="753"/>
      <c r="LHL29" s="753"/>
      <c r="LHM29" s="753"/>
      <c r="LHN29" s="753"/>
      <c r="LHO29" s="750"/>
      <c r="LHP29" s="751"/>
      <c r="LHQ29" s="752"/>
      <c r="LHR29" s="751"/>
      <c r="LHS29" s="751"/>
      <c r="LHT29" s="752"/>
      <c r="LHU29" s="752"/>
      <c r="LHV29" s="753"/>
      <c r="LHW29" s="753"/>
      <c r="LHX29" s="753"/>
      <c r="LHY29" s="753"/>
      <c r="LHZ29" s="753"/>
      <c r="LIA29" s="753"/>
      <c r="LIB29" s="753"/>
      <c r="LIC29" s="753"/>
      <c r="LID29" s="753"/>
      <c r="LIE29" s="750"/>
      <c r="LIF29" s="751"/>
      <c r="LIG29" s="752"/>
      <c r="LIH29" s="751"/>
      <c r="LII29" s="751"/>
      <c r="LIJ29" s="752"/>
      <c r="LIK29" s="752"/>
      <c r="LIL29" s="753"/>
      <c r="LIM29" s="753"/>
      <c r="LIN29" s="753"/>
      <c r="LIO29" s="753"/>
      <c r="LIP29" s="753"/>
      <c r="LIQ29" s="753"/>
      <c r="LIR29" s="753"/>
      <c r="LIS29" s="753"/>
      <c r="LIT29" s="753"/>
      <c r="LIU29" s="750"/>
      <c r="LIV29" s="751"/>
      <c r="LIW29" s="752"/>
      <c r="LIX29" s="751"/>
      <c r="LIY29" s="751"/>
      <c r="LIZ29" s="752"/>
      <c r="LJA29" s="752"/>
      <c r="LJB29" s="753"/>
      <c r="LJC29" s="753"/>
      <c r="LJD29" s="753"/>
      <c r="LJE29" s="753"/>
      <c r="LJF29" s="753"/>
      <c r="LJG29" s="753"/>
      <c r="LJH29" s="753"/>
      <c r="LJI29" s="753"/>
      <c r="LJJ29" s="753"/>
      <c r="LJK29" s="750"/>
      <c r="LJL29" s="751"/>
      <c r="LJM29" s="752"/>
      <c r="LJN29" s="751"/>
      <c r="LJO29" s="751"/>
      <c r="LJP29" s="752"/>
      <c r="LJQ29" s="752"/>
      <c r="LJR29" s="753"/>
      <c r="LJS29" s="753"/>
      <c r="LJT29" s="753"/>
      <c r="LJU29" s="753"/>
      <c r="LJV29" s="753"/>
      <c r="LJW29" s="753"/>
      <c r="LJX29" s="753"/>
      <c r="LJY29" s="753"/>
      <c r="LJZ29" s="753"/>
      <c r="LKA29" s="750"/>
      <c r="LKB29" s="751"/>
      <c r="LKC29" s="752"/>
      <c r="LKD29" s="751"/>
      <c r="LKE29" s="751"/>
      <c r="LKF29" s="752"/>
      <c r="LKG29" s="752"/>
      <c r="LKH29" s="753"/>
      <c r="LKI29" s="753"/>
      <c r="LKJ29" s="753"/>
      <c r="LKK29" s="753"/>
      <c r="LKL29" s="753"/>
      <c r="LKM29" s="753"/>
      <c r="LKN29" s="753"/>
      <c r="LKO29" s="753"/>
      <c r="LKP29" s="753"/>
      <c r="LKQ29" s="750"/>
      <c r="LKR29" s="751"/>
      <c r="LKS29" s="752"/>
      <c r="LKT29" s="751"/>
      <c r="LKU29" s="751"/>
      <c r="LKV29" s="752"/>
      <c r="LKW29" s="752"/>
      <c r="LKX29" s="753"/>
      <c r="LKY29" s="753"/>
      <c r="LKZ29" s="753"/>
      <c r="LLA29" s="753"/>
      <c r="LLB29" s="753"/>
      <c r="LLC29" s="753"/>
      <c r="LLD29" s="753"/>
      <c r="LLE29" s="753"/>
      <c r="LLF29" s="753"/>
      <c r="LLG29" s="750"/>
      <c r="LLH29" s="751"/>
      <c r="LLI29" s="752"/>
      <c r="LLJ29" s="751"/>
      <c r="LLK29" s="751"/>
      <c r="LLL29" s="752"/>
      <c r="LLM29" s="752"/>
      <c r="LLN29" s="753"/>
      <c r="LLO29" s="753"/>
      <c r="LLP29" s="753"/>
      <c r="LLQ29" s="753"/>
      <c r="LLR29" s="753"/>
      <c r="LLS29" s="753"/>
      <c r="LLT29" s="753"/>
      <c r="LLU29" s="753"/>
      <c r="LLV29" s="753"/>
      <c r="LLW29" s="750"/>
      <c r="LLX29" s="751"/>
      <c r="LLY29" s="752"/>
      <c r="LLZ29" s="751"/>
      <c r="LMA29" s="751"/>
      <c r="LMB29" s="752"/>
      <c r="LMC29" s="752"/>
      <c r="LMD29" s="753"/>
      <c r="LME29" s="753"/>
      <c r="LMF29" s="753"/>
      <c r="LMG29" s="753"/>
      <c r="LMH29" s="753"/>
      <c r="LMI29" s="753"/>
      <c r="LMJ29" s="753"/>
      <c r="LMK29" s="753"/>
      <c r="LML29" s="753"/>
      <c r="LMM29" s="750"/>
      <c r="LMN29" s="751"/>
      <c r="LMO29" s="752"/>
      <c r="LMP29" s="751"/>
      <c r="LMQ29" s="751"/>
      <c r="LMR29" s="752"/>
      <c r="LMS29" s="752"/>
      <c r="LMT29" s="753"/>
      <c r="LMU29" s="753"/>
      <c r="LMV29" s="753"/>
      <c r="LMW29" s="753"/>
      <c r="LMX29" s="753"/>
      <c r="LMY29" s="753"/>
      <c r="LMZ29" s="753"/>
      <c r="LNA29" s="753"/>
      <c r="LNB29" s="753"/>
      <c r="LNC29" s="750"/>
      <c r="LND29" s="751"/>
      <c r="LNE29" s="752"/>
      <c r="LNF29" s="751"/>
      <c r="LNG29" s="751"/>
      <c r="LNH29" s="752"/>
      <c r="LNI29" s="752"/>
      <c r="LNJ29" s="753"/>
      <c r="LNK29" s="753"/>
      <c r="LNL29" s="753"/>
      <c r="LNM29" s="753"/>
      <c r="LNN29" s="753"/>
      <c r="LNO29" s="753"/>
      <c r="LNP29" s="753"/>
      <c r="LNQ29" s="753"/>
      <c r="LNR29" s="753"/>
      <c r="LNS29" s="750"/>
      <c r="LNT29" s="751"/>
      <c r="LNU29" s="752"/>
      <c r="LNV29" s="751"/>
      <c r="LNW29" s="751"/>
      <c r="LNX29" s="752"/>
      <c r="LNY29" s="752"/>
      <c r="LNZ29" s="753"/>
      <c r="LOA29" s="753"/>
      <c r="LOB29" s="753"/>
      <c r="LOC29" s="753"/>
      <c r="LOD29" s="753"/>
      <c r="LOE29" s="753"/>
      <c r="LOF29" s="753"/>
      <c r="LOG29" s="753"/>
      <c r="LOH29" s="753"/>
      <c r="LOI29" s="750"/>
      <c r="LOJ29" s="751"/>
      <c r="LOK29" s="752"/>
      <c r="LOL29" s="751"/>
      <c r="LOM29" s="751"/>
      <c r="LON29" s="752"/>
      <c r="LOO29" s="752"/>
      <c r="LOP29" s="753"/>
      <c r="LOQ29" s="753"/>
      <c r="LOR29" s="753"/>
      <c r="LOS29" s="753"/>
      <c r="LOT29" s="753"/>
      <c r="LOU29" s="753"/>
      <c r="LOV29" s="753"/>
      <c r="LOW29" s="753"/>
      <c r="LOX29" s="753"/>
      <c r="LOY29" s="750"/>
      <c r="LOZ29" s="751"/>
      <c r="LPA29" s="752"/>
      <c r="LPB29" s="751"/>
      <c r="LPC29" s="751"/>
      <c r="LPD29" s="752"/>
      <c r="LPE29" s="752"/>
      <c r="LPF29" s="753"/>
      <c r="LPG29" s="753"/>
      <c r="LPH29" s="753"/>
      <c r="LPI29" s="753"/>
      <c r="LPJ29" s="753"/>
      <c r="LPK29" s="753"/>
      <c r="LPL29" s="753"/>
      <c r="LPM29" s="753"/>
      <c r="LPN29" s="753"/>
      <c r="LPO29" s="750"/>
      <c r="LPP29" s="751"/>
      <c r="LPQ29" s="752"/>
      <c r="LPR29" s="751"/>
      <c r="LPS29" s="751"/>
      <c r="LPT29" s="752"/>
      <c r="LPU29" s="752"/>
      <c r="LPV29" s="753"/>
      <c r="LPW29" s="753"/>
      <c r="LPX29" s="753"/>
      <c r="LPY29" s="753"/>
      <c r="LPZ29" s="753"/>
      <c r="LQA29" s="753"/>
      <c r="LQB29" s="753"/>
      <c r="LQC29" s="753"/>
      <c r="LQD29" s="753"/>
      <c r="LQE29" s="750"/>
      <c r="LQF29" s="751"/>
      <c r="LQG29" s="752"/>
      <c r="LQH29" s="751"/>
      <c r="LQI29" s="751"/>
      <c r="LQJ29" s="752"/>
      <c r="LQK29" s="752"/>
      <c r="LQL29" s="753"/>
      <c r="LQM29" s="753"/>
      <c r="LQN29" s="753"/>
      <c r="LQO29" s="753"/>
      <c r="LQP29" s="753"/>
      <c r="LQQ29" s="753"/>
      <c r="LQR29" s="753"/>
      <c r="LQS29" s="753"/>
      <c r="LQT29" s="753"/>
      <c r="LQU29" s="750"/>
      <c r="LQV29" s="751"/>
      <c r="LQW29" s="752"/>
      <c r="LQX29" s="751"/>
      <c r="LQY29" s="751"/>
      <c r="LQZ29" s="752"/>
      <c r="LRA29" s="752"/>
      <c r="LRB29" s="753"/>
      <c r="LRC29" s="753"/>
      <c r="LRD29" s="753"/>
      <c r="LRE29" s="753"/>
      <c r="LRF29" s="753"/>
      <c r="LRG29" s="753"/>
      <c r="LRH29" s="753"/>
      <c r="LRI29" s="753"/>
      <c r="LRJ29" s="753"/>
      <c r="LRK29" s="750"/>
      <c r="LRL29" s="751"/>
      <c r="LRM29" s="752"/>
      <c r="LRN29" s="751"/>
      <c r="LRO29" s="751"/>
      <c r="LRP29" s="752"/>
      <c r="LRQ29" s="752"/>
      <c r="LRR29" s="753"/>
      <c r="LRS29" s="753"/>
      <c r="LRT29" s="753"/>
      <c r="LRU29" s="753"/>
      <c r="LRV29" s="753"/>
      <c r="LRW29" s="753"/>
      <c r="LRX29" s="753"/>
      <c r="LRY29" s="753"/>
      <c r="LRZ29" s="753"/>
      <c r="LSA29" s="750"/>
      <c r="LSB29" s="751"/>
      <c r="LSC29" s="752"/>
      <c r="LSD29" s="751"/>
      <c r="LSE29" s="751"/>
      <c r="LSF29" s="752"/>
      <c r="LSG29" s="752"/>
      <c r="LSH29" s="753"/>
      <c r="LSI29" s="753"/>
      <c r="LSJ29" s="753"/>
      <c r="LSK29" s="753"/>
      <c r="LSL29" s="753"/>
      <c r="LSM29" s="753"/>
      <c r="LSN29" s="753"/>
      <c r="LSO29" s="753"/>
      <c r="LSP29" s="753"/>
      <c r="LSQ29" s="750"/>
      <c r="LSR29" s="751"/>
      <c r="LSS29" s="752"/>
      <c r="LST29" s="751"/>
      <c r="LSU29" s="751"/>
      <c r="LSV29" s="752"/>
      <c r="LSW29" s="752"/>
      <c r="LSX29" s="753"/>
      <c r="LSY29" s="753"/>
      <c r="LSZ29" s="753"/>
      <c r="LTA29" s="753"/>
      <c r="LTB29" s="753"/>
      <c r="LTC29" s="753"/>
      <c r="LTD29" s="753"/>
      <c r="LTE29" s="753"/>
      <c r="LTF29" s="753"/>
      <c r="LTG29" s="750"/>
      <c r="LTH29" s="751"/>
      <c r="LTI29" s="752"/>
      <c r="LTJ29" s="751"/>
      <c r="LTK29" s="751"/>
      <c r="LTL29" s="752"/>
      <c r="LTM29" s="752"/>
      <c r="LTN29" s="753"/>
      <c r="LTO29" s="753"/>
      <c r="LTP29" s="753"/>
      <c r="LTQ29" s="753"/>
      <c r="LTR29" s="753"/>
      <c r="LTS29" s="753"/>
      <c r="LTT29" s="753"/>
      <c r="LTU29" s="753"/>
      <c r="LTV29" s="753"/>
      <c r="LTW29" s="750"/>
      <c r="LTX29" s="751"/>
      <c r="LTY29" s="752"/>
      <c r="LTZ29" s="751"/>
      <c r="LUA29" s="751"/>
      <c r="LUB29" s="752"/>
      <c r="LUC29" s="752"/>
      <c r="LUD29" s="753"/>
      <c r="LUE29" s="753"/>
      <c r="LUF29" s="753"/>
      <c r="LUG29" s="753"/>
      <c r="LUH29" s="753"/>
      <c r="LUI29" s="753"/>
      <c r="LUJ29" s="753"/>
      <c r="LUK29" s="753"/>
      <c r="LUL29" s="753"/>
      <c r="LUM29" s="750"/>
      <c r="LUN29" s="751"/>
      <c r="LUO29" s="752"/>
      <c r="LUP29" s="751"/>
      <c r="LUQ29" s="751"/>
      <c r="LUR29" s="752"/>
      <c r="LUS29" s="752"/>
      <c r="LUT29" s="753"/>
      <c r="LUU29" s="753"/>
      <c r="LUV29" s="753"/>
      <c r="LUW29" s="753"/>
      <c r="LUX29" s="753"/>
      <c r="LUY29" s="753"/>
      <c r="LUZ29" s="753"/>
      <c r="LVA29" s="753"/>
      <c r="LVB29" s="753"/>
      <c r="LVC29" s="750"/>
      <c r="LVD29" s="751"/>
      <c r="LVE29" s="752"/>
      <c r="LVF29" s="751"/>
      <c r="LVG29" s="751"/>
      <c r="LVH29" s="752"/>
      <c r="LVI29" s="752"/>
      <c r="LVJ29" s="753"/>
      <c r="LVK29" s="753"/>
      <c r="LVL29" s="753"/>
      <c r="LVM29" s="753"/>
      <c r="LVN29" s="753"/>
      <c r="LVO29" s="753"/>
      <c r="LVP29" s="753"/>
      <c r="LVQ29" s="753"/>
      <c r="LVR29" s="753"/>
      <c r="LVS29" s="750"/>
      <c r="LVT29" s="751"/>
      <c r="LVU29" s="752"/>
      <c r="LVV29" s="751"/>
      <c r="LVW29" s="751"/>
      <c r="LVX29" s="752"/>
      <c r="LVY29" s="752"/>
      <c r="LVZ29" s="753"/>
      <c r="LWA29" s="753"/>
      <c r="LWB29" s="753"/>
      <c r="LWC29" s="753"/>
      <c r="LWD29" s="753"/>
      <c r="LWE29" s="753"/>
      <c r="LWF29" s="753"/>
      <c r="LWG29" s="753"/>
      <c r="LWH29" s="753"/>
      <c r="LWI29" s="750"/>
      <c r="LWJ29" s="751"/>
      <c r="LWK29" s="752"/>
      <c r="LWL29" s="751"/>
      <c r="LWM29" s="751"/>
      <c r="LWN29" s="752"/>
      <c r="LWO29" s="752"/>
      <c r="LWP29" s="753"/>
      <c r="LWQ29" s="753"/>
      <c r="LWR29" s="753"/>
      <c r="LWS29" s="753"/>
      <c r="LWT29" s="753"/>
      <c r="LWU29" s="753"/>
      <c r="LWV29" s="753"/>
      <c r="LWW29" s="753"/>
      <c r="LWX29" s="753"/>
      <c r="LWY29" s="750"/>
      <c r="LWZ29" s="751"/>
      <c r="LXA29" s="752"/>
      <c r="LXB29" s="751"/>
      <c r="LXC29" s="751"/>
      <c r="LXD29" s="752"/>
      <c r="LXE29" s="752"/>
      <c r="LXF29" s="753"/>
      <c r="LXG29" s="753"/>
      <c r="LXH29" s="753"/>
      <c r="LXI29" s="753"/>
      <c r="LXJ29" s="753"/>
      <c r="LXK29" s="753"/>
      <c r="LXL29" s="753"/>
      <c r="LXM29" s="753"/>
      <c r="LXN29" s="753"/>
      <c r="LXO29" s="750"/>
      <c r="LXP29" s="751"/>
      <c r="LXQ29" s="752"/>
      <c r="LXR29" s="751"/>
      <c r="LXS29" s="751"/>
      <c r="LXT29" s="752"/>
      <c r="LXU29" s="752"/>
      <c r="LXV29" s="753"/>
      <c r="LXW29" s="753"/>
      <c r="LXX29" s="753"/>
      <c r="LXY29" s="753"/>
      <c r="LXZ29" s="753"/>
      <c r="LYA29" s="753"/>
      <c r="LYB29" s="753"/>
      <c r="LYC29" s="753"/>
      <c r="LYD29" s="753"/>
      <c r="LYE29" s="750"/>
      <c r="LYF29" s="751"/>
      <c r="LYG29" s="752"/>
      <c r="LYH29" s="751"/>
      <c r="LYI29" s="751"/>
      <c r="LYJ29" s="752"/>
      <c r="LYK29" s="752"/>
      <c r="LYL29" s="753"/>
      <c r="LYM29" s="753"/>
      <c r="LYN29" s="753"/>
      <c r="LYO29" s="753"/>
      <c r="LYP29" s="753"/>
      <c r="LYQ29" s="753"/>
      <c r="LYR29" s="753"/>
      <c r="LYS29" s="753"/>
      <c r="LYT29" s="753"/>
      <c r="LYU29" s="750"/>
      <c r="LYV29" s="751"/>
      <c r="LYW29" s="752"/>
      <c r="LYX29" s="751"/>
      <c r="LYY29" s="751"/>
      <c r="LYZ29" s="752"/>
      <c r="LZA29" s="752"/>
      <c r="LZB29" s="753"/>
      <c r="LZC29" s="753"/>
      <c r="LZD29" s="753"/>
      <c r="LZE29" s="753"/>
      <c r="LZF29" s="753"/>
      <c r="LZG29" s="753"/>
      <c r="LZH29" s="753"/>
      <c r="LZI29" s="753"/>
      <c r="LZJ29" s="753"/>
      <c r="LZK29" s="750"/>
      <c r="LZL29" s="751"/>
      <c r="LZM29" s="752"/>
      <c r="LZN29" s="751"/>
      <c r="LZO29" s="751"/>
      <c r="LZP29" s="752"/>
      <c r="LZQ29" s="752"/>
      <c r="LZR29" s="753"/>
      <c r="LZS29" s="753"/>
      <c r="LZT29" s="753"/>
      <c r="LZU29" s="753"/>
      <c r="LZV29" s="753"/>
      <c r="LZW29" s="753"/>
      <c r="LZX29" s="753"/>
      <c r="LZY29" s="753"/>
      <c r="LZZ29" s="753"/>
      <c r="MAA29" s="750"/>
      <c r="MAB29" s="751"/>
      <c r="MAC29" s="752"/>
      <c r="MAD29" s="751"/>
      <c r="MAE29" s="751"/>
      <c r="MAF29" s="752"/>
      <c r="MAG29" s="752"/>
      <c r="MAH29" s="753"/>
      <c r="MAI29" s="753"/>
      <c r="MAJ29" s="753"/>
      <c r="MAK29" s="753"/>
      <c r="MAL29" s="753"/>
      <c r="MAM29" s="753"/>
      <c r="MAN29" s="753"/>
      <c r="MAO29" s="753"/>
      <c r="MAP29" s="753"/>
      <c r="MAQ29" s="750"/>
      <c r="MAR29" s="751"/>
      <c r="MAS29" s="752"/>
      <c r="MAT29" s="751"/>
      <c r="MAU29" s="751"/>
      <c r="MAV29" s="752"/>
      <c r="MAW29" s="752"/>
      <c r="MAX29" s="753"/>
      <c r="MAY29" s="753"/>
      <c r="MAZ29" s="753"/>
      <c r="MBA29" s="753"/>
      <c r="MBB29" s="753"/>
      <c r="MBC29" s="753"/>
      <c r="MBD29" s="753"/>
      <c r="MBE29" s="753"/>
      <c r="MBF29" s="753"/>
      <c r="MBG29" s="750"/>
      <c r="MBH29" s="751"/>
      <c r="MBI29" s="752"/>
      <c r="MBJ29" s="751"/>
      <c r="MBK29" s="751"/>
      <c r="MBL29" s="752"/>
      <c r="MBM29" s="752"/>
      <c r="MBN29" s="753"/>
      <c r="MBO29" s="753"/>
      <c r="MBP29" s="753"/>
      <c r="MBQ29" s="753"/>
      <c r="MBR29" s="753"/>
      <c r="MBS29" s="753"/>
      <c r="MBT29" s="753"/>
      <c r="MBU29" s="753"/>
      <c r="MBV29" s="753"/>
      <c r="MBW29" s="750"/>
      <c r="MBX29" s="751"/>
      <c r="MBY29" s="752"/>
      <c r="MBZ29" s="751"/>
      <c r="MCA29" s="751"/>
      <c r="MCB29" s="752"/>
      <c r="MCC29" s="752"/>
      <c r="MCD29" s="753"/>
      <c r="MCE29" s="753"/>
      <c r="MCF29" s="753"/>
      <c r="MCG29" s="753"/>
      <c r="MCH29" s="753"/>
      <c r="MCI29" s="753"/>
      <c r="MCJ29" s="753"/>
      <c r="MCK29" s="753"/>
      <c r="MCL29" s="753"/>
      <c r="MCM29" s="750"/>
      <c r="MCN29" s="751"/>
      <c r="MCO29" s="752"/>
      <c r="MCP29" s="751"/>
      <c r="MCQ29" s="751"/>
      <c r="MCR29" s="752"/>
      <c r="MCS29" s="752"/>
      <c r="MCT29" s="753"/>
      <c r="MCU29" s="753"/>
      <c r="MCV29" s="753"/>
      <c r="MCW29" s="753"/>
      <c r="MCX29" s="753"/>
      <c r="MCY29" s="753"/>
      <c r="MCZ29" s="753"/>
      <c r="MDA29" s="753"/>
      <c r="MDB29" s="753"/>
      <c r="MDC29" s="750"/>
      <c r="MDD29" s="751"/>
      <c r="MDE29" s="752"/>
      <c r="MDF29" s="751"/>
      <c r="MDG29" s="751"/>
      <c r="MDH29" s="752"/>
      <c r="MDI29" s="752"/>
      <c r="MDJ29" s="753"/>
      <c r="MDK29" s="753"/>
      <c r="MDL29" s="753"/>
      <c r="MDM29" s="753"/>
      <c r="MDN29" s="753"/>
      <c r="MDO29" s="753"/>
      <c r="MDP29" s="753"/>
      <c r="MDQ29" s="753"/>
      <c r="MDR29" s="753"/>
      <c r="MDS29" s="750"/>
      <c r="MDT29" s="751"/>
      <c r="MDU29" s="752"/>
      <c r="MDV29" s="751"/>
      <c r="MDW29" s="751"/>
      <c r="MDX29" s="752"/>
      <c r="MDY29" s="752"/>
      <c r="MDZ29" s="753"/>
      <c r="MEA29" s="753"/>
      <c r="MEB29" s="753"/>
      <c r="MEC29" s="753"/>
      <c r="MED29" s="753"/>
      <c r="MEE29" s="753"/>
      <c r="MEF29" s="753"/>
      <c r="MEG29" s="753"/>
      <c r="MEH29" s="753"/>
      <c r="MEI29" s="750"/>
      <c r="MEJ29" s="751"/>
      <c r="MEK29" s="752"/>
      <c r="MEL29" s="751"/>
      <c r="MEM29" s="751"/>
      <c r="MEN29" s="752"/>
      <c r="MEO29" s="752"/>
      <c r="MEP29" s="753"/>
      <c r="MEQ29" s="753"/>
      <c r="MER29" s="753"/>
      <c r="MES29" s="753"/>
      <c r="MET29" s="753"/>
      <c r="MEU29" s="753"/>
      <c r="MEV29" s="753"/>
      <c r="MEW29" s="753"/>
      <c r="MEX29" s="753"/>
      <c r="MEY29" s="750"/>
      <c r="MEZ29" s="751"/>
      <c r="MFA29" s="752"/>
      <c r="MFB29" s="751"/>
      <c r="MFC29" s="751"/>
      <c r="MFD29" s="752"/>
      <c r="MFE29" s="752"/>
      <c r="MFF29" s="753"/>
      <c r="MFG29" s="753"/>
      <c r="MFH29" s="753"/>
      <c r="MFI29" s="753"/>
      <c r="MFJ29" s="753"/>
      <c r="MFK29" s="753"/>
      <c r="MFL29" s="753"/>
      <c r="MFM29" s="753"/>
      <c r="MFN29" s="753"/>
      <c r="MFO29" s="750"/>
      <c r="MFP29" s="751"/>
      <c r="MFQ29" s="752"/>
      <c r="MFR29" s="751"/>
      <c r="MFS29" s="751"/>
      <c r="MFT29" s="752"/>
      <c r="MFU29" s="752"/>
      <c r="MFV29" s="753"/>
      <c r="MFW29" s="753"/>
      <c r="MFX29" s="753"/>
      <c r="MFY29" s="753"/>
      <c r="MFZ29" s="753"/>
      <c r="MGA29" s="753"/>
      <c r="MGB29" s="753"/>
      <c r="MGC29" s="753"/>
      <c r="MGD29" s="753"/>
      <c r="MGE29" s="750"/>
      <c r="MGF29" s="751"/>
      <c r="MGG29" s="752"/>
      <c r="MGH29" s="751"/>
      <c r="MGI29" s="751"/>
      <c r="MGJ29" s="752"/>
      <c r="MGK29" s="752"/>
      <c r="MGL29" s="753"/>
      <c r="MGM29" s="753"/>
      <c r="MGN29" s="753"/>
      <c r="MGO29" s="753"/>
      <c r="MGP29" s="753"/>
      <c r="MGQ29" s="753"/>
      <c r="MGR29" s="753"/>
      <c r="MGS29" s="753"/>
      <c r="MGT29" s="753"/>
      <c r="MGU29" s="750"/>
      <c r="MGV29" s="751"/>
      <c r="MGW29" s="752"/>
      <c r="MGX29" s="751"/>
      <c r="MGY29" s="751"/>
      <c r="MGZ29" s="752"/>
      <c r="MHA29" s="752"/>
      <c r="MHB29" s="753"/>
      <c r="MHC29" s="753"/>
      <c r="MHD29" s="753"/>
      <c r="MHE29" s="753"/>
      <c r="MHF29" s="753"/>
      <c r="MHG29" s="753"/>
      <c r="MHH29" s="753"/>
      <c r="MHI29" s="753"/>
      <c r="MHJ29" s="753"/>
      <c r="MHK29" s="750"/>
      <c r="MHL29" s="751"/>
      <c r="MHM29" s="752"/>
      <c r="MHN29" s="751"/>
      <c r="MHO29" s="751"/>
      <c r="MHP29" s="752"/>
      <c r="MHQ29" s="752"/>
      <c r="MHR29" s="753"/>
      <c r="MHS29" s="753"/>
      <c r="MHT29" s="753"/>
      <c r="MHU29" s="753"/>
      <c r="MHV29" s="753"/>
      <c r="MHW29" s="753"/>
      <c r="MHX29" s="753"/>
      <c r="MHY29" s="753"/>
      <c r="MHZ29" s="753"/>
      <c r="MIA29" s="750"/>
      <c r="MIB29" s="751"/>
      <c r="MIC29" s="752"/>
      <c r="MID29" s="751"/>
      <c r="MIE29" s="751"/>
      <c r="MIF29" s="752"/>
      <c r="MIG29" s="752"/>
      <c r="MIH29" s="753"/>
      <c r="MII29" s="753"/>
      <c r="MIJ29" s="753"/>
      <c r="MIK29" s="753"/>
      <c r="MIL29" s="753"/>
      <c r="MIM29" s="753"/>
      <c r="MIN29" s="753"/>
      <c r="MIO29" s="753"/>
      <c r="MIP29" s="753"/>
      <c r="MIQ29" s="750"/>
      <c r="MIR29" s="751"/>
      <c r="MIS29" s="752"/>
      <c r="MIT29" s="751"/>
      <c r="MIU29" s="751"/>
      <c r="MIV29" s="752"/>
      <c r="MIW29" s="752"/>
      <c r="MIX29" s="753"/>
      <c r="MIY29" s="753"/>
      <c r="MIZ29" s="753"/>
      <c r="MJA29" s="753"/>
      <c r="MJB29" s="753"/>
      <c r="MJC29" s="753"/>
      <c r="MJD29" s="753"/>
      <c r="MJE29" s="753"/>
      <c r="MJF29" s="753"/>
      <c r="MJG29" s="750"/>
      <c r="MJH29" s="751"/>
      <c r="MJI29" s="752"/>
      <c r="MJJ29" s="751"/>
      <c r="MJK29" s="751"/>
      <c r="MJL29" s="752"/>
      <c r="MJM29" s="752"/>
      <c r="MJN29" s="753"/>
      <c r="MJO29" s="753"/>
      <c r="MJP29" s="753"/>
      <c r="MJQ29" s="753"/>
      <c r="MJR29" s="753"/>
      <c r="MJS29" s="753"/>
      <c r="MJT29" s="753"/>
      <c r="MJU29" s="753"/>
      <c r="MJV29" s="753"/>
      <c r="MJW29" s="750"/>
      <c r="MJX29" s="751"/>
      <c r="MJY29" s="752"/>
      <c r="MJZ29" s="751"/>
      <c r="MKA29" s="751"/>
      <c r="MKB29" s="752"/>
      <c r="MKC29" s="752"/>
      <c r="MKD29" s="753"/>
      <c r="MKE29" s="753"/>
      <c r="MKF29" s="753"/>
      <c r="MKG29" s="753"/>
      <c r="MKH29" s="753"/>
      <c r="MKI29" s="753"/>
      <c r="MKJ29" s="753"/>
      <c r="MKK29" s="753"/>
      <c r="MKL29" s="753"/>
      <c r="MKM29" s="750"/>
      <c r="MKN29" s="751"/>
      <c r="MKO29" s="752"/>
      <c r="MKP29" s="751"/>
      <c r="MKQ29" s="751"/>
      <c r="MKR29" s="752"/>
      <c r="MKS29" s="752"/>
      <c r="MKT29" s="753"/>
      <c r="MKU29" s="753"/>
      <c r="MKV29" s="753"/>
      <c r="MKW29" s="753"/>
      <c r="MKX29" s="753"/>
      <c r="MKY29" s="753"/>
      <c r="MKZ29" s="753"/>
      <c r="MLA29" s="753"/>
      <c r="MLB29" s="753"/>
      <c r="MLC29" s="750"/>
      <c r="MLD29" s="751"/>
      <c r="MLE29" s="752"/>
      <c r="MLF29" s="751"/>
      <c r="MLG29" s="751"/>
      <c r="MLH29" s="752"/>
      <c r="MLI29" s="752"/>
      <c r="MLJ29" s="753"/>
      <c r="MLK29" s="753"/>
      <c r="MLL29" s="753"/>
      <c r="MLM29" s="753"/>
      <c r="MLN29" s="753"/>
      <c r="MLO29" s="753"/>
      <c r="MLP29" s="753"/>
      <c r="MLQ29" s="753"/>
      <c r="MLR29" s="753"/>
      <c r="MLS29" s="750"/>
      <c r="MLT29" s="751"/>
      <c r="MLU29" s="752"/>
      <c r="MLV29" s="751"/>
      <c r="MLW29" s="751"/>
      <c r="MLX29" s="752"/>
      <c r="MLY29" s="752"/>
      <c r="MLZ29" s="753"/>
      <c r="MMA29" s="753"/>
      <c r="MMB29" s="753"/>
      <c r="MMC29" s="753"/>
      <c r="MMD29" s="753"/>
      <c r="MME29" s="753"/>
      <c r="MMF29" s="753"/>
      <c r="MMG29" s="753"/>
      <c r="MMH29" s="753"/>
      <c r="MMI29" s="750"/>
      <c r="MMJ29" s="751"/>
      <c r="MMK29" s="752"/>
      <c r="MML29" s="751"/>
      <c r="MMM29" s="751"/>
      <c r="MMN29" s="752"/>
      <c r="MMO29" s="752"/>
      <c r="MMP29" s="753"/>
      <c r="MMQ29" s="753"/>
      <c r="MMR29" s="753"/>
      <c r="MMS29" s="753"/>
      <c r="MMT29" s="753"/>
      <c r="MMU29" s="753"/>
      <c r="MMV29" s="753"/>
      <c r="MMW29" s="753"/>
      <c r="MMX29" s="753"/>
      <c r="MMY29" s="750"/>
      <c r="MMZ29" s="751"/>
      <c r="MNA29" s="752"/>
      <c r="MNB29" s="751"/>
      <c r="MNC29" s="751"/>
      <c r="MND29" s="752"/>
      <c r="MNE29" s="752"/>
      <c r="MNF29" s="753"/>
      <c r="MNG29" s="753"/>
      <c r="MNH29" s="753"/>
      <c r="MNI29" s="753"/>
      <c r="MNJ29" s="753"/>
      <c r="MNK29" s="753"/>
      <c r="MNL29" s="753"/>
      <c r="MNM29" s="753"/>
      <c r="MNN29" s="753"/>
      <c r="MNO29" s="750"/>
      <c r="MNP29" s="751"/>
      <c r="MNQ29" s="752"/>
      <c r="MNR29" s="751"/>
      <c r="MNS29" s="751"/>
      <c r="MNT29" s="752"/>
      <c r="MNU29" s="752"/>
      <c r="MNV29" s="753"/>
      <c r="MNW29" s="753"/>
      <c r="MNX29" s="753"/>
      <c r="MNY29" s="753"/>
      <c r="MNZ29" s="753"/>
      <c r="MOA29" s="753"/>
      <c r="MOB29" s="753"/>
      <c r="MOC29" s="753"/>
      <c r="MOD29" s="753"/>
      <c r="MOE29" s="750"/>
      <c r="MOF29" s="751"/>
      <c r="MOG29" s="752"/>
      <c r="MOH29" s="751"/>
      <c r="MOI29" s="751"/>
      <c r="MOJ29" s="752"/>
      <c r="MOK29" s="752"/>
      <c r="MOL29" s="753"/>
      <c r="MOM29" s="753"/>
      <c r="MON29" s="753"/>
      <c r="MOO29" s="753"/>
      <c r="MOP29" s="753"/>
      <c r="MOQ29" s="753"/>
      <c r="MOR29" s="753"/>
      <c r="MOS29" s="753"/>
      <c r="MOT29" s="753"/>
      <c r="MOU29" s="750"/>
      <c r="MOV29" s="751"/>
      <c r="MOW29" s="752"/>
      <c r="MOX29" s="751"/>
      <c r="MOY29" s="751"/>
      <c r="MOZ29" s="752"/>
      <c r="MPA29" s="752"/>
      <c r="MPB29" s="753"/>
      <c r="MPC29" s="753"/>
      <c r="MPD29" s="753"/>
      <c r="MPE29" s="753"/>
      <c r="MPF29" s="753"/>
      <c r="MPG29" s="753"/>
      <c r="MPH29" s="753"/>
      <c r="MPI29" s="753"/>
      <c r="MPJ29" s="753"/>
      <c r="MPK29" s="750"/>
      <c r="MPL29" s="751"/>
      <c r="MPM29" s="752"/>
      <c r="MPN29" s="751"/>
      <c r="MPO29" s="751"/>
      <c r="MPP29" s="752"/>
      <c r="MPQ29" s="752"/>
      <c r="MPR29" s="753"/>
      <c r="MPS29" s="753"/>
      <c r="MPT29" s="753"/>
      <c r="MPU29" s="753"/>
      <c r="MPV29" s="753"/>
      <c r="MPW29" s="753"/>
      <c r="MPX29" s="753"/>
      <c r="MPY29" s="753"/>
      <c r="MPZ29" s="753"/>
      <c r="MQA29" s="750"/>
      <c r="MQB29" s="751"/>
      <c r="MQC29" s="752"/>
      <c r="MQD29" s="751"/>
      <c r="MQE29" s="751"/>
      <c r="MQF29" s="752"/>
      <c r="MQG29" s="752"/>
      <c r="MQH29" s="753"/>
      <c r="MQI29" s="753"/>
      <c r="MQJ29" s="753"/>
      <c r="MQK29" s="753"/>
      <c r="MQL29" s="753"/>
      <c r="MQM29" s="753"/>
      <c r="MQN29" s="753"/>
      <c r="MQO29" s="753"/>
      <c r="MQP29" s="753"/>
      <c r="MQQ29" s="750"/>
      <c r="MQR29" s="751"/>
      <c r="MQS29" s="752"/>
      <c r="MQT29" s="751"/>
      <c r="MQU29" s="751"/>
      <c r="MQV29" s="752"/>
      <c r="MQW29" s="752"/>
      <c r="MQX29" s="753"/>
      <c r="MQY29" s="753"/>
      <c r="MQZ29" s="753"/>
      <c r="MRA29" s="753"/>
      <c r="MRB29" s="753"/>
      <c r="MRC29" s="753"/>
      <c r="MRD29" s="753"/>
      <c r="MRE29" s="753"/>
      <c r="MRF29" s="753"/>
      <c r="MRG29" s="750"/>
      <c r="MRH29" s="751"/>
      <c r="MRI29" s="752"/>
      <c r="MRJ29" s="751"/>
      <c r="MRK29" s="751"/>
      <c r="MRL29" s="752"/>
      <c r="MRM29" s="752"/>
      <c r="MRN29" s="753"/>
      <c r="MRO29" s="753"/>
      <c r="MRP29" s="753"/>
      <c r="MRQ29" s="753"/>
      <c r="MRR29" s="753"/>
      <c r="MRS29" s="753"/>
      <c r="MRT29" s="753"/>
      <c r="MRU29" s="753"/>
      <c r="MRV29" s="753"/>
      <c r="MRW29" s="750"/>
      <c r="MRX29" s="751"/>
      <c r="MRY29" s="752"/>
      <c r="MRZ29" s="751"/>
      <c r="MSA29" s="751"/>
      <c r="MSB29" s="752"/>
      <c r="MSC29" s="752"/>
      <c r="MSD29" s="753"/>
      <c r="MSE29" s="753"/>
      <c r="MSF29" s="753"/>
      <c r="MSG29" s="753"/>
      <c r="MSH29" s="753"/>
      <c r="MSI29" s="753"/>
      <c r="MSJ29" s="753"/>
      <c r="MSK29" s="753"/>
      <c r="MSL29" s="753"/>
      <c r="MSM29" s="750"/>
      <c r="MSN29" s="751"/>
      <c r="MSO29" s="752"/>
      <c r="MSP29" s="751"/>
      <c r="MSQ29" s="751"/>
      <c r="MSR29" s="752"/>
      <c r="MSS29" s="752"/>
      <c r="MST29" s="753"/>
      <c r="MSU29" s="753"/>
      <c r="MSV29" s="753"/>
      <c r="MSW29" s="753"/>
      <c r="MSX29" s="753"/>
      <c r="MSY29" s="753"/>
      <c r="MSZ29" s="753"/>
      <c r="MTA29" s="753"/>
      <c r="MTB29" s="753"/>
      <c r="MTC29" s="750"/>
      <c r="MTD29" s="751"/>
      <c r="MTE29" s="752"/>
      <c r="MTF29" s="751"/>
      <c r="MTG29" s="751"/>
      <c r="MTH29" s="752"/>
      <c r="MTI29" s="752"/>
      <c r="MTJ29" s="753"/>
      <c r="MTK29" s="753"/>
      <c r="MTL29" s="753"/>
      <c r="MTM29" s="753"/>
      <c r="MTN29" s="753"/>
      <c r="MTO29" s="753"/>
      <c r="MTP29" s="753"/>
      <c r="MTQ29" s="753"/>
      <c r="MTR29" s="753"/>
      <c r="MTS29" s="750"/>
      <c r="MTT29" s="751"/>
      <c r="MTU29" s="752"/>
      <c r="MTV29" s="751"/>
      <c r="MTW29" s="751"/>
      <c r="MTX29" s="752"/>
      <c r="MTY29" s="752"/>
      <c r="MTZ29" s="753"/>
      <c r="MUA29" s="753"/>
      <c r="MUB29" s="753"/>
      <c r="MUC29" s="753"/>
      <c r="MUD29" s="753"/>
      <c r="MUE29" s="753"/>
      <c r="MUF29" s="753"/>
      <c r="MUG29" s="753"/>
      <c r="MUH29" s="753"/>
      <c r="MUI29" s="750"/>
      <c r="MUJ29" s="751"/>
      <c r="MUK29" s="752"/>
      <c r="MUL29" s="751"/>
      <c r="MUM29" s="751"/>
      <c r="MUN29" s="752"/>
      <c r="MUO29" s="752"/>
      <c r="MUP29" s="753"/>
      <c r="MUQ29" s="753"/>
      <c r="MUR29" s="753"/>
      <c r="MUS29" s="753"/>
      <c r="MUT29" s="753"/>
      <c r="MUU29" s="753"/>
      <c r="MUV29" s="753"/>
      <c r="MUW29" s="753"/>
      <c r="MUX29" s="753"/>
      <c r="MUY29" s="750"/>
      <c r="MUZ29" s="751"/>
      <c r="MVA29" s="752"/>
      <c r="MVB29" s="751"/>
      <c r="MVC29" s="751"/>
      <c r="MVD29" s="752"/>
      <c r="MVE29" s="752"/>
      <c r="MVF29" s="753"/>
      <c r="MVG29" s="753"/>
      <c r="MVH29" s="753"/>
      <c r="MVI29" s="753"/>
      <c r="MVJ29" s="753"/>
      <c r="MVK29" s="753"/>
      <c r="MVL29" s="753"/>
      <c r="MVM29" s="753"/>
      <c r="MVN29" s="753"/>
      <c r="MVO29" s="750"/>
      <c r="MVP29" s="751"/>
      <c r="MVQ29" s="752"/>
      <c r="MVR29" s="751"/>
      <c r="MVS29" s="751"/>
      <c r="MVT29" s="752"/>
      <c r="MVU29" s="752"/>
      <c r="MVV29" s="753"/>
      <c r="MVW29" s="753"/>
      <c r="MVX29" s="753"/>
      <c r="MVY29" s="753"/>
      <c r="MVZ29" s="753"/>
      <c r="MWA29" s="753"/>
      <c r="MWB29" s="753"/>
      <c r="MWC29" s="753"/>
      <c r="MWD29" s="753"/>
      <c r="MWE29" s="750"/>
      <c r="MWF29" s="751"/>
      <c r="MWG29" s="752"/>
      <c r="MWH29" s="751"/>
      <c r="MWI29" s="751"/>
      <c r="MWJ29" s="752"/>
      <c r="MWK29" s="752"/>
      <c r="MWL29" s="753"/>
      <c r="MWM29" s="753"/>
      <c r="MWN29" s="753"/>
      <c r="MWO29" s="753"/>
      <c r="MWP29" s="753"/>
      <c r="MWQ29" s="753"/>
      <c r="MWR29" s="753"/>
      <c r="MWS29" s="753"/>
      <c r="MWT29" s="753"/>
      <c r="MWU29" s="750"/>
      <c r="MWV29" s="751"/>
      <c r="MWW29" s="752"/>
      <c r="MWX29" s="751"/>
      <c r="MWY29" s="751"/>
      <c r="MWZ29" s="752"/>
      <c r="MXA29" s="752"/>
      <c r="MXB29" s="753"/>
      <c r="MXC29" s="753"/>
      <c r="MXD29" s="753"/>
      <c r="MXE29" s="753"/>
      <c r="MXF29" s="753"/>
      <c r="MXG29" s="753"/>
      <c r="MXH29" s="753"/>
      <c r="MXI29" s="753"/>
      <c r="MXJ29" s="753"/>
      <c r="MXK29" s="750"/>
      <c r="MXL29" s="751"/>
      <c r="MXM29" s="752"/>
      <c r="MXN29" s="751"/>
      <c r="MXO29" s="751"/>
      <c r="MXP29" s="752"/>
      <c r="MXQ29" s="752"/>
      <c r="MXR29" s="753"/>
      <c r="MXS29" s="753"/>
      <c r="MXT29" s="753"/>
      <c r="MXU29" s="753"/>
      <c r="MXV29" s="753"/>
      <c r="MXW29" s="753"/>
      <c r="MXX29" s="753"/>
      <c r="MXY29" s="753"/>
      <c r="MXZ29" s="753"/>
      <c r="MYA29" s="750"/>
      <c r="MYB29" s="751"/>
      <c r="MYC29" s="752"/>
      <c r="MYD29" s="751"/>
      <c r="MYE29" s="751"/>
      <c r="MYF29" s="752"/>
      <c r="MYG29" s="752"/>
      <c r="MYH29" s="753"/>
      <c r="MYI29" s="753"/>
      <c r="MYJ29" s="753"/>
      <c r="MYK29" s="753"/>
      <c r="MYL29" s="753"/>
      <c r="MYM29" s="753"/>
      <c r="MYN29" s="753"/>
      <c r="MYO29" s="753"/>
      <c r="MYP29" s="753"/>
      <c r="MYQ29" s="750"/>
      <c r="MYR29" s="751"/>
      <c r="MYS29" s="752"/>
      <c r="MYT29" s="751"/>
      <c r="MYU29" s="751"/>
      <c r="MYV29" s="752"/>
      <c r="MYW29" s="752"/>
      <c r="MYX29" s="753"/>
      <c r="MYY29" s="753"/>
      <c r="MYZ29" s="753"/>
      <c r="MZA29" s="753"/>
      <c r="MZB29" s="753"/>
      <c r="MZC29" s="753"/>
      <c r="MZD29" s="753"/>
      <c r="MZE29" s="753"/>
      <c r="MZF29" s="753"/>
      <c r="MZG29" s="750"/>
      <c r="MZH29" s="751"/>
      <c r="MZI29" s="752"/>
      <c r="MZJ29" s="751"/>
      <c r="MZK29" s="751"/>
      <c r="MZL29" s="752"/>
      <c r="MZM29" s="752"/>
      <c r="MZN29" s="753"/>
      <c r="MZO29" s="753"/>
      <c r="MZP29" s="753"/>
      <c r="MZQ29" s="753"/>
      <c r="MZR29" s="753"/>
      <c r="MZS29" s="753"/>
      <c r="MZT29" s="753"/>
      <c r="MZU29" s="753"/>
      <c r="MZV29" s="753"/>
      <c r="MZW29" s="750"/>
      <c r="MZX29" s="751"/>
      <c r="MZY29" s="752"/>
      <c r="MZZ29" s="751"/>
      <c r="NAA29" s="751"/>
      <c r="NAB29" s="752"/>
      <c r="NAC29" s="752"/>
      <c r="NAD29" s="753"/>
      <c r="NAE29" s="753"/>
      <c r="NAF29" s="753"/>
      <c r="NAG29" s="753"/>
      <c r="NAH29" s="753"/>
      <c r="NAI29" s="753"/>
      <c r="NAJ29" s="753"/>
      <c r="NAK29" s="753"/>
      <c r="NAL29" s="753"/>
      <c r="NAM29" s="750"/>
      <c r="NAN29" s="751"/>
      <c r="NAO29" s="752"/>
      <c r="NAP29" s="751"/>
      <c r="NAQ29" s="751"/>
      <c r="NAR29" s="752"/>
      <c r="NAS29" s="752"/>
      <c r="NAT29" s="753"/>
      <c r="NAU29" s="753"/>
      <c r="NAV29" s="753"/>
      <c r="NAW29" s="753"/>
      <c r="NAX29" s="753"/>
      <c r="NAY29" s="753"/>
      <c r="NAZ29" s="753"/>
      <c r="NBA29" s="753"/>
      <c r="NBB29" s="753"/>
      <c r="NBC29" s="750"/>
      <c r="NBD29" s="751"/>
      <c r="NBE29" s="752"/>
      <c r="NBF29" s="751"/>
      <c r="NBG29" s="751"/>
      <c r="NBH29" s="752"/>
      <c r="NBI29" s="752"/>
      <c r="NBJ29" s="753"/>
      <c r="NBK29" s="753"/>
      <c r="NBL29" s="753"/>
      <c r="NBM29" s="753"/>
      <c r="NBN29" s="753"/>
      <c r="NBO29" s="753"/>
      <c r="NBP29" s="753"/>
      <c r="NBQ29" s="753"/>
      <c r="NBR29" s="753"/>
      <c r="NBS29" s="750"/>
      <c r="NBT29" s="751"/>
      <c r="NBU29" s="752"/>
      <c r="NBV29" s="751"/>
      <c r="NBW29" s="751"/>
      <c r="NBX29" s="752"/>
      <c r="NBY29" s="752"/>
      <c r="NBZ29" s="753"/>
      <c r="NCA29" s="753"/>
      <c r="NCB29" s="753"/>
      <c r="NCC29" s="753"/>
      <c r="NCD29" s="753"/>
      <c r="NCE29" s="753"/>
      <c r="NCF29" s="753"/>
      <c r="NCG29" s="753"/>
      <c r="NCH29" s="753"/>
      <c r="NCI29" s="750"/>
      <c r="NCJ29" s="751"/>
      <c r="NCK29" s="752"/>
      <c r="NCL29" s="751"/>
      <c r="NCM29" s="751"/>
      <c r="NCN29" s="752"/>
      <c r="NCO29" s="752"/>
      <c r="NCP29" s="753"/>
      <c r="NCQ29" s="753"/>
      <c r="NCR29" s="753"/>
      <c r="NCS29" s="753"/>
      <c r="NCT29" s="753"/>
      <c r="NCU29" s="753"/>
      <c r="NCV29" s="753"/>
      <c r="NCW29" s="753"/>
      <c r="NCX29" s="753"/>
      <c r="NCY29" s="750"/>
      <c r="NCZ29" s="751"/>
      <c r="NDA29" s="752"/>
      <c r="NDB29" s="751"/>
      <c r="NDC29" s="751"/>
      <c r="NDD29" s="752"/>
      <c r="NDE29" s="752"/>
      <c r="NDF29" s="753"/>
      <c r="NDG29" s="753"/>
      <c r="NDH29" s="753"/>
      <c r="NDI29" s="753"/>
      <c r="NDJ29" s="753"/>
      <c r="NDK29" s="753"/>
      <c r="NDL29" s="753"/>
      <c r="NDM29" s="753"/>
      <c r="NDN29" s="753"/>
      <c r="NDO29" s="750"/>
      <c r="NDP29" s="751"/>
      <c r="NDQ29" s="752"/>
      <c r="NDR29" s="751"/>
      <c r="NDS29" s="751"/>
      <c r="NDT29" s="752"/>
      <c r="NDU29" s="752"/>
      <c r="NDV29" s="753"/>
      <c r="NDW29" s="753"/>
      <c r="NDX29" s="753"/>
      <c r="NDY29" s="753"/>
      <c r="NDZ29" s="753"/>
      <c r="NEA29" s="753"/>
      <c r="NEB29" s="753"/>
      <c r="NEC29" s="753"/>
      <c r="NED29" s="753"/>
      <c r="NEE29" s="750"/>
      <c r="NEF29" s="751"/>
      <c r="NEG29" s="752"/>
      <c r="NEH29" s="751"/>
      <c r="NEI29" s="751"/>
      <c r="NEJ29" s="752"/>
      <c r="NEK29" s="752"/>
      <c r="NEL29" s="753"/>
      <c r="NEM29" s="753"/>
      <c r="NEN29" s="753"/>
      <c r="NEO29" s="753"/>
      <c r="NEP29" s="753"/>
      <c r="NEQ29" s="753"/>
      <c r="NER29" s="753"/>
      <c r="NES29" s="753"/>
      <c r="NET29" s="753"/>
      <c r="NEU29" s="750"/>
      <c r="NEV29" s="751"/>
      <c r="NEW29" s="752"/>
      <c r="NEX29" s="751"/>
      <c r="NEY29" s="751"/>
      <c r="NEZ29" s="752"/>
      <c r="NFA29" s="752"/>
      <c r="NFB29" s="753"/>
      <c r="NFC29" s="753"/>
      <c r="NFD29" s="753"/>
      <c r="NFE29" s="753"/>
      <c r="NFF29" s="753"/>
      <c r="NFG29" s="753"/>
      <c r="NFH29" s="753"/>
      <c r="NFI29" s="753"/>
      <c r="NFJ29" s="753"/>
      <c r="NFK29" s="750"/>
      <c r="NFL29" s="751"/>
      <c r="NFM29" s="752"/>
      <c r="NFN29" s="751"/>
      <c r="NFO29" s="751"/>
      <c r="NFP29" s="752"/>
      <c r="NFQ29" s="752"/>
      <c r="NFR29" s="753"/>
      <c r="NFS29" s="753"/>
      <c r="NFT29" s="753"/>
      <c r="NFU29" s="753"/>
      <c r="NFV29" s="753"/>
      <c r="NFW29" s="753"/>
      <c r="NFX29" s="753"/>
      <c r="NFY29" s="753"/>
      <c r="NFZ29" s="753"/>
      <c r="NGA29" s="750"/>
      <c r="NGB29" s="751"/>
      <c r="NGC29" s="752"/>
      <c r="NGD29" s="751"/>
      <c r="NGE29" s="751"/>
      <c r="NGF29" s="752"/>
      <c r="NGG29" s="752"/>
      <c r="NGH29" s="753"/>
      <c r="NGI29" s="753"/>
      <c r="NGJ29" s="753"/>
      <c r="NGK29" s="753"/>
      <c r="NGL29" s="753"/>
      <c r="NGM29" s="753"/>
      <c r="NGN29" s="753"/>
      <c r="NGO29" s="753"/>
      <c r="NGP29" s="753"/>
      <c r="NGQ29" s="750"/>
      <c r="NGR29" s="751"/>
      <c r="NGS29" s="752"/>
      <c r="NGT29" s="751"/>
      <c r="NGU29" s="751"/>
      <c r="NGV29" s="752"/>
      <c r="NGW29" s="752"/>
      <c r="NGX29" s="753"/>
      <c r="NGY29" s="753"/>
      <c r="NGZ29" s="753"/>
      <c r="NHA29" s="753"/>
      <c r="NHB29" s="753"/>
      <c r="NHC29" s="753"/>
      <c r="NHD29" s="753"/>
      <c r="NHE29" s="753"/>
      <c r="NHF29" s="753"/>
      <c r="NHG29" s="750"/>
      <c r="NHH29" s="751"/>
      <c r="NHI29" s="752"/>
      <c r="NHJ29" s="751"/>
      <c r="NHK29" s="751"/>
      <c r="NHL29" s="752"/>
      <c r="NHM29" s="752"/>
      <c r="NHN29" s="753"/>
      <c r="NHO29" s="753"/>
      <c r="NHP29" s="753"/>
      <c r="NHQ29" s="753"/>
      <c r="NHR29" s="753"/>
      <c r="NHS29" s="753"/>
      <c r="NHT29" s="753"/>
      <c r="NHU29" s="753"/>
      <c r="NHV29" s="753"/>
      <c r="NHW29" s="750"/>
      <c r="NHX29" s="751"/>
      <c r="NHY29" s="752"/>
      <c r="NHZ29" s="751"/>
      <c r="NIA29" s="751"/>
      <c r="NIB29" s="752"/>
      <c r="NIC29" s="752"/>
      <c r="NID29" s="753"/>
      <c r="NIE29" s="753"/>
      <c r="NIF29" s="753"/>
      <c r="NIG29" s="753"/>
      <c r="NIH29" s="753"/>
      <c r="NII29" s="753"/>
      <c r="NIJ29" s="753"/>
      <c r="NIK29" s="753"/>
      <c r="NIL29" s="753"/>
      <c r="NIM29" s="750"/>
      <c r="NIN29" s="751"/>
      <c r="NIO29" s="752"/>
      <c r="NIP29" s="751"/>
      <c r="NIQ29" s="751"/>
      <c r="NIR29" s="752"/>
      <c r="NIS29" s="752"/>
      <c r="NIT29" s="753"/>
      <c r="NIU29" s="753"/>
      <c r="NIV29" s="753"/>
      <c r="NIW29" s="753"/>
      <c r="NIX29" s="753"/>
      <c r="NIY29" s="753"/>
      <c r="NIZ29" s="753"/>
      <c r="NJA29" s="753"/>
      <c r="NJB29" s="753"/>
      <c r="NJC29" s="750"/>
      <c r="NJD29" s="751"/>
      <c r="NJE29" s="752"/>
      <c r="NJF29" s="751"/>
      <c r="NJG29" s="751"/>
      <c r="NJH29" s="752"/>
      <c r="NJI29" s="752"/>
      <c r="NJJ29" s="753"/>
      <c r="NJK29" s="753"/>
      <c r="NJL29" s="753"/>
      <c r="NJM29" s="753"/>
      <c r="NJN29" s="753"/>
      <c r="NJO29" s="753"/>
      <c r="NJP29" s="753"/>
      <c r="NJQ29" s="753"/>
      <c r="NJR29" s="753"/>
      <c r="NJS29" s="750"/>
      <c r="NJT29" s="751"/>
      <c r="NJU29" s="752"/>
      <c r="NJV29" s="751"/>
      <c r="NJW29" s="751"/>
      <c r="NJX29" s="752"/>
      <c r="NJY29" s="752"/>
      <c r="NJZ29" s="753"/>
      <c r="NKA29" s="753"/>
      <c r="NKB29" s="753"/>
      <c r="NKC29" s="753"/>
      <c r="NKD29" s="753"/>
      <c r="NKE29" s="753"/>
      <c r="NKF29" s="753"/>
      <c r="NKG29" s="753"/>
      <c r="NKH29" s="753"/>
      <c r="NKI29" s="750"/>
      <c r="NKJ29" s="751"/>
      <c r="NKK29" s="752"/>
      <c r="NKL29" s="751"/>
      <c r="NKM29" s="751"/>
      <c r="NKN29" s="752"/>
      <c r="NKO29" s="752"/>
      <c r="NKP29" s="753"/>
      <c r="NKQ29" s="753"/>
      <c r="NKR29" s="753"/>
      <c r="NKS29" s="753"/>
      <c r="NKT29" s="753"/>
      <c r="NKU29" s="753"/>
      <c r="NKV29" s="753"/>
      <c r="NKW29" s="753"/>
      <c r="NKX29" s="753"/>
      <c r="NKY29" s="750"/>
      <c r="NKZ29" s="751"/>
      <c r="NLA29" s="752"/>
      <c r="NLB29" s="751"/>
      <c r="NLC29" s="751"/>
      <c r="NLD29" s="752"/>
      <c r="NLE29" s="752"/>
      <c r="NLF29" s="753"/>
      <c r="NLG29" s="753"/>
      <c r="NLH29" s="753"/>
      <c r="NLI29" s="753"/>
      <c r="NLJ29" s="753"/>
      <c r="NLK29" s="753"/>
      <c r="NLL29" s="753"/>
      <c r="NLM29" s="753"/>
      <c r="NLN29" s="753"/>
      <c r="NLO29" s="750"/>
      <c r="NLP29" s="751"/>
      <c r="NLQ29" s="752"/>
      <c r="NLR29" s="751"/>
      <c r="NLS29" s="751"/>
      <c r="NLT29" s="752"/>
      <c r="NLU29" s="752"/>
      <c r="NLV29" s="753"/>
      <c r="NLW29" s="753"/>
      <c r="NLX29" s="753"/>
      <c r="NLY29" s="753"/>
      <c r="NLZ29" s="753"/>
      <c r="NMA29" s="753"/>
      <c r="NMB29" s="753"/>
      <c r="NMC29" s="753"/>
      <c r="NMD29" s="753"/>
      <c r="NME29" s="750"/>
      <c r="NMF29" s="751"/>
      <c r="NMG29" s="752"/>
      <c r="NMH29" s="751"/>
      <c r="NMI29" s="751"/>
      <c r="NMJ29" s="752"/>
      <c r="NMK29" s="752"/>
      <c r="NML29" s="753"/>
      <c r="NMM29" s="753"/>
      <c r="NMN29" s="753"/>
      <c r="NMO29" s="753"/>
      <c r="NMP29" s="753"/>
      <c r="NMQ29" s="753"/>
      <c r="NMR29" s="753"/>
      <c r="NMS29" s="753"/>
      <c r="NMT29" s="753"/>
      <c r="NMU29" s="750"/>
      <c r="NMV29" s="751"/>
      <c r="NMW29" s="752"/>
      <c r="NMX29" s="751"/>
      <c r="NMY29" s="751"/>
      <c r="NMZ29" s="752"/>
      <c r="NNA29" s="752"/>
      <c r="NNB29" s="753"/>
      <c r="NNC29" s="753"/>
      <c r="NND29" s="753"/>
      <c r="NNE29" s="753"/>
      <c r="NNF29" s="753"/>
      <c r="NNG29" s="753"/>
      <c r="NNH29" s="753"/>
      <c r="NNI29" s="753"/>
      <c r="NNJ29" s="753"/>
      <c r="NNK29" s="750"/>
      <c r="NNL29" s="751"/>
      <c r="NNM29" s="752"/>
      <c r="NNN29" s="751"/>
      <c r="NNO29" s="751"/>
      <c r="NNP29" s="752"/>
      <c r="NNQ29" s="752"/>
      <c r="NNR29" s="753"/>
      <c r="NNS29" s="753"/>
      <c r="NNT29" s="753"/>
      <c r="NNU29" s="753"/>
      <c r="NNV29" s="753"/>
      <c r="NNW29" s="753"/>
      <c r="NNX29" s="753"/>
      <c r="NNY29" s="753"/>
      <c r="NNZ29" s="753"/>
      <c r="NOA29" s="750"/>
      <c r="NOB29" s="751"/>
      <c r="NOC29" s="752"/>
      <c r="NOD29" s="751"/>
      <c r="NOE29" s="751"/>
      <c r="NOF29" s="752"/>
      <c r="NOG29" s="752"/>
      <c r="NOH29" s="753"/>
      <c r="NOI29" s="753"/>
      <c r="NOJ29" s="753"/>
      <c r="NOK29" s="753"/>
      <c r="NOL29" s="753"/>
      <c r="NOM29" s="753"/>
      <c r="NON29" s="753"/>
      <c r="NOO29" s="753"/>
      <c r="NOP29" s="753"/>
      <c r="NOQ29" s="750"/>
      <c r="NOR29" s="751"/>
      <c r="NOS29" s="752"/>
      <c r="NOT29" s="751"/>
      <c r="NOU29" s="751"/>
      <c r="NOV29" s="752"/>
      <c r="NOW29" s="752"/>
      <c r="NOX29" s="753"/>
      <c r="NOY29" s="753"/>
      <c r="NOZ29" s="753"/>
      <c r="NPA29" s="753"/>
      <c r="NPB29" s="753"/>
      <c r="NPC29" s="753"/>
      <c r="NPD29" s="753"/>
      <c r="NPE29" s="753"/>
      <c r="NPF29" s="753"/>
      <c r="NPG29" s="750"/>
      <c r="NPH29" s="751"/>
      <c r="NPI29" s="752"/>
      <c r="NPJ29" s="751"/>
      <c r="NPK29" s="751"/>
      <c r="NPL29" s="752"/>
      <c r="NPM29" s="752"/>
      <c r="NPN29" s="753"/>
      <c r="NPO29" s="753"/>
      <c r="NPP29" s="753"/>
      <c r="NPQ29" s="753"/>
      <c r="NPR29" s="753"/>
      <c r="NPS29" s="753"/>
      <c r="NPT29" s="753"/>
      <c r="NPU29" s="753"/>
      <c r="NPV29" s="753"/>
      <c r="NPW29" s="750"/>
      <c r="NPX29" s="751"/>
      <c r="NPY29" s="752"/>
      <c r="NPZ29" s="751"/>
      <c r="NQA29" s="751"/>
      <c r="NQB29" s="752"/>
      <c r="NQC29" s="752"/>
      <c r="NQD29" s="753"/>
      <c r="NQE29" s="753"/>
      <c r="NQF29" s="753"/>
      <c r="NQG29" s="753"/>
      <c r="NQH29" s="753"/>
      <c r="NQI29" s="753"/>
      <c r="NQJ29" s="753"/>
      <c r="NQK29" s="753"/>
      <c r="NQL29" s="753"/>
      <c r="NQM29" s="750"/>
      <c r="NQN29" s="751"/>
      <c r="NQO29" s="752"/>
      <c r="NQP29" s="751"/>
      <c r="NQQ29" s="751"/>
      <c r="NQR29" s="752"/>
      <c r="NQS29" s="752"/>
      <c r="NQT29" s="753"/>
      <c r="NQU29" s="753"/>
      <c r="NQV29" s="753"/>
      <c r="NQW29" s="753"/>
      <c r="NQX29" s="753"/>
      <c r="NQY29" s="753"/>
      <c r="NQZ29" s="753"/>
      <c r="NRA29" s="753"/>
      <c r="NRB29" s="753"/>
      <c r="NRC29" s="750"/>
      <c r="NRD29" s="751"/>
      <c r="NRE29" s="752"/>
      <c r="NRF29" s="751"/>
      <c r="NRG29" s="751"/>
      <c r="NRH29" s="752"/>
      <c r="NRI29" s="752"/>
      <c r="NRJ29" s="753"/>
      <c r="NRK29" s="753"/>
      <c r="NRL29" s="753"/>
      <c r="NRM29" s="753"/>
      <c r="NRN29" s="753"/>
      <c r="NRO29" s="753"/>
      <c r="NRP29" s="753"/>
      <c r="NRQ29" s="753"/>
      <c r="NRR29" s="753"/>
      <c r="NRS29" s="750"/>
      <c r="NRT29" s="751"/>
      <c r="NRU29" s="752"/>
      <c r="NRV29" s="751"/>
      <c r="NRW29" s="751"/>
      <c r="NRX29" s="752"/>
      <c r="NRY29" s="752"/>
      <c r="NRZ29" s="753"/>
      <c r="NSA29" s="753"/>
      <c r="NSB29" s="753"/>
      <c r="NSC29" s="753"/>
      <c r="NSD29" s="753"/>
      <c r="NSE29" s="753"/>
      <c r="NSF29" s="753"/>
      <c r="NSG29" s="753"/>
      <c r="NSH29" s="753"/>
      <c r="NSI29" s="750"/>
      <c r="NSJ29" s="751"/>
      <c r="NSK29" s="752"/>
      <c r="NSL29" s="751"/>
      <c r="NSM29" s="751"/>
      <c r="NSN29" s="752"/>
      <c r="NSO29" s="752"/>
      <c r="NSP29" s="753"/>
      <c r="NSQ29" s="753"/>
      <c r="NSR29" s="753"/>
      <c r="NSS29" s="753"/>
      <c r="NST29" s="753"/>
      <c r="NSU29" s="753"/>
      <c r="NSV29" s="753"/>
      <c r="NSW29" s="753"/>
      <c r="NSX29" s="753"/>
      <c r="NSY29" s="750"/>
      <c r="NSZ29" s="751"/>
      <c r="NTA29" s="752"/>
      <c r="NTB29" s="751"/>
      <c r="NTC29" s="751"/>
      <c r="NTD29" s="752"/>
      <c r="NTE29" s="752"/>
      <c r="NTF29" s="753"/>
      <c r="NTG29" s="753"/>
      <c r="NTH29" s="753"/>
      <c r="NTI29" s="753"/>
      <c r="NTJ29" s="753"/>
      <c r="NTK29" s="753"/>
      <c r="NTL29" s="753"/>
      <c r="NTM29" s="753"/>
      <c r="NTN29" s="753"/>
      <c r="NTO29" s="750"/>
      <c r="NTP29" s="751"/>
      <c r="NTQ29" s="752"/>
      <c r="NTR29" s="751"/>
      <c r="NTS29" s="751"/>
      <c r="NTT29" s="752"/>
      <c r="NTU29" s="752"/>
      <c r="NTV29" s="753"/>
      <c r="NTW29" s="753"/>
      <c r="NTX29" s="753"/>
      <c r="NTY29" s="753"/>
      <c r="NTZ29" s="753"/>
      <c r="NUA29" s="753"/>
      <c r="NUB29" s="753"/>
      <c r="NUC29" s="753"/>
      <c r="NUD29" s="753"/>
      <c r="NUE29" s="750"/>
      <c r="NUF29" s="751"/>
      <c r="NUG29" s="752"/>
      <c r="NUH29" s="751"/>
      <c r="NUI29" s="751"/>
      <c r="NUJ29" s="752"/>
      <c r="NUK29" s="752"/>
      <c r="NUL29" s="753"/>
      <c r="NUM29" s="753"/>
      <c r="NUN29" s="753"/>
      <c r="NUO29" s="753"/>
      <c r="NUP29" s="753"/>
      <c r="NUQ29" s="753"/>
      <c r="NUR29" s="753"/>
      <c r="NUS29" s="753"/>
      <c r="NUT29" s="753"/>
      <c r="NUU29" s="750"/>
      <c r="NUV29" s="751"/>
      <c r="NUW29" s="752"/>
      <c r="NUX29" s="751"/>
      <c r="NUY29" s="751"/>
      <c r="NUZ29" s="752"/>
      <c r="NVA29" s="752"/>
      <c r="NVB29" s="753"/>
      <c r="NVC29" s="753"/>
      <c r="NVD29" s="753"/>
      <c r="NVE29" s="753"/>
      <c r="NVF29" s="753"/>
      <c r="NVG29" s="753"/>
      <c r="NVH29" s="753"/>
      <c r="NVI29" s="753"/>
      <c r="NVJ29" s="753"/>
      <c r="NVK29" s="750"/>
      <c r="NVL29" s="751"/>
      <c r="NVM29" s="752"/>
      <c r="NVN29" s="751"/>
      <c r="NVO29" s="751"/>
      <c r="NVP29" s="752"/>
      <c r="NVQ29" s="752"/>
      <c r="NVR29" s="753"/>
      <c r="NVS29" s="753"/>
      <c r="NVT29" s="753"/>
      <c r="NVU29" s="753"/>
      <c r="NVV29" s="753"/>
      <c r="NVW29" s="753"/>
      <c r="NVX29" s="753"/>
      <c r="NVY29" s="753"/>
      <c r="NVZ29" s="753"/>
      <c r="NWA29" s="750"/>
      <c r="NWB29" s="751"/>
      <c r="NWC29" s="752"/>
      <c r="NWD29" s="751"/>
      <c r="NWE29" s="751"/>
      <c r="NWF29" s="752"/>
      <c r="NWG29" s="752"/>
      <c r="NWH29" s="753"/>
      <c r="NWI29" s="753"/>
      <c r="NWJ29" s="753"/>
      <c r="NWK29" s="753"/>
      <c r="NWL29" s="753"/>
      <c r="NWM29" s="753"/>
      <c r="NWN29" s="753"/>
      <c r="NWO29" s="753"/>
      <c r="NWP29" s="753"/>
      <c r="NWQ29" s="750"/>
      <c r="NWR29" s="751"/>
      <c r="NWS29" s="752"/>
      <c r="NWT29" s="751"/>
      <c r="NWU29" s="751"/>
      <c r="NWV29" s="752"/>
      <c r="NWW29" s="752"/>
      <c r="NWX29" s="753"/>
      <c r="NWY29" s="753"/>
      <c r="NWZ29" s="753"/>
      <c r="NXA29" s="753"/>
      <c r="NXB29" s="753"/>
      <c r="NXC29" s="753"/>
      <c r="NXD29" s="753"/>
      <c r="NXE29" s="753"/>
      <c r="NXF29" s="753"/>
      <c r="NXG29" s="750"/>
      <c r="NXH29" s="751"/>
      <c r="NXI29" s="752"/>
      <c r="NXJ29" s="751"/>
      <c r="NXK29" s="751"/>
      <c r="NXL29" s="752"/>
      <c r="NXM29" s="752"/>
      <c r="NXN29" s="753"/>
      <c r="NXO29" s="753"/>
      <c r="NXP29" s="753"/>
      <c r="NXQ29" s="753"/>
      <c r="NXR29" s="753"/>
      <c r="NXS29" s="753"/>
      <c r="NXT29" s="753"/>
      <c r="NXU29" s="753"/>
      <c r="NXV29" s="753"/>
      <c r="NXW29" s="750"/>
      <c r="NXX29" s="751"/>
      <c r="NXY29" s="752"/>
      <c r="NXZ29" s="751"/>
      <c r="NYA29" s="751"/>
      <c r="NYB29" s="752"/>
      <c r="NYC29" s="752"/>
      <c r="NYD29" s="753"/>
      <c r="NYE29" s="753"/>
      <c r="NYF29" s="753"/>
      <c r="NYG29" s="753"/>
      <c r="NYH29" s="753"/>
      <c r="NYI29" s="753"/>
      <c r="NYJ29" s="753"/>
      <c r="NYK29" s="753"/>
      <c r="NYL29" s="753"/>
      <c r="NYM29" s="750"/>
      <c r="NYN29" s="751"/>
      <c r="NYO29" s="752"/>
      <c r="NYP29" s="751"/>
      <c r="NYQ29" s="751"/>
      <c r="NYR29" s="752"/>
      <c r="NYS29" s="752"/>
      <c r="NYT29" s="753"/>
      <c r="NYU29" s="753"/>
      <c r="NYV29" s="753"/>
      <c r="NYW29" s="753"/>
      <c r="NYX29" s="753"/>
      <c r="NYY29" s="753"/>
      <c r="NYZ29" s="753"/>
      <c r="NZA29" s="753"/>
      <c r="NZB29" s="753"/>
      <c r="NZC29" s="750"/>
      <c r="NZD29" s="751"/>
      <c r="NZE29" s="752"/>
      <c r="NZF29" s="751"/>
      <c r="NZG29" s="751"/>
      <c r="NZH29" s="752"/>
      <c r="NZI29" s="752"/>
      <c r="NZJ29" s="753"/>
      <c r="NZK29" s="753"/>
      <c r="NZL29" s="753"/>
      <c r="NZM29" s="753"/>
      <c r="NZN29" s="753"/>
      <c r="NZO29" s="753"/>
      <c r="NZP29" s="753"/>
      <c r="NZQ29" s="753"/>
      <c r="NZR29" s="753"/>
      <c r="NZS29" s="750"/>
      <c r="NZT29" s="751"/>
      <c r="NZU29" s="752"/>
      <c r="NZV29" s="751"/>
      <c r="NZW29" s="751"/>
      <c r="NZX29" s="752"/>
      <c r="NZY29" s="752"/>
      <c r="NZZ29" s="753"/>
      <c r="OAA29" s="753"/>
      <c r="OAB29" s="753"/>
      <c r="OAC29" s="753"/>
      <c r="OAD29" s="753"/>
      <c r="OAE29" s="753"/>
      <c r="OAF29" s="753"/>
      <c r="OAG29" s="753"/>
      <c r="OAH29" s="753"/>
      <c r="OAI29" s="750"/>
      <c r="OAJ29" s="751"/>
      <c r="OAK29" s="752"/>
      <c r="OAL29" s="751"/>
      <c r="OAM29" s="751"/>
      <c r="OAN29" s="752"/>
      <c r="OAO29" s="752"/>
      <c r="OAP29" s="753"/>
      <c r="OAQ29" s="753"/>
      <c r="OAR29" s="753"/>
      <c r="OAS29" s="753"/>
      <c r="OAT29" s="753"/>
      <c r="OAU29" s="753"/>
      <c r="OAV29" s="753"/>
      <c r="OAW29" s="753"/>
      <c r="OAX29" s="753"/>
      <c r="OAY29" s="750"/>
      <c r="OAZ29" s="751"/>
      <c r="OBA29" s="752"/>
      <c r="OBB29" s="751"/>
      <c r="OBC29" s="751"/>
      <c r="OBD29" s="752"/>
      <c r="OBE29" s="752"/>
      <c r="OBF29" s="753"/>
      <c r="OBG29" s="753"/>
      <c r="OBH29" s="753"/>
      <c r="OBI29" s="753"/>
      <c r="OBJ29" s="753"/>
      <c r="OBK29" s="753"/>
      <c r="OBL29" s="753"/>
      <c r="OBM29" s="753"/>
      <c r="OBN29" s="753"/>
      <c r="OBO29" s="750"/>
      <c r="OBP29" s="751"/>
      <c r="OBQ29" s="752"/>
      <c r="OBR29" s="751"/>
      <c r="OBS29" s="751"/>
      <c r="OBT29" s="752"/>
      <c r="OBU29" s="752"/>
      <c r="OBV29" s="753"/>
      <c r="OBW29" s="753"/>
      <c r="OBX29" s="753"/>
      <c r="OBY29" s="753"/>
      <c r="OBZ29" s="753"/>
      <c r="OCA29" s="753"/>
      <c r="OCB29" s="753"/>
      <c r="OCC29" s="753"/>
      <c r="OCD29" s="753"/>
      <c r="OCE29" s="750"/>
      <c r="OCF29" s="751"/>
      <c r="OCG29" s="752"/>
      <c r="OCH29" s="751"/>
      <c r="OCI29" s="751"/>
      <c r="OCJ29" s="752"/>
      <c r="OCK29" s="752"/>
      <c r="OCL29" s="753"/>
      <c r="OCM29" s="753"/>
      <c r="OCN29" s="753"/>
      <c r="OCO29" s="753"/>
      <c r="OCP29" s="753"/>
      <c r="OCQ29" s="753"/>
      <c r="OCR29" s="753"/>
      <c r="OCS29" s="753"/>
      <c r="OCT29" s="753"/>
      <c r="OCU29" s="750"/>
      <c r="OCV29" s="751"/>
      <c r="OCW29" s="752"/>
      <c r="OCX29" s="751"/>
      <c r="OCY29" s="751"/>
      <c r="OCZ29" s="752"/>
      <c r="ODA29" s="752"/>
      <c r="ODB29" s="753"/>
      <c r="ODC29" s="753"/>
      <c r="ODD29" s="753"/>
      <c r="ODE29" s="753"/>
      <c r="ODF29" s="753"/>
      <c r="ODG29" s="753"/>
      <c r="ODH29" s="753"/>
      <c r="ODI29" s="753"/>
      <c r="ODJ29" s="753"/>
      <c r="ODK29" s="750"/>
      <c r="ODL29" s="751"/>
      <c r="ODM29" s="752"/>
      <c r="ODN29" s="751"/>
      <c r="ODO29" s="751"/>
      <c r="ODP29" s="752"/>
      <c r="ODQ29" s="752"/>
      <c r="ODR29" s="753"/>
      <c r="ODS29" s="753"/>
      <c r="ODT29" s="753"/>
      <c r="ODU29" s="753"/>
      <c r="ODV29" s="753"/>
      <c r="ODW29" s="753"/>
      <c r="ODX29" s="753"/>
      <c r="ODY29" s="753"/>
      <c r="ODZ29" s="753"/>
      <c r="OEA29" s="750"/>
      <c r="OEB29" s="751"/>
      <c r="OEC29" s="752"/>
      <c r="OED29" s="751"/>
      <c r="OEE29" s="751"/>
      <c r="OEF29" s="752"/>
      <c r="OEG29" s="752"/>
      <c r="OEH29" s="753"/>
      <c r="OEI29" s="753"/>
      <c r="OEJ29" s="753"/>
      <c r="OEK29" s="753"/>
      <c r="OEL29" s="753"/>
      <c r="OEM29" s="753"/>
      <c r="OEN29" s="753"/>
      <c r="OEO29" s="753"/>
      <c r="OEP29" s="753"/>
      <c r="OEQ29" s="750"/>
      <c r="OER29" s="751"/>
      <c r="OES29" s="752"/>
      <c r="OET29" s="751"/>
      <c r="OEU29" s="751"/>
      <c r="OEV29" s="752"/>
      <c r="OEW29" s="752"/>
      <c r="OEX29" s="753"/>
      <c r="OEY29" s="753"/>
      <c r="OEZ29" s="753"/>
      <c r="OFA29" s="753"/>
      <c r="OFB29" s="753"/>
      <c r="OFC29" s="753"/>
      <c r="OFD29" s="753"/>
      <c r="OFE29" s="753"/>
      <c r="OFF29" s="753"/>
      <c r="OFG29" s="750"/>
      <c r="OFH29" s="751"/>
      <c r="OFI29" s="752"/>
      <c r="OFJ29" s="751"/>
      <c r="OFK29" s="751"/>
      <c r="OFL29" s="752"/>
      <c r="OFM29" s="752"/>
      <c r="OFN29" s="753"/>
      <c r="OFO29" s="753"/>
      <c r="OFP29" s="753"/>
      <c r="OFQ29" s="753"/>
      <c r="OFR29" s="753"/>
      <c r="OFS29" s="753"/>
      <c r="OFT29" s="753"/>
      <c r="OFU29" s="753"/>
      <c r="OFV29" s="753"/>
      <c r="OFW29" s="750"/>
      <c r="OFX29" s="751"/>
      <c r="OFY29" s="752"/>
      <c r="OFZ29" s="751"/>
      <c r="OGA29" s="751"/>
      <c r="OGB29" s="752"/>
      <c r="OGC29" s="752"/>
      <c r="OGD29" s="753"/>
      <c r="OGE29" s="753"/>
      <c r="OGF29" s="753"/>
      <c r="OGG29" s="753"/>
      <c r="OGH29" s="753"/>
      <c r="OGI29" s="753"/>
      <c r="OGJ29" s="753"/>
      <c r="OGK29" s="753"/>
      <c r="OGL29" s="753"/>
      <c r="OGM29" s="750"/>
      <c r="OGN29" s="751"/>
      <c r="OGO29" s="752"/>
      <c r="OGP29" s="751"/>
      <c r="OGQ29" s="751"/>
      <c r="OGR29" s="752"/>
      <c r="OGS29" s="752"/>
      <c r="OGT29" s="753"/>
      <c r="OGU29" s="753"/>
      <c r="OGV29" s="753"/>
      <c r="OGW29" s="753"/>
      <c r="OGX29" s="753"/>
      <c r="OGY29" s="753"/>
      <c r="OGZ29" s="753"/>
      <c r="OHA29" s="753"/>
      <c r="OHB29" s="753"/>
      <c r="OHC29" s="750"/>
      <c r="OHD29" s="751"/>
      <c r="OHE29" s="752"/>
      <c r="OHF29" s="751"/>
      <c r="OHG29" s="751"/>
      <c r="OHH29" s="752"/>
      <c r="OHI29" s="752"/>
      <c r="OHJ29" s="753"/>
      <c r="OHK29" s="753"/>
      <c r="OHL29" s="753"/>
      <c r="OHM29" s="753"/>
      <c r="OHN29" s="753"/>
      <c r="OHO29" s="753"/>
      <c r="OHP29" s="753"/>
      <c r="OHQ29" s="753"/>
      <c r="OHR29" s="753"/>
      <c r="OHS29" s="750"/>
      <c r="OHT29" s="751"/>
      <c r="OHU29" s="752"/>
      <c r="OHV29" s="751"/>
      <c r="OHW29" s="751"/>
      <c r="OHX29" s="752"/>
      <c r="OHY29" s="752"/>
      <c r="OHZ29" s="753"/>
      <c r="OIA29" s="753"/>
      <c r="OIB29" s="753"/>
      <c r="OIC29" s="753"/>
      <c r="OID29" s="753"/>
      <c r="OIE29" s="753"/>
      <c r="OIF29" s="753"/>
      <c r="OIG29" s="753"/>
      <c r="OIH29" s="753"/>
      <c r="OII29" s="750"/>
      <c r="OIJ29" s="751"/>
      <c r="OIK29" s="752"/>
      <c r="OIL29" s="751"/>
      <c r="OIM29" s="751"/>
      <c r="OIN29" s="752"/>
      <c r="OIO29" s="752"/>
      <c r="OIP29" s="753"/>
      <c r="OIQ29" s="753"/>
      <c r="OIR29" s="753"/>
      <c r="OIS29" s="753"/>
      <c r="OIT29" s="753"/>
      <c r="OIU29" s="753"/>
      <c r="OIV29" s="753"/>
      <c r="OIW29" s="753"/>
      <c r="OIX29" s="753"/>
      <c r="OIY29" s="750"/>
      <c r="OIZ29" s="751"/>
      <c r="OJA29" s="752"/>
      <c r="OJB29" s="751"/>
      <c r="OJC29" s="751"/>
      <c r="OJD29" s="752"/>
      <c r="OJE29" s="752"/>
      <c r="OJF29" s="753"/>
      <c r="OJG29" s="753"/>
      <c r="OJH29" s="753"/>
      <c r="OJI29" s="753"/>
      <c r="OJJ29" s="753"/>
      <c r="OJK29" s="753"/>
      <c r="OJL29" s="753"/>
      <c r="OJM29" s="753"/>
      <c r="OJN29" s="753"/>
      <c r="OJO29" s="750"/>
      <c r="OJP29" s="751"/>
      <c r="OJQ29" s="752"/>
      <c r="OJR29" s="751"/>
      <c r="OJS29" s="751"/>
      <c r="OJT29" s="752"/>
      <c r="OJU29" s="752"/>
      <c r="OJV29" s="753"/>
      <c r="OJW29" s="753"/>
      <c r="OJX29" s="753"/>
      <c r="OJY29" s="753"/>
      <c r="OJZ29" s="753"/>
      <c r="OKA29" s="753"/>
      <c r="OKB29" s="753"/>
      <c r="OKC29" s="753"/>
      <c r="OKD29" s="753"/>
      <c r="OKE29" s="750"/>
      <c r="OKF29" s="751"/>
      <c r="OKG29" s="752"/>
      <c r="OKH29" s="751"/>
      <c r="OKI29" s="751"/>
      <c r="OKJ29" s="752"/>
      <c r="OKK29" s="752"/>
      <c r="OKL29" s="753"/>
      <c r="OKM29" s="753"/>
      <c r="OKN29" s="753"/>
      <c r="OKO29" s="753"/>
      <c r="OKP29" s="753"/>
      <c r="OKQ29" s="753"/>
      <c r="OKR29" s="753"/>
      <c r="OKS29" s="753"/>
      <c r="OKT29" s="753"/>
      <c r="OKU29" s="750"/>
      <c r="OKV29" s="751"/>
      <c r="OKW29" s="752"/>
      <c r="OKX29" s="751"/>
      <c r="OKY29" s="751"/>
      <c r="OKZ29" s="752"/>
      <c r="OLA29" s="752"/>
      <c r="OLB29" s="753"/>
      <c r="OLC29" s="753"/>
      <c r="OLD29" s="753"/>
      <c r="OLE29" s="753"/>
      <c r="OLF29" s="753"/>
      <c r="OLG29" s="753"/>
      <c r="OLH29" s="753"/>
      <c r="OLI29" s="753"/>
      <c r="OLJ29" s="753"/>
      <c r="OLK29" s="750"/>
      <c r="OLL29" s="751"/>
      <c r="OLM29" s="752"/>
      <c r="OLN29" s="751"/>
      <c r="OLO29" s="751"/>
      <c r="OLP29" s="752"/>
      <c r="OLQ29" s="752"/>
      <c r="OLR29" s="753"/>
      <c r="OLS29" s="753"/>
      <c r="OLT29" s="753"/>
      <c r="OLU29" s="753"/>
      <c r="OLV29" s="753"/>
      <c r="OLW29" s="753"/>
      <c r="OLX29" s="753"/>
      <c r="OLY29" s="753"/>
      <c r="OLZ29" s="753"/>
      <c r="OMA29" s="750"/>
      <c r="OMB29" s="751"/>
      <c r="OMC29" s="752"/>
      <c r="OMD29" s="751"/>
      <c r="OME29" s="751"/>
      <c r="OMF29" s="752"/>
      <c r="OMG29" s="752"/>
      <c r="OMH29" s="753"/>
      <c r="OMI29" s="753"/>
      <c r="OMJ29" s="753"/>
      <c r="OMK29" s="753"/>
      <c r="OML29" s="753"/>
      <c r="OMM29" s="753"/>
      <c r="OMN29" s="753"/>
      <c r="OMO29" s="753"/>
      <c r="OMP29" s="753"/>
      <c r="OMQ29" s="750"/>
      <c r="OMR29" s="751"/>
      <c r="OMS29" s="752"/>
      <c r="OMT29" s="751"/>
      <c r="OMU29" s="751"/>
      <c r="OMV29" s="752"/>
      <c r="OMW29" s="752"/>
      <c r="OMX29" s="753"/>
      <c r="OMY29" s="753"/>
      <c r="OMZ29" s="753"/>
      <c r="ONA29" s="753"/>
      <c r="ONB29" s="753"/>
      <c r="ONC29" s="753"/>
      <c r="OND29" s="753"/>
      <c r="ONE29" s="753"/>
      <c r="ONF29" s="753"/>
      <c r="ONG29" s="750"/>
      <c r="ONH29" s="751"/>
      <c r="ONI29" s="752"/>
      <c r="ONJ29" s="751"/>
      <c r="ONK29" s="751"/>
      <c r="ONL29" s="752"/>
      <c r="ONM29" s="752"/>
      <c r="ONN29" s="753"/>
      <c r="ONO29" s="753"/>
      <c r="ONP29" s="753"/>
      <c r="ONQ29" s="753"/>
      <c r="ONR29" s="753"/>
      <c r="ONS29" s="753"/>
      <c r="ONT29" s="753"/>
      <c r="ONU29" s="753"/>
      <c r="ONV29" s="753"/>
      <c r="ONW29" s="750"/>
      <c r="ONX29" s="751"/>
      <c r="ONY29" s="752"/>
      <c r="ONZ29" s="751"/>
      <c r="OOA29" s="751"/>
      <c r="OOB29" s="752"/>
      <c r="OOC29" s="752"/>
      <c r="OOD29" s="753"/>
      <c r="OOE29" s="753"/>
      <c r="OOF29" s="753"/>
      <c r="OOG29" s="753"/>
      <c r="OOH29" s="753"/>
      <c r="OOI29" s="753"/>
      <c r="OOJ29" s="753"/>
      <c r="OOK29" s="753"/>
      <c r="OOL29" s="753"/>
      <c r="OOM29" s="750"/>
      <c r="OON29" s="751"/>
      <c r="OOO29" s="752"/>
      <c r="OOP29" s="751"/>
      <c r="OOQ29" s="751"/>
      <c r="OOR29" s="752"/>
      <c r="OOS29" s="752"/>
      <c r="OOT29" s="753"/>
      <c r="OOU29" s="753"/>
      <c r="OOV29" s="753"/>
      <c r="OOW29" s="753"/>
      <c r="OOX29" s="753"/>
      <c r="OOY29" s="753"/>
      <c r="OOZ29" s="753"/>
      <c r="OPA29" s="753"/>
      <c r="OPB29" s="753"/>
      <c r="OPC29" s="750"/>
      <c r="OPD29" s="751"/>
      <c r="OPE29" s="752"/>
      <c r="OPF29" s="751"/>
      <c r="OPG29" s="751"/>
      <c r="OPH29" s="752"/>
      <c r="OPI29" s="752"/>
      <c r="OPJ29" s="753"/>
      <c r="OPK29" s="753"/>
      <c r="OPL29" s="753"/>
      <c r="OPM29" s="753"/>
      <c r="OPN29" s="753"/>
      <c r="OPO29" s="753"/>
      <c r="OPP29" s="753"/>
      <c r="OPQ29" s="753"/>
      <c r="OPR29" s="753"/>
      <c r="OPS29" s="750"/>
      <c r="OPT29" s="751"/>
      <c r="OPU29" s="752"/>
      <c r="OPV29" s="751"/>
      <c r="OPW29" s="751"/>
      <c r="OPX29" s="752"/>
      <c r="OPY29" s="752"/>
      <c r="OPZ29" s="753"/>
      <c r="OQA29" s="753"/>
      <c r="OQB29" s="753"/>
      <c r="OQC29" s="753"/>
      <c r="OQD29" s="753"/>
      <c r="OQE29" s="753"/>
      <c r="OQF29" s="753"/>
      <c r="OQG29" s="753"/>
      <c r="OQH29" s="753"/>
      <c r="OQI29" s="750"/>
      <c r="OQJ29" s="751"/>
      <c r="OQK29" s="752"/>
      <c r="OQL29" s="751"/>
      <c r="OQM29" s="751"/>
      <c r="OQN29" s="752"/>
      <c r="OQO29" s="752"/>
      <c r="OQP29" s="753"/>
      <c r="OQQ29" s="753"/>
      <c r="OQR29" s="753"/>
      <c r="OQS29" s="753"/>
      <c r="OQT29" s="753"/>
      <c r="OQU29" s="753"/>
      <c r="OQV29" s="753"/>
      <c r="OQW29" s="753"/>
      <c r="OQX29" s="753"/>
      <c r="OQY29" s="750"/>
      <c r="OQZ29" s="751"/>
      <c r="ORA29" s="752"/>
      <c r="ORB29" s="751"/>
      <c r="ORC29" s="751"/>
      <c r="ORD29" s="752"/>
      <c r="ORE29" s="752"/>
      <c r="ORF29" s="753"/>
      <c r="ORG29" s="753"/>
      <c r="ORH29" s="753"/>
      <c r="ORI29" s="753"/>
      <c r="ORJ29" s="753"/>
      <c r="ORK29" s="753"/>
      <c r="ORL29" s="753"/>
      <c r="ORM29" s="753"/>
      <c r="ORN29" s="753"/>
      <c r="ORO29" s="750"/>
      <c r="ORP29" s="751"/>
      <c r="ORQ29" s="752"/>
      <c r="ORR29" s="751"/>
      <c r="ORS29" s="751"/>
      <c r="ORT29" s="752"/>
      <c r="ORU29" s="752"/>
      <c r="ORV29" s="753"/>
      <c r="ORW29" s="753"/>
      <c r="ORX29" s="753"/>
      <c r="ORY29" s="753"/>
      <c r="ORZ29" s="753"/>
      <c r="OSA29" s="753"/>
      <c r="OSB29" s="753"/>
      <c r="OSC29" s="753"/>
      <c r="OSD29" s="753"/>
      <c r="OSE29" s="750"/>
      <c r="OSF29" s="751"/>
      <c r="OSG29" s="752"/>
      <c r="OSH29" s="751"/>
      <c r="OSI29" s="751"/>
      <c r="OSJ29" s="752"/>
      <c r="OSK29" s="752"/>
      <c r="OSL29" s="753"/>
      <c r="OSM29" s="753"/>
      <c r="OSN29" s="753"/>
      <c r="OSO29" s="753"/>
      <c r="OSP29" s="753"/>
      <c r="OSQ29" s="753"/>
      <c r="OSR29" s="753"/>
      <c r="OSS29" s="753"/>
      <c r="OST29" s="753"/>
      <c r="OSU29" s="750"/>
      <c r="OSV29" s="751"/>
      <c r="OSW29" s="752"/>
      <c r="OSX29" s="751"/>
      <c r="OSY29" s="751"/>
      <c r="OSZ29" s="752"/>
      <c r="OTA29" s="752"/>
      <c r="OTB29" s="753"/>
      <c r="OTC29" s="753"/>
      <c r="OTD29" s="753"/>
      <c r="OTE29" s="753"/>
      <c r="OTF29" s="753"/>
      <c r="OTG29" s="753"/>
      <c r="OTH29" s="753"/>
      <c r="OTI29" s="753"/>
      <c r="OTJ29" s="753"/>
      <c r="OTK29" s="750"/>
      <c r="OTL29" s="751"/>
      <c r="OTM29" s="752"/>
      <c r="OTN29" s="751"/>
      <c r="OTO29" s="751"/>
      <c r="OTP29" s="752"/>
      <c r="OTQ29" s="752"/>
      <c r="OTR29" s="753"/>
      <c r="OTS29" s="753"/>
      <c r="OTT29" s="753"/>
      <c r="OTU29" s="753"/>
      <c r="OTV29" s="753"/>
      <c r="OTW29" s="753"/>
      <c r="OTX29" s="753"/>
      <c r="OTY29" s="753"/>
      <c r="OTZ29" s="753"/>
      <c r="OUA29" s="750"/>
      <c r="OUB29" s="751"/>
      <c r="OUC29" s="752"/>
      <c r="OUD29" s="751"/>
      <c r="OUE29" s="751"/>
      <c r="OUF29" s="752"/>
      <c r="OUG29" s="752"/>
      <c r="OUH29" s="753"/>
      <c r="OUI29" s="753"/>
      <c r="OUJ29" s="753"/>
      <c r="OUK29" s="753"/>
      <c r="OUL29" s="753"/>
      <c r="OUM29" s="753"/>
      <c r="OUN29" s="753"/>
      <c r="OUO29" s="753"/>
      <c r="OUP29" s="753"/>
      <c r="OUQ29" s="750"/>
      <c r="OUR29" s="751"/>
      <c r="OUS29" s="752"/>
      <c r="OUT29" s="751"/>
      <c r="OUU29" s="751"/>
      <c r="OUV29" s="752"/>
      <c r="OUW29" s="752"/>
      <c r="OUX29" s="753"/>
      <c r="OUY29" s="753"/>
      <c r="OUZ29" s="753"/>
      <c r="OVA29" s="753"/>
      <c r="OVB29" s="753"/>
      <c r="OVC29" s="753"/>
      <c r="OVD29" s="753"/>
      <c r="OVE29" s="753"/>
      <c r="OVF29" s="753"/>
      <c r="OVG29" s="750"/>
      <c r="OVH29" s="751"/>
      <c r="OVI29" s="752"/>
      <c r="OVJ29" s="751"/>
      <c r="OVK29" s="751"/>
      <c r="OVL29" s="752"/>
      <c r="OVM29" s="752"/>
      <c r="OVN29" s="753"/>
      <c r="OVO29" s="753"/>
      <c r="OVP29" s="753"/>
      <c r="OVQ29" s="753"/>
      <c r="OVR29" s="753"/>
      <c r="OVS29" s="753"/>
      <c r="OVT29" s="753"/>
      <c r="OVU29" s="753"/>
      <c r="OVV29" s="753"/>
      <c r="OVW29" s="750"/>
      <c r="OVX29" s="751"/>
      <c r="OVY29" s="752"/>
      <c r="OVZ29" s="751"/>
      <c r="OWA29" s="751"/>
      <c r="OWB29" s="752"/>
      <c r="OWC29" s="752"/>
      <c r="OWD29" s="753"/>
      <c r="OWE29" s="753"/>
      <c r="OWF29" s="753"/>
      <c r="OWG29" s="753"/>
      <c r="OWH29" s="753"/>
      <c r="OWI29" s="753"/>
      <c r="OWJ29" s="753"/>
      <c r="OWK29" s="753"/>
      <c r="OWL29" s="753"/>
      <c r="OWM29" s="750"/>
      <c r="OWN29" s="751"/>
      <c r="OWO29" s="752"/>
      <c r="OWP29" s="751"/>
      <c r="OWQ29" s="751"/>
      <c r="OWR29" s="752"/>
      <c r="OWS29" s="752"/>
      <c r="OWT29" s="753"/>
      <c r="OWU29" s="753"/>
      <c r="OWV29" s="753"/>
      <c r="OWW29" s="753"/>
      <c r="OWX29" s="753"/>
      <c r="OWY29" s="753"/>
      <c r="OWZ29" s="753"/>
      <c r="OXA29" s="753"/>
      <c r="OXB29" s="753"/>
      <c r="OXC29" s="750"/>
      <c r="OXD29" s="751"/>
      <c r="OXE29" s="752"/>
      <c r="OXF29" s="751"/>
      <c r="OXG29" s="751"/>
      <c r="OXH29" s="752"/>
      <c r="OXI29" s="752"/>
      <c r="OXJ29" s="753"/>
      <c r="OXK29" s="753"/>
      <c r="OXL29" s="753"/>
      <c r="OXM29" s="753"/>
      <c r="OXN29" s="753"/>
      <c r="OXO29" s="753"/>
      <c r="OXP29" s="753"/>
      <c r="OXQ29" s="753"/>
      <c r="OXR29" s="753"/>
      <c r="OXS29" s="750"/>
      <c r="OXT29" s="751"/>
      <c r="OXU29" s="752"/>
      <c r="OXV29" s="751"/>
      <c r="OXW29" s="751"/>
      <c r="OXX29" s="752"/>
      <c r="OXY29" s="752"/>
      <c r="OXZ29" s="753"/>
      <c r="OYA29" s="753"/>
      <c r="OYB29" s="753"/>
      <c r="OYC29" s="753"/>
      <c r="OYD29" s="753"/>
      <c r="OYE29" s="753"/>
      <c r="OYF29" s="753"/>
      <c r="OYG29" s="753"/>
      <c r="OYH29" s="753"/>
      <c r="OYI29" s="750"/>
      <c r="OYJ29" s="751"/>
      <c r="OYK29" s="752"/>
      <c r="OYL29" s="751"/>
      <c r="OYM29" s="751"/>
      <c r="OYN29" s="752"/>
      <c r="OYO29" s="752"/>
      <c r="OYP29" s="753"/>
      <c r="OYQ29" s="753"/>
      <c r="OYR29" s="753"/>
      <c r="OYS29" s="753"/>
      <c r="OYT29" s="753"/>
      <c r="OYU29" s="753"/>
      <c r="OYV29" s="753"/>
      <c r="OYW29" s="753"/>
      <c r="OYX29" s="753"/>
      <c r="OYY29" s="750"/>
      <c r="OYZ29" s="751"/>
      <c r="OZA29" s="752"/>
      <c r="OZB29" s="751"/>
      <c r="OZC29" s="751"/>
      <c r="OZD29" s="752"/>
      <c r="OZE29" s="752"/>
      <c r="OZF29" s="753"/>
      <c r="OZG29" s="753"/>
      <c r="OZH29" s="753"/>
      <c r="OZI29" s="753"/>
      <c r="OZJ29" s="753"/>
      <c r="OZK29" s="753"/>
      <c r="OZL29" s="753"/>
      <c r="OZM29" s="753"/>
      <c r="OZN29" s="753"/>
      <c r="OZO29" s="750"/>
      <c r="OZP29" s="751"/>
      <c r="OZQ29" s="752"/>
      <c r="OZR29" s="751"/>
      <c r="OZS29" s="751"/>
      <c r="OZT29" s="752"/>
      <c r="OZU29" s="752"/>
      <c r="OZV29" s="753"/>
      <c r="OZW29" s="753"/>
      <c r="OZX29" s="753"/>
      <c r="OZY29" s="753"/>
      <c r="OZZ29" s="753"/>
      <c r="PAA29" s="753"/>
      <c r="PAB29" s="753"/>
      <c r="PAC29" s="753"/>
      <c r="PAD29" s="753"/>
      <c r="PAE29" s="750"/>
      <c r="PAF29" s="751"/>
      <c r="PAG29" s="752"/>
      <c r="PAH29" s="751"/>
      <c r="PAI29" s="751"/>
      <c r="PAJ29" s="752"/>
      <c r="PAK29" s="752"/>
      <c r="PAL29" s="753"/>
      <c r="PAM29" s="753"/>
      <c r="PAN29" s="753"/>
      <c r="PAO29" s="753"/>
      <c r="PAP29" s="753"/>
      <c r="PAQ29" s="753"/>
      <c r="PAR29" s="753"/>
      <c r="PAS29" s="753"/>
      <c r="PAT29" s="753"/>
      <c r="PAU29" s="750"/>
      <c r="PAV29" s="751"/>
      <c r="PAW29" s="752"/>
      <c r="PAX29" s="751"/>
      <c r="PAY29" s="751"/>
      <c r="PAZ29" s="752"/>
      <c r="PBA29" s="752"/>
      <c r="PBB29" s="753"/>
      <c r="PBC29" s="753"/>
      <c r="PBD29" s="753"/>
      <c r="PBE29" s="753"/>
      <c r="PBF29" s="753"/>
      <c r="PBG29" s="753"/>
      <c r="PBH29" s="753"/>
      <c r="PBI29" s="753"/>
      <c r="PBJ29" s="753"/>
      <c r="PBK29" s="750"/>
      <c r="PBL29" s="751"/>
      <c r="PBM29" s="752"/>
      <c r="PBN29" s="751"/>
      <c r="PBO29" s="751"/>
      <c r="PBP29" s="752"/>
      <c r="PBQ29" s="752"/>
      <c r="PBR29" s="753"/>
      <c r="PBS29" s="753"/>
      <c r="PBT29" s="753"/>
      <c r="PBU29" s="753"/>
      <c r="PBV29" s="753"/>
      <c r="PBW29" s="753"/>
      <c r="PBX29" s="753"/>
      <c r="PBY29" s="753"/>
      <c r="PBZ29" s="753"/>
      <c r="PCA29" s="750"/>
      <c r="PCB29" s="751"/>
      <c r="PCC29" s="752"/>
      <c r="PCD29" s="751"/>
      <c r="PCE29" s="751"/>
      <c r="PCF29" s="752"/>
      <c r="PCG29" s="752"/>
      <c r="PCH29" s="753"/>
      <c r="PCI29" s="753"/>
      <c r="PCJ29" s="753"/>
      <c r="PCK29" s="753"/>
      <c r="PCL29" s="753"/>
      <c r="PCM29" s="753"/>
      <c r="PCN29" s="753"/>
      <c r="PCO29" s="753"/>
      <c r="PCP29" s="753"/>
      <c r="PCQ29" s="750"/>
      <c r="PCR29" s="751"/>
      <c r="PCS29" s="752"/>
      <c r="PCT29" s="751"/>
      <c r="PCU29" s="751"/>
      <c r="PCV29" s="752"/>
      <c r="PCW29" s="752"/>
      <c r="PCX29" s="753"/>
      <c r="PCY29" s="753"/>
      <c r="PCZ29" s="753"/>
      <c r="PDA29" s="753"/>
      <c r="PDB29" s="753"/>
      <c r="PDC29" s="753"/>
      <c r="PDD29" s="753"/>
      <c r="PDE29" s="753"/>
      <c r="PDF29" s="753"/>
      <c r="PDG29" s="750"/>
      <c r="PDH29" s="751"/>
      <c r="PDI29" s="752"/>
      <c r="PDJ29" s="751"/>
      <c r="PDK29" s="751"/>
      <c r="PDL29" s="752"/>
      <c r="PDM29" s="752"/>
      <c r="PDN29" s="753"/>
      <c r="PDO29" s="753"/>
      <c r="PDP29" s="753"/>
      <c r="PDQ29" s="753"/>
      <c r="PDR29" s="753"/>
      <c r="PDS29" s="753"/>
      <c r="PDT29" s="753"/>
      <c r="PDU29" s="753"/>
      <c r="PDV29" s="753"/>
      <c r="PDW29" s="750"/>
      <c r="PDX29" s="751"/>
      <c r="PDY29" s="752"/>
      <c r="PDZ29" s="751"/>
      <c r="PEA29" s="751"/>
      <c r="PEB29" s="752"/>
      <c r="PEC29" s="752"/>
      <c r="PED29" s="753"/>
      <c r="PEE29" s="753"/>
      <c r="PEF29" s="753"/>
      <c r="PEG29" s="753"/>
      <c r="PEH29" s="753"/>
      <c r="PEI29" s="753"/>
      <c r="PEJ29" s="753"/>
      <c r="PEK29" s="753"/>
      <c r="PEL29" s="753"/>
      <c r="PEM29" s="750"/>
      <c r="PEN29" s="751"/>
      <c r="PEO29" s="752"/>
      <c r="PEP29" s="751"/>
      <c r="PEQ29" s="751"/>
      <c r="PER29" s="752"/>
      <c r="PES29" s="752"/>
      <c r="PET29" s="753"/>
      <c r="PEU29" s="753"/>
      <c r="PEV29" s="753"/>
      <c r="PEW29" s="753"/>
      <c r="PEX29" s="753"/>
      <c r="PEY29" s="753"/>
      <c r="PEZ29" s="753"/>
      <c r="PFA29" s="753"/>
      <c r="PFB29" s="753"/>
      <c r="PFC29" s="750"/>
      <c r="PFD29" s="751"/>
      <c r="PFE29" s="752"/>
      <c r="PFF29" s="751"/>
      <c r="PFG29" s="751"/>
      <c r="PFH29" s="752"/>
      <c r="PFI29" s="752"/>
      <c r="PFJ29" s="753"/>
      <c r="PFK29" s="753"/>
      <c r="PFL29" s="753"/>
      <c r="PFM29" s="753"/>
      <c r="PFN29" s="753"/>
      <c r="PFO29" s="753"/>
      <c r="PFP29" s="753"/>
      <c r="PFQ29" s="753"/>
      <c r="PFR29" s="753"/>
      <c r="PFS29" s="750"/>
      <c r="PFT29" s="751"/>
      <c r="PFU29" s="752"/>
      <c r="PFV29" s="751"/>
      <c r="PFW29" s="751"/>
      <c r="PFX29" s="752"/>
      <c r="PFY29" s="752"/>
      <c r="PFZ29" s="753"/>
      <c r="PGA29" s="753"/>
      <c r="PGB29" s="753"/>
      <c r="PGC29" s="753"/>
      <c r="PGD29" s="753"/>
      <c r="PGE29" s="753"/>
      <c r="PGF29" s="753"/>
      <c r="PGG29" s="753"/>
      <c r="PGH29" s="753"/>
      <c r="PGI29" s="750"/>
      <c r="PGJ29" s="751"/>
      <c r="PGK29" s="752"/>
      <c r="PGL29" s="751"/>
      <c r="PGM29" s="751"/>
      <c r="PGN29" s="752"/>
      <c r="PGO29" s="752"/>
      <c r="PGP29" s="753"/>
      <c r="PGQ29" s="753"/>
      <c r="PGR29" s="753"/>
      <c r="PGS29" s="753"/>
      <c r="PGT29" s="753"/>
      <c r="PGU29" s="753"/>
      <c r="PGV29" s="753"/>
      <c r="PGW29" s="753"/>
      <c r="PGX29" s="753"/>
      <c r="PGY29" s="750"/>
      <c r="PGZ29" s="751"/>
      <c r="PHA29" s="752"/>
      <c r="PHB29" s="751"/>
      <c r="PHC29" s="751"/>
      <c r="PHD29" s="752"/>
      <c r="PHE29" s="752"/>
      <c r="PHF29" s="753"/>
      <c r="PHG29" s="753"/>
      <c r="PHH29" s="753"/>
      <c r="PHI29" s="753"/>
      <c r="PHJ29" s="753"/>
      <c r="PHK29" s="753"/>
      <c r="PHL29" s="753"/>
      <c r="PHM29" s="753"/>
      <c r="PHN29" s="753"/>
      <c r="PHO29" s="750"/>
      <c r="PHP29" s="751"/>
      <c r="PHQ29" s="752"/>
      <c r="PHR29" s="751"/>
      <c r="PHS29" s="751"/>
      <c r="PHT29" s="752"/>
      <c r="PHU29" s="752"/>
      <c r="PHV29" s="753"/>
      <c r="PHW29" s="753"/>
      <c r="PHX29" s="753"/>
      <c r="PHY29" s="753"/>
      <c r="PHZ29" s="753"/>
      <c r="PIA29" s="753"/>
      <c r="PIB29" s="753"/>
      <c r="PIC29" s="753"/>
      <c r="PID29" s="753"/>
      <c r="PIE29" s="750"/>
      <c r="PIF29" s="751"/>
      <c r="PIG29" s="752"/>
      <c r="PIH29" s="751"/>
      <c r="PII29" s="751"/>
      <c r="PIJ29" s="752"/>
      <c r="PIK29" s="752"/>
      <c r="PIL29" s="753"/>
      <c r="PIM29" s="753"/>
      <c r="PIN29" s="753"/>
      <c r="PIO29" s="753"/>
      <c r="PIP29" s="753"/>
      <c r="PIQ29" s="753"/>
      <c r="PIR29" s="753"/>
      <c r="PIS29" s="753"/>
      <c r="PIT29" s="753"/>
      <c r="PIU29" s="750"/>
      <c r="PIV29" s="751"/>
      <c r="PIW29" s="752"/>
      <c r="PIX29" s="751"/>
      <c r="PIY29" s="751"/>
      <c r="PIZ29" s="752"/>
      <c r="PJA29" s="752"/>
      <c r="PJB29" s="753"/>
      <c r="PJC29" s="753"/>
      <c r="PJD29" s="753"/>
      <c r="PJE29" s="753"/>
      <c r="PJF29" s="753"/>
      <c r="PJG29" s="753"/>
      <c r="PJH29" s="753"/>
      <c r="PJI29" s="753"/>
      <c r="PJJ29" s="753"/>
      <c r="PJK29" s="750"/>
      <c r="PJL29" s="751"/>
      <c r="PJM29" s="752"/>
      <c r="PJN29" s="751"/>
      <c r="PJO29" s="751"/>
      <c r="PJP29" s="752"/>
      <c r="PJQ29" s="752"/>
      <c r="PJR29" s="753"/>
      <c r="PJS29" s="753"/>
      <c r="PJT29" s="753"/>
      <c r="PJU29" s="753"/>
      <c r="PJV29" s="753"/>
      <c r="PJW29" s="753"/>
      <c r="PJX29" s="753"/>
      <c r="PJY29" s="753"/>
      <c r="PJZ29" s="753"/>
      <c r="PKA29" s="750"/>
      <c r="PKB29" s="751"/>
      <c r="PKC29" s="752"/>
      <c r="PKD29" s="751"/>
      <c r="PKE29" s="751"/>
      <c r="PKF29" s="752"/>
      <c r="PKG29" s="752"/>
      <c r="PKH29" s="753"/>
      <c r="PKI29" s="753"/>
      <c r="PKJ29" s="753"/>
      <c r="PKK29" s="753"/>
      <c r="PKL29" s="753"/>
      <c r="PKM29" s="753"/>
      <c r="PKN29" s="753"/>
      <c r="PKO29" s="753"/>
      <c r="PKP29" s="753"/>
      <c r="PKQ29" s="750"/>
      <c r="PKR29" s="751"/>
      <c r="PKS29" s="752"/>
      <c r="PKT29" s="751"/>
      <c r="PKU29" s="751"/>
      <c r="PKV29" s="752"/>
      <c r="PKW29" s="752"/>
      <c r="PKX29" s="753"/>
      <c r="PKY29" s="753"/>
      <c r="PKZ29" s="753"/>
      <c r="PLA29" s="753"/>
      <c r="PLB29" s="753"/>
      <c r="PLC29" s="753"/>
      <c r="PLD29" s="753"/>
      <c r="PLE29" s="753"/>
      <c r="PLF29" s="753"/>
      <c r="PLG29" s="750"/>
      <c r="PLH29" s="751"/>
      <c r="PLI29" s="752"/>
      <c r="PLJ29" s="751"/>
      <c r="PLK29" s="751"/>
      <c r="PLL29" s="752"/>
      <c r="PLM29" s="752"/>
      <c r="PLN29" s="753"/>
      <c r="PLO29" s="753"/>
      <c r="PLP29" s="753"/>
      <c r="PLQ29" s="753"/>
      <c r="PLR29" s="753"/>
      <c r="PLS29" s="753"/>
      <c r="PLT29" s="753"/>
      <c r="PLU29" s="753"/>
      <c r="PLV29" s="753"/>
      <c r="PLW29" s="750"/>
      <c r="PLX29" s="751"/>
      <c r="PLY29" s="752"/>
      <c r="PLZ29" s="751"/>
      <c r="PMA29" s="751"/>
      <c r="PMB29" s="752"/>
      <c r="PMC29" s="752"/>
      <c r="PMD29" s="753"/>
      <c r="PME29" s="753"/>
      <c r="PMF29" s="753"/>
      <c r="PMG29" s="753"/>
      <c r="PMH29" s="753"/>
      <c r="PMI29" s="753"/>
      <c r="PMJ29" s="753"/>
      <c r="PMK29" s="753"/>
      <c r="PML29" s="753"/>
      <c r="PMM29" s="750"/>
      <c r="PMN29" s="751"/>
      <c r="PMO29" s="752"/>
      <c r="PMP29" s="751"/>
      <c r="PMQ29" s="751"/>
      <c r="PMR29" s="752"/>
      <c r="PMS29" s="752"/>
      <c r="PMT29" s="753"/>
      <c r="PMU29" s="753"/>
      <c r="PMV29" s="753"/>
      <c r="PMW29" s="753"/>
      <c r="PMX29" s="753"/>
      <c r="PMY29" s="753"/>
      <c r="PMZ29" s="753"/>
      <c r="PNA29" s="753"/>
      <c r="PNB29" s="753"/>
      <c r="PNC29" s="750"/>
      <c r="PND29" s="751"/>
      <c r="PNE29" s="752"/>
      <c r="PNF29" s="751"/>
      <c r="PNG29" s="751"/>
      <c r="PNH29" s="752"/>
      <c r="PNI29" s="752"/>
      <c r="PNJ29" s="753"/>
      <c r="PNK29" s="753"/>
      <c r="PNL29" s="753"/>
      <c r="PNM29" s="753"/>
      <c r="PNN29" s="753"/>
      <c r="PNO29" s="753"/>
      <c r="PNP29" s="753"/>
      <c r="PNQ29" s="753"/>
      <c r="PNR29" s="753"/>
      <c r="PNS29" s="750"/>
      <c r="PNT29" s="751"/>
      <c r="PNU29" s="752"/>
      <c r="PNV29" s="751"/>
      <c r="PNW29" s="751"/>
      <c r="PNX29" s="752"/>
      <c r="PNY29" s="752"/>
      <c r="PNZ29" s="753"/>
      <c r="POA29" s="753"/>
      <c r="POB29" s="753"/>
      <c r="POC29" s="753"/>
      <c r="POD29" s="753"/>
      <c r="POE29" s="753"/>
      <c r="POF29" s="753"/>
      <c r="POG29" s="753"/>
      <c r="POH29" s="753"/>
      <c r="POI29" s="750"/>
      <c r="POJ29" s="751"/>
      <c r="POK29" s="752"/>
      <c r="POL29" s="751"/>
      <c r="POM29" s="751"/>
      <c r="PON29" s="752"/>
      <c r="POO29" s="752"/>
      <c r="POP29" s="753"/>
      <c r="POQ29" s="753"/>
      <c r="POR29" s="753"/>
      <c r="POS29" s="753"/>
      <c r="POT29" s="753"/>
      <c r="POU29" s="753"/>
      <c r="POV29" s="753"/>
      <c r="POW29" s="753"/>
      <c r="POX29" s="753"/>
      <c r="POY29" s="750"/>
      <c r="POZ29" s="751"/>
      <c r="PPA29" s="752"/>
      <c r="PPB29" s="751"/>
      <c r="PPC29" s="751"/>
      <c r="PPD29" s="752"/>
      <c r="PPE29" s="752"/>
      <c r="PPF29" s="753"/>
      <c r="PPG29" s="753"/>
      <c r="PPH29" s="753"/>
      <c r="PPI29" s="753"/>
      <c r="PPJ29" s="753"/>
      <c r="PPK29" s="753"/>
      <c r="PPL29" s="753"/>
      <c r="PPM29" s="753"/>
      <c r="PPN29" s="753"/>
      <c r="PPO29" s="750"/>
      <c r="PPP29" s="751"/>
      <c r="PPQ29" s="752"/>
      <c r="PPR29" s="751"/>
      <c r="PPS29" s="751"/>
      <c r="PPT29" s="752"/>
      <c r="PPU29" s="752"/>
      <c r="PPV29" s="753"/>
      <c r="PPW29" s="753"/>
      <c r="PPX29" s="753"/>
      <c r="PPY29" s="753"/>
      <c r="PPZ29" s="753"/>
      <c r="PQA29" s="753"/>
      <c r="PQB29" s="753"/>
      <c r="PQC29" s="753"/>
      <c r="PQD29" s="753"/>
      <c r="PQE29" s="750"/>
      <c r="PQF29" s="751"/>
      <c r="PQG29" s="752"/>
      <c r="PQH29" s="751"/>
      <c r="PQI29" s="751"/>
      <c r="PQJ29" s="752"/>
      <c r="PQK29" s="752"/>
      <c r="PQL29" s="753"/>
      <c r="PQM29" s="753"/>
      <c r="PQN29" s="753"/>
      <c r="PQO29" s="753"/>
      <c r="PQP29" s="753"/>
      <c r="PQQ29" s="753"/>
      <c r="PQR29" s="753"/>
      <c r="PQS29" s="753"/>
      <c r="PQT29" s="753"/>
      <c r="PQU29" s="750"/>
      <c r="PQV29" s="751"/>
      <c r="PQW29" s="752"/>
      <c r="PQX29" s="751"/>
      <c r="PQY29" s="751"/>
      <c r="PQZ29" s="752"/>
      <c r="PRA29" s="752"/>
      <c r="PRB29" s="753"/>
      <c r="PRC29" s="753"/>
      <c r="PRD29" s="753"/>
      <c r="PRE29" s="753"/>
      <c r="PRF29" s="753"/>
      <c r="PRG29" s="753"/>
      <c r="PRH29" s="753"/>
      <c r="PRI29" s="753"/>
      <c r="PRJ29" s="753"/>
      <c r="PRK29" s="750"/>
      <c r="PRL29" s="751"/>
      <c r="PRM29" s="752"/>
      <c r="PRN29" s="751"/>
      <c r="PRO29" s="751"/>
      <c r="PRP29" s="752"/>
      <c r="PRQ29" s="752"/>
      <c r="PRR29" s="753"/>
      <c r="PRS29" s="753"/>
      <c r="PRT29" s="753"/>
      <c r="PRU29" s="753"/>
      <c r="PRV29" s="753"/>
      <c r="PRW29" s="753"/>
      <c r="PRX29" s="753"/>
      <c r="PRY29" s="753"/>
      <c r="PRZ29" s="753"/>
      <c r="PSA29" s="750"/>
      <c r="PSB29" s="751"/>
      <c r="PSC29" s="752"/>
      <c r="PSD29" s="751"/>
      <c r="PSE29" s="751"/>
      <c r="PSF29" s="752"/>
      <c r="PSG29" s="752"/>
      <c r="PSH29" s="753"/>
      <c r="PSI29" s="753"/>
      <c r="PSJ29" s="753"/>
      <c r="PSK29" s="753"/>
      <c r="PSL29" s="753"/>
      <c r="PSM29" s="753"/>
      <c r="PSN29" s="753"/>
      <c r="PSO29" s="753"/>
      <c r="PSP29" s="753"/>
      <c r="PSQ29" s="750"/>
      <c r="PSR29" s="751"/>
      <c r="PSS29" s="752"/>
      <c r="PST29" s="751"/>
      <c r="PSU29" s="751"/>
      <c r="PSV29" s="752"/>
      <c r="PSW29" s="752"/>
      <c r="PSX29" s="753"/>
      <c r="PSY29" s="753"/>
      <c r="PSZ29" s="753"/>
      <c r="PTA29" s="753"/>
      <c r="PTB29" s="753"/>
      <c r="PTC29" s="753"/>
      <c r="PTD29" s="753"/>
      <c r="PTE29" s="753"/>
      <c r="PTF29" s="753"/>
      <c r="PTG29" s="750"/>
      <c r="PTH29" s="751"/>
      <c r="PTI29" s="752"/>
      <c r="PTJ29" s="751"/>
      <c r="PTK29" s="751"/>
      <c r="PTL29" s="752"/>
      <c r="PTM29" s="752"/>
      <c r="PTN29" s="753"/>
      <c r="PTO29" s="753"/>
      <c r="PTP29" s="753"/>
      <c r="PTQ29" s="753"/>
      <c r="PTR29" s="753"/>
      <c r="PTS29" s="753"/>
      <c r="PTT29" s="753"/>
      <c r="PTU29" s="753"/>
      <c r="PTV29" s="753"/>
      <c r="PTW29" s="750"/>
      <c r="PTX29" s="751"/>
      <c r="PTY29" s="752"/>
      <c r="PTZ29" s="751"/>
      <c r="PUA29" s="751"/>
      <c r="PUB29" s="752"/>
      <c r="PUC29" s="752"/>
      <c r="PUD29" s="753"/>
      <c r="PUE29" s="753"/>
      <c r="PUF29" s="753"/>
      <c r="PUG29" s="753"/>
      <c r="PUH29" s="753"/>
      <c r="PUI29" s="753"/>
      <c r="PUJ29" s="753"/>
      <c r="PUK29" s="753"/>
      <c r="PUL29" s="753"/>
      <c r="PUM29" s="750"/>
      <c r="PUN29" s="751"/>
      <c r="PUO29" s="752"/>
      <c r="PUP29" s="751"/>
      <c r="PUQ29" s="751"/>
      <c r="PUR29" s="752"/>
      <c r="PUS29" s="752"/>
      <c r="PUT29" s="753"/>
      <c r="PUU29" s="753"/>
      <c r="PUV29" s="753"/>
      <c r="PUW29" s="753"/>
      <c r="PUX29" s="753"/>
      <c r="PUY29" s="753"/>
      <c r="PUZ29" s="753"/>
      <c r="PVA29" s="753"/>
      <c r="PVB29" s="753"/>
      <c r="PVC29" s="750"/>
      <c r="PVD29" s="751"/>
      <c r="PVE29" s="752"/>
      <c r="PVF29" s="751"/>
      <c r="PVG29" s="751"/>
      <c r="PVH29" s="752"/>
      <c r="PVI29" s="752"/>
      <c r="PVJ29" s="753"/>
      <c r="PVK29" s="753"/>
      <c r="PVL29" s="753"/>
      <c r="PVM29" s="753"/>
      <c r="PVN29" s="753"/>
      <c r="PVO29" s="753"/>
      <c r="PVP29" s="753"/>
      <c r="PVQ29" s="753"/>
      <c r="PVR29" s="753"/>
      <c r="PVS29" s="750"/>
      <c r="PVT29" s="751"/>
      <c r="PVU29" s="752"/>
      <c r="PVV29" s="751"/>
      <c r="PVW29" s="751"/>
      <c r="PVX29" s="752"/>
      <c r="PVY29" s="752"/>
      <c r="PVZ29" s="753"/>
      <c r="PWA29" s="753"/>
      <c r="PWB29" s="753"/>
      <c r="PWC29" s="753"/>
      <c r="PWD29" s="753"/>
      <c r="PWE29" s="753"/>
      <c r="PWF29" s="753"/>
      <c r="PWG29" s="753"/>
      <c r="PWH29" s="753"/>
      <c r="PWI29" s="750"/>
      <c r="PWJ29" s="751"/>
      <c r="PWK29" s="752"/>
      <c r="PWL29" s="751"/>
      <c r="PWM29" s="751"/>
      <c r="PWN29" s="752"/>
      <c r="PWO29" s="752"/>
      <c r="PWP29" s="753"/>
      <c r="PWQ29" s="753"/>
      <c r="PWR29" s="753"/>
      <c r="PWS29" s="753"/>
      <c r="PWT29" s="753"/>
      <c r="PWU29" s="753"/>
      <c r="PWV29" s="753"/>
      <c r="PWW29" s="753"/>
      <c r="PWX29" s="753"/>
      <c r="PWY29" s="750"/>
      <c r="PWZ29" s="751"/>
      <c r="PXA29" s="752"/>
      <c r="PXB29" s="751"/>
      <c r="PXC29" s="751"/>
      <c r="PXD29" s="752"/>
      <c r="PXE29" s="752"/>
      <c r="PXF29" s="753"/>
      <c r="PXG29" s="753"/>
      <c r="PXH29" s="753"/>
      <c r="PXI29" s="753"/>
      <c r="PXJ29" s="753"/>
      <c r="PXK29" s="753"/>
      <c r="PXL29" s="753"/>
      <c r="PXM29" s="753"/>
      <c r="PXN29" s="753"/>
      <c r="PXO29" s="750"/>
      <c r="PXP29" s="751"/>
      <c r="PXQ29" s="752"/>
      <c r="PXR29" s="751"/>
      <c r="PXS29" s="751"/>
      <c r="PXT29" s="752"/>
      <c r="PXU29" s="752"/>
      <c r="PXV29" s="753"/>
      <c r="PXW29" s="753"/>
      <c r="PXX29" s="753"/>
      <c r="PXY29" s="753"/>
      <c r="PXZ29" s="753"/>
      <c r="PYA29" s="753"/>
      <c r="PYB29" s="753"/>
      <c r="PYC29" s="753"/>
      <c r="PYD29" s="753"/>
      <c r="PYE29" s="750"/>
      <c r="PYF29" s="751"/>
      <c r="PYG29" s="752"/>
      <c r="PYH29" s="751"/>
      <c r="PYI29" s="751"/>
      <c r="PYJ29" s="752"/>
      <c r="PYK29" s="752"/>
      <c r="PYL29" s="753"/>
      <c r="PYM29" s="753"/>
      <c r="PYN29" s="753"/>
      <c r="PYO29" s="753"/>
      <c r="PYP29" s="753"/>
      <c r="PYQ29" s="753"/>
      <c r="PYR29" s="753"/>
      <c r="PYS29" s="753"/>
      <c r="PYT29" s="753"/>
      <c r="PYU29" s="750"/>
      <c r="PYV29" s="751"/>
      <c r="PYW29" s="752"/>
      <c r="PYX29" s="751"/>
      <c r="PYY29" s="751"/>
      <c r="PYZ29" s="752"/>
      <c r="PZA29" s="752"/>
      <c r="PZB29" s="753"/>
      <c r="PZC29" s="753"/>
      <c r="PZD29" s="753"/>
      <c r="PZE29" s="753"/>
      <c r="PZF29" s="753"/>
      <c r="PZG29" s="753"/>
      <c r="PZH29" s="753"/>
      <c r="PZI29" s="753"/>
      <c r="PZJ29" s="753"/>
      <c r="PZK29" s="750"/>
      <c r="PZL29" s="751"/>
      <c r="PZM29" s="752"/>
      <c r="PZN29" s="751"/>
      <c r="PZO29" s="751"/>
      <c r="PZP29" s="752"/>
      <c r="PZQ29" s="752"/>
      <c r="PZR29" s="753"/>
      <c r="PZS29" s="753"/>
      <c r="PZT29" s="753"/>
      <c r="PZU29" s="753"/>
      <c r="PZV29" s="753"/>
      <c r="PZW29" s="753"/>
      <c r="PZX29" s="753"/>
      <c r="PZY29" s="753"/>
      <c r="PZZ29" s="753"/>
      <c r="QAA29" s="750"/>
      <c r="QAB29" s="751"/>
      <c r="QAC29" s="752"/>
      <c r="QAD29" s="751"/>
      <c r="QAE29" s="751"/>
      <c r="QAF29" s="752"/>
      <c r="QAG29" s="752"/>
      <c r="QAH29" s="753"/>
      <c r="QAI29" s="753"/>
      <c r="QAJ29" s="753"/>
      <c r="QAK29" s="753"/>
      <c r="QAL29" s="753"/>
      <c r="QAM29" s="753"/>
      <c r="QAN29" s="753"/>
      <c r="QAO29" s="753"/>
      <c r="QAP29" s="753"/>
      <c r="QAQ29" s="750"/>
      <c r="QAR29" s="751"/>
      <c r="QAS29" s="752"/>
      <c r="QAT29" s="751"/>
      <c r="QAU29" s="751"/>
      <c r="QAV29" s="752"/>
      <c r="QAW29" s="752"/>
      <c r="QAX29" s="753"/>
      <c r="QAY29" s="753"/>
      <c r="QAZ29" s="753"/>
      <c r="QBA29" s="753"/>
      <c r="QBB29" s="753"/>
      <c r="QBC29" s="753"/>
      <c r="QBD29" s="753"/>
      <c r="QBE29" s="753"/>
      <c r="QBF29" s="753"/>
      <c r="QBG29" s="750"/>
      <c r="QBH29" s="751"/>
      <c r="QBI29" s="752"/>
      <c r="QBJ29" s="751"/>
      <c r="QBK29" s="751"/>
      <c r="QBL29" s="752"/>
      <c r="QBM29" s="752"/>
      <c r="QBN29" s="753"/>
      <c r="QBO29" s="753"/>
      <c r="QBP29" s="753"/>
      <c r="QBQ29" s="753"/>
      <c r="QBR29" s="753"/>
      <c r="QBS29" s="753"/>
      <c r="QBT29" s="753"/>
      <c r="QBU29" s="753"/>
      <c r="QBV29" s="753"/>
      <c r="QBW29" s="750"/>
      <c r="QBX29" s="751"/>
      <c r="QBY29" s="752"/>
      <c r="QBZ29" s="751"/>
      <c r="QCA29" s="751"/>
      <c r="QCB29" s="752"/>
      <c r="QCC29" s="752"/>
      <c r="QCD29" s="753"/>
      <c r="QCE29" s="753"/>
      <c r="QCF29" s="753"/>
      <c r="QCG29" s="753"/>
      <c r="QCH29" s="753"/>
      <c r="QCI29" s="753"/>
      <c r="QCJ29" s="753"/>
      <c r="QCK29" s="753"/>
      <c r="QCL29" s="753"/>
      <c r="QCM29" s="750"/>
      <c r="QCN29" s="751"/>
      <c r="QCO29" s="752"/>
      <c r="QCP29" s="751"/>
      <c r="QCQ29" s="751"/>
      <c r="QCR29" s="752"/>
      <c r="QCS29" s="752"/>
      <c r="QCT29" s="753"/>
      <c r="QCU29" s="753"/>
      <c r="QCV29" s="753"/>
      <c r="QCW29" s="753"/>
      <c r="QCX29" s="753"/>
      <c r="QCY29" s="753"/>
      <c r="QCZ29" s="753"/>
      <c r="QDA29" s="753"/>
      <c r="QDB29" s="753"/>
      <c r="QDC29" s="750"/>
      <c r="QDD29" s="751"/>
      <c r="QDE29" s="752"/>
      <c r="QDF29" s="751"/>
      <c r="QDG29" s="751"/>
      <c r="QDH29" s="752"/>
      <c r="QDI29" s="752"/>
      <c r="QDJ29" s="753"/>
      <c r="QDK29" s="753"/>
      <c r="QDL29" s="753"/>
      <c r="QDM29" s="753"/>
      <c r="QDN29" s="753"/>
      <c r="QDO29" s="753"/>
      <c r="QDP29" s="753"/>
      <c r="QDQ29" s="753"/>
      <c r="QDR29" s="753"/>
      <c r="QDS29" s="750"/>
      <c r="QDT29" s="751"/>
      <c r="QDU29" s="752"/>
      <c r="QDV29" s="751"/>
      <c r="QDW29" s="751"/>
      <c r="QDX29" s="752"/>
      <c r="QDY29" s="752"/>
      <c r="QDZ29" s="753"/>
      <c r="QEA29" s="753"/>
      <c r="QEB29" s="753"/>
      <c r="QEC29" s="753"/>
      <c r="QED29" s="753"/>
      <c r="QEE29" s="753"/>
      <c r="QEF29" s="753"/>
      <c r="QEG29" s="753"/>
      <c r="QEH29" s="753"/>
      <c r="QEI29" s="750"/>
      <c r="QEJ29" s="751"/>
      <c r="QEK29" s="752"/>
      <c r="QEL29" s="751"/>
      <c r="QEM29" s="751"/>
      <c r="QEN29" s="752"/>
      <c r="QEO29" s="752"/>
      <c r="QEP29" s="753"/>
      <c r="QEQ29" s="753"/>
      <c r="QER29" s="753"/>
      <c r="QES29" s="753"/>
      <c r="QET29" s="753"/>
      <c r="QEU29" s="753"/>
      <c r="QEV29" s="753"/>
      <c r="QEW29" s="753"/>
      <c r="QEX29" s="753"/>
      <c r="QEY29" s="750"/>
      <c r="QEZ29" s="751"/>
      <c r="QFA29" s="752"/>
      <c r="QFB29" s="751"/>
      <c r="QFC29" s="751"/>
      <c r="QFD29" s="752"/>
      <c r="QFE29" s="752"/>
      <c r="QFF29" s="753"/>
      <c r="QFG29" s="753"/>
      <c r="QFH29" s="753"/>
      <c r="QFI29" s="753"/>
      <c r="QFJ29" s="753"/>
      <c r="QFK29" s="753"/>
      <c r="QFL29" s="753"/>
      <c r="QFM29" s="753"/>
      <c r="QFN29" s="753"/>
      <c r="QFO29" s="750"/>
      <c r="QFP29" s="751"/>
      <c r="QFQ29" s="752"/>
      <c r="QFR29" s="751"/>
      <c r="QFS29" s="751"/>
      <c r="QFT29" s="752"/>
      <c r="QFU29" s="752"/>
      <c r="QFV29" s="753"/>
      <c r="QFW29" s="753"/>
      <c r="QFX29" s="753"/>
      <c r="QFY29" s="753"/>
      <c r="QFZ29" s="753"/>
      <c r="QGA29" s="753"/>
      <c r="QGB29" s="753"/>
      <c r="QGC29" s="753"/>
      <c r="QGD29" s="753"/>
      <c r="QGE29" s="750"/>
      <c r="QGF29" s="751"/>
      <c r="QGG29" s="752"/>
      <c r="QGH29" s="751"/>
      <c r="QGI29" s="751"/>
      <c r="QGJ29" s="752"/>
      <c r="QGK29" s="752"/>
      <c r="QGL29" s="753"/>
      <c r="QGM29" s="753"/>
      <c r="QGN29" s="753"/>
      <c r="QGO29" s="753"/>
      <c r="QGP29" s="753"/>
      <c r="QGQ29" s="753"/>
      <c r="QGR29" s="753"/>
      <c r="QGS29" s="753"/>
      <c r="QGT29" s="753"/>
      <c r="QGU29" s="750"/>
      <c r="QGV29" s="751"/>
      <c r="QGW29" s="752"/>
      <c r="QGX29" s="751"/>
      <c r="QGY29" s="751"/>
      <c r="QGZ29" s="752"/>
      <c r="QHA29" s="752"/>
      <c r="QHB29" s="753"/>
      <c r="QHC29" s="753"/>
      <c r="QHD29" s="753"/>
      <c r="QHE29" s="753"/>
      <c r="QHF29" s="753"/>
      <c r="QHG29" s="753"/>
      <c r="QHH29" s="753"/>
      <c r="QHI29" s="753"/>
      <c r="QHJ29" s="753"/>
      <c r="QHK29" s="750"/>
      <c r="QHL29" s="751"/>
      <c r="QHM29" s="752"/>
      <c r="QHN29" s="751"/>
      <c r="QHO29" s="751"/>
      <c r="QHP29" s="752"/>
      <c r="QHQ29" s="752"/>
      <c r="QHR29" s="753"/>
      <c r="QHS29" s="753"/>
      <c r="QHT29" s="753"/>
      <c r="QHU29" s="753"/>
      <c r="QHV29" s="753"/>
      <c r="QHW29" s="753"/>
      <c r="QHX29" s="753"/>
      <c r="QHY29" s="753"/>
      <c r="QHZ29" s="753"/>
      <c r="QIA29" s="750"/>
      <c r="QIB29" s="751"/>
      <c r="QIC29" s="752"/>
      <c r="QID29" s="751"/>
      <c r="QIE29" s="751"/>
      <c r="QIF29" s="752"/>
      <c r="QIG29" s="752"/>
      <c r="QIH29" s="753"/>
      <c r="QII29" s="753"/>
      <c r="QIJ29" s="753"/>
      <c r="QIK29" s="753"/>
      <c r="QIL29" s="753"/>
      <c r="QIM29" s="753"/>
      <c r="QIN29" s="753"/>
      <c r="QIO29" s="753"/>
      <c r="QIP29" s="753"/>
      <c r="QIQ29" s="750"/>
      <c r="QIR29" s="751"/>
      <c r="QIS29" s="752"/>
      <c r="QIT29" s="751"/>
      <c r="QIU29" s="751"/>
      <c r="QIV29" s="752"/>
      <c r="QIW29" s="752"/>
      <c r="QIX29" s="753"/>
      <c r="QIY29" s="753"/>
      <c r="QIZ29" s="753"/>
      <c r="QJA29" s="753"/>
      <c r="QJB29" s="753"/>
      <c r="QJC29" s="753"/>
      <c r="QJD29" s="753"/>
      <c r="QJE29" s="753"/>
      <c r="QJF29" s="753"/>
      <c r="QJG29" s="750"/>
      <c r="QJH29" s="751"/>
      <c r="QJI29" s="752"/>
      <c r="QJJ29" s="751"/>
      <c r="QJK29" s="751"/>
      <c r="QJL29" s="752"/>
      <c r="QJM29" s="752"/>
      <c r="QJN29" s="753"/>
      <c r="QJO29" s="753"/>
      <c r="QJP29" s="753"/>
      <c r="QJQ29" s="753"/>
      <c r="QJR29" s="753"/>
      <c r="QJS29" s="753"/>
      <c r="QJT29" s="753"/>
      <c r="QJU29" s="753"/>
      <c r="QJV29" s="753"/>
      <c r="QJW29" s="750"/>
      <c r="QJX29" s="751"/>
      <c r="QJY29" s="752"/>
      <c r="QJZ29" s="751"/>
      <c r="QKA29" s="751"/>
      <c r="QKB29" s="752"/>
      <c r="QKC29" s="752"/>
      <c r="QKD29" s="753"/>
      <c r="QKE29" s="753"/>
      <c r="QKF29" s="753"/>
      <c r="QKG29" s="753"/>
      <c r="QKH29" s="753"/>
      <c r="QKI29" s="753"/>
      <c r="QKJ29" s="753"/>
      <c r="QKK29" s="753"/>
      <c r="QKL29" s="753"/>
      <c r="QKM29" s="750"/>
      <c r="QKN29" s="751"/>
      <c r="QKO29" s="752"/>
      <c r="QKP29" s="751"/>
      <c r="QKQ29" s="751"/>
      <c r="QKR29" s="752"/>
      <c r="QKS29" s="752"/>
      <c r="QKT29" s="753"/>
      <c r="QKU29" s="753"/>
      <c r="QKV29" s="753"/>
      <c r="QKW29" s="753"/>
      <c r="QKX29" s="753"/>
      <c r="QKY29" s="753"/>
      <c r="QKZ29" s="753"/>
      <c r="QLA29" s="753"/>
      <c r="QLB29" s="753"/>
      <c r="QLC29" s="750"/>
      <c r="QLD29" s="751"/>
      <c r="QLE29" s="752"/>
      <c r="QLF29" s="751"/>
      <c r="QLG29" s="751"/>
      <c r="QLH29" s="752"/>
      <c r="QLI29" s="752"/>
      <c r="QLJ29" s="753"/>
      <c r="QLK29" s="753"/>
      <c r="QLL29" s="753"/>
      <c r="QLM29" s="753"/>
      <c r="QLN29" s="753"/>
      <c r="QLO29" s="753"/>
      <c r="QLP29" s="753"/>
      <c r="QLQ29" s="753"/>
      <c r="QLR29" s="753"/>
      <c r="QLS29" s="750"/>
      <c r="QLT29" s="751"/>
      <c r="QLU29" s="752"/>
      <c r="QLV29" s="751"/>
      <c r="QLW29" s="751"/>
      <c r="QLX29" s="752"/>
      <c r="QLY29" s="752"/>
      <c r="QLZ29" s="753"/>
      <c r="QMA29" s="753"/>
      <c r="QMB29" s="753"/>
      <c r="QMC29" s="753"/>
      <c r="QMD29" s="753"/>
      <c r="QME29" s="753"/>
      <c r="QMF29" s="753"/>
      <c r="QMG29" s="753"/>
      <c r="QMH29" s="753"/>
      <c r="QMI29" s="750"/>
      <c r="QMJ29" s="751"/>
      <c r="QMK29" s="752"/>
      <c r="QML29" s="751"/>
      <c r="QMM29" s="751"/>
      <c r="QMN29" s="752"/>
      <c r="QMO29" s="752"/>
      <c r="QMP29" s="753"/>
      <c r="QMQ29" s="753"/>
      <c r="QMR29" s="753"/>
      <c r="QMS29" s="753"/>
      <c r="QMT29" s="753"/>
      <c r="QMU29" s="753"/>
      <c r="QMV29" s="753"/>
      <c r="QMW29" s="753"/>
      <c r="QMX29" s="753"/>
      <c r="QMY29" s="750"/>
      <c r="QMZ29" s="751"/>
      <c r="QNA29" s="752"/>
      <c r="QNB29" s="751"/>
      <c r="QNC29" s="751"/>
      <c r="QND29" s="752"/>
      <c r="QNE29" s="752"/>
      <c r="QNF29" s="753"/>
      <c r="QNG29" s="753"/>
      <c r="QNH29" s="753"/>
      <c r="QNI29" s="753"/>
      <c r="QNJ29" s="753"/>
      <c r="QNK29" s="753"/>
      <c r="QNL29" s="753"/>
      <c r="QNM29" s="753"/>
      <c r="QNN29" s="753"/>
      <c r="QNO29" s="750"/>
      <c r="QNP29" s="751"/>
      <c r="QNQ29" s="752"/>
      <c r="QNR29" s="751"/>
      <c r="QNS29" s="751"/>
      <c r="QNT29" s="752"/>
      <c r="QNU29" s="752"/>
      <c r="QNV29" s="753"/>
      <c r="QNW29" s="753"/>
      <c r="QNX29" s="753"/>
      <c r="QNY29" s="753"/>
      <c r="QNZ29" s="753"/>
      <c r="QOA29" s="753"/>
      <c r="QOB29" s="753"/>
      <c r="QOC29" s="753"/>
      <c r="QOD29" s="753"/>
      <c r="QOE29" s="750"/>
      <c r="QOF29" s="751"/>
      <c r="QOG29" s="752"/>
      <c r="QOH29" s="751"/>
      <c r="QOI29" s="751"/>
      <c r="QOJ29" s="752"/>
      <c r="QOK29" s="752"/>
      <c r="QOL29" s="753"/>
      <c r="QOM29" s="753"/>
      <c r="QON29" s="753"/>
      <c r="QOO29" s="753"/>
      <c r="QOP29" s="753"/>
      <c r="QOQ29" s="753"/>
      <c r="QOR29" s="753"/>
      <c r="QOS29" s="753"/>
      <c r="QOT29" s="753"/>
      <c r="QOU29" s="750"/>
      <c r="QOV29" s="751"/>
      <c r="QOW29" s="752"/>
      <c r="QOX29" s="751"/>
      <c r="QOY29" s="751"/>
      <c r="QOZ29" s="752"/>
      <c r="QPA29" s="752"/>
      <c r="QPB29" s="753"/>
      <c r="QPC29" s="753"/>
      <c r="QPD29" s="753"/>
      <c r="QPE29" s="753"/>
      <c r="QPF29" s="753"/>
      <c r="QPG29" s="753"/>
      <c r="QPH29" s="753"/>
      <c r="QPI29" s="753"/>
      <c r="QPJ29" s="753"/>
      <c r="QPK29" s="750"/>
      <c r="QPL29" s="751"/>
      <c r="QPM29" s="752"/>
      <c r="QPN29" s="751"/>
      <c r="QPO29" s="751"/>
      <c r="QPP29" s="752"/>
      <c r="QPQ29" s="752"/>
      <c r="QPR29" s="753"/>
      <c r="QPS29" s="753"/>
      <c r="QPT29" s="753"/>
      <c r="QPU29" s="753"/>
      <c r="QPV29" s="753"/>
      <c r="QPW29" s="753"/>
      <c r="QPX29" s="753"/>
      <c r="QPY29" s="753"/>
      <c r="QPZ29" s="753"/>
      <c r="QQA29" s="750"/>
      <c r="QQB29" s="751"/>
      <c r="QQC29" s="752"/>
      <c r="QQD29" s="751"/>
      <c r="QQE29" s="751"/>
      <c r="QQF29" s="752"/>
      <c r="QQG29" s="752"/>
      <c r="QQH29" s="753"/>
      <c r="QQI29" s="753"/>
      <c r="QQJ29" s="753"/>
      <c r="QQK29" s="753"/>
      <c r="QQL29" s="753"/>
      <c r="QQM29" s="753"/>
      <c r="QQN29" s="753"/>
      <c r="QQO29" s="753"/>
      <c r="QQP29" s="753"/>
      <c r="QQQ29" s="750"/>
      <c r="QQR29" s="751"/>
      <c r="QQS29" s="752"/>
      <c r="QQT29" s="751"/>
      <c r="QQU29" s="751"/>
      <c r="QQV29" s="752"/>
      <c r="QQW29" s="752"/>
      <c r="QQX29" s="753"/>
      <c r="QQY29" s="753"/>
      <c r="QQZ29" s="753"/>
      <c r="QRA29" s="753"/>
      <c r="QRB29" s="753"/>
      <c r="QRC29" s="753"/>
      <c r="QRD29" s="753"/>
      <c r="QRE29" s="753"/>
      <c r="QRF29" s="753"/>
      <c r="QRG29" s="750"/>
      <c r="QRH29" s="751"/>
      <c r="QRI29" s="752"/>
      <c r="QRJ29" s="751"/>
      <c r="QRK29" s="751"/>
      <c r="QRL29" s="752"/>
      <c r="QRM29" s="752"/>
      <c r="QRN29" s="753"/>
      <c r="QRO29" s="753"/>
      <c r="QRP29" s="753"/>
      <c r="QRQ29" s="753"/>
      <c r="QRR29" s="753"/>
      <c r="QRS29" s="753"/>
      <c r="QRT29" s="753"/>
      <c r="QRU29" s="753"/>
      <c r="QRV29" s="753"/>
      <c r="QRW29" s="750"/>
      <c r="QRX29" s="751"/>
      <c r="QRY29" s="752"/>
      <c r="QRZ29" s="751"/>
      <c r="QSA29" s="751"/>
      <c r="QSB29" s="752"/>
      <c r="QSC29" s="752"/>
      <c r="QSD29" s="753"/>
      <c r="QSE29" s="753"/>
      <c r="QSF29" s="753"/>
      <c r="QSG29" s="753"/>
      <c r="QSH29" s="753"/>
      <c r="QSI29" s="753"/>
      <c r="QSJ29" s="753"/>
      <c r="QSK29" s="753"/>
      <c r="QSL29" s="753"/>
      <c r="QSM29" s="750"/>
      <c r="QSN29" s="751"/>
      <c r="QSO29" s="752"/>
      <c r="QSP29" s="751"/>
      <c r="QSQ29" s="751"/>
      <c r="QSR29" s="752"/>
      <c r="QSS29" s="752"/>
      <c r="QST29" s="753"/>
      <c r="QSU29" s="753"/>
      <c r="QSV29" s="753"/>
      <c r="QSW29" s="753"/>
      <c r="QSX29" s="753"/>
      <c r="QSY29" s="753"/>
      <c r="QSZ29" s="753"/>
      <c r="QTA29" s="753"/>
      <c r="QTB29" s="753"/>
      <c r="QTC29" s="750"/>
      <c r="QTD29" s="751"/>
      <c r="QTE29" s="752"/>
      <c r="QTF29" s="751"/>
      <c r="QTG29" s="751"/>
      <c r="QTH29" s="752"/>
      <c r="QTI29" s="752"/>
      <c r="QTJ29" s="753"/>
      <c r="QTK29" s="753"/>
      <c r="QTL29" s="753"/>
      <c r="QTM29" s="753"/>
      <c r="QTN29" s="753"/>
      <c r="QTO29" s="753"/>
      <c r="QTP29" s="753"/>
      <c r="QTQ29" s="753"/>
      <c r="QTR29" s="753"/>
      <c r="QTS29" s="750"/>
      <c r="QTT29" s="751"/>
      <c r="QTU29" s="752"/>
      <c r="QTV29" s="751"/>
      <c r="QTW29" s="751"/>
      <c r="QTX29" s="752"/>
      <c r="QTY29" s="752"/>
      <c r="QTZ29" s="753"/>
      <c r="QUA29" s="753"/>
      <c r="QUB29" s="753"/>
      <c r="QUC29" s="753"/>
      <c r="QUD29" s="753"/>
      <c r="QUE29" s="753"/>
      <c r="QUF29" s="753"/>
      <c r="QUG29" s="753"/>
      <c r="QUH29" s="753"/>
      <c r="QUI29" s="750"/>
      <c r="QUJ29" s="751"/>
      <c r="QUK29" s="752"/>
      <c r="QUL29" s="751"/>
      <c r="QUM29" s="751"/>
      <c r="QUN29" s="752"/>
      <c r="QUO29" s="752"/>
      <c r="QUP29" s="753"/>
      <c r="QUQ29" s="753"/>
      <c r="QUR29" s="753"/>
      <c r="QUS29" s="753"/>
      <c r="QUT29" s="753"/>
      <c r="QUU29" s="753"/>
      <c r="QUV29" s="753"/>
      <c r="QUW29" s="753"/>
      <c r="QUX29" s="753"/>
      <c r="QUY29" s="750"/>
      <c r="QUZ29" s="751"/>
      <c r="QVA29" s="752"/>
      <c r="QVB29" s="751"/>
      <c r="QVC29" s="751"/>
      <c r="QVD29" s="752"/>
      <c r="QVE29" s="752"/>
      <c r="QVF29" s="753"/>
      <c r="QVG29" s="753"/>
      <c r="QVH29" s="753"/>
      <c r="QVI29" s="753"/>
      <c r="QVJ29" s="753"/>
      <c r="QVK29" s="753"/>
      <c r="QVL29" s="753"/>
      <c r="QVM29" s="753"/>
      <c r="QVN29" s="753"/>
      <c r="QVO29" s="750"/>
      <c r="QVP29" s="751"/>
      <c r="QVQ29" s="752"/>
      <c r="QVR29" s="751"/>
      <c r="QVS29" s="751"/>
      <c r="QVT29" s="752"/>
      <c r="QVU29" s="752"/>
      <c r="QVV29" s="753"/>
      <c r="QVW29" s="753"/>
      <c r="QVX29" s="753"/>
      <c r="QVY29" s="753"/>
      <c r="QVZ29" s="753"/>
      <c r="QWA29" s="753"/>
      <c r="QWB29" s="753"/>
      <c r="QWC29" s="753"/>
      <c r="QWD29" s="753"/>
      <c r="QWE29" s="750"/>
      <c r="QWF29" s="751"/>
      <c r="QWG29" s="752"/>
      <c r="QWH29" s="751"/>
      <c r="QWI29" s="751"/>
      <c r="QWJ29" s="752"/>
      <c r="QWK29" s="752"/>
      <c r="QWL29" s="753"/>
      <c r="QWM29" s="753"/>
      <c r="QWN29" s="753"/>
      <c r="QWO29" s="753"/>
      <c r="QWP29" s="753"/>
      <c r="QWQ29" s="753"/>
      <c r="QWR29" s="753"/>
      <c r="QWS29" s="753"/>
      <c r="QWT29" s="753"/>
      <c r="QWU29" s="750"/>
      <c r="QWV29" s="751"/>
      <c r="QWW29" s="752"/>
      <c r="QWX29" s="751"/>
      <c r="QWY29" s="751"/>
      <c r="QWZ29" s="752"/>
      <c r="QXA29" s="752"/>
      <c r="QXB29" s="753"/>
      <c r="QXC29" s="753"/>
      <c r="QXD29" s="753"/>
      <c r="QXE29" s="753"/>
      <c r="QXF29" s="753"/>
      <c r="QXG29" s="753"/>
      <c r="QXH29" s="753"/>
      <c r="QXI29" s="753"/>
      <c r="QXJ29" s="753"/>
      <c r="QXK29" s="750"/>
      <c r="QXL29" s="751"/>
      <c r="QXM29" s="752"/>
      <c r="QXN29" s="751"/>
      <c r="QXO29" s="751"/>
      <c r="QXP29" s="752"/>
      <c r="QXQ29" s="752"/>
      <c r="QXR29" s="753"/>
      <c r="QXS29" s="753"/>
      <c r="QXT29" s="753"/>
      <c r="QXU29" s="753"/>
      <c r="QXV29" s="753"/>
      <c r="QXW29" s="753"/>
      <c r="QXX29" s="753"/>
      <c r="QXY29" s="753"/>
      <c r="QXZ29" s="753"/>
      <c r="QYA29" s="750"/>
      <c r="QYB29" s="751"/>
      <c r="QYC29" s="752"/>
      <c r="QYD29" s="751"/>
      <c r="QYE29" s="751"/>
      <c r="QYF29" s="752"/>
      <c r="QYG29" s="752"/>
      <c r="QYH29" s="753"/>
      <c r="QYI29" s="753"/>
      <c r="QYJ29" s="753"/>
      <c r="QYK29" s="753"/>
      <c r="QYL29" s="753"/>
      <c r="QYM29" s="753"/>
      <c r="QYN29" s="753"/>
      <c r="QYO29" s="753"/>
      <c r="QYP29" s="753"/>
      <c r="QYQ29" s="750"/>
      <c r="QYR29" s="751"/>
      <c r="QYS29" s="752"/>
      <c r="QYT29" s="751"/>
      <c r="QYU29" s="751"/>
      <c r="QYV29" s="752"/>
      <c r="QYW29" s="752"/>
      <c r="QYX29" s="753"/>
      <c r="QYY29" s="753"/>
      <c r="QYZ29" s="753"/>
      <c r="QZA29" s="753"/>
      <c r="QZB29" s="753"/>
      <c r="QZC29" s="753"/>
      <c r="QZD29" s="753"/>
      <c r="QZE29" s="753"/>
      <c r="QZF29" s="753"/>
      <c r="QZG29" s="750"/>
      <c r="QZH29" s="751"/>
      <c r="QZI29" s="752"/>
      <c r="QZJ29" s="751"/>
      <c r="QZK29" s="751"/>
      <c r="QZL29" s="752"/>
      <c r="QZM29" s="752"/>
      <c r="QZN29" s="753"/>
      <c r="QZO29" s="753"/>
      <c r="QZP29" s="753"/>
      <c r="QZQ29" s="753"/>
      <c r="QZR29" s="753"/>
      <c r="QZS29" s="753"/>
      <c r="QZT29" s="753"/>
      <c r="QZU29" s="753"/>
      <c r="QZV29" s="753"/>
      <c r="QZW29" s="750"/>
      <c r="QZX29" s="751"/>
      <c r="QZY29" s="752"/>
      <c r="QZZ29" s="751"/>
      <c r="RAA29" s="751"/>
      <c r="RAB29" s="752"/>
      <c r="RAC29" s="752"/>
      <c r="RAD29" s="753"/>
      <c r="RAE29" s="753"/>
      <c r="RAF29" s="753"/>
      <c r="RAG29" s="753"/>
      <c r="RAH29" s="753"/>
      <c r="RAI29" s="753"/>
      <c r="RAJ29" s="753"/>
      <c r="RAK29" s="753"/>
      <c r="RAL29" s="753"/>
      <c r="RAM29" s="750"/>
      <c r="RAN29" s="751"/>
      <c r="RAO29" s="752"/>
      <c r="RAP29" s="751"/>
      <c r="RAQ29" s="751"/>
      <c r="RAR29" s="752"/>
      <c r="RAS29" s="752"/>
      <c r="RAT29" s="753"/>
      <c r="RAU29" s="753"/>
      <c r="RAV29" s="753"/>
      <c r="RAW29" s="753"/>
      <c r="RAX29" s="753"/>
      <c r="RAY29" s="753"/>
      <c r="RAZ29" s="753"/>
      <c r="RBA29" s="753"/>
      <c r="RBB29" s="753"/>
      <c r="RBC29" s="750"/>
      <c r="RBD29" s="751"/>
      <c r="RBE29" s="752"/>
      <c r="RBF29" s="751"/>
      <c r="RBG29" s="751"/>
      <c r="RBH29" s="752"/>
      <c r="RBI29" s="752"/>
      <c r="RBJ29" s="753"/>
      <c r="RBK29" s="753"/>
      <c r="RBL29" s="753"/>
      <c r="RBM29" s="753"/>
      <c r="RBN29" s="753"/>
      <c r="RBO29" s="753"/>
      <c r="RBP29" s="753"/>
      <c r="RBQ29" s="753"/>
      <c r="RBR29" s="753"/>
      <c r="RBS29" s="750"/>
      <c r="RBT29" s="751"/>
      <c r="RBU29" s="752"/>
      <c r="RBV29" s="751"/>
      <c r="RBW29" s="751"/>
      <c r="RBX29" s="752"/>
      <c r="RBY29" s="752"/>
      <c r="RBZ29" s="753"/>
      <c r="RCA29" s="753"/>
      <c r="RCB29" s="753"/>
      <c r="RCC29" s="753"/>
      <c r="RCD29" s="753"/>
      <c r="RCE29" s="753"/>
      <c r="RCF29" s="753"/>
      <c r="RCG29" s="753"/>
      <c r="RCH29" s="753"/>
      <c r="RCI29" s="750"/>
      <c r="RCJ29" s="751"/>
      <c r="RCK29" s="752"/>
      <c r="RCL29" s="751"/>
      <c r="RCM29" s="751"/>
      <c r="RCN29" s="752"/>
      <c r="RCO29" s="752"/>
      <c r="RCP29" s="753"/>
      <c r="RCQ29" s="753"/>
      <c r="RCR29" s="753"/>
      <c r="RCS29" s="753"/>
      <c r="RCT29" s="753"/>
      <c r="RCU29" s="753"/>
      <c r="RCV29" s="753"/>
      <c r="RCW29" s="753"/>
      <c r="RCX29" s="753"/>
      <c r="RCY29" s="750"/>
      <c r="RCZ29" s="751"/>
      <c r="RDA29" s="752"/>
      <c r="RDB29" s="751"/>
      <c r="RDC29" s="751"/>
      <c r="RDD29" s="752"/>
      <c r="RDE29" s="752"/>
      <c r="RDF29" s="753"/>
      <c r="RDG29" s="753"/>
      <c r="RDH29" s="753"/>
      <c r="RDI29" s="753"/>
      <c r="RDJ29" s="753"/>
      <c r="RDK29" s="753"/>
      <c r="RDL29" s="753"/>
      <c r="RDM29" s="753"/>
      <c r="RDN29" s="753"/>
      <c r="RDO29" s="750"/>
      <c r="RDP29" s="751"/>
      <c r="RDQ29" s="752"/>
      <c r="RDR29" s="751"/>
      <c r="RDS29" s="751"/>
      <c r="RDT29" s="752"/>
      <c r="RDU29" s="752"/>
      <c r="RDV29" s="753"/>
      <c r="RDW29" s="753"/>
      <c r="RDX29" s="753"/>
      <c r="RDY29" s="753"/>
      <c r="RDZ29" s="753"/>
      <c r="REA29" s="753"/>
      <c r="REB29" s="753"/>
      <c r="REC29" s="753"/>
      <c r="RED29" s="753"/>
      <c r="REE29" s="750"/>
      <c r="REF29" s="751"/>
      <c r="REG29" s="752"/>
      <c r="REH29" s="751"/>
      <c r="REI29" s="751"/>
      <c r="REJ29" s="752"/>
      <c r="REK29" s="752"/>
      <c r="REL29" s="753"/>
      <c r="REM29" s="753"/>
      <c r="REN29" s="753"/>
      <c r="REO29" s="753"/>
      <c r="REP29" s="753"/>
      <c r="REQ29" s="753"/>
      <c r="RER29" s="753"/>
      <c r="RES29" s="753"/>
      <c r="RET29" s="753"/>
      <c r="REU29" s="750"/>
      <c r="REV29" s="751"/>
      <c r="REW29" s="752"/>
      <c r="REX29" s="751"/>
      <c r="REY29" s="751"/>
      <c r="REZ29" s="752"/>
      <c r="RFA29" s="752"/>
      <c r="RFB29" s="753"/>
      <c r="RFC29" s="753"/>
      <c r="RFD29" s="753"/>
      <c r="RFE29" s="753"/>
      <c r="RFF29" s="753"/>
      <c r="RFG29" s="753"/>
      <c r="RFH29" s="753"/>
      <c r="RFI29" s="753"/>
      <c r="RFJ29" s="753"/>
      <c r="RFK29" s="750"/>
      <c r="RFL29" s="751"/>
      <c r="RFM29" s="752"/>
      <c r="RFN29" s="751"/>
      <c r="RFO29" s="751"/>
      <c r="RFP29" s="752"/>
      <c r="RFQ29" s="752"/>
      <c r="RFR29" s="753"/>
      <c r="RFS29" s="753"/>
      <c r="RFT29" s="753"/>
      <c r="RFU29" s="753"/>
      <c r="RFV29" s="753"/>
      <c r="RFW29" s="753"/>
      <c r="RFX29" s="753"/>
      <c r="RFY29" s="753"/>
      <c r="RFZ29" s="753"/>
      <c r="RGA29" s="750"/>
      <c r="RGB29" s="751"/>
      <c r="RGC29" s="752"/>
      <c r="RGD29" s="751"/>
      <c r="RGE29" s="751"/>
      <c r="RGF29" s="752"/>
      <c r="RGG29" s="752"/>
      <c r="RGH29" s="753"/>
      <c r="RGI29" s="753"/>
      <c r="RGJ29" s="753"/>
      <c r="RGK29" s="753"/>
      <c r="RGL29" s="753"/>
      <c r="RGM29" s="753"/>
      <c r="RGN29" s="753"/>
      <c r="RGO29" s="753"/>
      <c r="RGP29" s="753"/>
      <c r="RGQ29" s="750"/>
      <c r="RGR29" s="751"/>
      <c r="RGS29" s="752"/>
      <c r="RGT29" s="751"/>
      <c r="RGU29" s="751"/>
      <c r="RGV29" s="752"/>
      <c r="RGW29" s="752"/>
      <c r="RGX29" s="753"/>
      <c r="RGY29" s="753"/>
      <c r="RGZ29" s="753"/>
      <c r="RHA29" s="753"/>
      <c r="RHB29" s="753"/>
      <c r="RHC29" s="753"/>
      <c r="RHD29" s="753"/>
      <c r="RHE29" s="753"/>
      <c r="RHF29" s="753"/>
      <c r="RHG29" s="750"/>
      <c r="RHH29" s="751"/>
      <c r="RHI29" s="752"/>
      <c r="RHJ29" s="751"/>
      <c r="RHK29" s="751"/>
      <c r="RHL29" s="752"/>
      <c r="RHM29" s="752"/>
      <c r="RHN29" s="753"/>
      <c r="RHO29" s="753"/>
      <c r="RHP29" s="753"/>
      <c r="RHQ29" s="753"/>
      <c r="RHR29" s="753"/>
      <c r="RHS29" s="753"/>
      <c r="RHT29" s="753"/>
      <c r="RHU29" s="753"/>
      <c r="RHV29" s="753"/>
      <c r="RHW29" s="750"/>
      <c r="RHX29" s="751"/>
      <c r="RHY29" s="752"/>
      <c r="RHZ29" s="751"/>
      <c r="RIA29" s="751"/>
      <c r="RIB29" s="752"/>
      <c r="RIC29" s="752"/>
      <c r="RID29" s="753"/>
      <c r="RIE29" s="753"/>
      <c r="RIF29" s="753"/>
      <c r="RIG29" s="753"/>
      <c r="RIH29" s="753"/>
      <c r="RII29" s="753"/>
      <c r="RIJ29" s="753"/>
      <c r="RIK29" s="753"/>
      <c r="RIL29" s="753"/>
      <c r="RIM29" s="750"/>
      <c r="RIN29" s="751"/>
      <c r="RIO29" s="752"/>
      <c r="RIP29" s="751"/>
      <c r="RIQ29" s="751"/>
      <c r="RIR29" s="752"/>
      <c r="RIS29" s="752"/>
      <c r="RIT29" s="753"/>
      <c r="RIU29" s="753"/>
      <c r="RIV29" s="753"/>
      <c r="RIW29" s="753"/>
      <c r="RIX29" s="753"/>
      <c r="RIY29" s="753"/>
      <c r="RIZ29" s="753"/>
      <c r="RJA29" s="753"/>
      <c r="RJB29" s="753"/>
      <c r="RJC29" s="750"/>
      <c r="RJD29" s="751"/>
      <c r="RJE29" s="752"/>
      <c r="RJF29" s="751"/>
      <c r="RJG29" s="751"/>
      <c r="RJH29" s="752"/>
      <c r="RJI29" s="752"/>
      <c r="RJJ29" s="753"/>
      <c r="RJK29" s="753"/>
      <c r="RJL29" s="753"/>
      <c r="RJM29" s="753"/>
      <c r="RJN29" s="753"/>
      <c r="RJO29" s="753"/>
      <c r="RJP29" s="753"/>
      <c r="RJQ29" s="753"/>
      <c r="RJR29" s="753"/>
      <c r="RJS29" s="750"/>
      <c r="RJT29" s="751"/>
      <c r="RJU29" s="752"/>
      <c r="RJV29" s="751"/>
      <c r="RJW29" s="751"/>
      <c r="RJX29" s="752"/>
      <c r="RJY29" s="752"/>
      <c r="RJZ29" s="753"/>
      <c r="RKA29" s="753"/>
      <c r="RKB29" s="753"/>
      <c r="RKC29" s="753"/>
      <c r="RKD29" s="753"/>
      <c r="RKE29" s="753"/>
      <c r="RKF29" s="753"/>
      <c r="RKG29" s="753"/>
      <c r="RKH29" s="753"/>
      <c r="RKI29" s="750"/>
      <c r="RKJ29" s="751"/>
      <c r="RKK29" s="752"/>
      <c r="RKL29" s="751"/>
      <c r="RKM29" s="751"/>
      <c r="RKN29" s="752"/>
      <c r="RKO29" s="752"/>
      <c r="RKP29" s="753"/>
      <c r="RKQ29" s="753"/>
      <c r="RKR29" s="753"/>
      <c r="RKS29" s="753"/>
      <c r="RKT29" s="753"/>
      <c r="RKU29" s="753"/>
      <c r="RKV29" s="753"/>
      <c r="RKW29" s="753"/>
      <c r="RKX29" s="753"/>
      <c r="RKY29" s="750"/>
      <c r="RKZ29" s="751"/>
      <c r="RLA29" s="752"/>
      <c r="RLB29" s="751"/>
      <c r="RLC29" s="751"/>
      <c r="RLD29" s="752"/>
      <c r="RLE29" s="752"/>
      <c r="RLF29" s="753"/>
      <c r="RLG29" s="753"/>
      <c r="RLH29" s="753"/>
      <c r="RLI29" s="753"/>
      <c r="RLJ29" s="753"/>
      <c r="RLK29" s="753"/>
      <c r="RLL29" s="753"/>
      <c r="RLM29" s="753"/>
      <c r="RLN29" s="753"/>
      <c r="RLO29" s="750"/>
      <c r="RLP29" s="751"/>
      <c r="RLQ29" s="752"/>
      <c r="RLR29" s="751"/>
      <c r="RLS29" s="751"/>
      <c r="RLT29" s="752"/>
      <c r="RLU29" s="752"/>
      <c r="RLV29" s="753"/>
      <c r="RLW29" s="753"/>
      <c r="RLX29" s="753"/>
      <c r="RLY29" s="753"/>
      <c r="RLZ29" s="753"/>
      <c r="RMA29" s="753"/>
      <c r="RMB29" s="753"/>
      <c r="RMC29" s="753"/>
      <c r="RMD29" s="753"/>
      <c r="RME29" s="750"/>
      <c r="RMF29" s="751"/>
      <c r="RMG29" s="752"/>
      <c r="RMH29" s="751"/>
      <c r="RMI29" s="751"/>
      <c r="RMJ29" s="752"/>
      <c r="RMK29" s="752"/>
      <c r="RML29" s="753"/>
      <c r="RMM29" s="753"/>
      <c r="RMN29" s="753"/>
      <c r="RMO29" s="753"/>
      <c r="RMP29" s="753"/>
      <c r="RMQ29" s="753"/>
      <c r="RMR29" s="753"/>
      <c r="RMS29" s="753"/>
      <c r="RMT29" s="753"/>
      <c r="RMU29" s="750"/>
      <c r="RMV29" s="751"/>
      <c r="RMW29" s="752"/>
      <c r="RMX29" s="751"/>
      <c r="RMY29" s="751"/>
      <c r="RMZ29" s="752"/>
      <c r="RNA29" s="752"/>
      <c r="RNB29" s="753"/>
      <c r="RNC29" s="753"/>
      <c r="RND29" s="753"/>
      <c r="RNE29" s="753"/>
      <c r="RNF29" s="753"/>
      <c r="RNG29" s="753"/>
      <c r="RNH29" s="753"/>
      <c r="RNI29" s="753"/>
      <c r="RNJ29" s="753"/>
      <c r="RNK29" s="750"/>
      <c r="RNL29" s="751"/>
      <c r="RNM29" s="752"/>
      <c r="RNN29" s="751"/>
      <c r="RNO29" s="751"/>
      <c r="RNP29" s="752"/>
      <c r="RNQ29" s="752"/>
      <c r="RNR29" s="753"/>
      <c r="RNS29" s="753"/>
      <c r="RNT29" s="753"/>
      <c r="RNU29" s="753"/>
      <c r="RNV29" s="753"/>
      <c r="RNW29" s="753"/>
      <c r="RNX29" s="753"/>
      <c r="RNY29" s="753"/>
      <c r="RNZ29" s="753"/>
      <c r="ROA29" s="750"/>
      <c r="ROB29" s="751"/>
      <c r="ROC29" s="752"/>
      <c r="ROD29" s="751"/>
      <c r="ROE29" s="751"/>
      <c r="ROF29" s="752"/>
      <c r="ROG29" s="752"/>
      <c r="ROH29" s="753"/>
      <c r="ROI29" s="753"/>
      <c r="ROJ29" s="753"/>
      <c r="ROK29" s="753"/>
      <c r="ROL29" s="753"/>
      <c r="ROM29" s="753"/>
      <c r="RON29" s="753"/>
      <c r="ROO29" s="753"/>
      <c r="ROP29" s="753"/>
      <c r="ROQ29" s="750"/>
      <c r="ROR29" s="751"/>
      <c r="ROS29" s="752"/>
      <c r="ROT29" s="751"/>
      <c r="ROU29" s="751"/>
      <c r="ROV29" s="752"/>
      <c r="ROW29" s="752"/>
      <c r="ROX29" s="753"/>
      <c r="ROY29" s="753"/>
      <c r="ROZ29" s="753"/>
      <c r="RPA29" s="753"/>
      <c r="RPB29" s="753"/>
      <c r="RPC29" s="753"/>
      <c r="RPD29" s="753"/>
      <c r="RPE29" s="753"/>
      <c r="RPF29" s="753"/>
      <c r="RPG29" s="750"/>
      <c r="RPH29" s="751"/>
      <c r="RPI29" s="752"/>
      <c r="RPJ29" s="751"/>
      <c r="RPK29" s="751"/>
      <c r="RPL29" s="752"/>
      <c r="RPM29" s="752"/>
      <c r="RPN29" s="753"/>
      <c r="RPO29" s="753"/>
      <c r="RPP29" s="753"/>
      <c r="RPQ29" s="753"/>
      <c r="RPR29" s="753"/>
      <c r="RPS29" s="753"/>
      <c r="RPT29" s="753"/>
      <c r="RPU29" s="753"/>
      <c r="RPV29" s="753"/>
      <c r="RPW29" s="750"/>
      <c r="RPX29" s="751"/>
      <c r="RPY29" s="752"/>
      <c r="RPZ29" s="751"/>
      <c r="RQA29" s="751"/>
      <c r="RQB29" s="752"/>
      <c r="RQC29" s="752"/>
      <c r="RQD29" s="753"/>
      <c r="RQE29" s="753"/>
      <c r="RQF29" s="753"/>
      <c r="RQG29" s="753"/>
      <c r="RQH29" s="753"/>
      <c r="RQI29" s="753"/>
      <c r="RQJ29" s="753"/>
      <c r="RQK29" s="753"/>
      <c r="RQL29" s="753"/>
      <c r="RQM29" s="750"/>
      <c r="RQN29" s="751"/>
      <c r="RQO29" s="752"/>
      <c r="RQP29" s="751"/>
      <c r="RQQ29" s="751"/>
      <c r="RQR29" s="752"/>
      <c r="RQS29" s="752"/>
      <c r="RQT29" s="753"/>
      <c r="RQU29" s="753"/>
      <c r="RQV29" s="753"/>
      <c r="RQW29" s="753"/>
      <c r="RQX29" s="753"/>
      <c r="RQY29" s="753"/>
      <c r="RQZ29" s="753"/>
      <c r="RRA29" s="753"/>
      <c r="RRB29" s="753"/>
      <c r="RRC29" s="750"/>
      <c r="RRD29" s="751"/>
      <c r="RRE29" s="752"/>
      <c r="RRF29" s="751"/>
      <c r="RRG29" s="751"/>
      <c r="RRH29" s="752"/>
      <c r="RRI29" s="752"/>
      <c r="RRJ29" s="753"/>
      <c r="RRK29" s="753"/>
      <c r="RRL29" s="753"/>
      <c r="RRM29" s="753"/>
      <c r="RRN29" s="753"/>
      <c r="RRO29" s="753"/>
      <c r="RRP29" s="753"/>
      <c r="RRQ29" s="753"/>
      <c r="RRR29" s="753"/>
      <c r="RRS29" s="750"/>
      <c r="RRT29" s="751"/>
      <c r="RRU29" s="752"/>
      <c r="RRV29" s="751"/>
      <c r="RRW29" s="751"/>
      <c r="RRX29" s="752"/>
      <c r="RRY29" s="752"/>
      <c r="RRZ29" s="753"/>
      <c r="RSA29" s="753"/>
      <c r="RSB29" s="753"/>
      <c r="RSC29" s="753"/>
      <c r="RSD29" s="753"/>
      <c r="RSE29" s="753"/>
      <c r="RSF29" s="753"/>
      <c r="RSG29" s="753"/>
      <c r="RSH29" s="753"/>
      <c r="RSI29" s="750"/>
      <c r="RSJ29" s="751"/>
      <c r="RSK29" s="752"/>
      <c r="RSL29" s="751"/>
      <c r="RSM29" s="751"/>
      <c r="RSN29" s="752"/>
      <c r="RSO29" s="752"/>
      <c r="RSP29" s="753"/>
      <c r="RSQ29" s="753"/>
      <c r="RSR29" s="753"/>
      <c r="RSS29" s="753"/>
      <c r="RST29" s="753"/>
      <c r="RSU29" s="753"/>
      <c r="RSV29" s="753"/>
      <c r="RSW29" s="753"/>
      <c r="RSX29" s="753"/>
      <c r="RSY29" s="750"/>
      <c r="RSZ29" s="751"/>
      <c r="RTA29" s="752"/>
      <c r="RTB29" s="751"/>
      <c r="RTC29" s="751"/>
      <c r="RTD29" s="752"/>
      <c r="RTE29" s="752"/>
      <c r="RTF29" s="753"/>
      <c r="RTG29" s="753"/>
      <c r="RTH29" s="753"/>
      <c r="RTI29" s="753"/>
      <c r="RTJ29" s="753"/>
      <c r="RTK29" s="753"/>
      <c r="RTL29" s="753"/>
      <c r="RTM29" s="753"/>
      <c r="RTN29" s="753"/>
      <c r="RTO29" s="750"/>
      <c r="RTP29" s="751"/>
      <c r="RTQ29" s="752"/>
      <c r="RTR29" s="751"/>
      <c r="RTS29" s="751"/>
      <c r="RTT29" s="752"/>
      <c r="RTU29" s="752"/>
      <c r="RTV29" s="753"/>
      <c r="RTW29" s="753"/>
      <c r="RTX29" s="753"/>
      <c r="RTY29" s="753"/>
      <c r="RTZ29" s="753"/>
      <c r="RUA29" s="753"/>
      <c r="RUB29" s="753"/>
      <c r="RUC29" s="753"/>
      <c r="RUD29" s="753"/>
      <c r="RUE29" s="750"/>
      <c r="RUF29" s="751"/>
      <c r="RUG29" s="752"/>
      <c r="RUH29" s="751"/>
      <c r="RUI29" s="751"/>
      <c r="RUJ29" s="752"/>
      <c r="RUK29" s="752"/>
      <c r="RUL29" s="753"/>
      <c r="RUM29" s="753"/>
      <c r="RUN29" s="753"/>
      <c r="RUO29" s="753"/>
      <c r="RUP29" s="753"/>
      <c r="RUQ29" s="753"/>
      <c r="RUR29" s="753"/>
      <c r="RUS29" s="753"/>
      <c r="RUT29" s="753"/>
      <c r="RUU29" s="750"/>
      <c r="RUV29" s="751"/>
      <c r="RUW29" s="752"/>
      <c r="RUX29" s="751"/>
      <c r="RUY29" s="751"/>
      <c r="RUZ29" s="752"/>
      <c r="RVA29" s="752"/>
      <c r="RVB29" s="753"/>
      <c r="RVC29" s="753"/>
      <c r="RVD29" s="753"/>
      <c r="RVE29" s="753"/>
      <c r="RVF29" s="753"/>
      <c r="RVG29" s="753"/>
      <c r="RVH29" s="753"/>
      <c r="RVI29" s="753"/>
      <c r="RVJ29" s="753"/>
      <c r="RVK29" s="750"/>
      <c r="RVL29" s="751"/>
      <c r="RVM29" s="752"/>
      <c r="RVN29" s="751"/>
      <c r="RVO29" s="751"/>
      <c r="RVP29" s="752"/>
      <c r="RVQ29" s="752"/>
      <c r="RVR29" s="753"/>
      <c r="RVS29" s="753"/>
      <c r="RVT29" s="753"/>
      <c r="RVU29" s="753"/>
      <c r="RVV29" s="753"/>
      <c r="RVW29" s="753"/>
      <c r="RVX29" s="753"/>
      <c r="RVY29" s="753"/>
      <c r="RVZ29" s="753"/>
      <c r="RWA29" s="750"/>
      <c r="RWB29" s="751"/>
      <c r="RWC29" s="752"/>
      <c r="RWD29" s="751"/>
      <c r="RWE29" s="751"/>
      <c r="RWF29" s="752"/>
      <c r="RWG29" s="752"/>
      <c r="RWH29" s="753"/>
      <c r="RWI29" s="753"/>
      <c r="RWJ29" s="753"/>
      <c r="RWK29" s="753"/>
      <c r="RWL29" s="753"/>
      <c r="RWM29" s="753"/>
      <c r="RWN29" s="753"/>
      <c r="RWO29" s="753"/>
      <c r="RWP29" s="753"/>
      <c r="RWQ29" s="750"/>
      <c r="RWR29" s="751"/>
      <c r="RWS29" s="752"/>
      <c r="RWT29" s="751"/>
      <c r="RWU29" s="751"/>
      <c r="RWV29" s="752"/>
      <c r="RWW29" s="752"/>
      <c r="RWX29" s="753"/>
      <c r="RWY29" s="753"/>
      <c r="RWZ29" s="753"/>
      <c r="RXA29" s="753"/>
      <c r="RXB29" s="753"/>
      <c r="RXC29" s="753"/>
      <c r="RXD29" s="753"/>
      <c r="RXE29" s="753"/>
      <c r="RXF29" s="753"/>
      <c r="RXG29" s="750"/>
      <c r="RXH29" s="751"/>
      <c r="RXI29" s="752"/>
      <c r="RXJ29" s="751"/>
      <c r="RXK29" s="751"/>
      <c r="RXL29" s="752"/>
      <c r="RXM29" s="752"/>
      <c r="RXN29" s="753"/>
      <c r="RXO29" s="753"/>
      <c r="RXP29" s="753"/>
      <c r="RXQ29" s="753"/>
      <c r="RXR29" s="753"/>
      <c r="RXS29" s="753"/>
      <c r="RXT29" s="753"/>
      <c r="RXU29" s="753"/>
      <c r="RXV29" s="753"/>
      <c r="RXW29" s="750"/>
      <c r="RXX29" s="751"/>
      <c r="RXY29" s="752"/>
      <c r="RXZ29" s="751"/>
      <c r="RYA29" s="751"/>
      <c r="RYB29" s="752"/>
      <c r="RYC29" s="752"/>
      <c r="RYD29" s="753"/>
      <c r="RYE29" s="753"/>
      <c r="RYF29" s="753"/>
      <c r="RYG29" s="753"/>
      <c r="RYH29" s="753"/>
      <c r="RYI29" s="753"/>
      <c r="RYJ29" s="753"/>
      <c r="RYK29" s="753"/>
      <c r="RYL29" s="753"/>
      <c r="RYM29" s="750"/>
      <c r="RYN29" s="751"/>
      <c r="RYO29" s="752"/>
      <c r="RYP29" s="751"/>
      <c r="RYQ29" s="751"/>
      <c r="RYR29" s="752"/>
      <c r="RYS29" s="752"/>
      <c r="RYT29" s="753"/>
      <c r="RYU29" s="753"/>
      <c r="RYV29" s="753"/>
      <c r="RYW29" s="753"/>
      <c r="RYX29" s="753"/>
      <c r="RYY29" s="753"/>
      <c r="RYZ29" s="753"/>
      <c r="RZA29" s="753"/>
      <c r="RZB29" s="753"/>
      <c r="RZC29" s="750"/>
      <c r="RZD29" s="751"/>
      <c r="RZE29" s="752"/>
      <c r="RZF29" s="751"/>
      <c r="RZG29" s="751"/>
      <c r="RZH29" s="752"/>
      <c r="RZI29" s="752"/>
      <c r="RZJ29" s="753"/>
      <c r="RZK29" s="753"/>
      <c r="RZL29" s="753"/>
      <c r="RZM29" s="753"/>
      <c r="RZN29" s="753"/>
      <c r="RZO29" s="753"/>
      <c r="RZP29" s="753"/>
      <c r="RZQ29" s="753"/>
      <c r="RZR29" s="753"/>
      <c r="RZS29" s="750"/>
      <c r="RZT29" s="751"/>
      <c r="RZU29" s="752"/>
      <c r="RZV29" s="751"/>
      <c r="RZW29" s="751"/>
      <c r="RZX29" s="752"/>
      <c r="RZY29" s="752"/>
      <c r="RZZ29" s="753"/>
      <c r="SAA29" s="753"/>
      <c r="SAB29" s="753"/>
      <c r="SAC29" s="753"/>
      <c r="SAD29" s="753"/>
      <c r="SAE29" s="753"/>
      <c r="SAF29" s="753"/>
      <c r="SAG29" s="753"/>
      <c r="SAH29" s="753"/>
      <c r="SAI29" s="750"/>
      <c r="SAJ29" s="751"/>
      <c r="SAK29" s="752"/>
      <c r="SAL29" s="751"/>
      <c r="SAM29" s="751"/>
      <c r="SAN29" s="752"/>
      <c r="SAO29" s="752"/>
      <c r="SAP29" s="753"/>
      <c r="SAQ29" s="753"/>
      <c r="SAR29" s="753"/>
      <c r="SAS29" s="753"/>
      <c r="SAT29" s="753"/>
      <c r="SAU29" s="753"/>
      <c r="SAV29" s="753"/>
      <c r="SAW29" s="753"/>
      <c r="SAX29" s="753"/>
      <c r="SAY29" s="750"/>
      <c r="SAZ29" s="751"/>
      <c r="SBA29" s="752"/>
      <c r="SBB29" s="751"/>
      <c r="SBC29" s="751"/>
      <c r="SBD29" s="752"/>
      <c r="SBE29" s="752"/>
      <c r="SBF29" s="753"/>
      <c r="SBG29" s="753"/>
      <c r="SBH29" s="753"/>
      <c r="SBI29" s="753"/>
      <c r="SBJ29" s="753"/>
      <c r="SBK29" s="753"/>
      <c r="SBL29" s="753"/>
      <c r="SBM29" s="753"/>
      <c r="SBN29" s="753"/>
      <c r="SBO29" s="750"/>
      <c r="SBP29" s="751"/>
      <c r="SBQ29" s="752"/>
      <c r="SBR29" s="751"/>
      <c r="SBS29" s="751"/>
      <c r="SBT29" s="752"/>
      <c r="SBU29" s="752"/>
      <c r="SBV29" s="753"/>
      <c r="SBW29" s="753"/>
      <c r="SBX29" s="753"/>
      <c r="SBY29" s="753"/>
      <c r="SBZ29" s="753"/>
      <c r="SCA29" s="753"/>
      <c r="SCB29" s="753"/>
      <c r="SCC29" s="753"/>
      <c r="SCD29" s="753"/>
      <c r="SCE29" s="750"/>
      <c r="SCF29" s="751"/>
      <c r="SCG29" s="752"/>
      <c r="SCH29" s="751"/>
      <c r="SCI29" s="751"/>
      <c r="SCJ29" s="752"/>
      <c r="SCK29" s="752"/>
      <c r="SCL29" s="753"/>
      <c r="SCM29" s="753"/>
      <c r="SCN29" s="753"/>
      <c r="SCO29" s="753"/>
      <c r="SCP29" s="753"/>
      <c r="SCQ29" s="753"/>
      <c r="SCR29" s="753"/>
      <c r="SCS29" s="753"/>
      <c r="SCT29" s="753"/>
      <c r="SCU29" s="750"/>
      <c r="SCV29" s="751"/>
      <c r="SCW29" s="752"/>
      <c r="SCX29" s="751"/>
      <c r="SCY29" s="751"/>
      <c r="SCZ29" s="752"/>
      <c r="SDA29" s="752"/>
      <c r="SDB29" s="753"/>
      <c r="SDC29" s="753"/>
      <c r="SDD29" s="753"/>
      <c r="SDE29" s="753"/>
      <c r="SDF29" s="753"/>
      <c r="SDG29" s="753"/>
      <c r="SDH29" s="753"/>
      <c r="SDI29" s="753"/>
      <c r="SDJ29" s="753"/>
      <c r="SDK29" s="750"/>
      <c r="SDL29" s="751"/>
      <c r="SDM29" s="752"/>
      <c r="SDN29" s="751"/>
      <c r="SDO29" s="751"/>
      <c r="SDP29" s="752"/>
      <c r="SDQ29" s="752"/>
      <c r="SDR29" s="753"/>
      <c r="SDS29" s="753"/>
      <c r="SDT29" s="753"/>
      <c r="SDU29" s="753"/>
      <c r="SDV29" s="753"/>
      <c r="SDW29" s="753"/>
      <c r="SDX29" s="753"/>
      <c r="SDY29" s="753"/>
      <c r="SDZ29" s="753"/>
      <c r="SEA29" s="750"/>
      <c r="SEB29" s="751"/>
      <c r="SEC29" s="752"/>
      <c r="SED29" s="751"/>
      <c r="SEE29" s="751"/>
      <c r="SEF29" s="752"/>
      <c r="SEG29" s="752"/>
      <c r="SEH29" s="753"/>
      <c r="SEI29" s="753"/>
      <c r="SEJ29" s="753"/>
      <c r="SEK29" s="753"/>
      <c r="SEL29" s="753"/>
      <c r="SEM29" s="753"/>
      <c r="SEN29" s="753"/>
      <c r="SEO29" s="753"/>
      <c r="SEP29" s="753"/>
      <c r="SEQ29" s="750"/>
      <c r="SER29" s="751"/>
      <c r="SES29" s="752"/>
      <c r="SET29" s="751"/>
      <c r="SEU29" s="751"/>
      <c r="SEV29" s="752"/>
      <c r="SEW29" s="752"/>
      <c r="SEX29" s="753"/>
      <c r="SEY29" s="753"/>
      <c r="SEZ29" s="753"/>
      <c r="SFA29" s="753"/>
      <c r="SFB29" s="753"/>
      <c r="SFC29" s="753"/>
      <c r="SFD29" s="753"/>
      <c r="SFE29" s="753"/>
      <c r="SFF29" s="753"/>
      <c r="SFG29" s="750"/>
      <c r="SFH29" s="751"/>
      <c r="SFI29" s="752"/>
      <c r="SFJ29" s="751"/>
      <c r="SFK29" s="751"/>
      <c r="SFL29" s="752"/>
      <c r="SFM29" s="752"/>
      <c r="SFN29" s="753"/>
      <c r="SFO29" s="753"/>
      <c r="SFP29" s="753"/>
      <c r="SFQ29" s="753"/>
      <c r="SFR29" s="753"/>
      <c r="SFS29" s="753"/>
      <c r="SFT29" s="753"/>
      <c r="SFU29" s="753"/>
      <c r="SFV29" s="753"/>
      <c r="SFW29" s="750"/>
      <c r="SFX29" s="751"/>
      <c r="SFY29" s="752"/>
      <c r="SFZ29" s="751"/>
      <c r="SGA29" s="751"/>
      <c r="SGB29" s="752"/>
      <c r="SGC29" s="752"/>
      <c r="SGD29" s="753"/>
      <c r="SGE29" s="753"/>
      <c r="SGF29" s="753"/>
      <c r="SGG29" s="753"/>
      <c r="SGH29" s="753"/>
      <c r="SGI29" s="753"/>
      <c r="SGJ29" s="753"/>
      <c r="SGK29" s="753"/>
      <c r="SGL29" s="753"/>
      <c r="SGM29" s="750"/>
      <c r="SGN29" s="751"/>
      <c r="SGO29" s="752"/>
      <c r="SGP29" s="751"/>
      <c r="SGQ29" s="751"/>
      <c r="SGR29" s="752"/>
      <c r="SGS29" s="752"/>
      <c r="SGT29" s="753"/>
      <c r="SGU29" s="753"/>
      <c r="SGV29" s="753"/>
      <c r="SGW29" s="753"/>
      <c r="SGX29" s="753"/>
      <c r="SGY29" s="753"/>
      <c r="SGZ29" s="753"/>
      <c r="SHA29" s="753"/>
      <c r="SHB29" s="753"/>
      <c r="SHC29" s="750"/>
      <c r="SHD29" s="751"/>
      <c r="SHE29" s="752"/>
      <c r="SHF29" s="751"/>
      <c r="SHG29" s="751"/>
      <c r="SHH29" s="752"/>
      <c r="SHI29" s="752"/>
      <c r="SHJ29" s="753"/>
      <c r="SHK29" s="753"/>
      <c r="SHL29" s="753"/>
      <c r="SHM29" s="753"/>
      <c r="SHN29" s="753"/>
      <c r="SHO29" s="753"/>
      <c r="SHP29" s="753"/>
      <c r="SHQ29" s="753"/>
      <c r="SHR29" s="753"/>
      <c r="SHS29" s="750"/>
      <c r="SHT29" s="751"/>
      <c r="SHU29" s="752"/>
      <c r="SHV29" s="751"/>
      <c r="SHW29" s="751"/>
      <c r="SHX29" s="752"/>
      <c r="SHY29" s="752"/>
      <c r="SHZ29" s="753"/>
      <c r="SIA29" s="753"/>
      <c r="SIB29" s="753"/>
      <c r="SIC29" s="753"/>
      <c r="SID29" s="753"/>
      <c r="SIE29" s="753"/>
      <c r="SIF29" s="753"/>
      <c r="SIG29" s="753"/>
      <c r="SIH29" s="753"/>
      <c r="SII29" s="750"/>
      <c r="SIJ29" s="751"/>
      <c r="SIK29" s="752"/>
      <c r="SIL29" s="751"/>
      <c r="SIM29" s="751"/>
      <c r="SIN29" s="752"/>
      <c r="SIO29" s="752"/>
      <c r="SIP29" s="753"/>
      <c r="SIQ29" s="753"/>
      <c r="SIR29" s="753"/>
      <c r="SIS29" s="753"/>
      <c r="SIT29" s="753"/>
      <c r="SIU29" s="753"/>
      <c r="SIV29" s="753"/>
      <c r="SIW29" s="753"/>
      <c r="SIX29" s="753"/>
      <c r="SIY29" s="750"/>
      <c r="SIZ29" s="751"/>
      <c r="SJA29" s="752"/>
      <c r="SJB29" s="751"/>
      <c r="SJC29" s="751"/>
      <c r="SJD29" s="752"/>
      <c r="SJE29" s="752"/>
      <c r="SJF29" s="753"/>
      <c r="SJG29" s="753"/>
      <c r="SJH29" s="753"/>
      <c r="SJI29" s="753"/>
      <c r="SJJ29" s="753"/>
      <c r="SJK29" s="753"/>
      <c r="SJL29" s="753"/>
      <c r="SJM29" s="753"/>
      <c r="SJN29" s="753"/>
      <c r="SJO29" s="750"/>
      <c r="SJP29" s="751"/>
      <c r="SJQ29" s="752"/>
      <c r="SJR29" s="751"/>
      <c r="SJS29" s="751"/>
      <c r="SJT29" s="752"/>
      <c r="SJU29" s="752"/>
      <c r="SJV29" s="753"/>
      <c r="SJW29" s="753"/>
      <c r="SJX29" s="753"/>
      <c r="SJY29" s="753"/>
      <c r="SJZ29" s="753"/>
      <c r="SKA29" s="753"/>
      <c r="SKB29" s="753"/>
      <c r="SKC29" s="753"/>
      <c r="SKD29" s="753"/>
      <c r="SKE29" s="750"/>
      <c r="SKF29" s="751"/>
      <c r="SKG29" s="752"/>
      <c r="SKH29" s="751"/>
      <c r="SKI29" s="751"/>
      <c r="SKJ29" s="752"/>
      <c r="SKK29" s="752"/>
      <c r="SKL29" s="753"/>
      <c r="SKM29" s="753"/>
      <c r="SKN29" s="753"/>
      <c r="SKO29" s="753"/>
      <c r="SKP29" s="753"/>
      <c r="SKQ29" s="753"/>
      <c r="SKR29" s="753"/>
      <c r="SKS29" s="753"/>
      <c r="SKT29" s="753"/>
      <c r="SKU29" s="750"/>
      <c r="SKV29" s="751"/>
      <c r="SKW29" s="752"/>
      <c r="SKX29" s="751"/>
      <c r="SKY29" s="751"/>
      <c r="SKZ29" s="752"/>
      <c r="SLA29" s="752"/>
      <c r="SLB29" s="753"/>
      <c r="SLC29" s="753"/>
      <c r="SLD29" s="753"/>
      <c r="SLE29" s="753"/>
      <c r="SLF29" s="753"/>
      <c r="SLG29" s="753"/>
      <c r="SLH29" s="753"/>
      <c r="SLI29" s="753"/>
      <c r="SLJ29" s="753"/>
      <c r="SLK29" s="750"/>
      <c r="SLL29" s="751"/>
      <c r="SLM29" s="752"/>
      <c r="SLN29" s="751"/>
      <c r="SLO29" s="751"/>
      <c r="SLP29" s="752"/>
      <c r="SLQ29" s="752"/>
      <c r="SLR29" s="753"/>
      <c r="SLS29" s="753"/>
      <c r="SLT29" s="753"/>
      <c r="SLU29" s="753"/>
      <c r="SLV29" s="753"/>
      <c r="SLW29" s="753"/>
      <c r="SLX29" s="753"/>
      <c r="SLY29" s="753"/>
      <c r="SLZ29" s="753"/>
      <c r="SMA29" s="750"/>
      <c r="SMB29" s="751"/>
      <c r="SMC29" s="752"/>
      <c r="SMD29" s="751"/>
      <c r="SME29" s="751"/>
      <c r="SMF29" s="752"/>
      <c r="SMG29" s="752"/>
      <c r="SMH29" s="753"/>
      <c r="SMI29" s="753"/>
      <c r="SMJ29" s="753"/>
      <c r="SMK29" s="753"/>
      <c r="SML29" s="753"/>
      <c r="SMM29" s="753"/>
      <c r="SMN29" s="753"/>
      <c r="SMO29" s="753"/>
      <c r="SMP29" s="753"/>
      <c r="SMQ29" s="750"/>
      <c r="SMR29" s="751"/>
      <c r="SMS29" s="752"/>
      <c r="SMT29" s="751"/>
      <c r="SMU29" s="751"/>
      <c r="SMV29" s="752"/>
      <c r="SMW29" s="752"/>
      <c r="SMX29" s="753"/>
      <c r="SMY29" s="753"/>
      <c r="SMZ29" s="753"/>
      <c r="SNA29" s="753"/>
      <c r="SNB29" s="753"/>
      <c r="SNC29" s="753"/>
      <c r="SND29" s="753"/>
      <c r="SNE29" s="753"/>
      <c r="SNF29" s="753"/>
      <c r="SNG29" s="750"/>
      <c r="SNH29" s="751"/>
      <c r="SNI29" s="752"/>
      <c r="SNJ29" s="751"/>
      <c r="SNK29" s="751"/>
      <c r="SNL29" s="752"/>
      <c r="SNM29" s="752"/>
      <c r="SNN29" s="753"/>
      <c r="SNO29" s="753"/>
      <c r="SNP29" s="753"/>
      <c r="SNQ29" s="753"/>
      <c r="SNR29" s="753"/>
      <c r="SNS29" s="753"/>
      <c r="SNT29" s="753"/>
      <c r="SNU29" s="753"/>
      <c r="SNV29" s="753"/>
      <c r="SNW29" s="750"/>
      <c r="SNX29" s="751"/>
      <c r="SNY29" s="752"/>
      <c r="SNZ29" s="751"/>
      <c r="SOA29" s="751"/>
      <c r="SOB29" s="752"/>
      <c r="SOC29" s="752"/>
      <c r="SOD29" s="753"/>
      <c r="SOE29" s="753"/>
      <c r="SOF29" s="753"/>
      <c r="SOG29" s="753"/>
      <c r="SOH29" s="753"/>
      <c r="SOI29" s="753"/>
      <c r="SOJ29" s="753"/>
      <c r="SOK29" s="753"/>
      <c r="SOL29" s="753"/>
      <c r="SOM29" s="750"/>
      <c r="SON29" s="751"/>
      <c r="SOO29" s="752"/>
      <c r="SOP29" s="751"/>
      <c r="SOQ29" s="751"/>
      <c r="SOR29" s="752"/>
      <c r="SOS29" s="752"/>
      <c r="SOT29" s="753"/>
      <c r="SOU29" s="753"/>
      <c r="SOV29" s="753"/>
      <c r="SOW29" s="753"/>
      <c r="SOX29" s="753"/>
      <c r="SOY29" s="753"/>
      <c r="SOZ29" s="753"/>
      <c r="SPA29" s="753"/>
      <c r="SPB29" s="753"/>
      <c r="SPC29" s="750"/>
      <c r="SPD29" s="751"/>
      <c r="SPE29" s="752"/>
      <c r="SPF29" s="751"/>
      <c r="SPG29" s="751"/>
      <c r="SPH29" s="752"/>
      <c r="SPI29" s="752"/>
      <c r="SPJ29" s="753"/>
      <c r="SPK29" s="753"/>
      <c r="SPL29" s="753"/>
      <c r="SPM29" s="753"/>
      <c r="SPN29" s="753"/>
      <c r="SPO29" s="753"/>
      <c r="SPP29" s="753"/>
      <c r="SPQ29" s="753"/>
      <c r="SPR29" s="753"/>
      <c r="SPS29" s="750"/>
      <c r="SPT29" s="751"/>
      <c r="SPU29" s="752"/>
      <c r="SPV29" s="751"/>
      <c r="SPW29" s="751"/>
      <c r="SPX29" s="752"/>
      <c r="SPY29" s="752"/>
      <c r="SPZ29" s="753"/>
      <c r="SQA29" s="753"/>
      <c r="SQB29" s="753"/>
      <c r="SQC29" s="753"/>
      <c r="SQD29" s="753"/>
      <c r="SQE29" s="753"/>
      <c r="SQF29" s="753"/>
      <c r="SQG29" s="753"/>
      <c r="SQH29" s="753"/>
      <c r="SQI29" s="750"/>
      <c r="SQJ29" s="751"/>
      <c r="SQK29" s="752"/>
      <c r="SQL29" s="751"/>
      <c r="SQM29" s="751"/>
      <c r="SQN29" s="752"/>
      <c r="SQO29" s="752"/>
      <c r="SQP29" s="753"/>
      <c r="SQQ29" s="753"/>
      <c r="SQR29" s="753"/>
      <c r="SQS29" s="753"/>
      <c r="SQT29" s="753"/>
      <c r="SQU29" s="753"/>
      <c r="SQV29" s="753"/>
      <c r="SQW29" s="753"/>
      <c r="SQX29" s="753"/>
      <c r="SQY29" s="750"/>
      <c r="SQZ29" s="751"/>
      <c r="SRA29" s="752"/>
      <c r="SRB29" s="751"/>
      <c r="SRC29" s="751"/>
      <c r="SRD29" s="752"/>
      <c r="SRE29" s="752"/>
      <c r="SRF29" s="753"/>
      <c r="SRG29" s="753"/>
      <c r="SRH29" s="753"/>
      <c r="SRI29" s="753"/>
      <c r="SRJ29" s="753"/>
      <c r="SRK29" s="753"/>
      <c r="SRL29" s="753"/>
      <c r="SRM29" s="753"/>
      <c r="SRN29" s="753"/>
      <c r="SRO29" s="750"/>
      <c r="SRP29" s="751"/>
      <c r="SRQ29" s="752"/>
      <c r="SRR29" s="751"/>
      <c r="SRS29" s="751"/>
      <c r="SRT29" s="752"/>
      <c r="SRU29" s="752"/>
      <c r="SRV29" s="753"/>
      <c r="SRW29" s="753"/>
      <c r="SRX29" s="753"/>
      <c r="SRY29" s="753"/>
      <c r="SRZ29" s="753"/>
      <c r="SSA29" s="753"/>
      <c r="SSB29" s="753"/>
      <c r="SSC29" s="753"/>
      <c r="SSD29" s="753"/>
      <c r="SSE29" s="750"/>
      <c r="SSF29" s="751"/>
      <c r="SSG29" s="752"/>
      <c r="SSH29" s="751"/>
      <c r="SSI29" s="751"/>
      <c r="SSJ29" s="752"/>
      <c r="SSK29" s="752"/>
      <c r="SSL29" s="753"/>
      <c r="SSM29" s="753"/>
      <c r="SSN29" s="753"/>
      <c r="SSO29" s="753"/>
      <c r="SSP29" s="753"/>
      <c r="SSQ29" s="753"/>
      <c r="SSR29" s="753"/>
      <c r="SSS29" s="753"/>
      <c r="SST29" s="753"/>
      <c r="SSU29" s="750"/>
      <c r="SSV29" s="751"/>
      <c r="SSW29" s="752"/>
      <c r="SSX29" s="751"/>
      <c r="SSY29" s="751"/>
      <c r="SSZ29" s="752"/>
      <c r="STA29" s="752"/>
      <c r="STB29" s="753"/>
      <c r="STC29" s="753"/>
      <c r="STD29" s="753"/>
      <c r="STE29" s="753"/>
      <c r="STF29" s="753"/>
      <c r="STG29" s="753"/>
      <c r="STH29" s="753"/>
      <c r="STI29" s="753"/>
      <c r="STJ29" s="753"/>
      <c r="STK29" s="750"/>
      <c r="STL29" s="751"/>
      <c r="STM29" s="752"/>
      <c r="STN29" s="751"/>
      <c r="STO29" s="751"/>
      <c r="STP29" s="752"/>
      <c r="STQ29" s="752"/>
      <c r="STR29" s="753"/>
      <c r="STS29" s="753"/>
      <c r="STT29" s="753"/>
      <c r="STU29" s="753"/>
      <c r="STV29" s="753"/>
      <c r="STW29" s="753"/>
      <c r="STX29" s="753"/>
      <c r="STY29" s="753"/>
      <c r="STZ29" s="753"/>
      <c r="SUA29" s="750"/>
      <c r="SUB29" s="751"/>
      <c r="SUC29" s="752"/>
      <c r="SUD29" s="751"/>
      <c r="SUE29" s="751"/>
      <c r="SUF29" s="752"/>
      <c r="SUG29" s="752"/>
      <c r="SUH29" s="753"/>
      <c r="SUI29" s="753"/>
      <c r="SUJ29" s="753"/>
      <c r="SUK29" s="753"/>
      <c r="SUL29" s="753"/>
      <c r="SUM29" s="753"/>
      <c r="SUN29" s="753"/>
      <c r="SUO29" s="753"/>
      <c r="SUP29" s="753"/>
      <c r="SUQ29" s="750"/>
      <c r="SUR29" s="751"/>
      <c r="SUS29" s="752"/>
      <c r="SUT29" s="751"/>
      <c r="SUU29" s="751"/>
      <c r="SUV29" s="752"/>
      <c r="SUW29" s="752"/>
      <c r="SUX29" s="753"/>
      <c r="SUY29" s="753"/>
      <c r="SUZ29" s="753"/>
      <c r="SVA29" s="753"/>
      <c r="SVB29" s="753"/>
      <c r="SVC29" s="753"/>
      <c r="SVD29" s="753"/>
      <c r="SVE29" s="753"/>
      <c r="SVF29" s="753"/>
      <c r="SVG29" s="750"/>
      <c r="SVH29" s="751"/>
      <c r="SVI29" s="752"/>
      <c r="SVJ29" s="751"/>
      <c r="SVK29" s="751"/>
      <c r="SVL29" s="752"/>
      <c r="SVM29" s="752"/>
      <c r="SVN29" s="753"/>
      <c r="SVO29" s="753"/>
      <c r="SVP29" s="753"/>
      <c r="SVQ29" s="753"/>
      <c r="SVR29" s="753"/>
      <c r="SVS29" s="753"/>
      <c r="SVT29" s="753"/>
      <c r="SVU29" s="753"/>
      <c r="SVV29" s="753"/>
      <c r="SVW29" s="750"/>
      <c r="SVX29" s="751"/>
      <c r="SVY29" s="752"/>
      <c r="SVZ29" s="751"/>
      <c r="SWA29" s="751"/>
      <c r="SWB29" s="752"/>
      <c r="SWC29" s="752"/>
      <c r="SWD29" s="753"/>
      <c r="SWE29" s="753"/>
      <c r="SWF29" s="753"/>
      <c r="SWG29" s="753"/>
      <c r="SWH29" s="753"/>
      <c r="SWI29" s="753"/>
      <c r="SWJ29" s="753"/>
      <c r="SWK29" s="753"/>
      <c r="SWL29" s="753"/>
      <c r="SWM29" s="750"/>
      <c r="SWN29" s="751"/>
      <c r="SWO29" s="752"/>
      <c r="SWP29" s="751"/>
      <c r="SWQ29" s="751"/>
      <c r="SWR29" s="752"/>
      <c r="SWS29" s="752"/>
      <c r="SWT29" s="753"/>
      <c r="SWU29" s="753"/>
      <c r="SWV29" s="753"/>
      <c r="SWW29" s="753"/>
      <c r="SWX29" s="753"/>
      <c r="SWY29" s="753"/>
      <c r="SWZ29" s="753"/>
      <c r="SXA29" s="753"/>
      <c r="SXB29" s="753"/>
      <c r="SXC29" s="750"/>
      <c r="SXD29" s="751"/>
      <c r="SXE29" s="752"/>
      <c r="SXF29" s="751"/>
      <c r="SXG29" s="751"/>
      <c r="SXH29" s="752"/>
      <c r="SXI29" s="752"/>
      <c r="SXJ29" s="753"/>
      <c r="SXK29" s="753"/>
      <c r="SXL29" s="753"/>
      <c r="SXM29" s="753"/>
      <c r="SXN29" s="753"/>
      <c r="SXO29" s="753"/>
      <c r="SXP29" s="753"/>
      <c r="SXQ29" s="753"/>
      <c r="SXR29" s="753"/>
      <c r="SXS29" s="750"/>
      <c r="SXT29" s="751"/>
      <c r="SXU29" s="752"/>
      <c r="SXV29" s="751"/>
      <c r="SXW29" s="751"/>
      <c r="SXX29" s="752"/>
      <c r="SXY29" s="752"/>
      <c r="SXZ29" s="753"/>
      <c r="SYA29" s="753"/>
      <c r="SYB29" s="753"/>
      <c r="SYC29" s="753"/>
      <c r="SYD29" s="753"/>
      <c r="SYE29" s="753"/>
      <c r="SYF29" s="753"/>
      <c r="SYG29" s="753"/>
      <c r="SYH29" s="753"/>
      <c r="SYI29" s="750"/>
      <c r="SYJ29" s="751"/>
      <c r="SYK29" s="752"/>
      <c r="SYL29" s="751"/>
      <c r="SYM29" s="751"/>
      <c r="SYN29" s="752"/>
      <c r="SYO29" s="752"/>
      <c r="SYP29" s="753"/>
      <c r="SYQ29" s="753"/>
      <c r="SYR29" s="753"/>
      <c r="SYS29" s="753"/>
      <c r="SYT29" s="753"/>
      <c r="SYU29" s="753"/>
      <c r="SYV29" s="753"/>
      <c r="SYW29" s="753"/>
      <c r="SYX29" s="753"/>
      <c r="SYY29" s="750"/>
      <c r="SYZ29" s="751"/>
      <c r="SZA29" s="752"/>
      <c r="SZB29" s="751"/>
      <c r="SZC29" s="751"/>
      <c r="SZD29" s="752"/>
      <c r="SZE29" s="752"/>
      <c r="SZF29" s="753"/>
      <c r="SZG29" s="753"/>
      <c r="SZH29" s="753"/>
      <c r="SZI29" s="753"/>
      <c r="SZJ29" s="753"/>
      <c r="SZK29" s="753"/>
      <c r="SZL29" s="753"/>
      <c r="SZM29" s="753"/>
      <c r="SZN29" s="753"/>
      <c r="SZO29" s="750"/>
      <c r="SZP29" s="751"/>
      <c r="SZQ29" s="752"/>
      <c r="SZR29" s="751"/>
      <c r="SZS29" s="751"/>
      <c r="SZT29" s="752"/>
      <c r="SZU29" s="752"/>
      <c r="SZV29" s="753"/>
      <c r="SZW29" s="753"/>
      <c r="SZX29" s="753"/>
      <c r="SZY29" s="753"/>
      <c r="SZZ29" s="753"/>
      <c r="TAA29" s="753"/>
      <c r="TAB29" s="753"/>
      <c r="TAC29" s="753"/>
      <c r="TAD29" s="753"/>
      <c r="TAE29" s="750"/>
      <c r="TAF29" s="751"/>
      <c r="TAG29" s="752"/>
      <c r="TAH29" s="751"/>
      <c r="TAI29" s="751"/>
      <c r="TAJ29" s="752"/>
      <c r="TAK29" s="752"/>
      <c r="TAL29" s="753"/>
      <c r="TAM29" s="753"/>
      <c r="TAN29" s="753"/>
      <c r="TAO29" s="753"/>
      <c r="TAP29" s="753"/>
      <c r="TAQ29" s="753"/>
      <c r="TAR29" s="753"/>
      <c r="TAS29" s="753"/>
      <c r="TAT29" s="753"/>
      <c r="TAU29" s="750"/>
      <c r="TAV29" s="751"/>
      <c r="TAW29" s="752"/>
      <c r="TAX29" s="751"/>
      <c r="TAY29" s="751"/>
      <c r="TAZ29" s="752"/>
      <c r="TBA29" s="752"/>
      <c r="TBB29" s="753"/>
      <c r="TBC29" s="753"/>
      <c r="TBD29" s="753"/>
      <c r="TBE29" s="753"/>
      <c r="TBF29" s="753"/>
      <c r="TBG29" s="753"/>
      <c r="TBH29" s="753"/>
      <c r="TBI29" s="753"/>
      <c r="TBJ29" s="753"/>
      <c r="TBK29" s="750"/>
      <c r="TBL29" s="751"/>
      <c r="TBM29" s="752"/>
      <c r="TBN29" s="751"/>
      <c r="TBO29" s="751"/>
      <c r="TBP29" s="752"/>
      <c r="TBQ29" s="752"/>
      <c r="TBR29" s="753"/>
      <c r="TBS29" s="753"/>
      <c r="TBT29" s="753"/>
      <c r="TBU29" s="753"/>
      <c r="TBV29" s="753"/>
      <c r="TBW29" s="753"/>
      <c r="TBX29" s="753"/>
      <c r="TBY29" s="753"/>
      <c r="TBZ29" s="753"/>
      <c r="TCA29" s="750"/>
      <c r="TCB29" s="751"/>
      <c r="TCC29" s="752"/>
      <c r="TCD29" s="751"/>
      <c r="TCE29" s="751"/>
      <c r="TCF29" s="752"/>
      <c r="TCG29" s="752"/>
      <c r="TCH29" s="753"/>
      <c r="TCI29" s="753"/>
      <c r="TCJ29" s="753"/>
      <c r="TCK29" s="753"/>
      <c r="TCL29" s="753"/>
      <c r="TCM29" s="753"/>
      <c r="TCN29" s="753"/>
      <c r="TCO29" s="753"/>
      <c r="TCP29" s="753"/>
      <c r="TCQ29" s="750"/>
      <c r="TCR29" s="751"/>
      <c r="TCS29" s="752"/>
      <c r="TCT29" s="751"/>
      <c r="TCU29" s="751"/>
      <c r="TCV29" s="752"/>
      <c r="TCW29" s="752"/>
      <c r="TCX29" s="753"/>
      <c r="TCY29" s="753"/>
      <c r="TCZ29" s="753"/>
      <c r="TDA29" s="753"/>
      <c r="TDB29" s="753"/>
      <c r="TDC29" s="753"/>
      <c r="TDD29" s="753"/>
      <c r="TDE29" s="753"/>
      <c r="TDF29" s="753"/>
      <c r="TDG29" s="750"/>
      <c r="TDH29" s="751"/>
      <c r="TDI29" s="752"/>
      <c r="TDJ29" s="751"/>
      <c r="TDK29" s="751"/>
      <c r="TDL29" s="752"/>
      <c r="TDM29" s="752"/>
      <c r="TDN29" s="753"/>
      <c r="TDO29" s="753"/>
      <c r="TDP29" s="753"/>
      <c r="TDQ29" s="753"/>
      <c r="TDR29" s="753"/>
      <c r="TDS29" s="753"/>
      <c r="TDT29" s="753"/>
      <c r="TDU29" s="753"/>
      <c r="TDV29" s="753"/>
      <c r="TDW29" s="750"/>
      <c r="TDX29" s="751"/>
      <c r="TDY29" s="752"/>
      <c r="TDZ29" s="751"/>
      <c r="TEA29" s="751"/>
      <c r="TEB29" s="752"/>
      <c r="TEC29" s="752"/>
      <c r="TED29" s="753"/>
      <c r="TEE29" s="753"/>
      <c r="TEF29" s="753"/>
      <c r="TEG29" s="753"/>
      <c r="TEH29" s="753"/>
      <c r="TEI29" s="753"/>
      <c r="TEJ29" s="753"/>
      <c r="TEK29" s="753"/>
      <c r="TEL29" s="753"/>
      <c r="TEM29" s="750"/>
      <c r="TEN29" s="751"/>
      <c r="TEO29" s="752"/>
      <c r="TEP29" s="751"/>
      <c r="TEQ29" s="751"/>
      <c r="TER29" s="752"/>
      <c r="TES29" s="752"/>
      <c r="TET29" s="753"/>
      <c r="TEU29" s="753"/>
      <c r="TEV29" s="753"/>
      <c r="TEW29" s="753"/>
      <c r="TEX29" s="753"/>
      <c r="TEY29" s="753"/>
      <c r="TEZ29" s="753"/>
      <c r="TFA29" s="753"/>
      <c r="TFB29" s="753"/>
      <c r="TFC29" s="750"/>
      <c r="TFD29" s="751"/>
      <c r="TFE29" s="752"/>
      <c r="TFF29" s="751"/>
      <c r="TFG29" s="751"/>
      <c r="TFH29" s="752"/>
      <c r="TFI29" s="752"/>
      <c r="TFJ29" s="753"/>
      <c r="TFK29" s="753"/>
      <c r="TFL29" s="753"/>
      <c r="TFM29" s="753"/>
      <c r="TFN29" s="753"/>
      <c r="TFO29" s="753"/>
      <c r="TFP29" s="753"/>
      <c r="TFQ29" s="753"/>
      <c r="TFR29" s="753"/>
      <c r="TFS29" s="750"/>
      <c r="TFT29" s="751"/>
      <c r="TFU29" s="752"/>
      <c r="TFV29" s="751"/>
      <c r="TFW29" s="751"/>
      <c r="TFX29" s="752"/>
      <c r="TFY29" s="752"/>
      <c r="TFZ29" s="753"/>
      <c r="TGA29" s="753"/>
      <c r="TGB29" s="753"/>
      <c r="TGC29" s="753"/>
      <c r="TGD29" s="753"/>
      <c r="TGE29" s="753"/>
      <c r="TGF29" s="753"/>
      <c r="TGG29" s="753"/>
      <c r="TGH29" s="753"/>
      <c r="TGI29" s="750"/>
      <c r="TGJ29" s="751"/>
      <c r="TGK29" s="752"/>
      <c r="TGL29" s="751"/>
      <c r="TGM29" s="751"/>
      <c r="TGN29" s="752"/>
      <c r="TGO29" s="752"/>
      <c r="TGP29" s="753"/>
      <c r="TGQ29" s="753"/>
      <c r="TGR29" s="753"/>
      <c r="TGS29" s="753"/>
      <c r="TGT29" s="753"/>
      <c r="TGU29" s="753"/>
      <c r="TGV29" s="753"/>
      <c r="TGW29" s="753"/>
      <c r="TGX29" s="753"/>
      <c r="TGY29" s="750"/>
      <c r="TGZ29" s="751"/>
      <c r="THA29" s="752"/>
      <c r="THB29" s="751"/>
      <c r="THC29" s="751"/>
      <c r="THD29" s="752"/>
      <c r="THE29" s="752"/>
      <c r="THF29" s="753"/>
      <c r="THG29" s="753"/>
      <c r="THH29" s="753"/>
      <c r="THI29" s="753"/>
      <c r="THJ29" s="753"/>
      <c r="THK29" s="753"/>
      <c r="THL29" s="753"/>
      <c r="THM29" s="753"/>
      <c r="THN29" s="753"/>
      <c r="THO29" s="750"/>
      <c r="THP29" s="751"/>
      <c r="THQ29" s="752"/>
      <c r="THR29" s="751"/>
      <c r="THS29" s="751"/>
      <c r="THT29" s="752"/>
      <c r="THU29" s="752"/>
      <c r="THV29" s="753"/>
      <c r="THW29" s="753"/>
      <c r="THX29" s="753"/>
      <c r="THY29" s="753"/>
      <c r="THZ29" s="753"/>
      <c r="TIA29" s="753"/>
      <c r="TIB29" s="753"/>
      <c r="TIC29" s="753"/>
      <c r="TID29" s="753"/>
      <c r="TIE29" s="750"/>
      <c r="TIF29" s="751"/>
      <c r="TIG29" s="752"/>
      <c r="TIH29" s="751"/>
      <c r="TII29" s="751"/>
      <c r="TIJ29" s="752"/>
      <c r="TIK29" s="752"/>
      <c r="TIL29" s="753"/>
      <c r="TIM29" s="753"/>
      <c r="TIN29" s="753"/>
      <c r="TIO29" s="753"/>
      <c r="TIP29" s="753"/>
      <c r="TIQ29" s="753"/>
      <c r="TIR29" s="753"/>
      <c r="TIS29" s="753"/>
      <c r="TIT29" s="753"/>
      <c r="TIU29" s="750"/>
      <c r="TIV29" s="751"/>
      <c r="TIW29" s="752"/>
      <c r="TIX29" s="751"/>
      <c r="TIY29" s="751"/>
      <c r="TIZ29" s="752"/>
      <c r="TJA29" s="752"/>
      <c r="TJB29" s="753"/>
      <c r="TJC29" s="753"/>
      <c r="TJD29" s="753"/>
      <c r="TJE29" s="753"/>
      <c r="TJF29" s="753"/>
      <c r="TJG29" s="753"/>
      <c r="TJH29" s="753"/>
      <c r="TJI29" s="753"/>
      <c r="TJJ29" s="753"/>
      <c r="TJK29" s="750"/>
      <c r="TJL29" s="751"/>
      <c r="TJM29" s="752"/>
      <c r="TJN29" s="751"/>
      <c r="TJO29" s="751"/>
      <c r="TJP29" s="752"/>
      <c r="TJQ29" s="752"/>
      <c r="TJR29" s="753"/>
      <c r="TJS29" s="753"/>
      <c r="TJT29" s="753"/>
      <c r="TJU29" s="753"/>
      <c r="TJV29" s="753"/>
      <c r="TJW29" s="753"/>
      <c r="TJX29" s="753"/>
      <c r="TJY29" s="753"/>
      <c r="TJZ29" s="753"/>
      <c r="TKA29" s="750"/>
      <c r="TKB29" s="751"/>
      <c r="TKC29" s="752"/>
      <c r="TKD29" s="751"/>
      <c r="TKE29" s="751"/>
      <c r="TKF29" s="752"/>
      <c r="TKG29" s="752"/>
      <c r="TKH29" s="753"/>
      <c r="TKI29" s="753"/>
      <c r="TKJ29" s="753"/>
      <c r="TKK29" s="753"/>
      <c r="TKL29" s="753"/>
      <c r="TKM29" s="753"/>
      <c r="TKN29" s="753"/>
      <c r="TKO29" s="753"/>
      <c r="TKP29" s="753"/>
      <c r="TKQ29" s="750"/>
      <c r="TKR29" s="751"/>
      <c r="TKS29" s="752"/>
      <c r="TKT29" s="751"/>
      <c r="TKU29" s="751"/>
      <c r="TKV29" s="752"/>
      <c r="TKW29" s="752"/>
      <c r="TKX29" s="753"/>
      <c r="TKY29" s="753"/>
      <c r="TKZ29" s="753"/>
      <c r="TLA29" s="753"/>
      <c r="TLB29" s="753"/>
      <c r="TLC29" s="753"/>
      <c r="TLD29" s="753"/>
      <c r="TLE29" s="753"/>
      <c r="TLF29" s="753"/>
      <c r="TLG29" s="750"/>
      <c r="TLH29" s="751"/>
      <c r="TLI29" s="752"/>
      <c r="TLJ29" s="751"/>
      <c r="TLK29" s="751"/>
      <c r="TLL29" s="752"/>
      <c r="TLM29" s="752"/>
      <c r="TLN29" s="753"/>
      <c r="TLO29" s="753"/>
      <c r="TLP29" s="753"/>
      <c r="TLQ29" s="753"/>
      <c r="TLR29" s="753"/>
      <c r="TLS29" s="753"/>
      <c r="TLT29" s="753"/>
      <c r="TLU29" s="753"/>
      <c r="TLV29" s="753"/>
      <c r="TLW29" s="750"/>
      <c r="TLX29" s="751"/>
      <c r="TLY29" s="752"/>
      <c r="TLZ29" s="751"/>
      <c r="TMA29" s="751"/>
      <c r="TMB29" s="752"/>
      <c r="TMC29" s="752"/>
      <c r="TMD29" s="753"/>
      <c r="TME29" s="753"/>
      <c r="TMF29" s="753"/>
      <c r="TMG29" s="753"/>
      <c r="TMH29" s="753"/>
      <c r="TMI29" s="753"/>
      <c r="TMJ29" s="753"/>
      <c r="TMK29" s="753"/>
      <c r="TML29" s="753"/>
      <c r="TMM29" s="750"/>
      <c r="TMN29" s="751"/>
      <c r="TMO29" s="752"/>
      <c r="TMP29" s="751"/>
      <c r="TMQ29" s="751"/>
      <c r="TMR29" s="752"/>
      <c r="TMS29" s="752"/>
      <c r="TMT29" s="753"/>
      <c r="TMU29" s="753"/>
      <c r="TMV29" s="753"/>
      <c r="TMW29" s="753"/>
      <c r="TMX29" s="753"/>
      <c r="TMY29" s="753"/>
      <c r="TMZ29" s="753"/>
      <c r="TNA29" s="753"/>
      <c r="TNB29" s="753"/>
      <c r="TNC29" s="750"/>
      <c r="TND29" s="751"/>
      <c r="TNE29" s="752"/>
      <c r="TNF29" s="751"/>
      <c r="TNG29" s="751"/>
      <c r="TNH29" s="752"/>
      <c r="TNI29" s="752"/>
      <c r="TNJ29" s="753"/>
      <c r="TNK29" s="753"/>
      <c r="TNL29" s="753"/>
      <c r="TNM29" s="753"/>
      <c r="TNN29" s="753"/>
      <c r="TNO29" s="753"/>
      <c r="TNP29" s="753"/>
      <c r="TNQ29" s="753"/>
      <c r="TNR29" s="753"/>
      <c r="TNS29" s="750"/>
      <c r="TNT29" s="751"/>
      <c r="TNU29" s="752"/>
      <c r="TNV29" s="751"/>
      <c r="TNW29" s="751"/>
      <c r="TNX29" s="752"/>
      <c r="TNY29" s="752"/>
      <c r="TNZ29" s="753"/>
      <c r="TOA29" s="753"/>
      <c r="TOB29" s="753"/>
      <c r="TOC29" s="753"/>
      <c r="TOD29" s="753"/>
      <c r="TOE29" s="753"/>
      <c r="TOF29" s="753"/>
      <c r="TOG29" s="753"/>
      <c r="TOH29" s="753"/>
      <c r="TOI29" s="750"/>
      <c r="TOJ29" s="751"/>
      <c r="TOK29" s="752"/>
      <c r="TOL29" s="751"/>
      <c r="TOM29" s="751"/>
      <c r="TON29" s="752"/>
      <c r="TOO29" s="752"/>
      <c r="TOP29" s="753"/>
      <c r="TOQ29" s="753"/>
      <c r="TOR29" s="753"/>
      <c r="TOS29" s="753"/>
      <c r="TOT29" s="753"/>
      <c r="TOU29" s="753"/>
      <c r="TOV29" s="753"/>
      <c r="TOW29" s="753"/>
      <c r="TOX29" s="753"/>
      <c r="TOY29" s="750"/>
      <c r="TOZ29" s="751"/>
      <c r="TPA29" s="752"/>
      <c r="TPB29" s="751"/>
      <c r="TPC29" s="751"/>
      <c r="TPD29" s="752"/>
      <c r="TPE29" s="752"/>
      <c r="TPF29" s="753"/>
      <c r="TPG29" s="753"/>
      <c r="TPH29" s="753"/>
      <c r="TPI29" s="753"/>
      <c r="TPJ29" s="753"/>
      <c r="TPK29" s="753"/>
      <c r="TPL29" s="753"/>
      <c r="TPM29" s="753"/>
      <c r="TPN29" s="753"/>
      <c r="TPO29" s="750"/>
      <c r="TPP29" s="751"/>
      <c r="TPQ29" s="752"/>
      <c r="TPR29" s="751"/>
      <c r="TPS29" s="751"/>
      <c r="TPT29" s="752"/>
      <c r="TPU29" s="752"/>
      <c r="TPV29" s="753"/>
      <c r="TPW29" s="753"/>
      <c r="TPX29" s="753"/>
      <c r="TPY29" s="753"/>
      <c r="TPZ29" s="753"/>
      <c r="TQA29" s="753"/>
      <c r="TQB29" s="753"/>
      <c r="TQC29" s="753"/>
      <c r="TQD29" s="753"/>
      <c r="TQE29" s="750"/>
      <c r="TQF29" s="751"/>
      <c r="TQG29" s="752"/>
      <c r="TQH29" s="751"/>
      <c r="TQI29" s="751"/>
      <c r="TQJ29" s="752"/>
      <c r="TQK29" s="752"/>
      <c r="TQL29" s="753"/>
      <c r="TQM29" s="753"/>
      <c r="TQN29" s="753"/>
      <c r="TQO29" s="753"/>
      <c r="TQP29" s="753"/>
      <c r="TQQ29" s="753"/>
      <c r="TQR29" s="753"/>
      <c r="TQS29" s="753"/>
      <c r="TQT29" s="753"/>
      <c r="TQU29" s="750"/>
      <c r="TQV29" s="751"/>
      <c r="TQW29" s="752"/>
      <c r="TQX29" s="751"/>
      <c r="TQY29" s="751"/>
      <c r="TQZ29" s="752"/>
      <c r="TRA29" s="752"/>
      <c r="TRB29" s="753"/>
      <c r="TRC29" s="753"/>
      <c r="TRD29" s="753"/>
      <c r="TRE29" s="753"/>
      <c r="TRF29" s="753"/>
      <c r="TRG29" s="753"/>
      <c r="TRH29" s="753"/>
      <c r="TRI29" s="753"/>
      <c r="TRJ29" s="753"/>
      <c r="TRK29" s="750"/>
      <c r="TRL29" s="751"/>
      <c r="TRM29" s="752"/>
      <c r="TRN29" s="751"/>
      <c r="TRO29" s="751"/>
      <c r="TRP29" s="752"/>
      <c r="TRQ29" s="752"/>
      <c r="TRR29" s="753"/>
      <c r="TRS29" s="753"/>
      <c r="TRT29" s="753"/>
      <c r="TRU29" s="753"/>
      <c r="TRV29" s="753"/>
      <c r="TRW29" s="753"/>
      <c r="TRX29" s="753"/>
      <c r="TRY29" s="753"/>
      <c r="TRZ29" s="753"/>
      <c r="TSA29" s="750"/>
      <c r="TSB29" s="751"/>
      <c r="TSC29" s="752"/>
      <c r="TSD29" s="751"/>
      <c r="TSE29" s="751"/>
      <c r="TSF29" s="752"/>
      <c r="TSG29" s="752"/>
      <c r="TSH29" s="753"/>
      <c r="TSI29" s="753"/>
      <c r="TSJ29" s="753"/>
      <c r="TSK29" s="753"/>
      <c r="TSL29" s="753"/>
      <c r="TSM29" s="753"/>
      <c r="TSN29" s="753"/>
      <c r="TSO29" s="753"/>
      <c r="TSP29" s="753"/>
      <c r="TSQ29" s="750"/>
      <c r="TSR29" s="751"/>
      <c r="TSS29" s="752"/>
      <c r="TST29" s="751"/>
      <c r="TSU29" s="751"/>
      <c r="TSV29" s="752"/>
      <c r="TSW29" s="752"/>
      <c r="TSX29" s="753"/>
      <c r="TSY29" s="753"/>
      <c r="TSZ29" s="753"/>
      <c r="TTA29" s="753"/>
      <c r="TTB29" s="753"/>
      <c r="TTC29" s="753"/>
      <c r="TTD29" s="753"/>
      <c r="TTE29" s="753"/>
      <c r="TTF29" s="753"/>
      <c r="TTG29" s="750"/>
      <c r="TTH29" s="751"/>
      <c r="TTI29" s="752"/>
      <c r="TTJ29" s="751"/>
      <c r="TTK29" s="751"/>
      <c r="TTL29" s="752"/>
      <c r="TTM29" s="752"/>
      <c r="TTN29" s="753"/>
      <c r="TTO29" s="753"/>
      <c r="TTP29" s="753"/>
      <c r="TTQ29" s="753"/>
      <c r="TTR29" s="753"/>
      <c r="TTS29" s="753"/>
      <c r="TTT29" s="753"/>
      <c r="TTU29" s="753"/>
      <c r="TTV29" s="753"/>
      <c r="TTW29" s="750"/>
      <c r="TTX29" s="751"/>
      <c r="TTY29" s="752"/>
      <c r="TTZ29" s="751"/>
      <c r="TUA29" s="751"/>
      <c r="TUB29" s="752"/>
      <c r="TUC29" s="752"/>
      <c r="TUD29" s="753"/>
      <c r="TUE29" s="753"/>
      <c r="TUF29" s="753"/>
      <c r="TUG29" s="753"/>
      <c r="TUH29" s="753"/>
      <c r="TUI29" s="753"/>
      <c r="TUJ29" s="753"/>
      <c r="TUK29" s="753"/>
      <c r="TUL29" s="753"/>
      <c r="TUM29" s="750"/>
      <c r="TUN29" s="751"/>
      <c r="TUO29" s="752"/>
      <c r="TUP29" s="751"/>
      <c r="TUQ29" s="751"/>
      <c r="TUR29" s="752"/>
      <c r="TUS29" s="752"/>
      <c r="TUT29" s="753"/>
      <c r="TUU29" s="753"/>
      <c r="TUV29" s="753"/>
      <c r="TUW29" s="753"/>
      <c r="TUX29" s="753"/>
      <c r="TUY29" s="753"/>
      <c r="TUZ29" s="753"/>
      <c r="TVA29" s="753"/>
      <c r="TVB29" s="753"/>
      <c r="TVC29" s="750"/>
      <c r="TVD29" s="751"/>
      <c r="TVE29" s="752"/>
      <c r="TVF29" s="751"/>
      <c r="TVG29" s="751"/>
      <c r="TVH29" s="752"/>
      <c r="TVI29" s="752"/>
      <c r="TVJ29" s="753"/>
      <c r="TVK29" s="753"/>
      <c r="TVL29" s="753"/>
      <c r="TVM29" s="753"/>
      <c r="TVN29" s="753"/>
      <c r="TVO29" s="753"/>
      <c r="TVP29" s="753"/>
      <c r="TVQ29" s="753"/>
      <c r="TVR29" s="753"/>
      <c r="TVS29" s="750"/>
      <c r="TVT29" s="751"/>
      <c r="TVU29" s="752"/>
      <c r="TVV29" s="751"/>
      <c r="TVW29" s="751"/>
      <c r="TVX29" s="752"/>
      <c r="TVY29" s="752"/>
      <c r="TVZ29" s="753"/>
      <c r="TWA29" s="753"/>
      <c r="TWB29" s="753"/>
      <c r="TWC29" s="753"/>
      <c r="TWD29" s="753"/>
      <c r="TWE29" s="753"/>
      <c r="TWF29" s="753"/>
      <c r="TWG29" s="753"/>
      <c r="TWH29" s="753"/>
      <c r="TWI29" s="750"/>
      <c r="TWJ29" s="751"/>
      <c r="TWK29" s="752"/>
      <c r="TWL29" s="751"/>
      <c r="TWM29" s="751"/>
      <c r="TWN29" s="752"/>
      <c r="TWO29" s="752"/>
      <c r="TWP29" s="753"/>
      <c r="TWQ29" s="753"/>
      <c r="TWR29" s="753"/>
      <c r="TWS29" s="753"/>
      <c r="TWT29" s="753"/>
      <c r="TWU29" s="753"/>
      <c r="TWV29" s="753"/>
      <c r="TWW29" s="753"/>
      <c r="TWX29" s="753"/>
      <c r="TWY29" s="750"/>
      <c r="TWZ29" s="751"/>
      <c r="TXA29" s="752"/>
      <c r="TXB29" s="751"/>
      <c r="TXC29" s="751"/>
      <c r="TXD29" s="752"/>
      <c r="TXE29" s="752"/>
      <c r="TXF29" s="753"/>
      <c r="TXG29" s="753"/>
      <c r="TXH29" s="753"/>
      <c r="TXI29" s="753"/>
      <c r="TXJ29" s="753"/>
      <c r="TXK29" s="753"/>
      <c r="TXL29" s="753"/>
      <c r="TXM29" s="753"/>
      <c r="TXN29" s="753"/>
      <c r="TXO29" s="750"/>
      <c r="TXP29" s="751"/>
      <c r="TXQ29" s="752"/>
      <c r="TXR29" s="751"/>
      <c r="TXS29" s="751"/>
      <c r="TXT29" s="752"/>
      <c r="TXU29" s="752"/>
      <c r="TXV29" s="753"/>
      <c r="TXW29" s="753"/>
      <c r="TXX29" s="753"/>
      <c r="TXY29" s="753"/>
      <c r="TXZ29" s="753"/>
      <c r="TYA29" s="753"/>
      <c r="TYB29" s="753"/>
      <c r="TYC29" s="753"/>
      <c r="TYD29" s="753"/>
      <c r="TYE29" s="750"/>
      <c r="TYF29" s="751"/>
      <c r="TYG29" s="752"/>
      <c r="TYH29" s="751"/>
      <c r="TYI29" s="751"/>
      <c r="TYJ29" s="752"/>
      <c r="TYK29" s="752"/>
      <c r="TYL29" s="753"/>
      <c r="TYM29" s="753"/>
      <c r="TYN29" s="753"/>
      <c r="TYO29" s="753"/>
      <c r="TYP29" s="753"/>
      <c r="TYQ29" s="753"/>
      <c r="TYR29" s="753"/>
      <c r="TYS29" s="753"/>
      <c r="TYT29" s="753"/>
      <c r="TYU29" s="750"/>
      <c r="TYV29" s="751"/>
      <c r="TYW29" s="752"/>
      <c r="TYX29" s="751"/>
      <c r="TYY29" s="751"/>
      <c r="TYZ29" s="752"/>
      <c r="TZA29" s="752"/>
      <c r="TZB29" s="753"/>
      <c r="TZC29" s="753"/>
      <c r="TZD29" s="753"/>
      <c r="TZE29" s="753"/>
      <c r="TZF29" s="753"/>
      <c r="TZG29" s="753"/>
      <c r="TZH29" s="753"/>
      <c r="TZI29" s="753"/>
      <c r="TZJ29" s="753"/>
      <c r="TZK29" s="750"/>
      <c r="TZL29" s="751"/>
      <c r="TZM29" s="752"/>
      <c r="TZN29" s="751"/>
      <c r="TZO29" s="751"/>
      <c r="TZP29" s="752"/>
      <c r="TZQ29" s="752"/>
      <c r="TZR29" s="753"/>
      <c r="TZS29" s="753"/>
      <c r="TZT29" s="753"/>
      <c r="TZU29" s="753"/>
      <c r="TZV29" s="753"/>
      <c r="TZW29" s="753"/>
      <c r="TZX29" s="753"/>
      <c r="TZY29" s="753"/>
      <c r="TZZ29" s="753"/>
      <c r="UAA29" s="750"/>
      <c r="UAB29" s="751"/>
      <c r="UAC29" s="752"/>
      <c r="UAD29" s="751"/>
      <c r="UAE29" s="751"/>
      <c r="UAF29" s="752"/>
      <c r="UAG29" s="752"/>
      <c r="UAH29" s="753"/>
      <c r="UAI29" s="753"/>
      <c r="UAJ29" s="753"/>
      <c r="UAK29" s="753"/>
      <c r="UAL29" s="753"/>
      <c r="UAM29" s="753"/>
      <c r="UAN29" s="753"/>
      <c r="UAO29" s="753"/>
      <c r="UAP29" s="753"/>
      <c r="UAQ29" s="750"/>
      <c r="UAR29" s="751"/>
      <c r="UAS29" s="752"/>
      <c r="UAT29" s="751"/>
      <c r="UAU29" s="751"/>
      <c r="UAV29" s="752"/>
      <c r="UAW29" s="752"/>
      <c r="UAX29" s="753"/>
      <c r="UAY29" s="753"/>
      <c r="UAZ29" s="753"/>
      <c r="UBA29" s="753"/>
      <c r="UBB29" s="753"/>
      <c r="UBC29" s="753"/>
      <c r="UBD29" s="753"/>
      <c r="UBE29" s="753"/>
      <c r="UBF29" s="753"/>
      <c r="UBG29" s="750"/>
      <c r="UBH29" s="751"/>
      <c r="UBI29" s="752"/>
      <c r="UBJ29" s="751"/>
      <c r="UBK29" s="751"/>
      <c r="UBL29" s="752"/>
      <c r="UBM29" s="752"/>
      <c r="UBN29" s="753"/>
      <c r="UBO29" s="753"/>
      <c r="UBP29" s="753"/>
      <c r="UBQ29" s="753"/>
      <c r="UBR29" s="753"/>
      <c r="UBS29" s="753"/>
      <c r="UBT29" s="753"/>
      <c r="UBU29" s="753"/>
      <c r="UBV29" s="753"/>
      <c r="UBW29" s="750"/>
      <c r="UBX29" s="751"/>
      <c r="UBY29" s="752"/>
      <c r="UBZ29" s="751"/>
      <c r="UCA29" s="751"/>
      <c r="UCB29" s="752"/>
      <c r="UCC29" s="752"/>
      <c r="UCD29" s="753"/>
      <c r="UCE29" s="753"/>
      <c r="UCF29" s="753"/>
      <c r="UCG29" s="753"/>
      <c r="UCH29" s="753"/>
      <c r="UCI29" s="753"/>
      <c r="UCJ29" s="753"/>
      <c r="UCK29" s="753"/>
      <c r="UCL29" s="753"/>
      <c r="UCM29" s="750"/>
      <c r="UCN29" s="751"/>
      <c r="UCO29" s="752"/>
      <c r="UCP29" s="751"/>
      <c r="UCQ29" s="751"/>
      <c r="UCR29" s="752"/>
      <c r="UCS29" s="752"/>
      <c r="UCT29" s="753"/>
      <c r="UCU29" s="753"/>
      <c r="UCV29" s="753"/>
      <c r="UCW29" s="753"/>
      <c r="UCX29" s="753"/>
      <c r="UCY29" s="753"/>
      <c r="UCZ29" s="753"/>
      <c r="UDA29" s="753"/>
      <c r="UDB29" s="753"/>
      <c r="UDC29" s="750"/>
      <c r="UDD29" s="751"/>
      <c r="UDE29" s="752"/>
      <c r="UDF29" s="751"/>
      <c r="UDG29" s="751"/>
      <c r="UDH29" s="752"/>
      <c r="UDI29" s="752"/>
      <c r="UDJ29" s="753"/>
      <c r="UDK29" s="753"/>
      <c r="UDL29" s="753"/>
      <c r="UDM29" s="753"/>
      <c r="UDN29" s="753"/>
      <c r="UDO29" s="753"/>
      <c r="UDP29" s="753"/>
      <c r="UDQ29" s="753"/>
      <c r="UDR29" s="753"/>
      <c r="UDS29" s="750"/>
      <c r="UDT29" s="751"/>
      <c r="UDU29" s="752"/>
      <c r="UDV29" s="751"/>
      <c r="UDW29" s="751"/>
      <c r="UDX29" s="752"/>
      <c r="UDY29" s="752"/>
      <c r="UDZ29" s="753"/>
      <c r="UEA29" s="753"/>
      <c r="UEB29" s="753"/>
      <c r="UEC29" s="753"/>
      <c r="UED29" s="753"/>
      <c r="UEE29" s="753"/>
      <c r="UEF29" s="753"/>
      <c r="UEG29" s="753"/>
      <c r="UEH29" s="753"/>
      <c r="UEI29" s="750"/>
      <c r="UEJ29" s="751"/>
      <c r="UEK29" s="752"/>
      <c r="UEL29" s="751"/>
      <c r="UEM29" s="751"/>
      <c r="UEN29" s="752"/>
      <c r="UEO29" s="752"/>
      <c r="UEP29" s="753"/>
      <c r="UEQ29" s="753"/>
      <c r="UER29" s="753"/>
      <c r="UES29" s="753"/>
      <c r="UET29" s="753"/>
      <c r="UEU29" s="753"/>
      <c r="UEV29" s="753"/>
      <c r="UEW29" s="753"/>
      <c r="UEX29" s="753"/>
      <c r="UEY29" s="750"/>
      <c r="UEZ29" s="751"/>
      <c r="UFA29" s="752"/>
      <c r="UFB29" s="751"/>
      <c r="UFC29" s="751"/>
      <c r="UFD29" s="752"/>
      <c r="UFE29" s="752"/>
      <c r="UFF29" s="753"/>
      <c r="UFG29" s="753"/>
      <c r="UFH29" s="753"/>
      <c r="UFI29" s="753"/>
      <c r="UFJ29" s="753"/>
      <c r="UFK29" s="753"/>
      <c r="UFL29" s="753"/>
      <c r="UFM29" s="753"/>
      <c r="UFN29" s="753"/>
      <c r="UFO29" s="750"/>
      <c r="UFP29" s="751"/>
      <c r="UFQ29" s="752"/>
      <c r="UFR29" s="751"/>
      <c r="UFS29" s="751"/>
      <c r="UFT29" s="752"/>
      <c r="UFU29" s="752"/>
      <c r="UFV29" s="753"/>
      <c r="UFW29" s="753"/>
      <c r="UFX29" s="753"/>
      <c r="UFY29" s="753"/>
      <c r="UFZ29" s="753"/>
      <c r="UGA29" s="753"/>
      <c r="UGB29" s="753"/>
      <c r="UGC29" s="753"/>
      <c r="UGD29" s="753"/>
      <c r="UGE29" s="750"/>
      <c r="UGF29" s="751"/>
      <c r="UGG29" s="752"/>
      <c r="UGH29" s="751"/>
      <c r="UGI29" s="751"/>
      <c r="UGJ29" s="752"/>
      <c r="UGK29" s="752"/>
      <c r="UGL29" s="753"/>
      <c r="UGM29" s="753"/>
      <c r="UGN29" s="753"/>
      <c r="UGO29" s="753"/>
      <c r="UGP29" s="753"/>
      <c r="UGQ29" s="753"/>
      <c r="UGR29" s="753"/>
      <c r="UGS29" s="753"/>
      <c r="UGT29" s="753"/>
      <c r="UGU29" s="750"/>
      <c r="UGV29" s="751"/>
      <c r="UGW29" s="752"/>
      <c r="UGX29" s="751"/>
      <c r="UGY29" s="751"/>
      <c r="UGZ29" s="752"/>
      <c r="UHA29" s="752"/>
      <c r="UHB29" s="753"/>
      <c r="UHC29" s="753"/>
      <c r="UHD29" s="753"/>
      <c r="UHE29" s="753"/>
      <c r="UHF29" s="753"/>
      <c r="UHG29" s="753"/>
      <c r="UHH29" s="753"/>
      <c r="UHI29" s="753"/>
      <c r="UHJ29" s="753"/>
      <c r="UHK29" s="750"/>
      <c r="UHL29" s="751"/>
      <c r="UHM29" s="752"/>
      <c r="UHN29" s="751"/>
      <c r="UHO29" s="751"/>
      <c r="UHP29" s="752"/>
      <c r="UHQ29" s="752"/>
      <c r="UHR29" s="753"/>
      <c r="UHS29" s="753"/>
      <c r="UHT29" s="753"/>
      <c r="UHU29" s="753"/>
      <c r="UHV29" s="753"/>
      <c r="UHW29" s="753"/>
      <c r="UHX29" s="753"/>
      <c r="UHY29" s="753"/>
      <c r="UHZ29" s="753"/>
      <c r="UIA29" s="750"/>
      <c r="UIB29" s="751"/>
      <c r="UIC29" s="752"/>
      <c r="UID29" s="751"/>
      <c r="UIE29" s="751"/>
      <c r="UIF29" s="752"/>
      <c r="UIG29" s="752"/>
      <c r="UIH29" s="753"/>
      <c r="UII29" s="753"/>
      <c r="UIJ29" s="753"/>
      <c r="UIK29" s="753"/>
      <c r="UIL29" s="753"/>
      <c r="UIM29" s="753"/>
      <c r="UIN29" s="753"/>
      <c r="UIO29" s="753"/>
      <c r="UIP29" s="753"/>
      <c r="UIQ29" s="750"/>
      <c r="UIR29" s="751"/>
      <c r="UIS29" s="752"/>
      <c r="UIT29" s="751"/>
      <c r="UIU29" s="751"/>
      <c r="UIV29" s="752"/>
      <c r="UIW29" s="752"/>
      <c r="UIX29" s="753"/>
      <c r="UIY29" s="753"/>
      <c r="UIZ29" s="753"/>
      <c r="UJA29" s="753"/>
      <c r="UJB29" s="753"/>
      <c r="UJC29" s="753"/>
      <c r="UJD29" s="753"/>
      <c r="UJE29" s="753"/>
      <c r="UJF29" s="753"/>
      <c r="UJG29" s="750"/>
      <c r="UJH29" s="751"/>
      <c r="UJI29" s="752"/>
      <c r="UJJ29" s="751"/>
      <c r="UJK29" s="751"/>
      <c r="UJL29" s="752"/>
      <c r="UJM29" s="752"/>
      <c r="UJN29" s="753"/>
      <c r="UJO29" s="753"/>
      <c r="UJP29" s="753"/>
      <c r="UJQ29" s="753"/>
      <c r="UJR29" s="753"/>
      <c r="UJS29" s="753"/>
      <c r="UJT29" s="753"/>
      <c r="UJU29" s="753"/>
      <c r="UJV29" s="753"/>
      <c r="UJW29" s="750"/>
      <c r="UJX29" s="751"/>
      <c r="UJY29" s="752"/>
      <c r="UJZ29" s="751"/>
      <c r="UKA29" s="751"/>
      <c r="UKB29" s="752"/>
      <c r="UKC29" s="752"/>
      <c r="UKD29" s="753"/>
      <c r="UKE29" s="753"/>
      <c r="UKF29" s="753"/>
      <c r="UKG29" s="753"/>
      <c r="UKH29" s="753"/>
      <c r="UKI29" s="753"/>
      <c r="UKJ29" s="753"/>
      <c r="UKK29" s="753"/>
      <c r="UKL29" s="753"/>
      <c r="UKM29" s="750"/>
      <c r="UKN29" s="751"/>
      <c r="UKO29" s="752"/>
      <c r="UKP29" s="751"/>
      <c r="UKQ29" s="751"/>
      <c r="UKR29" s="752"/>
      <c r="UKS29" s="752"/>
      <c r="UKT29" s="753"/>
      <c r="UKU29" s="753"/>
      <c r="UKV29" s="753"/>
      <c r="UKW29" s="753"/>
      <c r="UKX29" s="753"/>
      <c r="UKY29" s="753"/>
      <c r="UKZ29" s="753"/>
      <c r="ULA29" s="753"/>
      <c r="ULB29" s="753"/>
      <c r="ULC29" s="750"/>
      <c r="ULD29" s="751"/>
      <c r="ULE29" s="752"/>
      <c r="ULF29" s="751"/>
      <c r="ULG29" s="751"/>
      <c r="ULH29" s="752"/>
      <c r="ULI29" s="752"/>
      <c r="ULJ29" s="753"/>
      <c r="ULK29" s="753"/>
      <c r="ULL29" s="753"/>
      <c r="ULM29" s="753"/>
      <c r="ULN29" s="753"/>
      <c r="ULO29" s="753"/>
      <c r="ULP29" s="753"/>
      <c r="ULQ29" s="753"/>
      <c r="ULR29" s="753"/>
      <c r="ULS29" s="750"/>
      <c r="ULT29" s="751"/>
      <c r="ULU29" s="752"/>
      <c r="ULV29" s="751"/>
      <c r="ULW29" s="751"/>
      <c r="ULX29" s="752"/>
      <c r="ULY29" s="752"/>
      <c r="ULZ29" s="753"/>
      <c r="UMA29" s="753"/>
      <c r="UMB29" s="753"/>
      <c r="UMC29" s="753"/>
      <c r="UMD29" s="753"/>
      <c r="UME29" s="753"/>
      <c r="UMF29" s="753"/>
      <c r="UMG29" s="753"/>
      <c r="UMH29" s="753"/>
      <c r="UMI29" s="750"/>
      <c r="UMJ29" s="751"/>
      <c r="UMK29" s="752"/>
      <c r="UML29" s="751"/>
      <c r="UMM29" s="751"/>
      <c r="UMN29" s="752"/>
      <c r="UMO29" s="752"/>
      <c r="UMP29" s="753"/>
      <c r="UMQ29" s="753"/>
      <c r="UMR29" s="753"/>
      <c r="UMS29" s="753"/>
      <c r="UMT29" s="753"/>
      <c r="UMU29" s="753"/>
      <c r="UMV29" s="753"/>
      <c r="UMW29" s="753"/>
      <c r="UMX29" s="753"/>
      <c r="UMY29" s="750"/>
      <c r="UMZ29" s="751"/>
      <c r="UNA29" s="752"/>
      <c r="UNB29" s="751"/>
      <c r="UNC29" s="751"/>
      <c r="UND29" s="752"/>
      <c r="UNE29" s="752"/>
      <c r="UNF29" s="753"/>
      <c r="UNG29" s="753"/>
      <c r="UNH29" s="753"/>
      <c r="UNI29" s="753"/>
      <c r="UNJ29" s="753"/>
      <c r="UNK29" s="753"/>
      <c r="UNL29" s="753"/>
      <c r="UNM29" s="753"/>
      <c r="UNN29" s="753"/>
      <c r="UNO29" s="750"/>
      <c r="UNP29" s="751"/>
      <c r="UNQ29" s="752"/>
      <c r="UNR29" s="751"/>
      <c r="UNS29" s="751"/>
      <c r="UNT29" s="752"/>
      <c r="UNU29" s="752"/>
      <c r="UNV29" s="753"/>
      <c r="UNW29" s="753"/>
      <c r="UNX29" s="753"/>
      <c r="UNY29" s="753"/>
      <c r="UNZ29" s="753"/>
      <c r="UOA29" s="753"/>
      <c r="UOB29" s="753"/>
      <c r="UOC29" s="753"/>
      <c r="UOD29" s="753"/>
      <c r="UOE29" s="750"/>
      <c r="UOF29" s="751"/>
      <c r="UOG29" s="752"/>
      <c r="UOH29" s="751"/>
      <c r="UOI29" s="751"/>
      <c r="UOJ29" s="752"/>
      <c r="UOK29" s="752"/>
      <c r="UOL29" s="753"/>
      <c r="UOM29" s="753"/>
      <c r="UON29" s="753"/>
      <c r="UOO29" s="753"/>
      <c r="UOP29" s="753"/>
      <c r="UOQ29" s="753"/>
      <c r="UOR29" s="753"/>
      <c r="UOS29" s="753"/>
      <c r="UOT29" s="753"/>
      <c r="UOU29" s="750"/>
      <c r="UOV29" s="751"/>
      <c r="UOW29" s="752"/>
      <c r="UOX29" s="751"/>
      <c r="UOY29" s="751"/>
      <c r="UOZ29" s="752"/>
      <c r="UPA29" s="752"/>
      <c r="UPB29" s="753"/>
      <c r="UPC29" s="753"/>
      <c r="UPD29" s="753"/>
      <c r="UPE29" s="753"/>
      <c r="UPF29" s="753"/>
      <c r="UPG29" s="753"/>
      <c r="UPH29" s="753"/>
      <c r="UPI29" s="753"/>
      <c r="UPJ29" s="753"/>
      <c r="UPK29" s="750"/>
      <c r="UPL29" s="751"/>
      <c r="UPM29" s="752"/>
      <c r="UPN29" s="751"/>
      <c r="UPO29" s="751"/>
      <c r="UPP29" s="752"/>
      <c r="UPQ29" s="752"/>
      <c r="UPR29" s="753"/>
      <c r="UPS29" s="753"/>
      <c r="UPT29" s="753"/>
      <c r="UPU29" s="753"/>
      <c r="UPV29" s="753"/>
      <c r="UPW29" s="753"/>
      <c r="UPX29" s="753"/>
      <c r="UPY29" s="753"/>
      <c r="UPZ29" s="753"/>
      <c r="UQA29" s="750"/>
      <c r="UQB29" s="751"/>
      <c r="UQC29" s="752"/>
      <c r="UQD29" s="751"/>
      <c r="UQE29" s="751"/>
      <c r="UQF29" s="752"/>
      <c r="UQG29" s="752"/>
      <c r="UQH29" s="753"/>
      <c r="UQI29" s="753"/>
      <c r="UQJ29" s="753"/>
      <c r="UQK29" s="753"/>
      <c r="UQL29" s="753"/>
      <c r="UQM29" s="753"/>
      <c r="UQN29" s="753"/>
      <c r="UQO29" s="753"/>
      <c r="UQP29" s="753"/>
      <c r="UQQ29" s="750"/>
      <c r="UQR29" s="751"/>
      <c r="UQS29" s="752"/>
      <c r="UQT29" s="751"/>
      <c r="UQU29" s="751"/>
      <c r="UQV29" s="752"/>
      <c r="UQW29" s="752"/>
      <c r="UQX29" s="753"/>
      <c r="UQY29" s="753"/>
      <c r="UQZ29" s="753"/>
      <c r="URA29" s="753"/>
      <c r="URB29" s="753"/>
      <c r="URC29" s="753"/>
      <c r="URD29" s="753"/>
      <c r="URE29" s="753"/>
      <c r="URF29" s="753"/>
      <c r="URG29" s="750"/>
      <c r="URH29" s="751"/>
      <c r="URI29" s="752"/>
      <c r="URJ29" s="751"/>
      <c r="URK29" s="751"/>
      <c r="URL29" s="752"/>
      <c r="URM29" s="752"/>
      <c r="URN29" s="753"/>
      <c r="URO29" s="753"/>
      <c r="URP29" s="753"/>
      <c r="URQ29" s="753"/>
      <c r="URR29" s="753"/>
      <c r="URS29" s="753"/>
      <c r="URT29" s="753"/>
      <c r="URU29" s="753"/>
      <c r="URV29" s="753"/>
      <c r="URW29" s="750"/>
      <c r="URX29" s="751"/>
      <c r="URY29" s="752"/>
      <c r="URZ29" s="751"/>
      <c r="USA29" s="751"/>
      <c r="USB29" s="752"/>
      <c r="USC29" s="752"/>
      <c r="USD29" s="753"/>
      <c r="USE29" s="753"/>
      <c r="USF29" s="753"/>
      <c r="USG29" s="753"/>
      <c r="USH29" s="753"/>
      <c r="USI29" s="753"/>
      <c r="USJ29" s="753"/>
      <c r="USK29" s="753"/>
      <c r="USL29" s="753"/>
      <c r="USM29" s="750"/>
      <c r="USN29" s="751"/>
      <c r="USO29" s="752"/>
      <c r="USP29" s="751"/>
      <c r="USQ29" s="751"/>
      <c r="USR29" s="752"/>
      <c r="USS29" s="752"/>
      <c r="UST29" s="753"/>
      <c r="USU29" s="753"/>
      <c r="USV29" s="753"/>
      <c r="USW29" s="753"/>
      <c r="USX29" s="753"/>
      <c r="USY29" s="753"/>
      <c r="USZ29" s="753"/>
      <c r="UTA29" s="753"/>
      <c r="UTB29" s="753"/>
      <c r="UTC29" s="750"/>
      <c r="UTD29" s="751"/>
      <c r="UTE29" s="752"/>
      <c r="UTF29" s="751"/>
      <c r="UTG29" s="751"/>
      <c r="UTH29" s="752"/>
      <c r="UTI29" s="752"/>
      <c r="UTJ29" s="753"/>
      <c r="UTK29" s="753"/>
      <c r="UTL29" s="753"/>
      <c r="UTM29" s="753"/>
      <c r="UTN29" s="753"/>
      <c r="UTO29" s="753"/>
      <c r="UTP29" s="753"/>
      <c r="UTQ29" s="753"/>
      <c r="UTR29" s="753"/>
      <c r="UTS29" s="750"/>
      <c r="UTT29" s="751"/>
      <c r="UTU29" s="752"/>
      <c r="UTV29" s="751"/>
      <c r="UTW29" s="751"/>
      <c r="UTX29" s="752"/>
      <c r="UTY29" s="752"/>
      <c r="UTZ29" s="753"/>
      <c r="UUA29" s="753"/>
      <c r="UUB29" s="753"/>
      <c r="UUC29" s="753"/>
      <c r="UUD29" s="753"/>
      <c r="UUE29" s="753"/>
      <c r="UUF29" s="753"/>
      <c r="UUG29" s="753"/>
      <c r="UUH29" s="753"/>
      <c r="UUI29" s="750"/>
      <c r="UUJ29" s="751"/>
      <c r="UUK29" s="752"/>
      <c r="UUL29" s="751"/>
      <c r="UUM29" s="751"/>
      <c r="UUN29" s="752"/>
      <c r="UUO29" s="752"/>
      <c r="UUP29" s="753"/>
      <c r="UUQ29" s="753"/>
      <c r="UUR29" s="753"/>
      <c r="UUS29" s="753"/>
      <c r="UUT29" s="753"/>
      <c r="UUU29" s="753"/>
      <c r="UUV29" s="753"/>
      <c r="UUW29" s="753"/>
      <c r="UUX29" s="753"/>
      <c r="UUY29" s="750"/>
      <c r="UUZ29" s="751"/>
      <c r="UVA29" s="752"/>
      <c r="UVB29" s="751"/>
      <c r="UVC29" s="751"/>
      <c r="UVD29" s="752"/>
      <c r="UVE29" s="752"/>
      <c r="UVF29" s="753"/>
      <c r="UVG29" s="753"/>
      <c r="UVH29" s="753"/>
      <c r="UVI29" s="753"/>
      <c r="UVJ29" s="753"/>
      <c r="UVK29" s="753"/>
      <c r="UVL29" s="753"/>
      <c r="UVM29" s="753"/>
      <c r="UVN29" s="753"/>
      <c r="UVO29" s="750"/>
      <c r="UVP29" s="751"/>
      <c r="UVQ29" s="752"/>
      <c r="UVR29" s="751"/>
      <c r="UVS29" s="751"/>
      <c r="UVT29" s="752"/>
      <c r="UVU29" s="752"/>
      <c r="UVV29" s="753"/>
      <c r="UVW29" s="753"/>
      <c r="UVX29" s="753"/>
      <c r="UVY29" s="753"/>
      <c r="UVZ29" s="753"/>
      <c r="UWA29" s="753"/>
      <c r="UWB29" s="753"/>
      <c r="UWC29" s="753"/>
      <c r="UWD29" s="753"/>
      <c r="UWE29" s="750"/>
      <c r="UWF29" s="751"/>
      <c r="UWG29" s="752"/>
      <c r="UWH29" s="751"/>
      <c r="UWI29" s="751"/>
      <c r="UWJ29" s="752"/>
      <c r="UWK29" s="752"/>
      <c r="UWL29" s="753"/>
      <c r="UWM29" s="753"/>
      <c r="UWN29" s="753"/>
      <c r="UWO29" s="753"/>
      <c r="UWP29" s="753"/>
      <c r="UWQ29" s="753"/>
      <c r="UWR29" s="753"/>
      <c r="UWS29" s="753"/>
      <c r="UWT29" s="753"/>
      <c r="UWU29" s="750"/>
      <c r="UWV29" s="751"/>
      <c r="UWW29" s="752"/>
      <c r="UWX29" s="751"/>
      <c r="UWY29" s="751"/>
      <c r="UWZ29" s="752"/>
      <c r="UXA29" s="752"/>
      <c r="UXB29" s="753"/>
      <c r="UXC29" s="753"/>
      <c r="UXD29" s="753"/>
      <c r="UXE29" s="753"/>
      <c r="UXF29" s="753"/>
      <c r="UXG29" s="753"/>
      <c r="UXH29" s="753"/>
      <c r="UXI29" s="753"/>
      <c r="UXJ29" s="753"/>
      <c r="UXK29" s="750"/>
      <c r="UXL29" s="751"/>
      <c r="UXM29" s="752"/>
      <c r="UXN29" s="751"/>
      <c r="UXO29" s="751"/>
      <c r="UXP29" s="752"/>
      <c r="UXQ29" s="752"/>
      <c r="UXR29" s="753"/>
      <c r="UXS29" s="753"/>
      <c r="UXT29" s="753"/>
      <c r="UXU29" s="753"/>
      <c r="UXV29" s="753"/>
      <c r="UXW29" s="753"/>
      <c r="UXX29" s="753"/>
      <c r="UXY29" s="753"/>
      <c r="UXZ29" s="753"/>
      <c r="UYA29" s="750"/>
      <c r="UYB29" s="751"/>
      <c r="UYC29" s="752"/>
      <c r="UYD29" s="751"/>
      <c r="UYE29" s="751"/>
      <c r="UYF29" s="752"/>
      <c r="UYG29" s="752"/>
      <c r="UYH29" s="753"/>
      <c r="UYI29" s="753"/>
      <c r="UYJ29" s="753"/>
      <c r="UYK29" s="753"/>
      <c r="UYL29" s="753"/>
      <c r="UYM29" s="753"/>
      <c r="UYN29" s="753"/>
      <c r="UYO29" s="753"/>
      <c r="UYP29" s="753"/>
      <c r="UYQ29" s="750"/>
      <c r="UYR29" s="751"/>
      <c r="UYS29" s="752"/>
      <c r="UYT29" s="751"/>
      <c r="UYU29" s="751"/>
      <c r="UYV29" s="752"/>
      <c r="UYW29" s="752"/>
      <c r="UYX29" s="753"/>
      <c r="UYY29" s="753"/>
      <c r="UYZ29" s="753"/>
      <c r="UZA29" s="753"/>
      <c r="UZB29" s="753"/>
      <c r="UZC29" s="753"/>
      <c r="UZD29" s="753"/>
      <c r="UZE29" s="753"/>
      <c r="UZF29" s="753"/>
      <c r="UZG29" s="750"/>
      <c r="UZH29" s="751"/>
      <c r="UZI29" s="752"/>
      <c r="UZJ29" s="751"/>
      <c r="UZK29" s="751"/>
      <c r="UZL29" s="752"/>
      <c r="UZM29" s="752"/>
      <c r="UZN29" s="753"/>
      <c r="UZO29" s="753"/>
      <c r="UZP29" s="753"/>
      <c r="UZQ29" s="753"/>
      <c r="UZR29" s="753"/>
      <c r="UZS29" s="753"/>
      <c r="UZT29" s="753"/>
      <c r="UZU29" s="753"/>
      <c r="UZV29" s="753"/>
      <c r="UZW29" s="750"/>
      <c r="UZX29" s="751"/>
      <c r="UZY29" s="752"/>
      <c r="UZZ29" s="751"/>
      <c r="VAA29" s="751"/>
      <c r="VAB29" s="752"/>
      <c r="VAC29" s="752"/>
      <c r="VAD29" s="753"/>
      <c r="VAE29" s="753"/>
      <c r="VAF29" s="753"/>
      <c r="VAG29" s="753"/>
      <c r="VAH29" s="753"/>
      <c r="VAI29" s="753"/>
      <c r="VAJ29" s="753"/>
      <c r="VAK29" s="753"/>
      <c r="VAL29" s="753"/>
      <c r="VAM29" s="750"/>
      <c r="VAN29" s="751"/>
      <c r="VAO29" s="752"/>
      <c r="VAP29" s="751"/>
      <c r="VAQ29" s="751"/>
      <c r="VAR29" s="752"/>
      <c r="VAS29" s="752"/>
      <c r="VAT29" s="753"/>
      <c r="VAU29" s="753"/>
      <c r="VAV29" s="753"/>
      <c r="VAW29" s="753"/>
      <c r="VAX29" s="753"/>
      <c r="VAY29" s="753"/>
      <c r="VAZ29" s="753"/>
      <c r="VBA29" s="753"/>
      <c r="VBB29" s="753"/>
      <c r="VBC29" s="750"/>
      <c r="VBD29" s="751"/>
      <c r="VBE29" s="752"/>
      <c r="VBF29" s="751"/>
      <c r="VBG29" s="751"/>
      <c r="VBH29" s="752"/>
      <c r="VBI29" s="752"/>
      <c r="VBJ29" s="753"/>
      <c r="VBK29" s="753"/>
      <c r="VBL29" s="753"/>
      <c r="VBM29" s="753"/>
      <c r="VBN29" s="753"/>
      <c r="VBO29" s="753"/>
      <c r="VBP29" s="753"/>
      <c r="VBQ29" s="753"/>
      <c r="VBR29" s="753"/>
      <c r="VBS29" s="750"/>
      <c r="VBT29" s="751"/>
      <c r="VBU29" s="752"/>
      <c r="VBV29" s="751"/>
      <c r="VBW29" s="751"/>
      <c r="VBX29" s="752"/>
      <c r="VBY29" s="752"/>
      <c r="VBZ29" s="753"/>
      <c r="VCA29" s="753"/>
      <c r="VCB29" s="753"/>
      <c r="VCC29" s="753"/>
      <c r="VCD29" s="753"/>
      <c r="VCE29" s="753"/>
      <c r="VCF29" s="753"/>
      <c r="VCG29" s="753"/>
      <c r="VCH29" s="753"/>
      <c r="VCI29" s="750"/>
      <c r="VCJ29" s="751"/>
      <c r="VCK29" s="752"/>
      <c r="VCL29" s="751"/>
      <c r="VCM29" s="751"/>
      <c r="VCN29" s="752"/>
      <c r="VCO29" s="752"/>
      <c r="VCP29" s="753"/>
      <c r="VCQ29" s="753"/>
      <c r="VCR29" s="753"/>
      <c r="VCS29" s="753"/>
      <c r="VCT29" s="753"/>
      <c r="VCU29" s="753"/>
      <c r="VCV29" s="753"/>
      <c r="VCW29" s="753"/>
      <c r="VCX29" s="753"/>
      <c r="VCY29" s="750"/>
      <c r="VCZ29" s="751"/>
      <c r="VDA29" s="752"/>
      <c r="VDB29" s="751"/>
      <c r="VDC29" s="751"/>
      <c r="VDD29" s="752"/>
      <c r="VDE29" s="752"/>
      <c r="VDF29" s="753"/>
      <c r="VDG29" s="753"/>
      <c r="VDH29" s="753"/>
      <c r="VDI29" s="753"/>
      <c r="VDJ29" s="753"/>
      <c r="VDK29" s="753"/>
      <c r="VDL29" s="753"/>
      <c r="VDM29" s="753"/>
      <c r="VDN29" s="753"/>
      <c r="VDO29" s="750"/>
      <c r="VDP29" s="751"/>
      <c r="VDQ29" s="752"/>
      <c r="VDR29" s="751"/>
      <c r="VDS29" s="751"/>
      <c r="VDT29" s="752"/>
      <c r="VDU29" s="752"/>
      <c r="VDV29" s="753"/>
      <c r="VDW29" s="753"/>
      <c r="VDX29" s="753"/>
      <c r="VDY29" s="753"/>
      <c r="VDZ29" s="753"/>
      <c r="VEA29" s="753"/>
      <c r="VEB29" s="753"/>
      <c r="VEC29" s="753"/>
      <c r="VED29" s="753"/>
      <c r="VEE29" s="750"/>
      <c r="VEF29" s="751"/>
      <c r="VEG29" s="752"/>
      <c r="VEH29" s="751"/>
      <c r="VEI29" s="751"/>
      <c r="VEJ29" s="752"/>
      <c r="VEK29" s="752"/>
      <c r="VEL29" s="753"/>
      <c r="VEM29" s="753"/>
      <c r="VEN29" s="753"/>
      <c r="VEO29" s="753"/>
      <c r="VEP29" s="753"/>
      <c r="VEQ29" s="753"/>
      <c r="VER29" s="753"/>
      <c r="VES29" s="753"/>
      <c r="VET29" s="753"/>
      <c r="VEU29" s="750"/>
      <c r="VEV29" s="751"/>
      <c r="VEW29" s="752"/>
      <c r="VEX29" s="751"/>
      <c r="VEY29" s="751"/>
      <c r="VEZ29" s="752"/>
      <c r="VFA29" s="752"/>
      <c r="VFB29" s="753"/>
      <c r="VFC29" s="753"/>
      <c r="VFD29" s="753"/>
      <c r="VFE29" s="753"/>
      <c r="VFF29" s="753"/>
      <c r="VFG29" s="753"/>
      <c r="VFH29" s="753"/>
      <c r="VFI29" s="753"/>
      <c r="VFJ29" s="753"/>
      <c r="VFK29" s="750"/>
      <c r="VFL29" s="751"/>
      <c r="VFM29" s="752"/>
      <c r="VFN29" s="751"/>
      <c r="VFO29" s="751"/>
      <c r="VFP29" s="752"/>
      <c r="VFQ29" s="752"/>
      <c r="VFR29" s="753"/>
      <c r="VFS29" s="753"/>
      <c r="VFT29" s="753"/>
      <c r="VFU29" s="753"/>
      <c r="VFV29" s="753"/>
      <c r="VFW29" s="753"/>
      <c r="VFX29" s="753"/>
      <c r="VFY29" s="753"/>
      <c r="VFZ29" s="753"/>
      <c r="VGA29" s="750"/>
      <c r="VGB29" s="751"/>
      <c r="VGC29" s="752"/>
      <c r="VGD29" s="751"/>
      <c r="VGE29" s="751"/>
      <c r="VGF29" s="752"/>
      <c r="VGG29" s="752"/>
      <c r="VGH29" s="753"/>
      <c r="VGI29" s="753"/>
      <c r="VGJ29" s="753"/>
      <c r="VGK29" s="753"/>
      <c r="VGL29" s="753"/>
      <c r="VGM29" s="753"/>
      <c r="VGN29" s="753"/>
      <c r="VGO29" s="753"/>
      <c r="VGP29" s="753"/>
      <c r="VGQ29" s="750"/>
      <c r="VGR29" s="751"/>
      <c r="VGS29" s="752"/>
      <c r="VGT29" s="751"/>
      <c r="VGU29" s="751"/>
      <c r="VGV29" s="752"/>
      <c r="VGW29" s="752"/>
      <c r="VGX29" s="753"/>
      <c r="VGY29" s="753"/>
      <c r="VGZ29" s="753"/>
      <c r="VHA29" s="753"/>
      <c r="VHB29" s="753"/>
      <c r="VHC29" s="753"/>
      <c r="VHD29" s="753"/>
      <c r="VHE29" s="753"/>
      <c r="VHF29" s="753"/>
      <c r="VHG29" s="750"/>
      <c r="VHH29" s="751"/>
      <c r="VHI29" s="752"/>
      <c r="VHJ29" s="751"/>
      <c r="VHK29" s="751"/>
      <c r="VHL29" s="752"/>
      <c r="VHM29" s="752"/>
      <c r="VHN29" s="753"/>
      <c r="VHO29" s="753"/>
      <c r="VHP29" s="753"/>
      <c r="VHQ29" s="753"/>
      <c r="VHR29" s="753"/>
      <c r="VHS29" s="753"/>
      <c r="VHT29" s="753"/>
      <c r="VHU29" s="753"/>
      <c r="VHV29" s="753"/>
      <c r="VHW29" s="750"/>
      <c r="VHX29" s="751"/>
      <c r="VHY29" s="752"/>
      <c r="VHZ29" s="751"/>
      <c r="VIA29" s="751"/>
      <c r="VIB29" s="752"/>
      <c r="VIC29" s="752"/>
      <c r="VID29" s="753"/>
      <c r="VIE29" s="753"/>
      <c r="VIF29" s="753"/>
      <c r="VIG29" s="753"/>
      <c r="VIH29" s="753"/>
      <c r="VII29" s="753"/>
      <c r="VIJ29" s="753"/>
      <c r="VIK29" s="753"/>
      <c r="VIL29" s="753"/>
      <c r="VIM29" s="750"/>
      <c r="VIN29" s="751"/>
      <c r="VIO29" s="752"/>
      <c r="VIP29" s="751"/>
      <c r="VIQ29" s="751"/>
      <c r="VIR29" s="752"/>
      <c r="VIS29" s="752"/>
      <c r="VIT29" s="753"/>
      <c r="VIU29" s="753"/>
      <c r="VIV29" s="753"/>
      <c r="VIW29" s="753"/>
      <c r="VIX29" s="753"/>
      <c r="VIY29" s="753"/>
      <c r="VIZ29" s="753"/>
      <c r="VJA29" s="753"/>
      <c r="VJB29" s="753"/>
      <c r="VJC29" s="750"/>
      <c r="VJD29" s="751"/>
      <c r="VJE29" s="752"/>
      <c r="VJF29" s="751"/>
      <c r="VJG29" s="751"/>
      <c r="VJH29" s="752"/>
      <c r="VJI29" s="752"/>
      <c r="VJJ29" s="753"/>
      <c r="VJK29" s="753"/>
      <c r="VJL29" s="753"/>
      <c r="VJM29" s="753"/>
      <c r="VJN29" s="753"/>
      <c r="VJO29" s="753"/>
      <c r="VJP29" s="753"/>
      <c r="VJQ29" s="753"/>
      <c r="VJR29" s="753"/>
      <c r="VJS29" s="750"/>
      <c r="VJT29" s="751"/>
      <c r="VJU29" s="752"/>
      <c r="VJV29" s="751"/>
      <c r="VJW29" s="751"/>
      <c r="VJX29" s="752"/>
      <c r="VJY29" s="752"/>
      <c r="VJZ29" s="753"/>
      <c r="VKA29" s="753"/>
      <c r="VKB29" s="753"/>
      <c r="VKC29" s="753"/>
      <c r="VKD29" s="753"/>
      <c r="VKE29" s="753"/>
      <c r="VKF29" s="753"/>
      <c r="VKG29" s="753"/>
      <c r="VKH29" s="753"/>
      <c r="VKI29" s="750"/>
      <c r="VKJ29" s="751"/>
      <c r="VKK29" s="752"/>
      <c r="VKL29" s="751"/>
      <c r="VKM29" s="751"/>
      <c r="VKN29" s="752"/>
      <c r="VKO29" s="752"/>
      <c r="VKP29" s="753"/>
      <c r="VKQ29" s="753"/>
      <c r="VKR29" s="753"/>
      <c r="VKS29" s="753"/>
      <c r="VKT29" s="753"/>
      <c r="VKU29" s="753"/>
      <c r="VKV29" s="753"/>
      <c r="VKW29" s="753"/>
      <c r="VKX29" s="753"/>
      <c r="VKY29" s="750"/>
      <c r="VKZ29" s="751"/>
      <c r="VLA29" s="752"/>
      <c r="VLB29" s="751"/>
      <c r="VLC29" s="751"/>
      <c r="VLD29" s="752"/>
      <c r="VLE29" s="752"/>
      <c r="VLF29" s="753"/>
      <c r="VLG29" s="753"/>
      <c r="VLH29" s="753"/>
      <c r="VLI29" s="753"/>
      <c r="VLJ29" s="753"/>
      <c r="VLK29" s="753"/>
      <c r="VLL29" s="753"/>
      <c r="VLM29" s="753"/>
      <c r="VLN29" s="753"/>
      <c r="VLO29" s="750"/>
      <c r="VLP29" s="751"/>
      <c r="VLQ29" s="752"/>
      <c r="VLR29" s="751"/>
      <c r="VLS29" s="751"/>
      <c r="VLT29" s="752"/>
      <c r="VLU29" s="752"/>
      <c r="VLV29" s="753"/>
      <c r="VLW29" s="753"/>
      <c r="VLX29" s="753"/>
      <c r="VLY29" s="753"/>
      <c r="VLZ29" s="753"/>
      <c r="VMA29" s="753"/>
      <c r="VMB29" s="753"/>
      <c r="VMC29" s="753"/>
      <c r="VMD29" s="753"/>
      <c r="VME29" s="750"/>
      <c r="VMF29" s="751"/>
      <c r="VMG29" s="752"/>
      <c r="VMH29" s="751"/>
      <c r="VMI29" s="751"/>
      <c r="VMJ29" s="752"/>
      <c r="VMK29" s="752"/>
      <c r="VML29" s="753"/>
      <c r="VMM29" s="753"/>
      <c r="VMN29" s="753"/>
      <c r="VMO29" s="753"/>
      <c r="VMP29" s="753"/>
      <c r="VMQ29" s="753"/>
      <c r="VMR29" s="753"/>
      <c r="VMS29" s="753"/>
      <c r="VMT29" s="753"/>
      <c r="VMU29" s="750"/>
      <c r="VMV29" s="751"/>
      <c r="VMW29" s="752"/>
      <c r="VMX29" s="751"/>
      <c r="VMY29" s="751"/>
      <c r="VMZ29" s="752"/>
      <c r="VNA29" s="752"/>
      <c r="VNB29" s="753"/>
      <c r="VNC29" s="753"/>
      <c r="VND29" s="753"/>
      <c r="VNE29" s="753"/>
      <c r="VNF29" s="753"/>
      <c r="VNG29" s="753"/>
      <c r="VNH29" s="753"/>
      <c r="VNI29" s="753"/>
      <c r="VNJ29" s="753"/>
      <c r="VNK29" s="750"/>
      <c r="VNL29" s="751"/>
      <c r="VNM29" s="752"/>
      <c r="VNN29" s="751"/>
      <c r="VNO29" s="751"/>
      <c r="VNP29" s="752"/>
      <c r="VNQ29" s="752"/>
      <c r="VNR29" s="753"/>
      <c r="VNS29" s="753"/>
      <c r="VNT29" s="753"/>
      <c r="VNU29" s="753"/>
      <c r="VNV29" s="753"/>
      <c r="VNW29" s="753"/>
      <c r="VNX29" s="753"/>
      <c r="VNY29" s="753"/>
      <c r="VNZ29" s="753"/>
      <c r="VOA29" s="750"/>
      <c r="VOB29" s="751"/>
      <c r="VOC29" s="752"/>
      <c r="VOD29" s="751"/>
      <c r="VOE29" s="751"/>
      <c r="VOF29" s="752"/>
      <c r="VOG29" s="752"/>
      <c r="VOH29" s="753"/>
      <c r="VOI29" s="753"/>
      <c r="VOJ29" s="753"/>
      <c r="VOK29" s="753"/>
      <c r="VOL29" s="753"/>
      <c r="VOM29" s="753"/>
      <c r="VON29" s="753"/>
      <c r="VOO29" s="753"/>
      <c r="VOP29" s="753"/>
      <c r="VOQ29" s="750"/>
      <c r="VOR29" s="751"/>
      <c r="VOS29" s="752"/>
      <c r="VOT29" s="751"/>
      <c r="VOU29" s="751"/>
      <c r="VOV29" s="752"/>
      <c r="VOW29" s="752"/>
      <c r="VOX29" s="753"/>
      <c r="VOY29" s="753"/>
      <c r="VOZ29" s="753"/>
      <c r="VPA29" s="753"/>
      <c r="VPB29" s="753"/>
      <c r="VPC29" s="753"/>
      <c r="VPD29" s="753"/>
      <c r="VPE29" s="753"/>
      <c r="VPF29" s="753"/>
      <c r="VPG29" s="750"/>
      <c r="VPH29" s="751"/>
      <c r="VPI29" s="752"/>
      <c r="VPJ29" s="751"/>
      <c r="VPK29" s="751"/>
      <c r="VPL29" s="752"/>
      <c r="VPM29" s="752"/>
      <c r="VPN29" s="753"/>
      <c r="VPO29" s="753"/>
      <c r="VPP29" s="753"/>
      <c r="VPQ29" s="753"/>
      <c r="VPR29" s="753"/>
      <c r="VPS29" s="753"/>
      <c r="VPT29" s="753"/>
      <c r="VPU29" s="753"/>
      <c r="VPV29" s="753"/>
      <c r="VPW29" s="750"/>
      <c r="VPX29" s="751"/>
      <c r="VPY29" s="752"/>
      <c r="VPZ29" s="751"/>
      <c r="VQA29" s="751"/>
      <c r="VQB29" s="752"/>
      <c r="VQC29" s="752"/>
      <c r="VQD29" s="753"/>
      <c r="VQE29" s="753"/>
      <c r="VQF29" s="753"/>
      <c r="VQG29" s="753"/>
      <c r="VQH29" s="753"/>
      <c r="VQI29" s="753"/>
      <c r="VQJ29" s="753"/>
      <c r="VQK29" s="753"/>
      <c r="VQL29" s="753"/>
      <c r="VQM29" s="750"/>
      <c r="VQN29" s="751"/>
      <c r="VQO29" s="752"/>
      <c r="VQP29" s="751"/>
      <c r="VQQ29" s="751"/>
      <c r="VQR29" s="752"/>
      <c r="VQS29" s="752"/>
      <c r="VQT29" s="753"/>
      <c r="VQU29" s="753"/>
      <c r="VQV29" s="753"/>
      <c r="VQW29" s="753"/>
      <c r="VQX29" s="753"/>
      <c r="VQY29" s="753"/>
      <c r="VQZ29" s="753"/>
      <c r="VRA29" s="753"/>
      <c r="VRB29" s="753"/>
      <c r="VRC29" s="750"/>
      <c r="VRD29" s="751"/>
      <c r="VRE29" s="752"/>
      <c r="VRF29" s="751"/>
      <c r="VRG29" s="751"/>
      <c r="VRH29" s="752"/>
      <c r="VRI29" s="752"/>
      <c r="VRJ29" s="753"/>
      <c r="VRK29" s="753"/>
      <c r="VRL29" s="753"/>
      <c r="VRM29" s="753"/>
      <c r="VRN29" s="753"/>
      <c r="VRO29" s="753"/>
      <c r="VRP29" s="753"/>
      <c r="VRQ29" s="753"/>
      <c r="VRR29" s="753"/>
      <c r="VRS29" s="750"/>
      <c r="VRT29" s="751"/>
      <c r="VRU29" s="752"/>
      <c r="VRV29" s="751"/>
      <c r="VRW29" s="751"/>
      <c r="VRX29" s="752"/>
      <c r="VRY29" s="752"/>
      <c r="VRZ29" s="753"/>
      <c r="VSA29" s="753"/>
      <c r="VSB29" s="753"/>
      <c r="VSC29" s="753"/>
      <c r="VSD29" s="753"/>
      <c r="VSE29" s="753"/>
      <c r="VSF29" s="753"/>
      <c r="VSG29" s="753"/>
      <c r="VSH29" s="753"/>
      <c r="VSI29" s="750"/>
      <c r="VSJ29" s="751"/>
      <c r="VSK29" s="752"/>
      <c r="VSL29" s="751"/>
      <c r="VSM29" s="751"/>
      <c r="VSN29" s="752"/>
      <c r="VSO29" s="752"/>
      <c r="VSP29" s="753"/>
      <c r="VSQ29" s="753"/>
      <c r="VSR29" s="753"/>
      <c r="VSS29" s="753"/>
      <c r="VST29" s="753"/>
      <c r="VSU29" s="753"/>
      <c r="VSV29" s="753"/>
      <c r="VSW29" s="753"/>
      <c r="VSX29" s="753"/>
      <c r="VSY29" s="750"/>
      <c r="VSZ29" s="751"/>
      <c r="VTA29" s="752"/>
      <c r="VTB29" s="751"/>
      <c r="VTC29" s="751"/>
      <c r="VTD29" s="752"/>
      <c r="VTE29" s="752"/>
      <c r="VTF29" s="753"/>
      <c r="VTG29" s="753"/>
      <c r="VTH29" s="753"/>
      <c r="VTI29" s="753"/>
      <c r="VTJ29" s="753"/>
      <c r="VTK29" s="753"/>
      <c r="VTL29" s="753"/>
      <c r="VTM29" s="753"/>
      <c r="VTN29" s="753"/>
      <c r="VTO29" s="750"/>
      <c r="VTP29" s="751"/>
      <c r="VTQ29" s="752"/>
      <c r="VTR29" s="751"/>
      <c r="VTS29" s="751"/>
      <c r="VTT29" s="752"/>
      <c r="VTU29" s="752"/>
      <c r="VTV29" s="753"/>
      <c r="VTW29" s="753"/>
      <c r="VTX29" s="753"/>
      <c r="VTY29" s="753"/>
      <c r="VTZ29" s="753"/>
      <c r="VUA29" s="753"/>
      <c r="VUB29" s="753"/>
      <c r="VUC29" s="753"/>
      <c r="VUD29" s="753"/>
      <c r="VUE29" s="750"/>
      <c r="VUF29" s="751"/>
      <c r="VUG29" s="752"/>
      <c r="VUH29" s="751"/>
      <c r="VUI29" s="751"/>
      <c r="VUJ29" s="752"/>
      <c r="VUK29" s="752"/>
      <c r="VUL29" s="753"/>
      <c r="VUM29" s="753"/>
      <c r="VUN29" s="753"/>
      <c r="VUO29" s="753"/>
      <c r="VUP29" s="753"/>
      <c r="VUQ29" s="753"/>
      <c r="VUR29" s="753"/>
      <c r="VUS29" s="753"/>
      <c r="VUT29" s="753"/>
      <c r="VUU29" s="750"/>
      <c r="VUV29" s="751"/>
      <c r="VUW29" s="752"/>
      <c r="VUX29" s="751"/>
      <c r="VUY29" s="751"/>
      <c r="VUZ29" s="752"/>
      <c r="VVA29" s="752"/>
      <c r="VVB29" s="753"/>
      <c r="VVC29" s="753"/>
      <c r="VVD29" s="753"/>
      <c r="VVE29" s="753"/>
      <c r="VVF29" s="753"/>
      <c r="VVG29" s="753"/>
      <c r="VVH29" s="753"/>
      <c r="VVI29" s="753"/>
      <c r="VVJ29" s="753"/>
      <c r="VVK29" s="750"/>
      <c r="VVL29" s="751"/>
      <c r="VVM29" s="752"/>
      <c r="VVN29" s="751"/>
      <c r="VVO29" s="751"/>
      <c r="VVP29" s="752"/>
      <c r="VVQ29" s="752"/>
      <c r="VVR29" s="753"/>
      <c r="VVS29" s="753"/>
      <c r="VVT29" s="753"/>
      <c r="VVU29" s="753"/>
      <c r="VVV29" s="753"/>
      <c r="VVW29" s="753"/>
      <c r="VVX29" s="753"/>
      <c r="VVY29" s="753"/>
      <c r="VVZ29" s="753"/>
      <c r="VWA29" s="750"/>
      <c r="VWB29" s="751"/>
      <c r="VWC29" s="752"/>
      <c r="VWD29" s="751"/>
      <c r="VWE29" s="751"/>
      <c r="VWF29" s="752"/>
      <c r="VWG29" s="752"/>
      <c r="VWH29" s="753"/>
      <c r="VWI29" s="753"/>
      <c r="VWJ29" s="753"/>
      <c r="VWK29" s="753"/>
      <c r="VWL29" s="753"/>
      <c r="VWM29" s="753"/>
      <c r="VWN29" s="753"/>
      <c r="VWO29" s="753"/>
      <c r="VWP29" s="753"/>
      <c r="VWQ29" s="750"/>
      <c r="VWR29" s="751"/>
      <c r="VWS29" s="752"/>
      <c r="VWT29" s="751"/>
      <c r="VWU29" s="751"/>
      <c r="VWV29" s="752"/>
      <c r="VWW29" s="752"/>
      <c r="VWX29" s="753"/>
      <c r="VWY29" s="753"/>
      <c r="VWZ29" s="753"/>
      <c r="VXA29" s="753"/>
      <c r="VXB29" s="753"/>
      <c r="VXC29" s="753"/>
      <c r="VXD29" s="753"/>
      <c r="VXE29" s="753"/>
      <c r="VXF29" s="753"/>
      <c r="VXG29" s="750"/>
      <c r="VXH29" s="751"/>
      <c r="VXI29" s="752"/>
      <c r="VXJ29" s="751"/>
      <c r="VXK29" s="751"/>
      <c r="VXL29" s="752"/>
      <c r="VXM29" s="752"/>
      <c r="VXN29" s="753"/>
      <c r="VXO29" s="753"/>
      <c r="VXP29" s="753"/>
      <c r="VXQ29" s="753"/>
      <c r="VXR29" s="753"/>
      <c r="VXS29" s="753"/>
      <c r="VXT29" s="753"/>
      <c r="VXU29" s="753"/>
      <c r="VXV29" s="753"/>
      <c r="VXW29" s="750"/>
      <c r="VXX29" s="751"/>
      <c r="VXY29" s="752"/>
      <c r="VXZ29" s="751"/>
      <c r="VYA29" s="751"/>
      <c r="VYB29" s="752"/>
      <c r="VYC29" s="752"/>
      <c r="VYD29" s="753"/>
      <c r="VYE29" s="753"/>
      <c r="VYF29" s="753"/>
      <c r="VYG29" s="753"/>
      <c r="VYH29" s="753"/>
      <c r="VYI29" s="753"/>
      <c r="VYJ29" s="753"/>
      <c r="VYK29" s="753"/>
      <c r="VYL29" s="753"/>
      <c r="VYM29" s="750"/>
      <c r="VYN29" s="751"/>
      <c r="VYO29" s="752"/>
      <c r="VYP29" s="751"/>
      <c r="VYQ29" s="751"/>
      <c r="VYR29" s="752"/>
      <c r="VYS29" s="752"/>
      <c r="VYT29" s="753"/>
      <c r="VYU29" s="753"/>
      <c r="VYV29" s="753"/>
      <c r="VYW29" s="753"/>
      <c r="VYX29" s="753"/>
      <c r="VYY29" s="753"/>
      <c r="VYZ29" s="753"/>
      <c r="VZA29" s="753"/>
      <c r="VZB29" s="753"/>
      <c r="VZC29" s="750"/>
      <c r="VZD29" s="751"/>
      <c r="VZE29" s="752"/>
      <c r="VZF29" s="751"/>
      <c r="VZG29" s="751"/>
      <c r="VZH29" s="752"/>
      <c r="VZI29" s="752"/>
      <c r="VZJ29" s="753"/>
      <c r="VZK29" s="753"/>
      <c r="VZL29" s="753"/>
      <c r="VZM29" s="753"/>
      <c r="VZN29" s="753"/>
      <c r="VZO29" s="753"/>
      <c r="VZP29" s="753"/>
      <c r="VZQ29" s="753"/>
      <c r="VZR29" s="753"/>
      <c r="VZS29" s="750"/>
      <c r="VZT29" s="751"/>
      <c r="VZU29" s="752"/>
      <c r="VZV29" s="751"/>
      <c r="VZW29" s="751"/>
      <c r="VZX29" s="752"/>
      <c r="VZY29" s="752"/>
      <c r="VZZ29" s="753"/>
      <c r="WAA29" s="753"/>
      <c r="WAB29" s="753"/>
      <c r="WAC29" s="753"/>
      <c r="WAD29" s="753"/>
      <c r="WAE29" s="753"/>
      <c r="WAF29" s="753"/>
      <c r="WAG29" s="753"/>
      <c r="WAH29" s="753"/>
      <c r="WAI29" s="750"/>
      <c r="WAJ29" s="751"/>
      <c r="WAK29" s="752"/>
      <c r="WAL29" s="751"/>
      <c r="WAM29" s="751"/>
      <c r="WAN29" s="752"/>
      <c r="WAO29" s="752"/>
      <c r="WAP29" s="753"/>
      <c r="WAQ29" s="753"/>
      <c r="WAR29" s="753"/>
      <c r="WAS29" s="753"/>
      <c r="WAT29" s="753"/>
      <c r="WAU29" s="753"/>
      <c r="WAV29" s="753"/>
      <c r="WAW29" s="753"/>
      <c r="WAX29" s="753"/>
      <c r="WAY29" s="750"/>
      <c r="WAZ29" s="751"/>
      <c r="WBA29" s="752"/>
      <c r="WBB29" s="751"/>
      <c r="WBC29" s="751"/>
      <c r="WBD29" s="752"/>
      <c r="WBE29" s="752"/>
      <c r="WBF29" s="753"/>
      <c r="WBG29" s="753"/>
      <c r="WBH29" s="753"/>
      <c r="WBI29" s="753"/>
      <c r="WBJ29" s="753"/>
      <c r="WBK29" s="753"/>
      <c r="WBL29" s="753"/>
      <c r="WBM29" s="753"/>
      <c r="WBN29" s="753"/>
      <c r="WBO29" s="750"/>
      <c r="WBP29" s="751"/>
      <c r="WBQ29" s="752"/>
      <c r="WBR29" s="751"/>
      <c r="WBS29" s="751"/>
      <c r="WBT29" s="752"/>
      <c r="WBU29" s="752"/>
      <c r="WBV29" s="753"/>
      <c r="WBW29" s="753"/>
      <c r="WBX29" s="753"/>
      <c r="WBY29" s="753"/>
      <c r="WBZ29" s="753"/>
      <c r="WCA29" s="753"/>
      <c r="WCB29" s="753"/>
      <c r="WCC29" s="753"/>
      <c r="WCD29" s="753"/>
      <c r="WCE29" s="750"/>
      <c r="WCF29" s="751"/>
      <c r="WCG29" s="752"/>
      <c r="WCH29" s="751"/>
      <c r="WCI29" s="751"/>
      <c r="WCJ29" s="752"/>
      <c r="WCK29" s="752"/>
      <c r="WCL29" s="753"/>
      <c r="WCM29" s="753"/>
      <c r="WCN29" s="753"/>
      <c r="WCO29" s="753"/>
      <c r="WCP29" s="753"/>
      <c r="WCQ29" s="753"/>
      <c r="WCR29" s="753"/>
      <c r="WCS29" s="753"/>
      <c r="WCT29" s="753"/>
      <c r="WCU29" s="750"/>
      <c r="WCV29" s="751"/>
      <c r="WCW29" s="752"/>
      <c r="WCX29" s="751"/>
      <c r="WCY29" s="751"/>
      <c r="WCZ29" s="752"/>
      <c r="WDA29" s="752"/>
      <c r="WDB29" s="753"/>
      <c r="WDC29" s="753"/>
      <c r="WDD29" s="753"/>
      <c r="WDE29" s="753"/>
      <c r="WDF29" s="753"/>
      <c r="WDG29" s="753"/>
      <c r="WDH29" s="753"/>
      <c r="WDI29" s="753"/>
      <c r="WDJ29" s="753"/>
      <c r="WDK29" s="750"/>
      <c r="WDL29" s="751"/>
      <c r="WDM29" s="752"/>
      <c r="WDN29" s="751"/>
      <c r="WDO29" s="751"/>
      <c r="WDP29" s="752"/>
      <c r="WDQ29" s="752"/>
      <c r="WDR29" s="753"/>
      <c r="WDS29" s="753"/>
      <c r="WDT29" s="753"/>
      <c r="WDU29" s="753"/>
      <c r="WDV29" s="753"/>
      <c r="WDW29" s="753"/>
      <c r="WDX29" s="753"/>
      <c r="WDY29" s="753"/>
      <c r="WDZ29" s="753"/>
      <c r="WEA29" s="750"/>
      <c r="WEB29" s="751"/>
      <c r="WEC29" s="752"/>
      <c r="WED29" s="751"/>
      <c r="WEE29" s="751"/>
      <c r="WEF29" s="752"/>
      <c r="WEG29" s="752"/>
      <c r="WEH29" s="753"/>
      <c r="WEI29" s="753"/>
      <c r="WEJ29" s="753"/>
      <c r="WEK29" s="753"/>
      <c r="WEL29" s="753"/>
      <c r="WEM29" s="753"/>
      <c r="WEN29" s="753"/>
      <c r="WEO29" s="753"/>
      <c r="WEP29" s="753"/>
      <c r="WEQ29" s="750"/>
      <c r="WER29" s="751"/>
      <c r="WES29" s="752"/>
      <c r="WET29" s="751"/>
      <c r="WEU29" s="751"/>
      <c r="WEV29" s="752"/>
      <c r="WEW29" s="752"/>
      <c r="WEX29" s="753"/>
      <c r="WEY29" s="753"/>
      <c r="WEZ29" s="753"/>
      <c r="WFA29" s="753"/>
      <c r="WFB29" s="753"/>
      <c r="WFC29" s="753"/>
      <c r="WFD29" s="753"/>
      <c r="WFE29" s="753"/>
      <c r="WFF29" s="753"/>
      <c r="WFG29" s="750"/>
      <c r="WFH29" s="751"/>
      <c r="WFI29" s="752"/>
      <c r="WFJ29" s="751"/>
      <c r="WFK29" s="751"/>
      <c r="WFL29" s="752"/>
      <c r="WFM29" s="752"/>
      <c r="WFN29" s="753"/>
      <c r="WFO29" s="753"/>
      <c r="WFP29" s="753"/>
      <c r="WFQ29" s="753"/>
      <c r="WFR29" s="753"/>
      <c r="WFS29" s="753"/>
      <c r="WFT29" s="753"/>
      <c r="WFU29" s="753"/>
      <c r="WFV29" s="753"/>
      <c r="WFW29" s="750"/>
      <c r="WFX29" s="751"/>
      <c r="WFY29" s="752"/>
      <c r="WFZ29" s="751"/>
      <c r="WGA29" s="751"/>
      <c r="WGB29" s="752"/>
      <c r="WGC29" s="752"/>
      <c r="WGD29" s="753"/>
      <c r="WGE29" s="753"/>
      <c r="WGF29" s="753"/>
      <c r="WGG29" s="753"/>
      <c r="WGH29" s="753"/>
      <c r="WGI29" s="753"/>
      <c r="WGJ29" s="753"/>
      <c r="WGK29" s="753"/>
      <c r="WGL29" s="753"/>
      <c r="WGM29" s="750"/>
      <c r="WGN29" s="751"/>
      <c r="WGO29" s="752"/>
      <c r="WGP29" s="751"/>
      <c r="WGQ29" s="751"/>
      <c r="WGR29" s="752"/>
      <c r="WGS29" s="752"/>
      <c r="WGT29" s="753"/>
      <c r="WGU29" s="753"/>
      <c r="WGV29" s="753"/>
      <c r="WGW29" s="753"/>
      <c r="WGX29" s="753"/>
      <c r="WGY29" s="753"/>
      <c r="WGZ29" s="753"/>
      <c r="WHA29" s="753"/>
      <c r="WHB29" s="753"/>
      <c r="WHC29" s="750"/>
      <c r="WHD29" s="751"/>
      <c r="WHE29" s="752"/>
      <c r="WHF29" s="751"/>
      <c r="WHG29" s="751"/>
      <c r="WHH29" s="752"/>
      <c r="WHI29" s="752"/>
      <c r="WHJ29" s="753"/>
      <c r="WHK29" s="753"/>
      <c r="WHL29" s="753"/>
      <c r="WHM29" s="753"/>
      <c r="WHN29" s="753"/>
      <c r="WHO29" s="753"/>
      <c r="WHP29" s="753"/>
      <c r="WHQ29" s="753"/>
      <c r="WHR29" s="753"/>
      <c r="WHS29" s="750"/>
      <c r="WHT29" s="751"/>
      <c r="WHU29" s="752"/>
      <c r="WHV29" s="751"/>
      <c r="WHW29" s="751"/>
      <c r="WHX29" s="752"/>
      <c r="WHY29" s="752"/>
      <c r="WHZ29" s="753"/>
      <c r="WIA29" s="753"/>
      <c r="WIB29" s="753"/>
      <c r="WIC29" s="753"/>
      <c r="WID29" s="753"/>
      <c r="WIE29" s="753"/>
      <c r="WIF29" s="753"/>
      <c r="WIG29" s="753"/>
      <c r="WIH29" s="753"/>
      <c r="WII29" s="750"/>
      <c r="WIJ29" s="751"/>
      <c r="WIK29" s="752"/>
      <c r="WIL29" s="751"/>
      <c r="WIM29" s="751"/>
      <c r="WIN29" s="752"/>
      <c r="WIO29" s="752"/>
      <c r="WIP29" s="753"/>
      <c r="WIQ29" s="753"/>
      <c r="WIR29" s="753"/>
      <c r="WIS29" s="753"/>
      <c r="WIT29" s="753"/>
      <c r="WIU29" s="753"/>
      <c r="WIV29" s="753"/>
      <c r="WIW29" s="753"/>
      <c r="WIX29" s="753"/>
      <c r="WIY29" s="750"/>
      <c r="WIZ29" s="751"/>
      <c r="WJA29" s="752"/>
      <c r="WJB29" s="751"/>
      <c r="WJC29" s="751"/>
      <c r="WJD29" s="752"/>
      <c r="WJE29" s="752"/>
      <c r="WJF29" s="753"/>
      <c r="WJG29" s="753"/>
      <c r="WJH29" s="753"/>
      <c r="WJI29" s="753"/>
      <c r="WJJ29" s="753"/>
      <c r="WJK29" s="753"/>
      <c r="WJL29" s="753"/>
      <c r="WJM29" s="753"/>
      <c r="WJN29" s="753"/>
      <c r="WJO29" s="750"/>
      <c r="WJP29" s="751"/>
      <c r="WJQ29" s="752"/>
      <c r="WJR29" s="751"/>
      <c r="WJS29" s="751"/>
      <c r="WJT29" s="752"/>
      <c r="WJU29" s="752"/>
      <c r="WJV29" s="753"/>
      <c r="WJW29" s="753"/>
      <c r="WJX29" s="753"/>
      <c r="WJY29" s="753"/>
      <c r="WJZ29" s="753"/>
      <c r="WKA29" s="753"/>
      <c r="WKB29" s="753"/>
      <c r="WKC29" s="753"/>
      <c r="WKD29" s="753"/>
      <c r="WKE29" s="750"/>
      <c r="WKF29" s="751"/>
      <c r="WKG29" s="752"/>
      <c r="WKH29" s="751"/>
      <c r="WKI29" s="751"/>
      <c r="WKJ29" s="752"/>
      <c r="WKK29" s="752"/>
      <c r="WKL29" s="753"/>
      <c r="WKM29" s="753"/>
      <c r="WKN29" s="753"/>
      <c r="WKO29" s="753"/>
      <c r="WKP29" s="753"/>
      <c r="WKQ29" s="753"/>
      <c r="WKR29" s="753"/>
      <c r="WKS29" s="753"/>
      <c r="WKT29" s="753"/>
      <c r="WKU29" s="750"/>
      <c r="WKV29" s="751"/>
      <c r="WKW29" s="752"/>
      <c r="WKX29" s="751"/>
      <c r="WKY29" s="751"/>
      <c r="WKZ29" s="752"/>
      <c r="WLA29" s="752"/>
      <c r="WLB29" s="753"/>
      <c r="WLC29" s="753"/>
      <c r="WLD29" s="753"/>
      <c r="WLE29" s="753"/>
      <c r="WLF29" s="753"/>
      <c r="WLG29" s="753"/>
      <c r="WLH29" s="753"/>
      <c r="WLI29" s="753"/>
      <c r="WLJ29" s="753"/>
      <c r="WLK29" s="750"/>
      <c r="WLL29" s="751"/>
      <c r="WLM29" s="752"/>
      <c r="WLN29" s="751"/>
      <c r="WLO29" s="751"/>
      <c r="WLP29" s="752"/>
      <c r="WLQ29" s="752"/>
      <c r="WLR29" s="753"/>
      <c r="WLS29" s="753"/>
      <c r="WLT29" s="753"/>
      <c r="WLU29" s="753"/>
      <c r="WLV29" s="753"/>
      <c r="WLW29" s="753"/>
      <c r="WLX29" s="753"/>
      <c r="WLY29" s="753"/>
      <c r="WLZ29" s="753"/>
      <c r="WMA29" s="750"/>
      <c r="WMB29" s="751"/>
      <c r="WMC29" s="752"/>
      <c r="WMD29" s="751"/>
      <c r="WME29" s="751"/>
      <c r="WMF29" s="752"/>
      <c r="WMG29" s="752"/>
      <c r="WMH29" s="753"/>
      <c r="WMI29" s="753"/>
      <c r="WMJ29" s="753"/>
      <c r="WMK29" s="753"/>
      <c r="WML29" s="753"/>
      <c r="WMM29" s="753"/>
      <c r="WMN29" s="753"/>
      <c r="WMO29" s="753"/>
      <c r="WMP29" s="753"/>
      <c r="WMQ29" s="750"/>
      <c r="WMR29" s="751"/>
      <c r="WMS29" s="752"/>
      <c r="WMT29" s="751"/>
      <c r="WMU29" s="751"/>
      <c r="WMV29" s="752"/>
      <c r="WMW29" s="752"/>
      <c r="WMX29" s="753"/>
      <c r="WMY29" s="753"/>
      <c r="WMZ29" s="753"/>
      <c r="WNA29" s="753"/>
      <c r="WNB29" s="753"/>
      <c r="WNC29" s="753"/>
      <c r="WND29" s="753"/>
      <c r="WNE29" s="753"/>
      <c r="WNF29" s="753"/>
      <c r="WNG29" s="750"/>
      <c r="WNH29" s="751"/>
      <c r="WNI29" s="752"/>
      <c r="WNJ29" s="751"/>
      <c r="WNK29" s="751"/>
      <c r="WNL29" s="752"/>
      <c r="WNM29" s="752"/>
      <c r="WNN29" s="753"/>
      <c r="WNO29" s="753"/>
      <c r="WNP29" s="753"/>
      <c r="WNQ29" s="753"/>
      <c r="WNR29" s="753"/>
      <c r="WNS29" s="753"/>
      <c r="WNT29" s="753"/>
      <c r="WNU29" s="753"/>
      <c r="WNV29" s="753"/>
      <c r="WNW29" s="750"/>
      <c r="WNX29" s="751"/>
      <c r="WNY29" s="752"/>
      <c r="WNZ29" s="751"/>
      <c r="WOA29" s="751"/>
      <c r="WOB29" s="752"/>
      <c r="WOC29" s="752"/>
      <c r="WOD29" s="753"/>
      <c r="WOE29" s="753"/>
      <c r="WOF29" s="753"/>
      <c r="WOG29" s="753"/>
      <c r="WOH29" s="753"/>
      <c r="WOI29" s="753"/>
      <c r="WOJ29" s="753"/>
      <c r="WOK29" s="753"/>
      <c r="WOL29" s="753"/>
      <c r="WOM29" s="750"/>
      <c r="WON29" s="751"/>
      <c r="WOO29" s="752"/>
      <c r="WOP29" s="751"/>
      <c r="WOQ29" s="751"/>
      <c r="WOR29" s="752"/>
      <c r="WOS29" s="752"/>
      <c r="WOT29" s="753"/>
      <c r="WOU29" s="753"/>
      <c r="WOV29" s="753"/>
      <c r="WOW29" s="753"/>
      <c r="WOX29" s="753"/>
      <c r="WOY29" s="753"/>
      <c r="WOZ29" s="753"/>
      <c r="WPA29" s="753"/>
      <c r="WPB29" s="753"/>
      <c r="WPC29" s="750"/>
      <c r="WPD29" s="751"/>
      <c r="WPE29" s="752"/>
      <c r="WPF29" s="751"/>
      <c r="WPG29" s="751"/>
      <c r="WPH29" s="752"/>
      <c r="WPI29" s="752"/>
      <c r="WPJ29" s="753"/>
      <c r="WPK29" s="753"/>
      <c r="WPL29" s="753"/>
      <c r="WPM29" s="753"/>
      <c r="WPN29" s="753"/>
      <c r="WPO29" s="753"/>
      <c r="WPP29" s="753"/>
      <c r="WPQ29" s="753"/>
      <c r="WPR29" s="753"/>
      <c r="WPS29" s="750"/>
      <c r="WPT29" s="751"/>
      <c r="WPU29" s="752"/>
      <c r="WPV29" s="751"/>
      <c r="WPW29" s="751"/>
      <c r="WPX29" s="752"/>
      <c r="WPY29" s="752"/>
      <c r="WPZ29" s="753"/>
      <c r="WQA29" s="753"/>
      <c r="WQB29" s="753"/>
      <c r="WQC29" s="753"/>
      <c r="WQD29" s="753"/>
      <c r="WQE29" s="753"/>
      <c r="WQF29" s="753"/>
      <c r="WQG29" s="753"/>
      <c r="WQH29" s="753"/>
      <c r="WQI29" s="750"/>
      <c r="WQJ29" s="751"/>
      <c r="WQK29" s="752"/>
      <c r="WQL29" s="751"/>
      <c r="WQM29" s="751"/>
      <c r="WQN29" s="752"/>
      <c r="WQO29" s="752"/>
      <c r="WQP29" s="753"/>
      <c r="WQQ29" s="753"/>
      <c r="WQR29" s="753"/>
      <c r="WQS29" s="753"/>
      <c r="WQT29" s="753"/>
      <c r="WQU29" s="753"/>
      <c r="WQV29" s="753"/>
      <c r="WQW29" s="753"/>
      <c r="WQX29" s="753"/>
      <c r="WQY29" s="750"/>
      <c r="WQZ29" s="751"/>
      <c r="WRA29" s="752"/>
      <c r="WRB29" s="751"/>
      <c r="WRC29" s="751"/>
      <c r="WRD29" s="752"/>
      <c r="WRE29" s="752"/>
      <c r="WRF29" s="753"/>
      <c r="WRG29" s="753"/>
      <c r="WRH29" s="753"/>
      <c r="WRI29" s="753"/>
      <c r="WRJ29" s="753"/>
      <c r="WRK29" s="753"/>
      <c r="WRL29" s="753"/>
      <c r="WRM29" s="753"/>
      <c r="WRN29" s="753"/>
      <c r="WRO29" s="750"/>
      <c r="WRP29" s="751"/>
      <c r="WRQ29" s="752"/>
      <c r="WRR29" s="751"/>
      <c r="WRS29" s="751"/>
      <c r="WRT29" s="752"/>
      <c r="WRU29" s="752"/>
      <c r="WRV29" s="753"/>
      <c r="WRW29" s="753"/>
      <c r="WRX29" s="753"/>
      <c r="WRY29" s="753"/>
      <c r="WRZ29" s="753"/>
      <c r="WSA29" s="753"/>
      <c r="WSB29" s="753"/>
      <c r="WSC29" s="753"/>
      <c r="WSD29" s="753"/>
      <c r="WSE29" s="750"/>
      <c r="WSF29" s="751"/>
      <c r="WSG29" s="752"/>
      <c r="WSH29" s="751"/>
      <c r="WSI29" s="751"/>
      <c r="WSJ29" s="752"/>
      <c r="WSK29" s="752"/>
      <c r="WSL29" s="753"/>
      <c r="WSM29" s="753"/>
      <c r="WSN29" s="753"/>
      <c r="WSO29" s="753"/>
      <c r="WSP29" s="753"/>
      <c r="WSQ29" s="753"/>
      <c r="WSR29" s="753"/>
      <c r="WSS29" s="753"/>
      <c r="WST29" s="753"/>
      <c r="WSU29" s="750"/>
      <c r="WSV29" s="751"/>
      <c r="WSW29" s="752"/>
      <c r="WSX29" s="751"/>
      <c r="WSY29" s="751"/>
      <c r="WSZ29" s="752"/>
      <c r="WTA29" s="752"/>
      <c r="WTB29" s="753"/>
      <c r="WTC29" s="753"/>
      <c r="WTD29" s="753"/>
      <c r="WTE29" s="753"/>
      <c r="WTF29" s="753"/>
      <c r="WTG29" s="753"/>
      <c r="WTH29" s="753"/>
      <c r="WTI29" s="753"/>
      <c r="WTJ29" s="753"/>
      <c r="WTK29" s="750"/>
      <c r="WTL29" s="751"/>
      <c r="WTM29" s="752"/>
      <c r="WTN29" s="751"/>
      <c r="WTO29" s="751"/>
      <c r="WTP29" s="752"/>
      <c r="WTQ29" s="752"/>
      <c r="WTR29" s="753"/>
      <c r="WTS29" s="753"/>
      <c r="WTT29" s="753"/>
      <c r="WTU29" s="753"/>
      <c r="WTV29" s="753"/>
      <c r="WTW29" s="753"/>
      <c r="WTX29" s="753"/>
      <c r="WTY29" s="753"/>
      <c r="WTZ29" s="753"/>
      <c r="WUA29" s="750"/>
      <c r="WUB29" s="751"/>
      <c r="WUC29" s="752"/>
      <c r="WUD29" s="751"/>
      <c r="WUE29" s="751"/>
      <c r="WUF29" s="752"/>
      <c r="WUG29" s="752"/>
      <c r="WUH29" s="753"/>
      <c r="WUI29" s="753"/>
      <c r="WUJ29" s="753"/>
      <c r="WUK29" s="753"/>
      <c r="WUL29" s="753"/>
      <c r="WUM29" s="753"/>
      <c r="WUN29" s="753"/>
      <c r="WUO29" s="753"/>
      <c r="WUP29" s="753"/>
      <c r="WUQ29" s="750"/>
      <c r="WUR29" s="751"/>
      <c r="WUS29" s="752"/>
      <c r="WUT29" s="751"/>
      <c r="WUU29" s="751"/>
      <c r="WUV29" s="752"/>
      <c r="WUW29" s="752"/>
      <c r="WUX29" s="753"/>
      <c r="WUY29" s="753"/>
      <c r="WUZ29" s="753"/>
      <c r="WVA29" s="753"/>
      <c r="WVB29" s="753"/>
      <c r="WVC29" s="753"/>
      <c r="WVD29" s="753"/>
      <c r="WVE29" s="753"/>
      <c r="WVF29" s="753"/>
      <c r="WVG29" s="750"/>
      <c r="WVH29" s="751"/>
      <c r="WVI29" s="752"/>
      <c r="WVJ29" s="751"/>
      <c r="WVK29" s="751"/>
      <c r="WVL29" s="752"/>
      <c r="WVM29" s="752"/>
      <c r="WVN29" s="753"/>
      <c r="WVO29" s="753"/>
      <c r="WVP29" s="753"/>
      <c r="WVQ29" s="753"/>
      <c r="WVR29" s="753"/>
      <c r="WVS29" s="753"/>
      <c r="WVT29" s="753"/>
      <c r="WVU29" s="753"/>
      <c r="WVV29" s="753"/>
      <c r="WVW29" s="750"/>
      <c r="WVX29" s="751"/>
      <c r="WVY29" s="752"/>
      <c r="WVZ29" s="751"/>
      <c r="WWA29" s="751"/>
      <c r="WWB29" s="752"/>
      <c r="WWC29" s="752"/>
      <c r="WWD29" s="753"/>
      <c r="WWE29" s="753"/>
      <c r="WWF29" s="753"/>
      <c r="WWG29" s="753"/>
      <c r="WWH29" s="753"/>
      <c r="WWI29" s="753"/>
      <c r="WWJ29" s="753"/>
      <c r="WWK29" s="753"/>
      <c r="WWL29" s="753"/>
      <c r="WWM29" s="750"/>
      <c r="WWN29" s="751"/>
      <c r="WWO29" s="752"/>
      <c r="WWP29" s="751"/>
      <c r="WWQ29" s="751"/>
      <c r="WWR29" s="752"/>
      <c r="WWS29" s="752"/>
      <c r="WWT29" s="753"/>
      <c r="WWU29" s="753"/>
      <c r="WWV29" s="753"/>
      <c r="WWW29" s="753"/>
      <c r="WWX29" s="753"/>
      <c r="WWY29" s="753"/>
      <c r="WWZ29" s="753"/>
      <c r="WXA29" s="753"/>
      <c r="WXB29" s="753"/>
      <c r="WXC29" s="750"/>
      <c r="WXD29" s="751"/>
      <c r="WXE29" s="752"/>
      <c r="WXF29" s="751"/>
      <c r="WXG29" s="751"/>
      <c r="WXH29" s="752"/>
      <c r="WXI29" s="752"/>
      <c r="WXJ29" s="753"/>
      <c r="WXK29" s="753"/>
      <c r="WXL29" s="753"/>
      <c r="WXM29" s="753"/>
      <c r="WXN29" s="753"/>
      <c r="WXO29" s="753"/>
      <c r="WXP29" s="753"/>
      <c r="WXQ29" s="753"/>
      <c r="WXR29" s="753"/>
      <c r="WXS29" s="750"/>
      <c r="WXT29" s="751"/>
      <c r="WXU29" s="752"/>
      <c r="WXV29" s="751"/>
      <c r="WXW29" s="751"/>
      <c r="WXX29" s="752"/>
      <c r="WXY29" s="752"/>
      <c r="WXZ29" s="753"/>
      <c r="WYA29" s="753"/>
      <c r="WYB29" s="753"/>
      <c r="WYC29" s="753"/>
      <c r="WYD29" s="753"/>
      <c r="WYE29" s="753"/>
      <c r="WYF29" s="753"/>
      <c r="WYG29" s="753"/>
      <c r="WYH29" s="753"/>
      <c r="WYI29" s="750"/>
      <c r="WYJ29" s="751"/>
      <c r="WYK29" s="752"/>
      <c r="WYL29" s="751"/>
      <c r="WYM29" s="751"/>
      <c r="WYN29" s="752"/>
      <c r="WYO29" s="752"/>
      <c r="WYP29" s="753"/>
      <c r="WYQ29" s="753"/>
      <c r="WYR29" s="753"/>
      <c r="WYS29" s="753"/>
      <c r="WYT29" s="753"/>
      <c r="WYU29" s="753"/>
      <c r="WYV29" s="753"/>
      <c r="WYW29" s="753"/>
      <c r="WYX29" s="753"/>
      <c r="WYY29" s="750"/>
      <c r="WYZ29" s="751"/>
      <c r="WZA29" s="752"/>
      <c r="WZB29" s="751"/>
      <c r="WZC29" s="751"/>
      <c r="WZD29" s="752"/>
      <c r="WZE29" s="752"/>
      <c r="WZF29" s="753"/>
      <c r="WZG29" s="753"/>
      <c r="WZH29" s="753"/>
      <c r="WZI29" s="753"/>
      <c r="WZJ29" s="753"/>
      <c r="WZK29" s="753"/>
      <c r="WZL29" s="753"/>
      <c r="WZM29" s="753"/>
      <c r="WZN29" s="753"/>
      <c r="WZO29" s="750"/>
      <c r="WZP29" s="751"/>
      <c r="WZQ29" s="752"/>
      <c r="WZR29" s="751"/>
      <c r="WZS29" s="751"/>
      <c r="WZT29" s="752"/>
      <c r="WZU29" s="752"/>
      <c r="WZV29" s="753"/>
      <c r="WZW29" s="753"/>
      <c r="WZX29" s="753"/>
      <c r="WZY29" s="753"/>
      <c r="WZZ29" s="753"/>
      <c r="XAA29" s="753"/>
      <c r="XAB29" s="753"/>
      <c r="XAC29" s="753"/>
      <c r="XAD29" s="753"/>
      <c r="XAE29" s="750"/>
      <c r="XAF29" s="751"/>
      <c r="XAG29" s="752"/>
      <c r="XAH29" s="751"/>
      <c r="XAI29" s="751"/>
      <c r="XAJ29" s="752"/>
      <c r="XAK29" s="752"/>
      <c r="XAL29" s="753"/>
      <c r="XAM29" s="753"/>
      <c r="XAN29" s="753"/>
      <c r="XAO29" s="753"/>
      <c r="XAP29" s="753"/>
      <c r="XAQ29" s="753"/>
      <c r="XAR29" s="753"/>
      <c r="XAS29" s="753"/>
      <c r="XAT29" s="753"/>
      <c r="XAU29" s="750"/>
      <c r="XAV29" s="751"/>
      <c r="XAW29" s="752"/>
      <c r="XAX29" s="751"/>
      <c r="XAY29" s="751"/>
      <c r="XAZ29" s="752"/>
      <c r="XBA29" s="752"/>
      <c r="XBB29" s="753"/>
      <c r="XBC29" s="753"/>
      <c r="XBD29" s="753"/>
      <c r="XBE29" s="753"/>
      <c r="XBF29" s="753"/>
      <c r="XBG29" s="753"/>
      <c r="XBH29" s="753"/>
      <c r="XBI29" s="753"/>
      <c r="XBJ29" s="753"/>
      <c r="XBK29" s="750"/>
      <c r="XBL29" s="751"/>
      <c r="XBM29" s="752"/>
      <c r="XBN29" s="751"/>
      <c r="XBO29" s="751"/>
      <c r="XBP29" s="752"/>
      <c r="XBQ29" s="752"/>
      <c r="XBR29" s="753"/>
      <c r="XBS29" s="753"/>
      <c r="XBT29" s="753"/>
      <c r="XBU29" s="753"/>
      <c r="XBV29" s="753"/>
      <c r="XBW29" s="753"/>
      <c r="XBX29" s="753"/>
      <c r="XBY29" s="753"/>
      <c r="XBZ29" s="753"/>
      <c r="XCA29" s="750"/>
      <c r="XCB29" s="751"/>
      <c r="XCC29" s="752"/>
      <c r="XCD29" s="751"/>
      <c r="XCE29" s="751"/>
      <c r="XCF29" s="752"/>
      <c r="XCG29" s="752"/>
      <c r="XCH29" s="753"/>
      <c r="XCI29" s="753"/>
      <c r="XCJ29" s="753"/>
      <c r="XCK29" s="753"/>
      <c r="XCL29" s="753"/>
      <c r="XCM29" s="753"/>
      <c r="XCN29" s="753"/>
      <c r="XCO29" s="753"/>
      <c r="XCP29" s="753"/>
      <c r="XCQ29" s="750"/>
      <c r="XCR29" s="751"/>
      <c r="XCS29" s="752"/>
      <c r="XCT29" s="751"/>
      <c r="XCU29" s="751"/>
      <c r="XCV29" s="752"/>
      <c r="XCW29" s="752"/>
      <c r="XCX29" s="753"/>
      <c r="XCY29" s="753"/>
      <c r="XCZ29" s="753"/>
      <c r="XDA29" s="753"/>
      <c r="XDB29" s="753"/>
      <c r="XDC29" s="753"/>
      <c r="XDD29" s="753"/>
      <c r="XDE29" s="753"/>
      <c r="XDF29" s="753"/>
      <c r="XDG29" s="750"/>
      <c r="XDH29" s="751"/>
      <c r="XDI29" s="752"/>
      <c r="XDJ29" s="751"/>
      <c r="XDK29" s="751"/>
      <c r="XDL29" s="752"/>
      <c r="XDM29" s="752"/>
      <c r="XDN29" s="753"/>
      <c r="XDO29" s="753"/>
      <c r="XDP29" s="753"/>
      <c r="XDQ29" s="753"/>
      <c r="XDR29" s="753"/>
      <c r="XDS29" s="753"/>
      <c r="XDT29" s="753"/>
      <c r="XDU29" s="753"/>
      <c r="XDV29" s="753"/>
      <c r="XDW29" s="750"/>
      <c r="XDX29" s="751"/>
      <c r="XDY29" s="752"/>
      <c r="XDZ29" s="751"/>
      <c r="XEA29" s="751"/>
      <c r="XEB29" s="752"/>
      <c r="XEC29" s="752"/>
      <c r="XED29" s="753"/>
      <c r="XEE29" s="753"/>
      <c r="XEF29" s="753"/>
      <c r="XEG29" s="753"/>
      <c r="XEH29" s="753"/>
      <c r="XEI29" s="753"/>
      <c r="XEJ29" s="753"/>
      <c r="XEK29" s="753"/>
      <c r="XEL29" s="753"/>
      <c r="XEM29" s="750"/>
      <c r="XEN29" s="751"/>
      <c r="XEO29" s="752"/>
      <c r="XEP29" s="751"/>
      <c r="XEQ29" s="751"/>
      <c r="XER29" s="752"/>
      <c r="XES29" s="752"/>
      <c r="XET29" s="753"/>
      <c r="XEU29" s="753"/>
      <c r="XEV29" s="753"/>
      <c r="XEW29" s="753"/>
      <c r="XEX29" s="753"/>
      <c r="XEY29" s="753"/>
      <c r="XEZ29" s="753"/>
      <c r="XFA29" s="753"/>
      <c r="XFB29" s="753"/>
      <c r="XFC29" s="750"/>
      <c r="XFD29" s="751"/>
    </row>
    <row r="30" spans="1:16384" customFormat="1" x14ac:dyDescent="0.25">
      <c r="A30" s="648">
        <v>45637</v>
      </c>
      <c r="B30" s="649">
        <v>0.64583333333333337</v>
      </c>
      <c r="C30" s="649">
        <v>0.68055555555555558</v>
      </c>
      <c r="D30" s="650" t="s">
        <v>17</v>
      </c>
      <c r="E30" s="651" t="s">
        <v>16</v>
      </c>
      <c r="F30" s="652">
        <v>20000</v>
      </c>
      <c r="G30" s="652">
        <v>20000</v>
      </c>
      <c r="H30" s="652">
        <v>0</v>
      </c>
      <c r="I30" s="652">
        <v>20000</v>
      </c>
      <c r="J30" s="652">
        <v>0</v>
      </c>
      <c r="K30" s="652">
        <v>0</v>
      </c>
      <c r="L30" s="652">
        <v>0</v>
      </c>
      <c r="M30" s="652" t="s">
        <v>502</v>
      </c>
      <c r="N30" s="652">
        <v>0</v>
      </c>
    </row>
    <row r="31" spans="1:16384" customFormat="1" x14ac:dyDescent="0.25">
      <c r="A31" s="643">
        <v>45638</v>
      </c>
      <c r="B31" s="644">
        <v>0.4375</v>
      </c>
      <c r="C31" s="644">
        <v>0.47708333333333336</v>
      </c>
      <c r="D31" s="645" t="s">
        <v>18</v>
      </c>
      <c r="E31" s="646" t="s">
        <v>13</v>
      </c>
      <c r="F31" s="647">
        <v>0</v>
      </c>
      <c r="G31" s="647">
        <v>2375</v>
      </c>
      <c r="H31" s="647">
        <v>2375</v>
      </c>
      <c r="I31" s="647">
        <v>2375</v>
      </c>
      <c r="J31" s="647">
        <v>2375</v>
      </c>
      <c r="K31" s="647">
        <v>2375</v>
      </c>
      <c r="L31" s="647">
        <v>2375</v>
      </c>
      <c r="M31" s="647" t="s">
        <v>502</v>
      </c>
      <c r="N31" s="647">
        <v>2375</v>
      </c>
    </row>
    <row r="32" spans="1:16384" customFormat="1" x14ac:dyDescent="0.25">
      <c r="A32" s="648">
        <v>45638</v>
      </c>
      <c r="B32" s="649">
        <v>0.47916666666666669</v>
      </c>
      <c r="C32" s="649">
        <v>0.49861111111111112</v>
      </c>
      <c r="D32" s="650" t="s">
        <v>18</v>
      </c>
      <c r="E32" s="651" t="s">
        <v>13</v>
      </c>
      <c r="F32" s="652">
        <v>0</v>
      </c>
      <c r="G32" s="652">
        <v>1167</v>
      </c>
      <c r="H32" s="652">
        <v>1167</v>
      </c>
      <c r="I32" s="652">
        <v>1167</v>
      </c>
      <c r="J32" s="652">
        <v>1167</v>
      </c>
      <c r="K32" s="652">
        <v>1167</v>
      </c>
      <c r="L32" s="652">
        <v>1167</v>
      </c>
      <c r="M32" s="652" t="s">
        <v>502</v>
      </c>
      <c r="N32" s="652">
        <v>1167</v>
      </c>
    </row>
    <row r="33" spans="1:16" x14ac:dyDescent="0.25">
      <c r="F33" s="666">
        <f>+K26</f>
        <v>10000</v>
      </c>
      <c r="G33" s="666">
        <f>+K25</f>
        <v>52562</v>
      </c>
      <c r="K33" s="666">
        <f>+K27</f>
        <v>14721</v>
      </c>
      <c r="O33" s="709"/>
    </row>
    <row r="34" spans="1:16" x14ac:dyDescent="0.25">
      <c r="A34" t="s">
        <v>685</v>
      </c>
      <c r="E34" s="742" t="s">
        <v>686</v>
      </c>
      <c r="F34" s="748">
        <f>SUM(F30:F33)</f>
        <v>30000</v>
      </c>
      <c r="G34" s="748">
        <f t="shared" ref="G34:N34" si="4">SUM(G30:G33)</f>
        <v>76104</v>
      </c>
      <c r="H34" s="754">
        <f t="shared" si="4"/>
        <v>3542</v>
      </c>
      <c r="I34" s="748">
        <f t="shared" si="4"/>
        <v>23542</v>
      </c>
      <c r="J34" s="748">
        <f t="shared" si="4"/>
        <v>3542</v>
      </c>
      <c r="K34" s="748">
        <f t="shared" si="4"/>
        <v>18263</v>
      </c>
      <c r="L34" s="748">
        <f t="shared" si="4"/>
        <v>3542</v>
      </c>
      <c r="M34" s="754">
        <f t="shared" si="4"/>
        <v>0</v>
      </c>
      <c r="N34" s="748">
        <f t="shared" si="4"/>
        <v>3542</v>
      </c>
      <c r="O34" s="740">
        <f>SUM(F34:N34)</f>
        <v>162077</v>
      </c>
      <c r="P34" s="666">
        <f>+O34-H34</f>
        <v>158535</v>
      </c>
    </row>
    <row r="35" spans="1:16" x14ac:dyDescent="0.25">
      <c r="O35" s="755" t="s">
        <v>687</v>
      </c>
    </row>
  </sheetData>
  <dataValidations disablePrompts="1" count="3">
    <dataValidation type="list" allowBlank="1" showInputMessage="1" showErrorMessage="1" sqref="B25:B27" xr:uid="{98948330-8630-4067-AA26-DEAD6844D471}">
      <formula1>$N$2:$N$11</formula1>
    </dataValidation>
    <dataValidation type="list" allowBlank="1" showInputMessage="1" showErrorMessage="1" sqref="C25:C27" xr:uid="{88A89B00-F846-4CE6-9567-02A4673DA525}">
      <formula1>$D$2:$D$9</formula1>
    </dataValidation>
    <dataValidation type="list" allowBlank="1" showInputMessage="1" showErrorMessage="1" sqref="D30:D32" xr:uid="{810E472A-D928-4114-AA25-4630D723FEF6}">
      <formula1>$U$3:$U$10</formula1>
    </dataValidation>
  </dataValidations>
  <pageMargins left="0.25" right="0.25" top="0.75" bottom="0.75" header="0.3" footer="0.3"/>
  <pageSetup paperSize="139" scale="92" orientation="landscape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92D050"/>
    <pageSetUpPr fitToPage="1"/>
  </sheetPr>
  <dimension ref="A1:Z54"/>
  <sheetViews>
    <sheetView showGridLines="0" zoomScale="90" zoomScaleNormal="90" workbookViewId="0">
      <pane xSplit="1" ySplit="2" topLeftCell="B39" activePane="bottomRight" state="frozen"/>
      <selection activeCell="L160" sqref="L160:M162"/>
      <selection pane="topRight" activeCell="L160" sqref="L160:M162"/>
      <selection pane="bottomLeft" activeCell="L160" sqref="L160:M162"/>
      <selection pane="bottomRight" activeCell="G53" sqref="G53"/>
    </sheetView>
  </sheetViews>
  <sheetFormatPr baseColWidth="10" defaultColWidth="11.140625" defaultRowHeight="15" x14ac:dyDescent="0.25"/>
  <cols>
    <col min="1" max="1" width="9.140625" style="27" bestFit="1" customWidth="1"/>
    <col min="2" max="2" width="9" style="27" bestFit="1" customWidth="1"/>
    <col min="3" max="3" width="8.7109375" style="27" bestFit="1" customWidth="1"/>
    <col min="4" max="4" width="35.5703125" style="27" bestFit="1" customWidth="1"/>
    <col min="5" max="5" width="11.5703125" style="34" bestFit="1" customWidth="1"/>
    <col min="6" max="6" width="12.7109375" style="460" bestFit="1" customWidth="1"/>
    <col min="7" max="7" width="12.42578125" style="460" bestFit="1" customWidth="1"/>
    <col min="8" max="8" width="13.5703125" style="460" bestFit="1" customWidth="1"/>
    <col min="9" max="9" width="12.28515625" style="460" bestFit="1" customWidth="1"/>
    <col min="10" max="10" width="12.7109375" style="460" bestFit="1" customWidth="1"/>
    <col min="11" max="11" width="13" style="460" bestFit="1" customWidth="1"/>
    <col min="12" max="12" width="12.5703125" style="460" bestFit="1" customWidth="1"/>
    <col min="13" max="13" width="10.7109375" style="460" bestFit="1" customWidth="1"/>
    <col min="14" max="14" width="10.85546875" style="460" bestFit="1" customWidth="1"/>
    <col min="15" max="15" width="11.140625" style="460" bestFit="1" customWidth="1"/>
    <col min="16" max="16" width="49.28515625" style="27" bestFit="1" customWidth="1"/>
    <col min="17" max="17" width="37.5703125" style="27" customWidth="1"/>
    <col min="18" max="19" width="16.140625" style="27" customWidth="1"/>
    <col min="20" max="20" width="13.140625" style="27" customWidth="1"/>
    <col min="21" max="21" width="33.140625" style="27" bestFit="1" customWidth="1"/>
    <col min="22" max="22" width="11.5703125" style="27" bestFit="1" customWidth="1"/>
    <col min="23" max="23" width="6.28515625" style="27" bestFit="1" customWidth="1"/>
    <col min="24" max="24" width="33.140625" style="27" bestFit="1" customWidth="1"/>
    <col min="25" max="25" width="12.140625" style="27" bestFit="1" customWidth="1"/>
    <col min="26" max="26" width="8.85546875" style="27" bestFit="1" customWidth="1"/>
    <col min="27" max="16384" width="11.140625" style="27"/>
  </cols>
  <sheetData>
    <row r="1" spans="1:26" s="681" customFormat="1" x14ac:dyDescent="0.25">
      <c r="A1" s="1029" t="str">
        <f>+SUBTOTAL(103,Tabla1[FECHA])&amp;" REUNIONES REALIZADAS"</f>
        <v>51 REUNIONES REALIZADAS</v>
      </c>
      <c r="B1" s="1029"/>
      <c r="C1" s="1029"/>
      <c r="D1" s="1029"/>
      <c r="E1" s="45"/>
      <c r="F1" s="457">
        <f>SUBTOTAL(109,Tabla1[Patricio B.])</f>
        <v>329750</v>
      </c>
      <c r="G1" s="457">
        <f>SUBTOTAL(109,Tabla1[Richard T.])</f>
        <v>239833</v>
      </c>
      <c r="H1" s="457">
        <f>SUBTOTAL(109,Tabla1[Christian T.])</f>
        <v>207291</v>
      </c>
      <c r="I1" s="457">
        <f>SUBTOTAL(109,Tabla1[Alejandra B.])</f>
        <v>142082</v>
      </c>
      <c r="J1" s="457">
        <f>SUBTOTAL(109,Tabla1[Andrea D.])</f>
        <v>148041</v>
      </c>
      <c r="K1" s="457">
        <f>SUBTOTAL(109,Tabla1[Felipe S.])</f>
        <v>206166</v>
      </c>
      <c r="L1" s="457">
        <f>SUBTOTAL(109,Tabla1[Claudia V.])</f>
        <v>127624</v>
      </c>
      <c r="M1" s="457">
        <f>SUBTOTAL(109,Tabla1[Jorge Y.])</f>
        <v>0</v>
      </c>
      <c r="N1" s="457">
        <f>SUBTOTAL(109,Tabla1[Eugenia O.])</f>
        <v>106249</v>
      </c>
      <c r="O1" s="457">
        <f>SUBTOTAL(109,Tabla1[COSTO])</f>
        <v>1507036</v>
      </c>
      <c r="P1" s="680">
        <f>SUBTOTAL(103,Tabla1[MOTIVO])</f>
        <v>40</v>
      </c>
      <c r="Q1" s="680">
        <f>SUBTOTAL(103,Tabla1[ACTA])</f>
        <v>2</v>
      </c>
    </row>
    <row r="2" spans="1:26" s="29" customFormat="1" x14ac:dyDescent="0.25">
      <c r="A2" s="92" t="s">
        <v>0</v>
      </c>
      <c r="B2" s="93" t="s">
        <v>1</v>
      </c>
      <c r="C2" s="93" t="s">
        <v>2</v>
      </c>
      <c r="D2" s="92" t="s">
        <v>3</v>
      </c>
      <c r="E2" s="92" t="s">
        <v>4</v>
      </c>
      <c r="F2" s="461" t="s">
        <v>381</v>
      </c>
      <c r="G2" s="461" t="s">
        <v>382</v>
      </c>
      <c r="H2" s="461" t="s">
        <v>383</v>
      </c>
      <c r="I2" s="461" t="s">
        <v>561</v>
      </c>
      <c r="J2" s="461" t="s">
        <v>384</v>
      </c>
      <c r="K2" s="461" t="s">
        <v>450</v>
      </c>
      <c r="L2" s="461" t="s">
        <v>385</v>
      </c>
      <c r="M2" s="461" t="s">
        <v>386</v>
      </c>
      <c r="N2" s="461" t="s">
        <v>562</v>
      </c>
      <c r="O2" s="458" t="s">
        <v>5</v>
      </c>
      <c r="P2" s="93" t="s">
        <v>6</v>
      </c>
      <c r="Q2" s="92" t="s">
        <v>7</v>
      </c>
      <c r="U2" s="29" t="s">
        <v>3</v>
      </c>
      <c r="V2" s="34" t="s">
        <v>4</v>
      </c>
      <c r="W2" s="27"/>
      <c r="X2" s="29" t="str">
        <f>+PLAN!B12</f>
        <v>REUNION DE DIRECTORES</v>
      </c>
      <c r="Y2" s="34" t="s">
        <v>197</v>
      </c>
      <c r="Z2" s="29" t="s">
        <v>442</v>
      </c>
    </row>
    <row r="3" spans="1:26" x14ac:dyDescent="0.25">
      <c r="A3" s="927">
        <v>45384</v>
      </c>
      <c r="B3" s="302"/>
      <c r="C3" s="302"/>
      <c r="D3" s="29" t="s">
        <v>20</v>
      </c>
      <c r="E3" s="48" t="str">
        <f t="shared" ref="E3:E16" si="0">+IF(D3="","-",+LOOKUP(D3,$U$3:$U$10,$V$3:$V$10))</f>
        <v>PRESENCIAL</v>
      </c>
      <c r="F3" s="462">
        <f>+IF($D3="","-",+IF($E3=+$V$3,+ROUND((($C3-$B3)*+$V$13/$V$12),0),20000))*3</f>
        <v>60000</v>
      </c>
      <c r="G3" s="462">
        <v>0</v>
      </c>
      <c r="H3" s="462">
        <v>0</v>
      </c>
      <c r="I3" s="642">
        <v>0</v>
      </c>
      <c r="J3" s="462">
        <v>0</v>
      </c>
      <c r="K3" s="462">
        <v>0</v>
      </c>
      <c r="L3" s="462">
        <v>0</v>
      </c>
      <c r="M3" s="462" t="s">
        <v>502</v>
      </c>
      <c r="N3" s="462">
        <v>0</v>
      </c>
      <c r="O3" s="459">
        <f t="shared" ref="O3:O16" si="1">SUM(F3:N3)</f>
        <v>60000</v>
      </c>
      <c r="Q3" s="417"/>
      <c r="U3" s="49" t="s">
        <v>14</v>
      </c>
      <c r="V3" s="49" t="s">
        <v>13</v>
      </c>
      <c r="W3" s="34"/>
      <c r="X3" s="49" t="s">
        <v>14</v>
      </c>
      <c r="Y3" s="76">
        <f t="shared" ref="Y3:Y10" si="2">+SUMIF(D:D,U3,O:O)</f>
        <v>0</v>
      </c>
      <c r="Z3" s="34">
        <f>+COUNTIF(Tabla1[CITACION],Tabla4[[#This Row],[CITACION]])</f>
        <v>3</v>
      </c>
    </row>
    <row r="4" spans="1:26" x14ac:dyDescent="0.25">
      <c r="A4" s="927">
        <v>45399</v>
      </c>
      <c r="B4" s="302">
        <v>0.64583333333333337</v>
      </c>
      <c r="C4" s="302">
        <v>0.67291666666666661</v>
      </c>
      <c r="D4" s="29" t="s">
        <v>18</v>
      </c>
      <c r="E4" s="48" t="str">
        <f t="shared" si="0"/>
        <v>ZOOM</v>
      </c>
      <c r="F4" s="462">
        <f t="shared" ref="F4:H6" si="3">+IF($D4="","-",+IF($E4=+$V$3,+ROUND((($C4-$B4)*+$V$13/$V$12),0),20000))</f>
        <v>1625</v>
      </c>
      <c r="G4" s="462">
        <f t="shared" si="3"/>
        <v>1625</v>
      </c>
      <c r="H4" s="462">
        <f t="shared" si="3"/>
        <v>1625</v>
      </c>
      <c r="I4" s="642">
        <v>0</v>
      </c>
      <c r="J4" s="462">
        <v>0</v>
      </c>
      <c r="K4" s="462">
        <v>0</v>
      </c>
      <c r="L4" s="462">
        <v>0</v>
      </c>
      <c r="M4" s="462" t="s">
        <v>502</v>
      </c>
      <c r="N4" s="462">
        <v>0</v>
      </c>
      <c r="O4" s="459">
        <f t="shared" si="1"/>
        <v>4875</v>
      </c>
      <c r="P4" s="27" t="s">
        <v>498</v>
      </c>
      <c r="Q4" s="417" t="s">
        <v>499</v>
      </c>
      <c r="U4" s="49" t="s">
        <v>20</v>
      </c>
      <c r="V4" s="49" t="s">
        <v>16</v>
      </c>
      <c r="W4" s="34"/>
      <c r="X4" s="49" t="s">
        <v>20</v>
      </c>
      <c r="Y4" s="303">
        <f t="shared" si="2"/>
        <v>120000</v>
      </c>
      <c r="Z4" s="34">
        <f>+COUNTIF(Tabla1[CITACION],Tabla4[[#This Row],[CITACION]])</f>
        <v>2</v>
      </c>
    </row>
    <row r="5" spans="1:26" x14ac:dyDescent="0.25">
      <c r="A5" s="927">
        <v>45399</v>
      </c>
      <c r="B5" s="302">
        <v>0.67638888888888893</v>
      </c>
      <c r="C5" s="302">
        <v>0.7055555555555556</v>
      </c>
      <c r="D5" s="29" t="s">
        <v>18</v>
      </c>
      <c r="E5" s="48" t="str">
        <f t="shared" si="0"/>
        <v>ZOOM</v>
      </c>
      <c r="F5" s="462">
        <f t="shared" si="3"/>
        <v>1750</v>
      </c>
      <c r="G5" s="462">
        <f t="shared" si="3"/>
        <v>1750</v>
      </c>
      <c r="H5" s="462">
        <f t="shared" si="3"/>
        <v>1750</v>
      </c>
      <c r="I5" s="642">
        <v>0</v>
      </c>
      <c r="J5" s="462">
        <v>0</v>
      </c>
      <c r="K5" s="462">
        <v>0</v>
      </c>
      <c r="L5" s="462">
        <v>0</v>
      </c>
      <c r="M5" s="462" t="s">
        <v>502</v>
      </c>
      <c r="N5" s="462">
        <v>0</v>
      </c>
      <c r="O5" s="459">
        <f t="shared" si="1"/>
        <v>5250</v>
      </c>
      <c r="P5" s="27" t="s">
        <v>500</v>
      </c>
      <c r="Q5" s="417" t="s">
        <v>501</v>
      </c>
      <c r="U5" s="42" t="s">
        <v>17</v>
      </c>
      <c r="V5" s="42" t="s">
        <v>16</v>
      </c>
      <c r="W5" s="34"/>
      <c r="X5" s="42" t="s">
        <v>17</v>
      </c>
      <c r="Y5" s="76">
        <f t="shared" si="2"/>
        <v>260000</v>
      </c>
      <c r="Z5" s="34">
        <f>+COUNTIF(Tabla1[CITACION],Tabla4[[#This Row],[CITACION]])</f>
        <v>6</v>
      </c>
    </row>
    <row r="6" spans="1:26" x14ac:dyDescent="0.25">
      <c r="A6" s="927">
        <v>45401</v>
      </c>
      <c r="B6" s="302">
        <v>0.41666666666666669</v>
      </c>
      <c r="C6" s="302">
        <v>0.47916666666666669</v>
      </c>
      <c r="D6" s="29" t="s">
        <v>15</v>
      </c>
      <c r="E6" s="48" t="str">
        <f t="shared" si="0"/>
        <v>ZOOM</v>
      </c>
      <c r="F6" s="462">
        <f t="shared" si="3"/>
        <v>3750</v>
      </c>
      <c r="G6" s="462">
        <f t="shared" si="3"/>
        <v>3750</v>
      </c>
      <c r="H6" s="462">
        <f t="shared" si="3"/>
        <v>3750</v>
      </c>
      <c r="I6" s="642">
        <f>+IF($D6="","-",+IF($E6=+$V$3,+ROUND((($C6-$B6)*+$V$13/$V$12),0),20000))</f>
        <v>3750</v>
      </c>
      <c r="J6" s="462">
        <f>+IF($D6="","-",+IF($E6=+$V$3,+ROUND((($C6-$B6)*+$V$13/$V$12),0),20000))</f>
        <v>3750</v>
      </c>
      <c r="K6" s="462">
        <f>+IF($D6="","-",+IF($E6=+$V$3,+ROUND((($C6-$B6)*+$V$13/$V$12),0),20000))</f>
        <v>3750</v>
      </c>
      <c r="L6" s="462">
        <f>+IF($D6="","-",+IF($E6=+$V$3,+ROUND((($C6-$B6)*+$V$13/$V$12),0),20000))</f>
        <v>3750</v>
      </c>
      <c r="M6" s="462" t="s">
        <v>502</v>
      </c>
      <c r="N6" s="462">
        <v>0</v>
      </c>
      <c r="O6" s="459">
        <f t="shared" si="1"/>
        <v>26250</v>
      </c>
      <c r="P6" s="27" t="s">
        <v>503</v>
      </c>
      <c r="Q6" s="417"/>
      <c r="U6" s="42" t="s">
        <v>15</v>
      </c>
      <c r="V6" s="42" t="s">
        <v>13</v>
      </c>
      <c r="W6" s="34"/>
      <c r="X6" s="42" t="s">
        <v>15</v>
      </c>
      <c r="Y6" s="76">
        <f t="shared" si="2"/>
        <v>603122</v>
      </c>
      <c r="Z6" s="34">
        <f>+COUNTIF(Tabla1[CITACION],Tabla4[[#This Row],[CITACION]])</f>
        <v>15</v>
      </c>
    </row>
    <row r="7" spans="1:26" x14ac:dyDescent="0.25">
      <c r="A7" s="927">
        <v>45406</v>
      </c>
      <c r="B7" s="302"/>
      <c r="C7" s="302"/>
      <c r="D7" s="29" t="s">
        <v>19</v>
      </c>
      <c r="E7" s="48" t="str">
        <f t="shared" si="0"/>
        <v>PRESENCIAL</v>
      </c>
      <c r="F7" s="462">
        <f>+IF($D7="","-",+IF($E7=+$V$3,+ROUND((($C7-$B7)*+$V$13/$V$12),0),20000))</f>
        <v>20000</v>
      </c>
      <c r="G7" s="462">
        <v>0</v>
      </c>
      <c r="H7" s="462">
        <v>0</v>
      </c>
      <c r="I7" s="642">
        <v>0</v>
      </c>
      <c r="J7" s="462">
        <v>0</v>
      </c>
      <c r="K7" s="462">
        <v>0</v>
      </c>
      <c r="L7" s="462">
        <v>0</v>
      </c>
      <c r="M7" s="462" t="s">
        <v>502</v>
      </c>
      <c r="N7" s="462">
        <v>0</v>
      </c>
      <c r="O7" s="459">
        <f t="shared" si="1"/>
        <v>20000</v>
      </c>
      <c r="P7" s="27" t="s">
        <v>504</v>
      </c>
      <c r="Q7" s="417"/>
      <c r="U7" s="42" t="s">
        <v>19</v>
      </c>
      <c r="V7" s="42" t="s">
        <v>16</v>
      </c>
      <c r="W7" s="34"/>
      <c r="X7" s="42" t="s">
        <v>19</v>
      </c>
      <c r="Y7" s="76">
        <f t="shared" si="2"/>
        <v>40000</v>
      </c>
      <c r="Z7" s="34">
        <f>+COUNTIF(Tabla1[CITACION],Tabla4[[#This Row],[CITACION]])</f>
        <v>2</v>
      </c>
    </row>
    <row r="8" spans="1:26" x14ac:dyDescent="0.25">
      <c r="A8" s="927">
        <v>45415</v>
      </c>
      <c r="B8" s="302">
        <v>0.41666666666666669</v>
      </c>
      <c r="C8" s="302">
        <v>0.51736111111111105</v>
      </c>
      <c r="D8" s="29" t="s">
        <v>15</v>
      </c>
      <c r="E8" s="48" t="str">
        <f t="shared" si="0"/>
        <v>ZOOM</v>
      </c>
      <c r="F8" s="462">
        <f>+IF($D8="","-",+IF($E8=+$V$3,+ROUND((($C8-$B8)*+$V$13/$V$12),0),20000))</f>
        <v>6042</v>
      </c>
      <c r="G8" s="462">
        <f t="shared" ref="G8:H11" si="4">+IF($D8="","-",+IF($E8=+$V$3,+ROUND((($C8-$B8)*+$V$13/$V$12),0),20000))</f>
        <v>6042</v>
      </c>
      <c r="H8" s="462">
        <f t="shared" si="4"/>
        <v>6042</v>
      </c>
      <c r="I8" s="642">
        <v>0</v>
      </c>
      <c r="J8" s="462">
        <f>+IF($D8="","-",+IF($E8=+$V$3,+ROUND((($C8-$B8)*+$V$13/$V$12),0),20000))</f>
        <v>6042</v>
      </c>
      <c r="K8" s="462">
        <f>+IF($D8="","-",+IF($E8=+$V$3,+ROUND((($C8-$B8)*+$V$13/$V$12),0),20000))</f>
        <v>6042</v>
      </c>
      <c r="L8" s="462">
        <f>+IF($D8="","-",+IF($E8=+$V$3,+ROUND((($C8-$B8)*+$V$13/$V$12),0),20000))</f>
        <v>6042</v>
      </c>
      <c r="M8" s="462" t="s">
        <v>502</v>
      </c>
      <c r="N8" s="462">
        <v>0</v>
      </c>
      <c r="O8" s="459">
        <f t="shared" si="1"/>
        <v>36252</v>
      </c>
      <c r="P8" s="27" t="s">
        <v>505</v>
      </c>
      <c r="Q8" s="417"/>
      <c r="U8" s="42" t="s">
        <v>18</v>
      </c>
      <c r="V8" s="42" t="s">
        <v>13</v>
      </c>
      <c r="W8" s="34"/>
      <c r="X8" s="42" t="s">
        <v>18</v>
      </c>
      <c r="Y8" s="76">
        <f t="shared" si="2"/>
        <v>483914</v>
      </c>
      <c r="Z8" s="34">
        <f>+COUNTIF(Tabla1[CITACION],Tabla4[[#This Row],[CITACION]])</f>
        <v>22</v>
      </c>
    </row>
    <row r="9" spans="1:26" x14ac:dyDescent="0.25">
      <c r="A9" s="927">
        <v>45418</v>
      </c>
      <c r="B9" s="302"/>
      <c r="C9" s="302"/>
      <c r="D9" s="29" t="s">
        <v>17</v>
      </c>
      <c r="E9" s="48" t="str">
        <f t="shared" si="0"/>
        <v>PRESENCIAL</v>
      </c>
      <c r="F9" s="462">
        <f>+IF($D9="","-",+IF($E9=+$V$3,+ROUND((($C9-$B9)*+$V$13/$V$12),0),20000))</f>
        <v>20000</v>
      </c>
      <c r="G9" s="462">
        <f t="shared" si="4"/>
        <v>20000</v>
      </c>
      <c r="H9" s="462">
        <f t="shared" si="4"/>
        <v>20000</v>
      </c>
      <c r="I9" s="642">
        <v>0</v>
      </c>
      <c r="J9" s="462">
        <v>0</v>
      </c>
      <c r="K9" s="462">
        <v>0</v>
      </c>
      <c r="L9" s="462">
        <v>0</v>
      </c>
      <c r="M9" s="462" t="s">
        <v>502</v>
      </c>
      <c r="N9" s="462">
        <v>0</v>
      </c>
      <c r="O9" s="459">
        <f t="shared" si="1"/>
        <v>60000</v>
      </c>
      <c r="Q9" s="417"/>
      <c r="U9" s="42" t="s">
        <v>21</v>
      </c>
      <c r="V9" s="42" t="s">
        <v>13</v>
      </c>
      <c r="W9" s="34"/>
      <c r="X9" s="42" t="s">
        <v>21</v>
      </c>
      <c r="Y9" s="76">
        <f t="shared" si="2"/>
        <v>0</v>
      </c>
      <c r="Z9" s="34">
        <f>+COUNTIF(Tabla1[CITACION],Tabla4[[#This Row],[CITACION]])</f>
        <v>0</v>
      </c>
    </row>
    <row r="10" spans="1:26" x14ac:dyDescent="0.25">
      <c r="A10" s="927">
        <v>45419</v>
      </c>
      <c r="B10" s="302"/>
      <c r="C10" s="302"/>
      <c r="D10" s="29"/>
      <c r="E10" s="48" t="str">
        <f t="shared" si="0"/>
        <v>-</v>
      </c>
      <c r="F10" s="462" t="str">
        <f>+IF($D10="","-",+IF($E10=+$V$3,+ROUND((($C10-$B10)*+$V$13/$V$12),0),20000))</f>
        <v>-</v>
      </c>
      <c r="G10" s="462" t="str">
        <f t="shared" si="4"/>
        <v>-</v>
      </c>
      <c r="H10" s="462" t="str">
        <f t="shared" si="4"/>
        <v>-</v>
      </c>
      <c r="I10" s="642" t="str">
        <f t="shared" ref="I10:L11" si="5">+IF($D10="","-",+IF($E10=+$V$3,+ROUND((($C10-$B10)*+$V$13/$V$12),0),20000))</f>
        <v>-</v>
      </c>
      <c r="J10" s="462" t="str">
        <f t="shared" si="5"/>
        <v>-</v>
      </c>
      <c r="K10" s="462" t="str">
        <f t="shared" si="5"/>
        <v>-</v>
      </c>
      <c r="L10" s="462" t="str">
        <f t="shared" si="5"/>
        <v>-</v>
      </c>
      <c r="M10" s="462" t="s">
        <v>502</v>
      </c>
      <c r="N10" s="462">
        <v>0</v>
      </c>
      <c r="O10" s="459">
        <f t="shared" si="1"/>
        <v>0</v>
      </c>
      <c r="Q10" s="417"/>
      <c r="U10" s="42" t="s">
        <v>22</v>
      </c>
      <c r="V10" s="42" t="s">
        <v>13</v>
      </c>
      <c r="W10" s="34"/>
      <c r="X10" s="42" t="s">
        <v>22</v>
      </c>
      <c r="Y10" s="76">
        <f t="shared" si="2"/>
        <v>0</v>
      </c>
      <c r="Z10" s="34">
        <f>+COUNTIF(Tabla1[CITACION],Tabla4[[#This Row],[CITACION]])</f>
        <v>0</v>
      </c>
    </row>
    <row r="11" spans="1:26" x14ac:dyDescent="0.25">
      <c r="A11" s="927">
        <v>45420</v>
      </c>
      <c r="B11" s="302">
        <v>0.4375</v>
      </c>
      <c r="C11" s="302">
        <v>0.52083333333333337</v>
      </c>
      <c r="D11" s="29" t="s">
        <v>15</v>
      </c>
      <c r="E11" s="48" t="str">
        <f t="shared" si="0"/>
        <v>ZOOM</v>
      </c>
      <c r="F11" s="462">
        <f>+IF($D11="","-",+IF($E11=+$V$3,+ROUND((($C11-$B11)*+$V$13/$V$12),0),20000))</f>
        <v>5000</v>
      </c>
      <c r="G11" s="462">
        <f t="shared" si="4"/>
        <v>5000</v>
      </c>
      <c r="H11" s="462">
        <f t="shared" si="4"/>
        <v>5000</v>
      </c>
      <c r="I11" s="642">
        <f t="shared" si="5"/>
        <v>5000</v>
      </c>
      <c r="J11" s="462">
        <f t="shared" si="5"/>
        <v>5000</v>
      </c>
      <c r="K11" s="462">
        <f t="shared" si="5"/>
        <v>5000</v>
      </c>
      <c r="L11" s="462">
        <f t="shared" si="5"/>
        <v>5000</v>
      </c>
      <c r="M11" s="462" t="s">
        <v>502</v>
      </c>
      <c r="N11" s="462">
        <v>0</v>
      </c>
      <c r="O11" s="459">
        <f t="shared" si="1"/>
        <v>35000</v>
      </c>
      <c r="Q11" s="417"/>
      <c r="Y11" s="50">
        <f>SUM(Y4:Y10)</f>
        <v>1507036</v>
      </c>
      <c r="Z11" s="34">
        <f>SUM(Z3:Z10)</f>
        <v>50</v>
      </c>
    </row>
    <row r="12" spans="1:26" x14ac:dyDescent="0.25">
      <c r="A12" s="927">
        <v>45421</v>
      </c>
      <c r="B12" s="302">
        <v>0.4375</v>
      </c>
      <c r="C12" s="302">
        <v>0.47569444444444442</v>
      </c>
      <c r="D12" s="683" t="s">
        <v>14</v>
      </c>
      <c r="E12" s="48" t="str">
        <f t="shared" si="0"/>
        <v>ZOOM</v>
      </c>
      <c r="F12" s="462" t="s">
        <v>565</v>
      </c>
      <c r="G12" s="462" t="s">
        <v>565</v>
      </c>
      <c r="H12" s="462" t="s">
        <v>565</v>
      </c>
      <c r="I12" s="642" t="s">
        <v>566</v>
      </c>
      <c r="J12" s="462" t="s">
        <v>565</v>
      </c>
      <c r="K12" s="462" t="s">
        <v>565</v>
      </c>
      <c r="L12" s="462" t="s">
        <v>565</v>
      </c>
      <c r="M12" s="462" t="s">
        <v>502</v>
      </c>
      <c r="N12" s="462">
        <v>0</v>
      </c>
      <c r="O12" s="459">
        <f t="shared" si="1"/>
        <v>0</v>
      </c>
      <c r="P12" s="27" t="s">
        <v>552</v>
      </c>
      <c r="Q12" s="417"/>
      <c r="V12" s="51">
        <v>4.1666666666666664E-2</v>
      </c>
    </row>
    <row r="13" spans="1:26" x14ac:dyDescent="0.25">
      <c r="A13" s="927">
        <v>45425</v>
      </c>
      <c r="B13" s="302">
        <v>0.41666666666666669</v>
      </c>
      <c r="C13" s="302">
        <v>0.44166666666666665</v>
      </c>
      <c r="D13" s="29" t="s">
        <v>18</v>
      </c>
      <c r="E13" s="48" t="str">
        <f t="shared" si="0"/>
        <v>ZOOM</v>
      </c>
      <c r="F13" s="462">
        <f t="shared" ref="F13:H15" si="6">+IF($D13="","-",+IF($E13=+$V$3,+ROUND((($C13-$B13)*+$V$13/$V$12),0),20000))</f>
        <v>1500</v>
      </c>
      <c r="G13" s="462">
        <f t="shared" si="6"/>
        <v>1500</v>
      </c>
      <c r="H13" s="462">
        <f t="shared" si="6"/>
        <v>1500</v>
      </c>
      <c r="I13" s="642">
        <v>0</v>
      </c>
      <c r="J13" s="462">
        <v>0</v>
      </c>
      <c r="K13" s="462">
        <v>0</v>
      </c>
      <c r="L13" s="462">
        <v>0</v>
      </c>
      <c r="M13" s="462" t="s">
        <v>502</v>
      </c>
      <c r="N13" s="462">
        <v>0</v>
      </c>
      <c r="O13" s="459">
        <f t="shared" si="1"/>
        <v>4500</v>
      </c>
      <c r="P13" s="27" t="s">
        <v>555</v>
      </c>
      <c r="Q13" s="417"/>
      <c r="V13" s="27">
        <v>2500</v>
      </c>
    </row>
    <row r="14" spans="1:26" x14ac:dyDescent="0.25">
      <c r="A14" s="927">
        <v>45425</v>
      </c>
      <c r="B14" s="302">
        <v>0.44444444444444442</v>
      </c>
      <c r="C14" s="302">
        <v>0.50694444444444442</v>
      </c>
      <c r="D14" s="29" t="s">
        <v>18</v>
      </c>
      <c r="E14" s="48" t="str">
        <f t="shared" si="0"/>
        <v>ZOOM</v>
      </c>
      <c r="F14" s="462">
        <f t="shared" si="6"/>
        <v>3750</v>
      </c>
      <c r="G14" s="462">
        <f t="shared" si="6"/>
        <v>3750</v>
      </c>
      <c r="H14" s="462">
        <f t="shared" si="6"/>
        <v>3750</v>
      </c>
      <c r="I14" s="642">
        <v>0</v>
      </c>
      <c r="J14" s="462">
        <v>0</v>
      </c>
      <c r="K14" s="462">
        <v>0</v>
      </c>
      <c r="L14" s="462">
        <v>0</v>
      </c>
      <c r="M14" s="462" t="s">
        <v>502</v>
      </c>
      <c r="N14" s="462">
        <v>0</v>
      </c>
      <c r="O14" s="459">
        <f t="shared" si="1"/>
        <v>11250</v>
      </c>
      <c r="P14" s="27" t="s">
        <v>556</v>
      </c>
      <c r="Q14" s="417"/>
    </row>
    <row r="15" spans="1:26" x14ac:dyDescent="0.25">
      <c r="A15" s="927">
        <v>45443</v>
      </c>
      <c r="B15" s="302">
        <v>0.4375</v>
      </c>
      <c r="C15" s="302">
        <v>0.5854166666666667</v>
      </c>
      <c r="D15" s="29" t="s">
        <v>15</v>
      </c>
      <c r="E15" s="48" t="str">
        <f t="shared" si="0"/>
        <v>ZOOM</v>
      </c>
      <c r="F15" s="462">
        <f t="shared" si="6"/>
        <v>8875</v>
      </c>
      <c r="G15" s="462">
        <f t="shared" si="6"/>
        <v>8875</v>
      </c>
      <c r="H15" s="462">
        <f t="shared" si="6"/>
        <v>8875</v>
      </c>
      <c r="I15" s="642">
        <v>0</v>
      </c>
      <c r="J15" s="462">
        <f>+IF($D15="","-",+IF($E15=+$V$3,+ROUND((($C15-$B15)*+$V$13/$V$12),0),20000))</f>
        <v>8875</v>
      </c>
      <c r="K15" s="462">
        <f>+IF($D15="","-",+IF($E15=+$V$3,+ROUND((($C15-$B15)*+$V$13/$V$12),0),20000))</f>
        <v>8875</v>
      </c>
      <c r="L15" s="462">
        <f>+IF($D15="","-",+IF($E15=+$V$3,+ROUND((($C15-$B15)*+$V$13/$V$12),0),20000))</f>
        <v>8875</v>
      </c>
      <c r="M15" s="462" t="s">
        <v>502</v>
      </c>
      <c r="N15" s="462">
        <v>0</v>
      </c>
      <c r="O15" s="459">
        <f t="shared" si="1"/>
        <v>53250</v>
      </c>
      <c r="P15" s="27" t="s">
        <v>557</v>
      </c>
      <c r="Q15" s="417"/>
    </row>
    <row r="16" spans="1:26" x14ac:dyDescent="0.25">
      <c r="A16" s="927">
        <v>45447</v>
      </c>
      <c r="B16" s="302">
        <v>0.4375</v>
      </c>
      <c r="C16" s="302">
        <v>0.47986111111111113</v>
      </c>
      <c r="D16" s="683" t="s">
        <v>14</v>
      </c>
      <c r="E16" s="48" t="str">
        <f t="shared" si="0"/>
        <v>ZOOM</v>
      </c>
      <c r="F16" s="462" t="s">
        <v>565</v>
      </c>
      <c r="G16" s="462" t="s">
        <v>565</v>
      </c>
      <c r="H16" s="462" t="s">
        <v>565</v>
      </c>
      <c r="I16" s="462" t="s">
        <v>565</v>
      </c>
      <c r="J16" s="462" t="s">
        <v>565</v>
      </c>
      <c r="K16" s="462" t="s">
        <v>565</v>
      </c>
      <c r="L16" s="462" t="s">
        <v>565</v>
      </c>
      <c r="M16" s="462" t="s">
        <v>502</v>
      </c>
      <c r="N16" s="462" t="s">
        <v>565</v>
      </c>
      <c r="O16" s="459">
        <f t="shared" si="1"/>
        <v>0</v>
      </c>
      <c r="Q16" s="417"/>
    </row>
    <row r="17" spans="1:17" x14ac:dyDescent="0.25">
      <c r="A17" s="927">
        <v>45453</v>
      </c>
      <c r="B17" s="302">
        <v>0.44097222222222227</v>
      </c>
      <c r="C17" s="302">
        <v>0.52777777777777779</v>
      </c>
      <c r="D17" s="29" t="s">
        <v>15</v>
      </c>
      <c r="E17" s="48" t="str">
        <f t="shared" ref="E17:E25" si="7">+IF(D17="","-",+LOOKUP(D17,$U$3:$U$10,$V$3:$V$10))</f>
        <v>ZOOM</v>
      </c>
      <c r="F17" s="462">
        <v>0</v>
      </c>
      <c r="G17" s="462">
        <f t="shared" ref="G17:L17" si="8">+IF($D17="","-",+IF($E17=+$V$3,+ROUND((($C17-$B17)*+$V$13/$V$12),0),20000))</f>
        <v>5208</v>
      </c>
      <c r="H17" s="462">
        <f t="shared" si="8"/>
        <v>5208</v>
      </c>
      <c r="I17" s="462">
        <f t="shared" si="8"/>
        <v>5208</v>
      </c>
      <c r="J17" s="462">
        <f t="shared" si="8"/>
        <v>5208</v>
      </c>
      <c r="K17" s="462">
        <f t="shared" si="8"/>
        <v>5208</v>
      </c>
      <c r="L17" s="462">
        <f t="shared" si="8"/>
        <v>5208</v>
      </c>
      <c r="M17" s="462" t="s">
        <v>502</v>
      </c>
      <c r="N17" s="462">
        <f>+IF($D17="","-",+IF($E17=+$V$3,+ROUND((($C17-$B17)*+$V$13/$V$12),0),20000))</f>
        <v>5208</v>
      </c>
      <c r="O17" s="459">
        <f t="shared" ref="O17:O25" si="9">SUM(F17:N17)</f>
        <v>36456</v>
      </c>
      <c r="Q17" s="417"/>
    </row>
    <row r="18" spans="1:17" x14ac:dyDescent="0.25">
      <c r="A18" s="927">
        <v>45468</v>
      </c>
      <c r="B18" s="667"/>
      <c r="C18" s="667"/>
      <c r="D18" s="47" t="s">
        <v>17</v>
      </c>
      <c r="E18" s="668" t="str">
        <f t="shared" si="7"/>
        <v>PRESENCIAL</v>
      </c>
      <c r="F18" s="669" t="s">
        <v>565</v>
      </c>
      <c r="G18" s="669" t="s">
        <v>565</v>
      </c>
      <c r="H18" s="669" t="s">
        <v>565</v>
      </c>
      <c r="I18" s="669" t="s">
        <v>565</v>
      </c>
      <c r="J18" s="669" t="s">
        <v>565</v>
      </c>
      <c r="K18" s="669" t="s">
        <v>565</v>
      </c>
      <c r="L18" s="669" t="s">
        <v>565</v>
      </c>
      <c r="M18" s="669" t="s">
        <v>502</v>
      </c>
      <c r="N18" s="669" t="s">
        <v>565</v>
      </c>
      <c r="O18" s="459">
        <f t="shared" si="9"/>
        <v>0</v>
      </c>
      <c r="Q18" s="417"/>
    </row>
    <row r="19" spans="1:17" x14ac:dyDescent="0.25">
      <c r="A19" s="927">
        <v>45469</v>
      </c>
      <c r="B19" s="667"/>
      <c r="C19" s="667"/>
      <c r="D19" s="47" t="s">
        <v>17</v>
      </c>
      <c r="E19" s="668" t="str">
        <f t="shared" si="7"/>
        <v>PRESENCIAL</v>
      </c>
      <c r="F19" s="669" t="s">
        <v>565</v>
      </c>
      <c r="G19" s="669" t="s">
        <v>565</v>
      </c>
      <c r="H19" s="669" t="s">
        <v>565</v>
      </c>
      <c r="I19" s="669" t="s">
        <v>565</v>
      </c>
      <c r="J19" s="669" t="s">
        <v>565</v>
      </c>
      <c r="K19" s="669" t="s">
        <v>565</v>
      </c>
      <c r="L19" s="669" t="s">
        <v>565</v>
      </c>
      <c r="M19" s="669" t="s">
        <v>502</v>
      </c>
      <c r="N19" s="669" t="s">
        <v>565</v>
      </c>
      <c r="O19" s="459">
        <f t="shared" si="9"/>
        <v>0</v>
      </c>
      <c r="Q19" s="417"/>
    </row>
    <row r="20" spans="1:17" x14ac:dyDescent="0.25">
      <c r="A20" s="927">
        <v>45485</v>
      </c>
      <c r="B20" s="302">
        <v>0.45833333333333331</v>
      </c>
      <c r="C20" s="302">
        <v>0.54166666666666663</v>
      </c>
      <c r="D20" s="29" t="s">
        <v>15</v>
      </c>
      <c r="E20" s="48" t="str">
        <f t="shared" si="7"/>
        <v>ZOOM</v>
      </c>
      <c r="F20" s="682">
        <f t="shared" ref="F20:L20" si="10">+IF($D20="","-",+IF($E20=+$V$3,+ROUND((($C20-$B20)*+$V$13/$V$12),0),20000))</f>
        <v>5000</v>
      </c>
      <c r="G20" s="682">
        <f t="shared" si="10"/>
        <v>5000</v>
      </c>
      <c r="H20" s="682">
        <f t="shared" si="10"/>
        <v>5000</v>
      </c>
      <c r="I20" s="682">
        <f t="shared" si="10"/>
        <v>5000</v>
      </c>
      <c r="J20" s="682">
        <f t="shared" si="10"/>
        <v>5000</v>
      </c>
      <c r="K20" s="682">
        <f t="shared" si="10"/>
        <v>5000</v>
      </c>
      <c r="L20" s="682">
        <f t="shared" si="10"/>
        <v>5000</v>
      </c>
      <c r="M20" s="682" t="s">
        <v>502</v>
      </c>
      <c r="N20" s="682">
        <f>+IF($D20="","-",+IF($E20=+$V$3,+ROUND((($C20-$B20)*+$V$13/$V$12),0),20000))</f>
        <v>5000</v>
      </c>
      <c r="O20" s="459">
        <f t="shared" si="9"/>
        <v>40000</v>
      </c>
      <c r="Q20" s="417"/>
    </row>
    <row r="21" spans="1:17" x14ac:dyDescent="0.25">
      <c r="A21" s="927">
        <v>45490</v>
      </c>
      <c r="B21" s="302">
        <v>0.41666666666666669</v>
      </c>
      <c r="C21" s="302">
        <v>0.60416666666666663</v>
      </c>
      <c r="D21" s="29" t="s">
        <v>15</v>
      </c>
      <c r="E21" s="48" t="str">
        <f t="shared" si="7"/>
        <v>ZOOM</v>
      </c>
      <c r="F21" s="682">
        <f>+IF($D21="","-",+IF($E21=+$V$3,+ROUND((($C21-$B21)*+$V$13/$V$12),0),20000))</f>
        <v>11250</v>
      </c>
      <c r="G21" s="682">
        <f>+IF($D21="","-",+IF($E21=+$V$3,+ROUND((($C21-$B21)*+$V$13/$V$12),0),20000))</f>
        <v>11250</v>
      </c>
      <c r="H21" s="682">
        <v>0</v>
      </c>
      <c r="I21" s="682">
        <f t="shared" ref="I21:L23" si="11">+IF($D21="","-",+IF($E21=+$V$3,+ROUND((($C21-$B21)*+$V$13/$V$12),0),20000))</f>
        <v>11250</v>
      </c>
      <c r="J21" s="682">
        <f t="shared" si="11"/>
        <v>11250</v>
      </c>
      <c r="K21" s="682">
        <f t="shared" si="11"/>
        <v>11250</v>
      </c>
      <c r="L21" s="682">
        <f t="shared" si="11"/>
        <v>11250</v>
      </c>
      <c r="M21" s="682" t="s">
        <v>502</v>
      </c>
      <c r="N21" s="682">
        <v>0</v>
      </c>
      <c r="O21" s="459">
        <f t="shared" si="9"/>
        <v>67500</v>
      </c>
      <c r="P21" s="27" t="s">
        <v>608</v>
      </c>
      <c r="Q21" s="417"/>
    </row>
    <row r="22" spans="1:17" x14ac:dyDescent="0.25">
      <c r="A22" s="927">
        <v>45496</v>
      </c>
      <c r="B22" s="302">
        <v>0.4375</v>
      </c>
      <c r="C22" s="302">
        <v>0.51388888888888884</v>
      </c>
      <c r="D22" s="29" t="s">
        <v>18</v>
      </c>
      <c r="E22" s="48" t="str">
        <f t="shared" si="7"/>
        <v>ZOOM</v>
      </c>
      <c r="F22" s="682">
        <v>0</v>
      </c>
      <c r="G22" s="682">
        <f>+IF($D22="","-",+IF($E22=+$V$3,+ROUND((($C22-$B22)*+$V$13/$V$12),0),20000))</f>
        <v>4583</v>
      </c>
      <c r="H22" s="682">
        <f>+IF($D22="","-",+IF($E22=+$V$3,+ROUND((($C22-$B22)*+$V$13/$V$12),0),20000))</f>
        <v>4583</v>
      </c>
      <c r="I22" s="682">
        <f t="shared" si="11"/>
        <v>4583</v>
      </c>
      <c r="J22" s="682">
        <f t="shared" si="11"/>
        <v>4583</v>
      </c>
      <c r="K22" s="682">
        <f t="shared" si="11"/>
        <v>4583</v>
      </c>
      <c r="L22" s="682">
        <f t="shared" si="11"/>
        <v>4583</v>
      </c>
      <c r="M22" s="682" t="s">
        <v>502</v>
      </c>
      <c r="N22" s="682">
        <f>+IF($D22="","-",+IF($E22=+$V$3,+ROUND((($C22-$B22)*+$V$13/$V$12),0),20000))</f>
        <v>4583</v>
      </c>
      <c r="O22" s="459">
        <f t="shared" si="9"/>
        <v>32081</v>
      </c>
      <c r="P22" s="27" t="s">
        <v>609</v>
      </c>
      <c r="Q22" s="417"/>
    </row>
    <row r="23" spans="1:17" x14ac:dyDescent="0.25">
      <c r="A23" s="927">
        <v>45497</v>
      </c>
      <c r="B23" s="302">
        <v>0.41666666666666669</v>
      </c>
      <c r="C23" s="302">
        <v>0.50763888888888886</v>
      </c>
      <c r="D23" s="29" t="s">
        <v>18</v>
      </c>
      <c r="E23" s="48" t="str">
        <f t="shared" si="7"/>
        <v>ZOOM</v>
      </c>
      <c r="F23" s="682">
        <v>0</v>
      </c>
      <c r="G23" s="682">
        <f>+IF($D23="","-",+IF($E23=+$V$3,+ROUND((($C23-$B23)*+$V$13/$V$12),0),20000))</f>
        <v>5458</v>
      </c>
      <c r="H23" s="682">
        <f>+IF($D23="","-",+IF($E23=+$V$3,+ROUND((($C23-$B23)*+$V$13/$V$12),0),20000))</f>
        <v>5458</v>
      </c>
      <c r="I23" s="682">
        <f t="shared" si="11"/>
        <v>5458</v>
      </c>
      <c r="J23" s="682">
        <f t="shared" si="11"/>
        <v>5458</v>
      </c>
      <c r="K23" s="682">
        <f t="shared" si="11"/>
        <v>5458</v>
      </c>
      <c r="L23" s="682">
        <f t="shared" si="11"/>
        <v>5458</v>
      </c>
      <c r="M23" s="682" t="s">
        <v>502</v>
      </c>
      <c r="N23" s="682">
        <f>+IF($D23="","-",+IF($E23=+$V$3,+ROUND((($C23-$B23)*+$V$13/$V$12),0),20000))</f>
        <v>5458</v>
      </c>
      <c r="O23" s="459">
        <f t="shared" si="9"/>
        <v>38206</v>
      </c>
      <c r="P23" s="27" t="s">
        <v>610</v>
      </c>
      <c r="Q23" s="417"/>
    </row>
    <row r="24" spans="1:17" x14ac:dyDescent="0.25">
      <c r="A24" s="927">
        <v>45510</v>
      </c>
      <c r="B24" s="302">
        <v>0.45833333333333331</v>
      </c>
      <c r="C24" s="302">
        <v>0.5</v>
      </c>
      <c r="D24" s="29" t="s">
        <v>18</v>
      </c>
      <c r="E24" s="48" t="str">
        <f t="shared" si="7"/>
        <v>ZOOM</v>
      </c>
      <c r="F24" s="682">
        <v>0</v>
      </c>
      <c r="G24" s="682">
        <f t="shared" ref="G24:G35" si="12">+IF($D24="","-",+IF($E24=+$V$3,+ROUND((($C24-$B24)*+$V$13/$V$12),0),20000))</f>
        <v>2500</v>
      </c>
      <c r="H24" s="682">
        <v>0</v>
      </c>
      <c r="I24" s="682">
        <v>0</v>
      </c>
      <c r="J24" s="682">
        <v>0</v>
      </c>
      <c r="K24" s="682">
        <f t="shared" ref="K24:K52" si="13">+IF($D24="","-",+IF($E24=+$V$3,+ROUND((($C24-$B24)*+$V$13/$V$12),0),20000))</f>
        <v>2500</v>
      </c>
      <c r="L24" s="682">
        <v>0</v>
      </c>
      <c r="M24" s="682" t="s">
        <v>502</v>
      </c>
      <c r="N24" s="682">
        <v>0</v>
      </c>
      <c r="O24" s="459">
        <f t="shared" si="9"/>
        <v>5000</v>
      </c>
      <c r="P24" s="27" t="s">
        <v>611</v>
      </c>
      <c r="Q24" s="417"/>
    </row>
    <row r="25" spans="1:17" x14ac:dyDescent="0.25">
      <c r="A25" s="927">
        <v>45511</v>
      </c>
      <c r="B25" s="302">
        <v>0.41666666666666669</v>
      </c>
      <c r="C25" s="302">
        <v>0.48958333333333331</v>
      </c>
      <c r="D25" s="29" t="s">
        <v>15</v>
      </c>
      <c r="E25" s="48" t="str">
        <f t="shared" si="7"/>
        <v>ZOOM</v>
      </c>
      <c r="F25" s="682">
        <f t="shared" ref="F25:F51" si="14">+IF($D25="","-",+IF($E25=+$V$3,+ROUND((($C25-$B25)*+$V$13/$V$12),0),20000))</f>
        <v>4375</v>
      </c>
      <c r="G25" s="682">
        <f t="shared" si="12"/>
        <v>4375</v>
      </c>
      <c r="H25" s="682">
        <f t="shared" ref="H25:J29" si="15">+IF($D25="","-",+IF($E25=+$V$3,+ROUND((($C25-$B25)*+$V$13/$V$12),0),20000))</f>
        <v>4375</v>
      </c>
      <c r="I25" s="682">
        <f t="shared" si="15"/>
        <v>4375</v>
      </c>
      <c r="J25" s="682">
        <f t="shared" si="15"/>
        <v>4375</v>
      </c>
      <c r="K25" s="682">
        <f t="shared" si="13"/>
        <v>4375</v>
      </c>
      <c r="L25" s="682">
        <f>+IF($D25="","-",+IF($E25=+$V$3,+ROUND((($C25-$B25)*+$V$13/$V$12),0),20000))</f>
        <v>4375</v>
      </c>
      <c r="M25" s="682" t="s">
        <v>502</v>
      </c>
      <c r="N25" s="682">
        <f t="shared" ref="N25:N51" si="16">+IF($D25="","-",+IF($E25=+$V$3,+ROUND((($C25-$B25)*+$V$13/$V$12),0),20000))</f>
        <v>4375</v>
      </c>
      <c r="O25" s="459">
        <f t="shared" si="9"/>
        <v>35000</v>
      </c>
      <c r="P25" s="27" t="s">
        <v>612</v>
      </c>
      <c r="Q25" s="417"/>
    </row>
    <row r="26" spans="1:17" x14ac:dyDescent="0.25">
      <c r="A26" s="927">
        <v>45516</v>
      </c>
      <c r="B26" s="302">
        <v>0.79166666666666663</v>
      </c>
      <c r="C26" s="302">
        <v>0.875</v>
      </c>
      <c r="D26" s="29" t="s">
        <v>18</v>
      </c>
      <c r="E26" s="48" t="str">
        <f>+IF(D26="","-",+LOOKUP(D26,$U$3:$U$10,$V$3:$V$10))</f>
        <v>ZOOM</v>
      </c>
      <c r="F26" s="682">
        <f t="shared" si="14"/>
        <v>5000</v>
      </c>
      <c r="G26" s="682">
        <f t="shared" si="12"/>
        <v>5000</v>
      </c>
      <c r="H26" s="682">
        <f t="shared" si="15"/>
        <v>5000</v>
      </c>
      <c r="I26" s="682">
        <f t="shared" si="15"/>
        <v>5000</v>
      </c>
      <c r="J26" s="682">
        <f t="shared" si="15"/>
        <v>5000</v>
      </c>
      <c r="K26" s="682">
        <f t="shared" si="13"/>
        <v>5000</v>
      </c>
      <c r="L26" s="682">
        <v>0</v>
      </c>
      <c r="M26" s="682" t="s">
        <v>502</v>
      </c>
      <c r="N26" s="682">
        <f t="shared" si="16"/>
        <v>5000</v>
      </c>
      <c r="O26" s="459">
        <f>SUM(F26:N26)</f>
        <v>35000</v>
      </c>
      <c r="Q26" s="417"/>
    </row>
    <row r="27" spans="1:17" x14ac:dyDescent="0.25">
      <c r="A27" s="927">
        <v>45533</v>
      </c>
      <c r="B27" s="302">
        <v>0.4375</v>
      </c>
      <c r="C27" s="302">
        <v>0.53888888888888886</v>
      </c>
      <c r="D27" s="29" t="s">
        <v>15</v>
      </c>
      <c r="E27" s="48" t="str">
        <f t="shared" ref="E27:E37" si="17">+IF(D27="","-",+LOOKUP(D27,$U$3:$U$10,$V$3:$V$10))</f>
        <v>ZOOM</v>
      </c>
      <c r="F27" s="682">
        <f t="shared" si="14"/>
        <v>6083</v>
      </c>
      <c r="G27" s="682">
        <f t="shared" si="12"/>
        <v>6083</v>
      </c>
      <c r="H27" s="682">
        <f t="shared" si="15"/>
        <v>6083</v>
      </c>
      <c r="I27" s="682">
        <f t="shared" si="15"/>
        <v>6083</v>
      </c>
      <c r="J27" s="682">
        <f t="shared" si="15"/>
        <v>6083</v>
      </c>
      <c r="K27" s="462">
        <f t="shared" si="13"/>
        <v>6083</v>
      </c>
      <c r="L27" s="682">
        <f t="shared" ref="L27:L51" si="18">+IF($D27="","-",+IF($E27=+$V$3,+ROUND((($C27-$B27)*+$V$13/$V$12),0),20000))</f>
        <v>6083</v>
      </c>
      <c r="M27" s="682" t="s">
        <v>502</v>
      </c>
      <c r="N27" s="682">
        <f t="shared" si="16"/>
        <v>6083</v>
      </c>
      <c r="O27" s="459">
        <f t="shared" ref="O27:O37" si="19">SUM(F27:N27)</f>
        <v>48664</v>
      </c>
      <c r="P27" s="27" t="s">
        <v>647</v>
      </c>
      <c r="Q27" s="417"/>
    </row>
    <row r="28" spans="1:17" x14ac:dyDescent="0.25">
      <c r="A28" s="927">
        <v>45538</v>
      </c>
      <c r="B28" s="302">
        <v>0.41666666666666669</v>
      </c>
      <c r="C28" s="302">
        <v>0.50416666666666665</v>
      </c>
      <c r="D28" s="29" t="s">
        <v>15</v>
      </c>
      <c r="E28" s="48" t="str">
        <f t="shared" si="17"/>
        <v>ZOOM</v>
      </c>
      <c r="F28" s="682">
        <f t="shared" si="14"/>
        <v>5250</v>
      </c>
      <c r="G28" s="682">
        <f t="shared" si="12"/>
        <v>5250</v>
      </c>
      <c r="H28" s="682">
        <f t="shared" si="15"/>
        <v>5250</v>
      </c>
      <c r="I28" s="682">
        <f t="shared" si="15"/>
        <v>5250</v>
      </c>
      <c r="J28" s="682">
        <f t="shared" si="15"/>
        <v>5250</v>
      </c>
      <c r="K28" s="462">
        <f t="shared" si="13"/>
        <v>5250</v>
      </c>
      <c r="L28" s="682">
        <f t="shared" si="18"/>
        <v>5250</v>
      </c>
      <c r="M28" s="682" t="s">
        <v>502</v>
      </c>
      <c r="N28" s="682">
        <f t="shared" si="16"/>
        <v>5250</v>
      </c>
      <c r="O28" s="459">
        <f t="shared" si="19"/>
        <v>42000</v>
      </c>
      <c r="P28" s="27" t="s">
        <v>648</v>
      </c>
      <c r="Q28" s="417"/>
    </row>
    <row r="29" spans="1:17" x14ac:dyDescent="0.25">
      <c r="A29" s="927">
        <v>45539</v>
      </c>
      <c r="B29" s="302">
        <v>0.45833333333333331</v>
      </c>
      <c r="C29" s="302">
        <v>0.5</v>
      </c>
      <c r="D29" s="29" t="s">
        <v>15</v>
      </c>
      <c r="E29" s="48" t="str">
        <f t="shared" si="17"/>
        <v>ZOOM</v>
      </c>
      <c r="F29" s="682">
        <f t="shared" si="14"/>
        <v>2500</v>
      </c>
      <c r="G29" s="682">
        <f t="shared" si="12"/>
        <v>2500</v>
      </c>
      <c r="H29" s="682">
        <f t="shared" si="15"/>
        <v>2500</v>
      </c>
      <c r="I29" s="682">
        <f t="shared" si="15"/>
        <v>2500</v>
      </c>
      <c r="J29" s="682">
        <f t="shared" si="15"/>
        <v>2500</v>
      </c>
      <c r="K29" s="462">
        <f t="shared" si="13"/>
        <v>2500</v>
      </c>
      <c r="L29" s="682">
        <f>+IF($D29="","-",+IF($E29=+$V$3,+ROUND((($C29-$B29)*+$V$13/$V$12),0),20000))</f>
        <v>2500</v>
      </c>
      <c r="M29" s="682" t="s">
        <v>502</v>
      </c>
      <c r="N29" s="682">
        <f t="shared" si="16"/>
        <v>2500</v>
      </c>
      <c r="O29" s="459">
        <f t="shared" si="19"/>
        <v>20000</v>
      </c>
      <c r="P29" s="27" t="s">
        <v>649</v>
      </c>
      <c r="Q29" s="417"/>
    </row>
    <row r="30" spans="1:17" x14ac:dyDescent="0.25">
      <c r="A30" s="927">
        <v>45541</v>
      </c>
      <c r="B30" s="302">
        <v>0.4236111111111111</v>
      </c>
      <c r="C30" s="302">
        <v>0.46527777777777779</v>
      </c>
      <c r="D30" s="29" t="s">
        <v>18</v>
      </c>
      <c r="E30" s="48" t="str">
        <f t="shared" si="17"/>
        <v>ZOOM</v>
      </c>
      <c r="F30" s="682">
        <v>0</v>
      </c>
      <c r="G30" s="682">
        <f t="shared" si="12"/>
        <v>2500</v>
      </c>
      <c r="H30" s="682">
        <v>0</v>
      </c>
      <c r="I30" s="682">
        <f>+IF($D30="","-",+IF($E30=+$V$3,+ROUND((($C30-$B30)*+$V$13/$V$12),0),20000))</f>
        <v>2500</v>
      </c>
      <c r="J30" s="682">
        <f>+IF($D30="","-",+IF($E30=+$V$3,+ROUND((($C30-$B30)*+$V$13/$V$12),0),20000))</f>
        <v>2500</v>
      </c>
      <c r="K30" s="462">
        <f t="shared" si="13"/>
        <v>2500</v>
      </c>
      <c r="L30" s="682">
        <f t="shared" si="18"/>
        <v>2500</v>
      </c>
      <c r="M30" s="682" t="s">
        <v>502</v>
      </c>
      <c r="N30" s="682">
        <f t="shared" si="16"/>
        <v>2500</v>
      </c>
      <c r="O30" s="459">
        <f t="shared" si="19"/>
        <v>15000</v>
      </c>
      <c r="P30" s="27" t="s">
        <v>652</v>
      </c>
      <c r="Q30" s="417"/>
    </row>
    <row r="31" spans="1:17" x14ac:dyDescent="0.25">
      <c r="A31" s="927">
        <v>45561</v>
      </c>
      <c r="B31" s="302">
        <v>0.4375</v>
      </c>
      <c r="C31" s="302">
        <v>0.55555555555555558</v>
      </c>
      <c r="D31" s="29" t="s">
        <v>15</v>
      </c>
      <c r="E31" s="48" t="str">
        <f t="shared" si="17"/>
        <v>ZOOM</v>
      </c>
      <c r="F31" s="682">
        <f t="shared" si="14"/>
        <v>7083</v>
      </c>
      <c r="G31" s="682">
        <f t="shared" si="12"/>
        <v>7083</v>
      </c>
      <c r="H31" s="682">
        <f>+IF($D31="","-",+IF($E31=+$V$3,+ROUND((($C31-$B31)*+$V$13/$V$12),0),20000))</f>
        <v>7083</v>
      </c>
      <c r="I31" s="682">
        <f>+IF($D31="","-",+IF($E31=+$V$3,+ROUND((($C31-$B31)*+$V$13/$V$12),0),20000))</f>
        <v>7083</v>
      </c>
      <c r="J31" s="682">
        <f>+IF($D31="","-",+IF($E31=+$V$3,+ROUND((($C31-$B31)*+$V$13/$V$12),0),20000))</f>
        <v>7083</v>
      </c>
      <c r="K31" s="462">
        <f t="shared" si="13"/>
        <v>7083</v>
      </c>
      <c r="L31" s="682">
        <f t="shared" si="18"/>
        <v>7083</v>
      </c>
      <c r="M31" s="682" t="s">
        <v>502</v>
      </c>
      <c r="N31" s="682">
        <f t="shared" si="16"/>
        <v>7083</v>
      </c>
      <c r="O31" s="459">
        <f t="shared" si="19"/>
        <v>56664</v>
      </c>
      <c r="Q31" s="417"/>
    </row>
    <row r="32" spans="1:17" x14ac:dyDescent="0.25">
      <c r="A32" s="927">
        <v>45566</v>
      </c>
      <c r="B32" s="302">
        <v>0.48958333333333331</v>
      </c>
      <c r="C32" s="302">
        <v>0.51041666666666663</v>
      </c>
      <c r="D32" s="29" t="s">
        <v>18</v>
      </c>
      <c r="E32" s="48" t="str">
        <f t="shared" si="17"/>
        <v>ZOOM</v>
      </c>
      <c r="F32" s="682">
        <f t="shared" si="14"/>
        <v>1250</v>
      </c>
      <c r="G32" s="682">
        <f t="shared" si="12"/>
        <v>1250</v>
      </c>
      <c r="H32" s="682">
        <f>+IF($D32="","-",+IF($E32=+$V$3,+ROUND((($C32-$B32)*+$V$13/$V$12),0),20000))</f>
        <v>1250</v>
      </c>
      <c r="I32" s="682">
        <f>+IF($D32="","-",+IF($E32=+$V$3,+ROUND((($C32-$B32)*+$V$13/$V$12),0),20000))</f>
        <v>1250</v>
      </c>
      <c r="J32" s="682">
        <v>0</v>
      </c>
      <c r="K32" s="462">
        <f t="shared" si="13"/>
        <v>1250</v>
      </c>
      <c r="L32" s="682">
        <f t="shared" si="18"/>
        <v>1250</v>
      </c>
      <c r="M32" s="682" t="s">
        <v>502</v>
      </c>
      <c r="N32" s="682">
        <v>0</v>
      </c>
      <c r="O32" s="459">
        <f t="shared" si="19"/>
        <v>7500</v>
      </c>
      <c r="P32" s="27" t="s">
        <v>653</v>
      </c>
      <c r="Q32" s="417"/>
    </row>
    <row r="33" spans="1:17" x14ac:dyDescent="0.25">
      <c r="A33" s="927">
        <v>45566</v>
      </c>
      <c r="B33" s="302">
        <v>0.51041666666666663</v>
      </c>
      <c r="C33" s="302">
        <v>0.59375</v>
      </c>
      <c r="D33" s="29" t="s">
        <v>18</v>
      </c>
      <c r="E33" s="48" t="str">
        <f t="shared" si="17"/>
        <v>ZOOM</v>
      </c>
      <c r="F33" s="682">
        <f t="shared" si="14"/>
        <v>5000</v>
      </c>
      <c r="G33" s="682">
        <f t="shared" si="12"/>
        <v>5000</v>
      </c>
      <c r="H33" s="682">
        <f>+IF($D33="","-",+IF($E33=+$V$3,+ROUND((($C33-$B33)*+$V$13/$V$12),0),20000))</f>
        <v>5000</v>
      </c>
      <c r="I33" s="682">
        <f>+IF($D33="","-",+IF($E33=+$V$3,+ROUND((($C33-$B33)*+$V$13/$V$12),0),20000))</f>
        <v>5000</v>
      </c>
      <c r="J33" s="682">
        <v>0</v>
      </c>
      <c r="K33" s="462">
        <f t="shared" si="13"/>
        <v>5000</v>
      </c>
      <c r="L33" s="682">
        <v>0</v>
      </c>
      <c r="M33" s="682" t="s">
        <v>502</v>
      </c>
      <c r="N33" s="682">
        <v>0</v>
      </c>
      <c r="O33" s="459">
        <f t="shared" si="19"/>
        <v>25000</v>
      </c>
      <c r="P33" s="27" t="s">
        <v>654</v>
      </c>
      <c r="Q33" s="417"/>
    </row>
    <row r="34" spans="1:17" x14ac:dyDescent="0.25">
      <c r="A34" s="927">
        <v>45568</v>
      </c>
      <c r="B34" s="302">
        <v>0.64583333333333337</v>
      </c>
      <c r="C34" s="302">
        <v>0.73611111111111116</v>
      </c>
      <c r="D34" s="29" t="s">
        <v>18</v>
      </c>
      <c r="E34" s="48" t="str">
        <f t="shared" si="17"/>
        <v>ZOOM</v>
      </c>
      <c r="F34" s="682">
        <f t="shared" si="14"/>
        <v>5417</v>
      </c>
      <c r="G34" s="682">
        <f t="shared" si="12"/>
        <v>5417</v>
      </c>
      <c r="H34" s="682">
        <f>+IF($D34="","-",+IF($E34=+$V$3,+ROUND((($C34-$B34)*+$V$13/$V$12),0),20000))</f>
        <v>5417</v>
      </c>
      <c r="I34" s="682">
        <v>0</v>
      </c>
      <c r="J34" s="682">
        <f>+IF($D34="","-",+IF($E34=+$V$3,+ROUND((($C34-$B34)*+$V$13/$V$12),0),20000))</f>
        <v>5417</v>
      </c>
      <c r="K34" s="462">
        <f t="shared" si="13"/>
        <v>5417</v>
      </c>
      <c r="L34" s="682">
        <f t="shared" si="18"/>
        <v>5417</v>
      </c>
      <c r="M34" s="682" t="s">
        <v>502</v>
      </c>
      <c r="N34" s="682">
        <f t="shared" si="16"/>
        <v>5417</v>
      </c>
      <c r="O34" s="459">
        <f t="shared" si="19"/>
        <v>37919</v>
      </c>
      <c r="P34" s="27" t="s">
        <v>656</v>
      </c>
      <c r="Q34" s="417"/>
    </row>
    <row r="35" spans="1:17" x14ac:dyDescent="0.25">
      <c r="A35" s="927">
        <v>45570</v>
      </c>
      <c r="B35" s="302">
        <v>0.5</v>
      </c>
      <c r="C35" s="302">
        <v>0.58333333333333337</v>
      </c>
      <c r="D35" s="29" t="s">
        <v>18</v>
      </c>
      <c r="E35" s="48" t="str">
        <f t="shared" si="17"/>
        <v>ZOOM</v>
      </c>
      <c r="F35" s="682">
        <f t="shared" si="14"/>
        <v>5000</v>
      </c>
      <c r="G35" s="682">
        <f t="shared" si="12"/>
        <v>5000</v>
      </c>
      <c r="H35" s="682">
        <f>+IF($D35="","-",+IF($E35=+$V$3,+ROUND((($C35-$B35)*+$V$13/$V$12),0),20000))</f>
        <v>5000</v>
      </c>
      <c r="I35" s="682">
        <f>+IF($D35="","-",+IF($E35=+$V$3,+ROUND((($C35-$B35)*+$V$13/$V$12),0),20000))</f>
        <v>5000</v>
      </c>
      <c r="J35" s="682">
        <f>+IF($D35="","-",+IF($E35=+$V$3,+ROUND((($C35-$B35)*+$V$13/$V$12),0),20000))</f>
        <v>5000</v>
      </c>
      <c r="K35" s="462">
        <f t="shared" si="13"/>
        <v>5000</v>
      </c>
      <c r="L35" s="682">
        <f t="shared" si="18"/>
        <v>5000</v>
      </c>
      <c r="M35" s="682" t="s">
        <v>502</v>
      </c>
      <c r="N35" s="682">
        <f t="shared" si="16"/>
        <v>5000</v>
      </c>
      <c r="O35" s="459">
        <f t="shared" si="19"/>
        <v>40000</v>
      </c>
      <c r="P35" s="27" t="s">
        <v>657</v>
      </c>
      <c r="Q35" s="417"/>
    </row>
    <row r="36" spans="1:17" x14ac:dyDescent="0.25">
      <c r="A36" s="927">
        <v>45573</v>
      </c>
      <c r="B36" s="302"/>
      <c r="C36" s="302"/>
      <c r="D36" s="29" t="s">
        <v>20</v>
      </c>
      <c r="E36" s="48" t="str">
        <f t="shared" si="17"/>
        <v>PRESENCIAL</v>
      </c>
      <c r="F36" s="682">
        <f>+IF($D36="","-",+IF($E36=+$V$3,+ROUND((($C36-$B36)*+$V$13/$V$12),0),20000))*3</f>
        <v>60000</v>
      </c>
      <c r="G36" s="682">
        <v>0</v>
      </c>
      <c r="H36" s="682">
        <v>0</v>
      </c>
      <c r="I36" s="682">
        <v>0</v>
      </c>
      <c r="J36" s="682">
        <v>0</v>
      </c>
      <c r="K36" s="462">
        <v>0</v>
      </c>
      <c r="L36" s="682">
        <v>0</v>
      </c>
      <c r="M36" s="682" t="s">
        <v>502</v>
      </c>
      <c r="N36" s="682">
        <v>0</v>
      </c>
      <c r="O36" s="459">
        <f t="shared" si="19"/>
        <v>60000</v>
      </c>
      <c r="P36" s="27" t="s">
        <v>658</v>
      </c>
      <c r="Q36" s="417"/>
    </row>
    <row r="37" spans="1:17" x14ac:dyDescent="0.25">
      <c r="A37" s="927">
        <v>45589</v>
      </c>
      <c r="B37" s="302">
        <v>0.41666666666666669</v>
      </c>
      <c r="C37" s="302">
        <v>0.49652777777777779</v>
      </c>
      <c r="D37" s="29" t="s">
        <v>18</v>
      </c>
      <c r="E37" s="48" t="str">
        <f t="shared" si="17"/>
        <v>ZOOM</v>
      </c>
      <c r="F37" s="682">
        <f t="shared" si="14"/>
        <v>4792</v>
      </c>
      <c r="G37" s="682">
        <f>+IF($D37="","-",+IF($E37=+$V$3,+ROUND((($C37-$B37)*+$V$13/$V$12),0),20000))</f>
        <v>4792</v>
      </c>
      <c r="H37" s="682">
        <f>+IF($D37="","-",+IF($E37=+$V$3,+ROUND((($C37-$B37)*+$V$13/$V$12),0),20000))</f>
        <v>4792</v>
      </c>
      <c r="I37" s="682">
        <f>+IF($D37="","-",+IF($E37=+$V$3,+ROUND((($C37-$B37)*+$V$13/$V$12),0),20000))</f>
        <v>4792</v>
      </c>
      <c r="J37" s="682">
        <f>+IF($D37="","-",+IF($E37=+$V$3,+ROUND((($C37-$B37)*+$V$13/$V$12),0),20000))</f>
        <v>4792</v>
      </c>
      <c r="K37" s="462">
        <f t="shared" si="13"/>
        <v>4792</v>
      </c>
      <c r="L37" s="682">
        <v>0</v>
      </c>
      <c r="M37" s="682" t="s">
        <v>502</v>
      </c>
      <c r="N37" s="682">
        <f t="shared" si="16"/>
        <v>4792</v>
      </c>
      <c r="O37" s="459">
        <f t="shared" si="19"/>
        <v>33544</v>
      </c>
      <c r="P37" s="27" t="s">
        <v>666</v>
      </c>
      <c r="Q37" s="417"/>
    </row>
    <row r="38" spans="1:17" x14ac:dyDescent="0.25">
      <c r="A38" s="927">
        <v>45594</v>
      </c>
      <c r="B38" s="302">
        <v>0.70833333333333337</v>
      </c>
      <c r="C38" s="302">
        <v>0.75</v>
      </c>
      <c r="D38" s="29" t="s">
        <v>14</v>
      </c>
      <c r="E38" s="48" t="str">
        <f t="shared" ref="E38:E46" si="20">+IF(D38="","-",+LOOKUP(D38,$U$3:$U$10,$V$3:$V$10))</f>
        <v>ZOOM</v>
      </c>
      <c r="F38" s="682">
        <v>0</v>
      </c>
      <c r="G38" s="682">
        <v>0</v>
      </c>
      <c r="H38" s="682">
        <v>0</v>
      </c>
      <c r="I38" s="682">
        <v>0</v>
      </c>
      <c r="J38" s="682">
        <v>0</v>
      </c>
      <c r="K38" s="462">
        <v>0</v>
      </c>
      <c r="L38" s="682">
        <v>0</v>
      </c>
      <c r="M38" s="682" t="s">
        <v>502</v>
      </c>
      <c r="N38" s="682">
        <v>0</v>
      </c>
      <c r="O38" s="459">
        <f t="shared" ref="O38:O46" si="21">SUM(F38:N38)</f>
        <v>0</v>
      </c>
      <c r="P38" s="27" t="s">
        <v>667</v>
      </c>
      <c r="Q38" s="417"/>
    </row>
    <row r="39" spans="1:17" x14ac:dyDescent="0.25">
      <c r="A39" s="927">
        <v>45594</v>
      </c>
      <c r="B39" s="302">
        <v>0.75</v>
      </c>
      <c r="C39" s="302">
        <v>0.78333333333333333</v>
      </c>
      <c r="D39" s="29" t="s">
        <v>18</v>
      </c>
      <c r="E39" s="48" t="str">
        <f t="shared" si="20"/>
        <v>ZOOM</v>
      </c>
      <c r="F39" s="462">
        <f t="shared" si="14"/>
        <v>2000</v>
      </c>
      <c r="G39" s="462">
        <f t="shared" ref="G39:J40" si="22">+IF($D39="","-",+IF($E39=+$V$3,+ROUND((($C39-$B39)*+$V$13/$V$12),0),20000))</f>
        <v>2000</v>
      </c>
      <c r="H39" s="462">
        <f t="shared" si="22"/>
        <v>2000</v>
      </c>
      <c r="I39" s="462">
        <f t="shared" si="22"/>
        <v>2000</v>
      </c>
      <c r="J39" s="462">
        <f t="shared" si="22"/>
        <v>2000</v>
      </c>
      <c r="K39" s="462">
        <f t="shared" si="13"/>
        <v>2000</v>
      </c>
      <c r="L39" s="462">
        <f t="shared" si="18"/>
        <v>2000</v>
      </c>
      <c r="M39" s="462" t="s">
        <v>502</v>
      </c>
      <c r="N39" s="462">
        <f t="shared" si="16"/>
        <v>2000</v>
      </c>
      <c r="O39" s="459">
        <f t="shared" si="21"/>
        <v>16000</v>
      </c>
      <c r="P39" s="27" t="s">
        <v>669</v>
      </c>
      <c r="Q39" s="417"/>
    </row>
    <row r="40" spans="1:17" x14ac:dyDescent="0.25">
      <c r="A40" s="927">
        <v>45603</v>
      </c>
      <c r="B40" s="302">
        <v>0.5</v>
      </c>
      <c r="C40" s="302">
        <v>0.57777777777777772</v>
      </c>
      <c r="D40" s="29" t="s">
        <v>15</v>
      </c>
      <c r="E40" s="48" t="str">
        <f t="shared" si="20"/>
        <v>ZOOM</v>
      </c>
      <c r="F40" s="462">
        <f t="shared" si="14"/>
        <v>4667</v>
      </c>
      <c r="G40" s="462">
        <f t="shared" si="22"/>
        <v>4667</v>
      </c>
      <c r="H40" s="462">
        <f t="shared" si="22"/>
        <v>4667</v>
      </c>
      <c r="I40" s="462">
        <f t="shared" si="22"/>
        <v>4667</v>
      </c>
      <c r="J40" s="462">
        <f t="shared" si="22"/>
        <v>4667</v>
      </c>
      <c r="K40" s="462">
        <f>+IF($D40="","-",+IF($E40=+$V$3,+ROUND((($C40-$B40)*+$V$13/$V$12),0),20000))</f>
        <v>4667</v>
      </c>
      <c r="L40" s="462">
        <f>+IF($D40="","-",+IF($E40=+$V$3,+ROUND((($C40-$B40)*+$V$13/$V$12),0),20000))</f>
        <v>4667</v>
      </c>
      <c r="M40" s="462" t="s">
        <v>502</v>
      </c>
      <c r="N40" s="462">
        <f>+IF($D40="","-",+IF($E40=+$V$3,+ROUND((($C40-$B40)*+$V$13/$V$12),0),20000))</f>
        <v>4667</v>
      </c>
      <c r="O40" s="459">
        <f t="shared" si="21"/>
        <v>37336</v>
      </c>
      <c r="P40" s="27" t="s">
        <v>670</v>
      </c>
      <c r="Q40" s="417"/>
    </row>
    <row r="41" spans="1:17" x14ac:dyDescent="0.25">
      <c r="A41" s="927">
        <v>45618</v>
      </c>
      <c r="B41" s="302">
        <v>0.70833333333333337</v>
      </c>
      <c r="C41" s="302">
        <v>0.79166666666666663</v>
      </c>
      <c r="D41" s="29" t="s">
        <v>15</v>
      </c>
      <c r="E41" s="48" t="str">
        <f t="shared" si="20"/>
        <v>ZOOM</v>
      </c>
      <c r="F41" s="462">
        <v>0</v>
      </c>
      <c r="G41" s="462">
        <f>+IF($D41="","-",+IF($E41=+$V$3,+ROUND((($C41-$B41)*+$V$13/$V$12),0),20000))</f>
        <v>5000</v>
      </c>
      <c r="H41" s="462">
        <f>+IF($D41="","-",+IF($E41=+$V$3,+ROUND((($C41-$B41)*+$V$13/$V$12),0),20000))</f>
        <v>5000</v>
      </c>
      <c r="I41" s="462">
        <v>0</v>
      </c>
      <c r="J41" s="462">
        <v>0</v>
      </c>
      <c r="K41" s="462">
        <f t="shared" si="13"/>
        <v>5000</v>
      </c>
      <c r="L41" s="462">
        <v>0</v>
      </c>
      <c r="M41" s="462" t="s">
        <v>502</v>
      </c>
      <c r="N41" s="462">
        <f t="shared" si="16"/>
        <v>5000</v>
      </c>
      <c r="O41" s="459">
        <f t="shared" si="21"/>
        <v>20000</v>
      </c>
      <c r="P41" s="27" t="s">
        <v>672</v>
      </c>
      <c r="Q41" s="417"/>
    </row>
    <row r="42" spans="1:17" x14ac:dyDescent="0.25">
      <c r="A42" s="927">
        <v>45621</v>
      </c>
      <c r="B42" s="302"/>
      <c r="C42" s="302"/>
      <c r="D42" s="29" t="s">
        <v>17</v>
      </c>
      <c r="E42" s="48" t="str">
        <f t="shared" si="20"/>
        <v>PRESENCIAL</v>
      </c>
      <c r="F42" s="462">
        <v>0</v>
      </c>
      <c r="G42" s="462">
        <f>+IF($D42="","-",+IF($E42=+$V$3,+ROUND((($C42-$B42)*+$V$13/$V$12),0),20000))</f>
        <v>20000</v>
      </c>
      <c r="H42" s="462">
        <f>+IF($D42="","-",+IF($E42=+$V$3,+ROUND((($C42-$B42)*+$V$13/$V$12),0),20000))</f>
        <v>20000</v>
      </c>
      <c r="I42" s="462">
        <v>0</v>
      </c>
      <c r="J42" s="462">
        <v>0</v>
      </c>
      <c r="K42" s="462">
        <f t="shared" si="13"/>
        <v>20000</v>
      </c>
      <c r="L42" s="462">
        <v>0</v>
      </c>
      <c r="M42" s="462" t="s">
        <v>502</v>
      </c>
      <c r="N42" s="462">
        <v>0</v>
      </c>
      <c r="O42" s="459">
        <f t="shared" si="21"/>
        <v>60000</v>
      </c>
      <c r="P42" s="27" t="s">
        <v>673</v>
      </c>
      <c r="Q42" s="417"/>
    </row>
    <row r="43" spans="1:17" x14ac:dyDescent="0.25">
      <c r="A43" s="927">
        <v>45629</v>
      </c>
      <c r="B43" s="302">
        <v>0.41666666666666669</v>
      </c>
      <c r="C43" s="302">
        <v>0.55208333333333337</v>
      </c>
      <c r="D43" s="29" t="s">
        <v>15</v>
      </c>
      <c r="E43" s="48" t="str">
        <f t="shared" si="20"/>
        <v>ZOOM</v>
      </c>
      <c r="F43" s="462">
        <f t="shared" si="14"/>
        <v>8125</v>
      </c>
      <c r="G43" s="462">
        <v>0</v>
      </c>
      <c r="H43" s="462">
        <f>+IF($D43="","-",+IF($E43=+$V$3,+ROUND((($C43-$B43)*+$V$13/$V$12),0),20000))</f>
        <v>8125</v>
      </c>
      <c r="I43" s="462">
        <f>+IF($D43="","-",+IF($E43=+$V$3,+ROUND((($C43-$B43)*+$V$13/$V$12),0),20000))</f>
        <v>8125</v>
      </c>
      <c r="J43" s="462">
        <v>0</v>
      </c>
      <c r="K43" s="462">
        <f t="shared" si="13"/>
        <v>8125</v>
      </c>
      <c r="L43" s="462">
        <f t="shared" si="18"/>
        <v>8125</v>
      </c>
      <c r="M43" s="462" t="s">
        <v>502</v>
      </c>
      <c r="N43" s="462">
        <f t="shared" si="16"/>
        <v>8125</v>
      </c>
      <c r="O43" s="459">
        <f t="shared" si="21"/>
        <v>48750</v>
      </c>
      <c r="P43" s="27" t="s">
        <v>674</v>
      </c>
      <c r="Q43" s="417"/>
    </row>
    <row r="44" spans="1:17" x14ac:dyDescent="0.25">
      <c r="A44" s="927">
        <v>45637</v>
      </c>
      <c r="B44" s="302">
        <v>0.64583333333333337</v>
      </c>
      <c r="C44" s="302">
        <v>0.68055555555555558</v>
      </c>
      <c r="D44" s="29" t="s">
        <v>17</v>
      </c>
      <c r="E44" s="48" t="str">
        <f t="shared" si="20"/>
        <v>PRESENCIAL</v>
      </c>
      <c r="F44" s="462">
        <f t="shared" si="14"/>
        <v>20000</v>
      </c>
      <c r="G44" s="462">
        <f>+IF($D44="","-",+IF($E44=+$V$3,+ROUND((($C44-$B44)*+$V$13/$V$12),0),20000))</f>
        <v>20000</v>
      </c>
      <c r="H44" s="462">
        <v>0</v>
      </c>
      <c r="I44" s="462">
        <f t="shared" ref="I44:I51" si="23">+IF($D44="","-",+IF($E44=+$V$3,+ROUND((($C44-$B44)*+$V$13/$V$12),0),20000))</f>
        <v>20000</v>
      </c>
      <c r="J44" s="462">
        <v>0</v>
      </c>
      <c r="K44" s="462">
        <v>0</v>
      </c>
      <c r="L44" s="462">
        <v>0</v>
      </c>
      <c r="M44" s="462" t="s">
        <v>502</v>
      </c>
      <c r="N44" s="462">
        <v>0</v>
      </c>
      <c r="O44" s="459">
        <f t="shared" si="21"/>
        <v>60000</v>
      </c>
      <c r="P44" s="27" t="s">
        <v>682</v>
      </c>
      <c r="Q44" s="417"/>
    </row>
    <row r="45" spans="1:17" x14ac:dyDescent="0.25">
      <c r="A45" s="927">
        <v>45638</v>
      </c>
      <c r="B45" s="302">
        <v>0.4375</v>
      </c>
      <c r="C45" s="302">
        <v>0.47708333333333336</v>
      </c>
      <c r="D45" s="29" t="s">
        <v>18</v>
      </c>
      <c r="E45" s="48" t="str">
        <f t="shared" si="20"/>
        <v>ZOOM</v>
      </c>
      <c r="F45" s="462">
        <v>0</v>
      </c>
      <c r="G45" s="462">
        <f>+IF($D45="","-",+IF($E45=+$V$3,+ROUND((($C45-$B45)*+$V$13/$V$12),0),20000))</f>
        <v>2375</v>
      </c>
      <c r="H45" s="462">
        <f t="shared" ref="H45:H51" si="24">+IF($D45="","-",+IF($E45=+$V$3,+ROUND((($C45-$B45)*+$V$13/$V$12),0),20000))</f>
        <v>2375</v>
      </c>
      <c r="I45" s="462">
        <f t="shared" si="23"/>
        <v>2375</v>
      </c>
      <c r="J45" s="462">
        <f t="shared" ref="J45:J51" si="25">+IF($D45="","-",+IF($E45=+$V$3,+ROUND((($C45-$B45)*+$V$13/$V$12),0),20000))</f>
        <v>2375</v>
      </c>
      <c r="K45" s="462">
        <f t="shared" si="13"/>
        <v>2375</v>
      </c>
      <c r="L45" s="462">
        <f t="shared" si="18"/>
        <v>2375</v>
      </c>
      <c r="M45" s="462" t="s">
        <v>502</v>
      </c>
      <c r="N45" s="462">
        <f t="shared" si="16"/>
        <v>2375</v>
      </c>
      <c r="O45" s="459">
        <f t="shared" si="21"/>
        <v>16625</v>
      </c>
      <c r="P45" s="27" t="s">
        <v>683</v>
      </c>
      <c r="Q45" s="417"/>
    </row>
    <row r="46" spans="1:17" x14ac:dyDescent="0.25">
      <c r="A46" s="927">
        <v>45638</v>
      </c>
      <c r="B46" s="302">
        <v>0.47916666666666669</v>
      </c>
      <c r="C46" s="302">
        <v>0.49861111111111112</v>
      </c>
      <c r="D46" s="29" t="s">
        <v>18</v>
      </c>
      <c r="E46" s="48" t="str">
        <f t="shared" si="20"/>
        <v>ZOOM</v>
      </c>
      <c r="F46" s="462">
        <v>0</v>
      </c>
      <c r="G46" s="462">
        <f>+IF($D46="","-",+IF($E46=+$V$3,+ROUND((($C46-$B46)*+$V$13/$V$12),0),20000))</f>
        <v>1167</v>
      </c>
      <c r="H46" s="462">
        <f t="shared" si="24"/>
        <v>1167</v>
      </c>
      <c r="I46" s="462">
        <f t="shared" si="23"/>
        <v>1167</v>
      </c>
      <c r="J46" s="462">
        <f t="shared" si="25"/>
        <v>1167</v>
      </c>
      <c r="K46" s="462">
        <f t="shared" si="13"/>
        <v>1167</v>
      </c>
      <c r="L46" s="462">
        <f t="shared" si="18"/>
        <v>1167</v>
      </c>
      <c r="M46" s="462" t="s">
        <v>502</v>
      </c>
      <c r="N46" s="462">
        <f t="shared" si="16"/>
        <v>1167</v>
      </c>
      <c r="O46" s="459">
        <f t="shared" si="21"/>
        <v>8169</v>
      </c>
      <c r="P46" s="27" t="s">
        <v>684</v>
      </c>
      <c r="Q46" s="417"/>
    </row>
    <row r="47" spans="1:17" x14ac:dyDescent="0.25">
      <c r="A47" s="927">
        <v>45653</v>
      </c>
      <c r="B47" s="302">
        <v>0.41666666666666669</v>
      </c>
      <c r="C47" s="302">
        <v>0.53055555555555556</v>
      </c>
      <c r="D47" s="29" t="s">
        <v>18</v>
      </c>
      <c r="E47" s="48" t="str">
        <f t="shared" ref="E47:E53" si="26">+IF(D47="","-",+LOOKUP(D47,$U$3:$U$10,$V$3:$V$10))</f>
        <v>ZOOM</v>
      </c>
      <c r="F47" s="462">
        <f t="shared" si="14"/>
        <v>6833</v>
      </c>
      <c r="G47" s="462">
        <v>0</v>
      </c>
      <c r="H47" s="462">
        <f t="shared" si="24"/>
        <v>6833</v>
      </c>
      <c r="I47" s="462">
        <f t="shared" si="23"/>
        <v>6833</v>
      </c>
      <c r="J47" s="462">
        <f t="shared" si="25"/>
        <v>6833</v>
      </c>
      <c r="K47" s="462">
        <f t="shared" si="13"/>
        <v>6833</v>
      </c>
      <c r="L47" s="462">
        <f t="shared" si="18"/>
        <v>6833</v>
      </c>
      <c r="M47" s="462" t="s">
        <v>502</v>
      </c>
      <c r="N47" s="462">
        <f t="shared" si="16"/>
        <v>6833</v>
      </c>
      <c r="O47" s="459">
        <f t="shared" ref="O47:O53" si="27">SUM(F47:N47)</f>
        <v>47831</v>
      </c>
      <c r="P47" s="27" t="s">
        <v>688</v>
      </c>
      <c r="Q47" s="417"/>
    </row>
    <row r="48" spans="1:17" x14ac:dyDescent="0.25">
      <c r="A48" s="927">
        <v>45701</v>
      </c>
      <c r="B48" s="302">
        <v>0.4375</v>
      </c>
      <c r="C48" s="302">
        <v>0.52083333333333337</v>
      </c>
      <c r="D48" s="29" t="s">
        <v>18</v>
      </c>
      <c r="E48" s="48" t="str">
        <f t="shared" si="26"/>
        <v>ZOOM</v>
      </c>
      <c r="F48" s="462">
        <f t="shared" si="14"/>
        <v>5000</v>
      </c>
      <c r="G48" s="462">
        <f t="shared" ref="G48:G53" si="28">+IF($D48="","-",+IF($E48=+$V$3,+ROUND((($C48-$B48)*+$V$13/$V$12),0),20000))</f>
        <v>5000</v>
      </c>
      <c r="H48" s="462">
        <f t="shared" si="24"/>
        <v>5000</v>
      </c>
      <c r="I48" s="462">
        <f t="shared" si="23"/>
        <v>5000</v>
      </c>
      <c r="J48" s="462">
        <f t="shared" si="25"/>
        <v>5000</v>
      </c>
      <c r="K48" s="462">
        <f t="shared" si="13"/>
        <v>5000</v>
      </c>
      <c r="L48" s="462">
        <f t="shared" si="18"/>
        <v>5000</v>
      </c>
      <c r="M48" s="462" t="s">
        <v>502</v>
      </c>
      <c r="N48" s="462">
        <f t="shared" si="16"/>
        <v>5000</v>
      </c>
      <c r="O48" s="459">
        <f t="shared" si="27"/>
        <v>40000</v>
      </c>
      <c r="P48" s="27" t="s">
        <v>690</v>
      </c>
      <c r="Q48" s="417"/>
    </row>
    <row r="49" spans="1:17" x14ac:dyDescent="0.25">
      <c r="A49" s="927">
        <v>45726</v>
      </c>
      <c r="B49" s="302"/>
      <c r="C49" s="302"/>
      <c r="D49" s="29" t="s">
        <v>17</v>
      </c>
      <c r="E49" s="48" t="str">
        <f t="shared" si="26"/>
        <v>PRESENCIAL</v>
      </c>
      <c r="F49" s="462">
        <f t="shared" si="14"/>
        <v>20000</v>
      </c>
      <c r="G49" s="462">
        <v>0</v>
      </c>
      <c r="H49" s="462">
        <f t="shared" si="24"/>
        <v>20000</v>
      </c>
      <c r="I49" s="462">
        <v>0</v>
      </c>
      <c r="J49" s="462">
        <f t="shared" si="25"/>
        <v>20000</v>
      </c>
      <c r="K49" s="462">
        <f t="shared" si="13"/>
        <v>20000</v>
      </c>
      <c r="L49" s="462">
        <v>0</v>
      </c>
      <c r="M49" s="462" t="s">
        <v>502</v>
      </c>
      <c r="N49" s="462">
        <v>0</v>
      </c>
      <c r="O49" s="459">
        <f t="shared" si="27"/>
        <v>80000</v>
      </c>
      <c r="P49" s="27" t="s">
        <v>736</v>
      </c>
      <c r="Q49" s="417"/>
    </row>
    <row r="50" spans="1:17" x14ac:dyDescent="0.25">
      <c r="A50" s="927">
        <v>45729</v>
      </c>
      <c r="B50" s="302">
        <v>0.41666666666666669</v>
      </c>
      <c r="C50" s="302">
        <v>0.60416666666666663</v>
      </c>
      <c r="D50" s="29" t="s">
        <v>18</v>
      </c>
      <c r="E50" s="48" t="str">
        <f>+IF(D50="","-",+LOOKUP(D50,$U$3:$U$10,$V$3:$V$10))</f>
        <v>ZOOM</v>
      </c>
      <c r="F50" s="462">
        <v>0</v>
      </c>
      <c r="G50" s="462">
        <f>+IF($D50="","-",+IF($E50=+$V$3,+ROUND((($C50-$B50)*+$V$13/$V$12),0),20000))</f>
        <v>11250</v>
      </c>
      <c r="H50" s="462">
        <v>0</v>
      </c>
      <c r="I50" s="462">
        <v>0</v>
      </c>
      <c r="J50" s="462">
        <v>0</v>
      </c>
      <c r="K50" s="462">
        <f>+IF($D50="","-",+IF($E50=+$V$3,+ROUND((($C50-$B50)*+$V$13/$V$12),0),20000))</f>
        <v>11250</v>
      </c>
      <c r="L50" s="462">
        <v>0</v>
      </c>
      <c r="M50" s="462" t="s">
        <v>502</v>
      </c>
      <c r="N50" s="462">
        <v>0</v>
      </c>
      <c r="O50" s="459">
        <f>SUM(F50:N50)</f>
        <v>22500</v>
      </c>
      <c r="P50" s="27" t="s">
        <v>743</v>
      </c>
      <c r="Q50" s="417"/>
    </row>
    <row r="51" spans="1:17" x14ac:dyDescent="0.25">
      <c r="A51" s="927">
        <v>45730</v>
      </c>
      <c r="B51" s="302">
        <v>0.41666666666666669</v>
      </c>
      <c r="C51" s="302">
        <v>0.46388888888888891</v>
      </c>
      <c r="D51" s="29" t="s">
        <v>18</v>
      </c>
      <c r="E51" s="48" t="str">
        <f t="shared" si="26"/>
        <v>ZOOM</v>
      </c>
      <c r="F51" s="462">
        <f t="shared" si="14"/>
        <v>2833</v>
      </c>
      <c r="G51" s="462">
        <f t="shared" si="28"/>
        <v>2833</v>
      </c>
      <c r="H51" s="462">
        <f t="shared" si="24"/>
        <v>2833</v>
      </c>
      <c r="I51" s="462">
        <f t="shared" si="23"/>
        <v>2833</v>
      </c>
      <c r="J51" s="462">
        <f t="shared" si="25"/>
        <v>2833</v>
      </c>
      <c r="K51" s="462">
        <f t="shared" si="13"/>
        <v>2833</v>
      </c>
      <c r="L51" s="462">
        <f t="shared" si="18"/>
        <v>2833</v>
      </c>
      <c r="M51" s="462" t="s">
        <v>502</v>
      </c>
      <c r="N51" s="462">
        <f t="shared" si="16"/>
        <v>2833</v>
      </c>
      <c r="O51" s="459">
        <f t="shared" si="27"/>
        <v>22664</v>
      </c>
      <c r="P51" s="27" t="s">
        <v>737</v>
      </c>
      <c r="Q51" s="417"/>
    </row>
    <row r="52" spans="1:17" x14ac:dyDescent="0.25">
      <c r="A52" s="927">
        <v>45734</v>
      </c>
      <c r="B52" s="302">
        <v>0.45833333333333331</v>
      </c>
      <c r="C52" s="302">
        <v>0.54166666666666663</v>
      </c>
      <c r="D52" s="29" t="s">
        <v>18</v>
      </c>
      <c r="E52" s="48" t="str">
        <f>+IF(D52="","-",+LOOKUP(D52,$U$3:$U$10,$V$3:$V$10))</f>
        <v>ZOOM</v>
      </c>
      <c r="F52" s="462">
        <v>0</v>
      </c>
      <c r="G52" s="462">
        <f>+IF($D52="","-",+IF($E52=+$V$3,+ROUND((($C52-$B52)*+$V$13/$V$12),0),20000))</f>
        <v>5000</v>
      </c>
      <c r="H52" s="462">
        <f>+IF($D52="","-",+IF($E52=+$V$3,+ROUND((($C52-$B52)*+$V$13/$V$12),0),20000))</f>
        <v>5000</v>
      </c>
      <c r="I52" s="462">
        <v>0</v>
      </c>
      <c r="J52" s="462">
        <v>0</v>
      </c>
      <c r="K52" s="462">
        <f t="shared" si="13"/>
        <v>5000</v>
      </c>
      <c r="L52" s="462">
        <v>0</v>
      </c>
      <c r="M52" s="462" t="s">
        <v>502</v>
      </c>
      <c r="N52" s="462">
        <v>0</v>
      </c>
      <c r="O52" s="459">
        <f>SUM(F52:N52)</f>
        <v>15000</v>
      </c>
      <c r="P52" s="27" t="s">
        <v>744</v>
      </c>
      <c r="Q52" s="417"/>
    </row>
    <row r="53" spans="1:17" x14ac:dyDescent="0.25">
      <c r="A53" s="927">
        <v>45736</v>
      </c>
      <c r="B53" s="302"/>
      <c r="C53" s="302"/>
      <c r="D53" s="29" t="s">
        <v>19</v>
      </c>
      <c r="E53" s="48" t="str">
        <f t="shared" si="26"/>
        <v>PRESENCIAL</v>
      </c>
      <c r="F53" s="462">
        <v>0</v>
      </c>
      <c r="G53" s="462">
        <f t="shared" si="28"/>
        <v>20000</v>
      </c>
      <c r="H53" s="462">
        <v>0</v>
      </c>
      <c r="I53" s="462">
        <v>0</v>
      </c>
      <c r="J53" s="462">
        <v>0</v>
      </c>
      <c r="K53" s="462">
        <v>0</v>
      </c>
      <c r="L53" s="462">
        <v>0</v>
      </c>
      <c r="M53" s="462" t="s">
        <v>502</v>
      </c>
      <c r="N53" s="462">
        <v>0</v>
      </c>
      <c r="O53" s="459">
        <f t="shared" si="27"/>
        <v>20000</v>
      </c>
      <c r="P53" s="27" t="s">
        <v>738</v>
      </c>
      <c r="Q53" s="417"/>
    </row>
    <row r="54" spans="1:17" x14ac:dyDescent="0.25">
      <c r="F54" s="505"/>
      <c r="G54" s="505"/>
      <c r="H54" s="505"/>
      <c r="I54" s="505"/>
      <c r="J54" s="505"/>
      <c r="K54" s="505"/>
      <c r="L54" s="505"/>
      <c r="M54" s="505"/>
      <c r="N54" s="505"/>
      <c r="O54" s="505"/>
      <c r="Q54" s="417"/>
    </row>
  </sheetData>
  <sortState xmlns:xlrd2="http://schemas.microsoft.com/office/spreadsheetml/2017/richdata2" ref="U3:Y10">
    <sortCondition ref="U3:U10"/>
    <sortCondition ref="V3:V10"/>
  </sortState>
  <mergeCells count="1">
    <mergeCell ref="A1:D1"/>
  </mergeCells>
  <dataValidations count="1">
    <dataValidation type="list" allowBlank="1" showInputMessage="1" showErrorMessage="1" sqref="D3:D53" xr:uid="{00000000-0002-0000-0400-000000000000}">
      <formula1>$U$3:$U$10</formula1>
    </dataValidation>
  </dataValidations>
  <pageMargins left="0.7" right="0.7" top="0.75" bottom="0.75" header="0.3" footer="0.3"/>
  <pageSetup scale="70" orientation="landscape" r:id="rId1"/>
  <ignoredErrors>
    <ignoredError sqref="G55:Q55 L3:M8 O3:Q7 O9:Q11 O8 Q8 F10:J11 F3:J8 L10:M11 F39:J39 F9:M9 Q12:Q15 L39:M39 P16:Q16 N3:N11 F12:O17 F18:N19 H21 N21 F22 F23:N24 L26:M26 O26:Q26 F26:J26 L43:M43 G41:H42 M40:M42 F43 H43:I43 F44:G44 M44 O39:O45 Q39:Q45 G45:J45 L45:M46 G46:J46 O46 Q46" calculatedColumn="1"/>
  </ignoredErrors>
  <legacy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A1:Q43"/>
  <sheetViews>
    <sheetView showGridLines="0" zoomScaleNormal="100" workbookViewId="0">
      <pane ySplit="13" topLeftCell="A14" activePane="bottomLeft" state="frozen"/>
      <selection activeCell="L160" sqref="L160:M162"/>
      <selection pane="bottomLeft" activeCell="D41" sqref="D41"/>
    </sheetView>
  </sheetViews>
  <sheetFormatPr baseColWidth="10" defaultRowHeight="15" x14ac:dyDescent="0.25"/>
  <cols>
    <col min="1" max="1" width="4" style="23" bestFit="1" customWidth="1"/>
    <col min="2" max="2" width="9.7109375" style="23" customWidth="1"/>
    <col min="3" max="3" width="19.28515625" style="23" bestFit="1" customWidth="1"/>
    <col min="4" max="4" width="33.140625" style="23" bestFit="1" customWidth="1"/>
    <col min="5" max="8" width="13.7109375" style="30" customWidth="1"/>
    <col min="9" max="9" width="14.42578125" style="30" customWidth="1"/>
    <col min="10" max="10" width="13.7109375" style="23" customWidth="1"/>
    <col min="11" max="11" width="14" style="23" customWidth="1"/>
    <col min="12" max="12" width="13.7109375" style="23" customWidth="1"/>
    <col min="13" max="13" width="11.42578125" style="23"/>
    <col min="14" max="14" width="29.85546875" style="23" bestFit="1" customWidth="1"/>
    <col min="15" max="15" width="11.5703125" style="23" bestFit="1" customWidth="1"/>
    <col min="16" max="17" width="11.42578125" style="23"/>
    <col min="18" max="18" width="19.28515625" style="23" bestFit="1" customWidth="1"/>
    <col min="19" max="28" width="11.42578125" style="23"/>
    <col min="29" max="29" width="19.28515625" style="23" bestFit="1" customWidth="1"/>
    <col min="30" max="16384" width="11.42578125" style="23"/>
  </cols>
  <sheetData>
    <row r="1" spans="1:17" s="98" customFormat="1" x14ac:dyDescent="0.25">
      <c r="A1" s="127" t="s">
        <v>420</v>
      </c>
      <c r="B1" s="304" t="s">
        <v>135</v>
      </c>
      <c r="C1" s="304" t="s">
        <v>134</v>
      </c>
      <c r="D1" s="100" t="s">
        <v>87</v>
      </c>
      <c r="E1" s="100" t="s">
        <v>4</v>
      </c>
      <c r="F1" s="100" t="s">
        <v>62</v>
      </c>
      <c r="G1" s="100" t="s">
        <v>63</v>
      </c>
      <c r="H1" s="100" t="s">
        <v>64</v>
      </c>
      <c r="I1" s="100" t="s">
        <v>136</v>
      </c>
      <c r="J1" s="100" t="s">
        <v>66</v>
      </c>
      <c r="K1" s="100" t="s">
        <v>68</v>
      </c>
      <c r="L1" s="100" t="s">
        <v>29</v>
      </c>
      <c r="N1" s="32" t="s">
        <v>106</v>
      </c>
      <c r="O1" s="507" t="s">
        <v>444</v>
      </c>
    </row>
    <row r="2" spans="1:17" x14ac:dyDescent="0.25">
      <c r="A2" s="30">
        <f>+IF($A$12=0,"",+COUNTIF(Tabla5[CITACION],+Tabla3[[#This Row],[VIATICOS DE DIRECTORES ]]))</f>
        <v>3</v>
      </c>
      <c r="B2" s="40" t="str">
        <f t="shared" ref="B2:B9" si="0">IF(C2=0,"",+L2/C2)</f>
        <v/>
      </c>
      <c r="C2" s="41">
        <v>0</v>
      </c>
      <c r="D2" s="73" t="str">
        <f>+PLAN!B13</f>
        <v>ASAMBLEAS PLENARIAS ZOOM</v>
      </c>
      <c r="E2" s="43" t="s">
        <v>13</v>
      </c>
      <c r="F2" s="28">
        <f>+IF(Tabla3[[#This Row],[PLAN]]=0,0,+SUMIF(Tabla5[CITACION],+$D2,Tabla5[PASAJES]))</f>
        <v>0</v>
      </c>
      <c r="G2" s="28">
        <f>+IF(Tabla3[[#This Row],[PLAN]]=0,0,+SUMIF(Tabla5[CITACION],+$D2,Tabla5[COLACION]))</f>
        <v>0</v>
      </c>
      <c r="H2" s="28">
        <f>+IF(Tabla3[[#This Row],[PLAN]]=0,0,+SUMIF(Tabla5[CITACION],+$D2,Tabla5[METRO]))</f>
        <v>0</v>
      </c>
      <c r="I2" s="28">
        <f>+IF(Tabla3[[#This Row],[PLAN]]=0,0,+SUMIF(Tabla5[CITACION],+$D2,Tabla5[TAXI / COLEC]))</f>
        <v>0</v>
      </c>
      <c r="J2" s="28">
        <f>+IF(Tabla3[[#This Row],[PLAN]]=0,0,+SUMIF(Tabla5[CITACION],+$D2,Tabla5[HOTEL]))</f>
        <v>0</v>
      </c>
      <c r="K2" s="28">
        <f>+IF(Tabla3[[#This Row],[PLAN]]=0,0,+SUMIF(Tabla5[CITACION],+$D2,Tabla5[REEMBOLSO]))</f>
        <v>0</v>
      </c>
      <c r="L2" s="44">
        <f t="shared" ref="L2:L9" si="1">SUM(F2:K2)</f>
        <v>0</v>
      </c>
      <c r="M2" s="24"/>
      <c r="N2" s="33" t="str">
        <f>+PLAN!B103</f>
        <v>RICHARD TOLOZA</v>
      </c>
      <c r="O2" s="806">
        <f>+SUMIF(Tabla5[NOMBRE],Tabla7[[#This Row],[DIRECTORES]],Tabla5[TOTAL])</f>
        <v>600569</v>
      </c>
      <c r="P2" s="24"/>
      <c r="Q2" s="25"/>
    </row>
    <row r="3" spans="1:17" x14ac:dyDescent="0.25">
      <c r="A3" s="30">
        <f>+IF($A$12=0,"",+COUNTIF(Tabla5[CITACION],+Tabla3[[#This Row],[VIATICOS DE DIRECTORES ]]))</f>
        <v>1</v>
      </c>
      <c r="B3" s="40">
        <f t="shared" si="0"/>
        <v>0</v>
      </c>
      <c r="C3" s="41">
        <f>+PLAN!H27</f>
        <v>720000</v>
      </c>
      <c r="D3" s="129" t="str">
        <f>+PLAN!B27</f>
        <v>PLENARIAS DIRECTOR S/SB</v>
      </c>
      <c r="E3" s="43" t="s">
        <v>16</v>
      </c>
      <c r="F3" s="28">
        <f>+IF(Tabla3[[#This Row],[PLAN]]=0,0,+SUMIF(Tabla5[CITACION],+$D3,Tabla5[PASAJES]))</f>
        <v>0</v>
      </c>
      <c r="G3" s="28">
        <f>+IF(Tabla3[[#This Row],[PLAN]]=0,0,+SUMIF(Tabla5[CITACION],+$D3,Tabla5[COLACION]))</f>
        <v>0</v>
      </c>
      <c r="H3" s="28">
        <f>+IF(Tabla3[[#This Row],[PLAN]]=0,0,+SUMIF(Tabla5[CITACION],+$D3,Tabla5[METRO]))</f>
        <v>0</v>
      </c>
      <c r="I3" s="28">
        <f>+IF(Tabla3[[#This Row],[PLAN]]=0,0,+SUMIF(Tabla5[CITACION],+$D3,Tabla5[TAXI / COLEC]))</f>
        <v>0</v>
      </c>
      <c r="J3" s="28">
        <f>+IF(Tabla3[[#This Row],[PLAN]]=0,0,+SUMIF(Tabla5[CITACION],+$D3,Tabla5[HOTEL]))</f>
        <v>0</v>
      </c>
      <c r="K3" s="28">
        <f>+IF(Tabla3[[#This Row],[PLAN]]=0,0,+SUMIF(Tabla5[CITACION],+$D3,Tabla5[REEMBOLSO]))</f>
        <v>0</v>
      </c>
      <c r="L3" s="44">
        <f t="shared" si="1"/>
        <v>0</v>
      </c>
      <c r="M3" s="24"/>
      <c r="N3" s="33" t="str">
        <f>+PLAN!B104</f>
        <v>FELIPE SALAZAR</v>
      </c>
      <c r="O3" s="806">
        <f>+SUMIF(Tabla5[NOMBRE],Tabla7[[#This Row],[DIRECTORES]],Tabla5[TOTAL])</f>
        <v>155959</v>
      </c>
      <c r="P3" s="24"/>
      <c r="Q3" s="25"/>
    </row>
    <row r="4" spans="1:17" x14ac:dyDescent="0.25">
      <c r="A4" s="30">
        <f>+IF($A$12=0,"",+COUNTIF(Tabla5[CITACION],+Tabla3[[#This Row],[VIATICOS DE DIRECTORES ]]))</f>
        <v>23</v>
      </c>
      <c r="B4" s="40">
        <f t="shared" si="0"/>
        <v>1.4717722222222223</v>
      </c>
      <c r="C4" s="41">
        <f>+PLAN!H25</f>
        <v>900000</v>
      </c>
      <c r="D4" s="129" t="str">
        <f>+PLAN!B15</f>
        <v>REUNION EJECUTIVO PRESENCIAL</v>
      </c>
      <c r="E4" s="43" t="s">
        <v>16</v>
      </c>
      <c r="F4" s="28">
        <f>+IF(Tabla3[[#This Row],[PLAN]]=0,0,+SUMIF(Tabla5[CITACION],+$D4,Tabla5[PASAJES]))</f>
        <v>274040</v>
      </c>
      <c r="G4" s="28">
        <f>+IF(Tabla3[[#This Row],[PLAN]]=0,0,+SUMIF(Tabla5[CITACION],+$D4,Tabla5[COLACION]))</f>
        <v>143519</v>
      </c>
      <c r="H4" s="28">
        <f>+IF(Tabla3[[#This Row],[PLAN]]=0,0,+SUMIF(Tabla5[CITACION],+$D4,Tabla5[METRO]))</f>
        <v>24000</v>
      </c>
      <c r="I4" s="28">
        <f>+IF(Tabla3[[#This Row],[PLAN]]=0,0,+SUMIF(Tabla5[CITACION],+$D4,Tabla5[TAXI / COLEC]))</f>
        <v>35380</v>
      </c>
      <c r="J4" s="28">
        <f>+IF(Tabla3[[#This Row],[PLAN]]=0,0,+SUMIF(Tabla5[CITACION],+$D4,Tabla5[HOTEL]))</f>
        <v>1100</v>
      </c>
      <c r="K4" s="28">
        <f>+IF(Tabla3[[#This Row],[PLAN]]=0,0,+SUMIF(Tabla5[CITACION],+$D4,Tabla5[REEMBOLSO]))</f>
        <v>846556</v>
      </c>
      <c r="L4" s="44">
        <f t="shared" si="1"/>
        <v>1324595</v>
      </c>
      <c r="M4" s="24"/>
      <c r="N4" s="33" t="str">
        <f>+PLAN!B105</f>
        <v>CHRISTIAN TORRES</v>
      </c>
      <c r="O4" s="806">
        <f>+SUMIF(Tabla5[NOMBRE],Tabla7[[#This Row],[DIRECTORES]],Tabla5[TOTAL])</f>
        <v>458913</v>
      </c>
      <c r="P4" s="24"/>
      <c r="Q4" s="25"/>
    </row>
    <row r="5" spans="1:17" hidden="1" x14ac:dyDescent="0.25">
      <c r="A5" s="30">
        <f>+IF($A$12=0,"",+COUNTIF(Tabla5[CITACION],+Tabla3[[#This Row],[VIATICOS DE DIRECTORES ]]))</f>
        <v>0</v>
      </c>
      <c r="B5" s="40" t="str">
        <f t="shared" si="0"/>
        <v/>
      </c>
      <c r="C5" s="41">
        <v>0</v>
      </c>
      <c r="D5" s="73" t="str">
        <f>+PLAN!B14</f>
        <v>REUNIONES DIRECTORIO ZOOM (2H)</v>
      </c>
      <c r="E5" s="43" t="s">
        <v>13</v>
      </c>
      <c r="F5" s="28">
        <f>+IF(Tabla3[[#This Row],[PLAN]]=0,0,+SUMIF(Tabla5[CITACION],+$D5,Tabla5[PASAJES]))</f>
        <v>0</v>
      </c>
      <c r="G5" s="28">
        <f>+IF(Tabla3[[#This Row],[PLAN]]=0,0,+SUMIF(Tabla5[CITACION],+$D5,Tabla5[COLACION]))</f>
        <v>0</v>
      </c>
      <c r="H5" s="28">
        <f>+IF(Tabla3[[#This Row],[PLAN]]=0,0,+SUMIF(Tabla5[CITACION],+$D5,Tabla5[METRO]))</f>
        <v>0</v>
      </c>
      <c r="I5" s="28">
        <f>+IF(Tabla3[[#This Row],[PLAN]]=0,0,+SUMIF(Tabla5[CITACION],+$D5,Tabla5[TAXI / COLEC]))</f>
        <v>0</v>
      </c>
      <c r="J5" s="28">
        <f>+IF(Tabla3[[#This Row],[PLAN]]=0,0,+SUMIF(Tabla5[CITACION],+$D5,Tabla5[HOTEL]))</f>
        <v>0</v>
      </c>
      <c r="K5" s="28">
        <f>+IF(Tabla3[[#This Row],[PLAN]]=0,0,+SUMIF(Tabla5[CITACION],+$D5,Tabla5[REEMBOLSO]))</f>
        <v>0</v>
      </c>
      <c r="L5" s="44">
        <f t="shared" si="1"/>
        <v>0</v>
      </c>
      <c r="M5" s="24"/>
      <c r="N5" s="33" t="str">
        <f>+PLAN!B106</f>
        <v>ALEJANDRA BECERRA</v>
      </c>
      <c r="O5" s="806">
        <f>+SUMIF(Tabla5[NOMBRE],Tabla7[[#This Row],[DIRECTORES]],Tabla5[TOTAL])</f>
        <v>0</v>
      </c>
      <c r="P5" s="24"/>
      <c r="Q5" s="25"/>
    </row>
    <row r="6" spans="1:17" x14ac:dyDescent="0.25">
      <c r="A6" s="30">
        <f>+IF($A$12=0,"",+COUNTIF(Tabla5[CITACION],+Tabla3[[#This Row],[VIATICOS DE DIRECTORES ]]))</f>
        <v>1</v>
      </c>
      <c r="B6" s="40">
        <f t="shared" si="0"/>
        <v>0</v>
      </c>
      <c r="C6" s="41">
        <f>+PLAN!H26</f>
        <v>600000</v>
      </c>
      <c r="D6" s="129" t="str">
        <f>+PLAN!B17</f>
        <v>REUNIONES ESPECIALES</v>
      </c>
      <c r="E6" s="43" t="s">
        <v>16</v>
      </c>
      <c r="F6" s="28">
        <f>+IF(Tabla3[[#This Row],[PLAN]]=0,0,+SUMIF(Tabla5[CITACION],+$D6,Tabla5[PASAJES]))</f>
        <v>0</v>
      </c>
      <c r="G6" s="28">
        <f>+IF(Tabla3[[#This Row],[PLAN]]=0,0,+SUMIF(Tabla5[CITACION],+$D6,Tabla5[COLACION]))</f>
        <v>0</v>
      </c>
      <c r="H6" s="28">
        <f>+IF(Tabla3[[#This Row],[PLAN]]=0,0,+SUMIF(Tabla5[CITACION],+$D6,Tabla5[METRO]))</f>
        <v>0</v>
      </c>
      <c r="I6" s="28">
        <f>+IF(Tabla3[[#This Row],[PLAN]]=0,0,+SUMIF(Tabla5[CITACION],+$D6,Tabla5[TAXI / COLEC]))</f>
        <v>0</v>
      </c>
      <c r="J6" s="28">
        <f>+IF(Tabla3[[#This Row],[PLAN]]=0,0,+SUMIF(Tabla5[CITACION],+$D6,Tabla5[HOTEL]))</f>
        <v>0</v>
      </c>
      <c r="K6" s="28">
        <f>+IF(Tabla3[[#This Row],[PLAN]]=0,0,+SUMIF(Tabla5[CITACION],+$D6,Tabla5[REEMBOLSO]))</f>
        <v>0</v>
      </c>
      <c r="L6" s="44">
        <f t="shared" si="1"/>
        <v>0</v>
      </c>
      <c r="M6" s="24"/>
      <c r="N6" s="33" t="str">
        <f>+PLAN!B107</f>
        <v xml:space="preserve">PATRICIO BUSTOS </v>
      </c>
      <c r="O6" s="806">
        <f>+SUMIF(Tabla5[NOMBRE],Tabla7[[#This Row],[DIRECTORES]],Tabla5[TOTAL])</f>
        <v>48000</v>
      </c>
      <c r="P6" s="24"/>
      <c r="Q6" s="25"/>
    </row>
    <row r="7" spans="1:17" hidden="1" x14ac:dyDescent="0.25">
      <c r="A7" s="30">
        <f>+IF($A$12=0,"",+COUNTIF(Tabla5[CITACION],+Tabla3[[#This Row],[VIATICOS DE DIRECTORES ]]))</f>
        <v>0</v>
      </c>
      <c r="B7" s="40" t="str">
        <f t="shared" si="0"/>
        <v/>
      </c>
      <c r="C7" s="41">
        <v>0</v>
      </c>
      <c r="D7" s="73" t="str">
        <f>+PLAN!B16</f>
        <v>REUNIONES ZOOM (2 HR)</v>
      </c>
      <c r="E7" s="39" t="s">
        <v>13</v>
      </c>
      <c r="F7" s="28">
        <f>+IF(Tabla3[[#This Row],[PLAN]]=0,0,+SUMIF(Tabla5[CITACION],+$D7,Tabla5[PASAJES]))</f>
        <v>0</v>
      </c>
      <c r="G7" s="28">
        <f>+IF(Tabla3[[#This Row],[PLAN]]=0,0,+SUMIF(Tabla5[CITACION],+$D7,Tabla5[COLACION]))</f>
        <v>0</v>
      </c>
      <c r="H7" s="28">
        <f>+IF(Tabla3[[#This Row],[PLAN]]=0,0,+SUMIF(Tabla5[CITACION],+$D7,Tabla5[METRO]))</f>
        <v>0</v>
      </c>
      <c r="I7" s="28">
        <f>+IF(Tabla3[[#This Row],[PLAN]]=0,0,+SUMIF(Tabla5[CITACION],+$D7,Tabla5[TAXI / COLEC]))</f>
        <v>0</v>
      </c>
      <c r="J7" s="28">
        <f>+IF(Tabla3[[#This Row],[PLAN]]=0,0,+SUMIF(Tabla5[CITACION],+$D7,Tabla5[HOTEL]))</f>
        <v>0</v>
      </c>
      <c r="K7" s="28">
        <f>+IF(Tabla3[[#This Row],[PLAN]]=0,0,+SUMIF(Tabla5[CITACION],+$D7,Tabla5[REEMBOLSO]))</f>
        <v>0</v>
      </c>
      <c r="L7" s="44">
        <f t="shared" si="1"/>
        <v>0</v>
      </c>
      <c r="M7" s="24"/>
      <c r="N7" s="33" t="str">
        <f>+PLAN!B108</f>
        <v>ANDREA DIAZ</v>
      </c>
      <c r="O7" s="806">
        <f>+SUMIF(Tabla5[NOMBRE],Tabla7[[#This Row],[DIRECTORES]],Tabla5[TOTAL])</f>
        <v>62810</v>
      </c>
      <c r="P7" s="24"/>
      <c r="Q7" s="25"/>
    </row>
    <row r="8" spans="1:17" hidden="1" x14ac:dyDescent="0.25">
      <c r="A8" s="30">
        <f>+IF($A$12=0,"",+COUNTIF(Tabla5[CITACION],+Tabla3[[#This Row],[VIATICOS DE DIRECTORES ]]))</f>
        <v>0</v>
      </c>
      <c r="B8" s="40" t="str">
        <f t="shared" si="0"/>
        <v/>
      </c>
      <c r="C8" s="41">
        <f>+PLAN!H28</f>
        <v>0</v>
      </c>
      <c r="D8" s="73" t="str">
        <f>+PLAN!B19</f>
        <v>VISITAS ZONA NORTE ZOOM</v>
      </c>
      <c r="E8" s="39" t="s">
        <v>13</v>
      </c>
      <c r="F8" s="28">
        <f>+IF(Tabla3[[#This Row],[PLAN]]=0,0,+SUMIF(Tabla5[CITACION],+$D8,Tabla5[PASAJES]))</f>
        <v>0</v>
      </c>
      <c r="G8" s="28">
        <f>+IF(Tabla3[[#This Row],[PLAN]]=0,0,+SUMIF(Tabla5[CITACION],+$D8,Tabla5[COLACION]))</f>
        <v>0</v>
      </c>
      <c r="H8" s="28">
        <f>+IF(Tabla3[[#This Row],[PLAN]]=0,0,+SUMIF(Tabla5[CITACION],+$D8,Tabla5[METRO]))</f>
        <v>0</v>
      </c>
      <c r="I8" s="28">
        <f>+IF(Tabla3[[#This Row],[PLAN]]=0,0,+SUMIF(Tabla5[CITACION],+$D8,Tabla5[TAXI / COLEC]))</f>
        <v>0</v>
      </c>
      <c r="J8" s="28">
        <f>+IF(Tabla3[[#This Row],[PLAN]]=0,0,+SUMIF(Tabla5[CITACION],+$D8,Tabla5[HOTEL]))</f>
        <v>0</v>
      </c>
      <c r="K8" s="28">
        <f>+IF(Tabla3[[#This Row],[PLAN]]=0,0,+SUMIF(Tabla5[CITACION],+$D8,Tabla5[REEMBOLSO]))</f>
        <v>0</v>
      </c>
      <c r="L8" s="44">
        <f t="shared" si="1"/>
        <v>0</v>
      </c>
      <c r="M8" s="24"/>
      <c r="N8" s="33" t="str">
        <f>+PLAN!B109</f>
        <v>CLAUDIA VILLAGRAN</v>
      </c>
      <c r="O8" s="806">
        <f>+SUMIF(Tabla5[NOMBRE],Tabla7[[#This Row],[DIRECTORES]],Tabla5[TOTAL])</f>
        <v>5934</v>
      </c>
      <c r="P8" s="24"/>
      <c r="Q8" s="25"/>
    </row>
    <row r="9" spans="1:17" hidden="1" x14ac:dyDescent="0.25">
      <c r="A9" s="30">
        <f>+IF($A$12=0,"",+COUNTIF(Tabla5[CITACION],+Tabla3[[#This Row],[VIATICOS DE DIRECTORES ]]))</f>
        <v>0</v>
      </c>
      <c r="B9" s="40" t="str">
        <f t="shared" si="0"/>
        <v/>
      </c>
      <c r="C9" s="41">
        <f>+PLAN!H29</f>
        <v>0</v>
      </c>
      <c r="D9" s="73" t="str">
        <f>+PLAN!B20</f>
        <v xml:space="preserve">VISITAS ZONA SUR ZOOM </v>
      </c>
      <c r="E9" s="39" t="s">
        <v>13</v>
      </c>
      <c r="F9" s="28">
        <f>+IF(Tabla3[[#This Row],[PLAN]]=0,0,+SUMIF(Tabla5[CITACION],+$D9,Tabla5[PASAJES]))</f>
        <v>0</v>
      </c>
      <c r="G9" s="28">
        <f>+IF(Tabla3[[#This Row],[PLAN]]=0,0,+SUMIF(Tabla5[CITACION],+$D9,Tabla5[COLACION]))</f>
        <v>0</v>
      </c>
      <c r="H9" s="28">
        <f>+IF(Tabla3[[#This Row],[PLAN]]=0,0,+SUMIF(Tabla5[CITACION],+$D9,Tabla5[METRO]))</f>
        <v>0</v>
      </c>
      <c r="I9" s="28">
        <f>+IF(Tabla3[[#This Row],[PLAN]]=0,0,+SUMIF(Tabla5[CITACION],+$D9,Tabla5[TAXI / COLEC]))</f>
        <v>0</v>
      </c>
      <c r="J9" s="28">
        <f>+IF(Tabla3[[#This Row],[PLAN]]=0,0,+SUMIF(Tabla5[CITACION],+$D9,Tabla5[HOTEL]))</f>
        <v>0</v>
      </c>
      <c r="K9" s="28">
        <f>+IF(Tabla3[[#This Row],[PLAN]]=0,0,+SUMIF(Tabla5[CITACION],+$D9,Tabla5[REEMBOLSO]))</f>
        <v>0</v>
      </c>
      <c r="L9" s="44">
        <f t="shared" si="1"/>
        <v>0</v>
      </c>
      <c r="M9" s="24"/>
      <c r="N9" s="33" t="str">
        <f>+PLAN!B110</f>
        <v>JORGE YAÑEZ</v>
      </c>
      <c r="O9" s="806">
        <f>+SUMIF(Tabla5[NOMBRE],Tabla7[[#This Row],[DIRECTORES]],Tabla5[TOTAL])</f>
        <v>0</v>
      </c>
      <c r="P9" s="24"/>
      <c r="Q9" s="25"/>
    </row>
    <row r="10" spans="1:17" x14ac:dyDescent="0.25">
      <c r="A10" s="30">
        <f>+IF(A12=0,"",+A12)</f>
        <v>28</v>
      </c>
      <c r="B10" s="24"/>
      <c r="C10" s="26">
        <f>SUM(C2:C9)</f>
        <v>2220000</v>
      </c>
      <c r="D10" s="27"/>
      <c r="E10" s="27"/>
      <c r="F10" s="28">
        <f>SUBTOTAL(109,Tabla3[PASAJES])</f>
        <v>274040</v>
      </c>
      <c r="G10" s="28">
        <f>SUBTOTAL(109,Tabla3[COLACION])</f>
        <v>143519</v>
      </c>
      <c r="H10" s="28">
        <f>SUBTOTAL(109,Tabla3[METRO])</f>
        <v>24000</v>
      </c>
      <c r="I10" s="28">
        <f>SUBTOTAL(109,Tabla3[TAXI / COLEC])</f>
        <v>35380</v>
      </c>
      <c r="J10" s="28">
        <f>SUBTOTAL(109,Tabla3[HOTEL])</f>
        <v>1100</v>
      </c>
      <c r="K10" s="28">
        <f>SUBTOTAL(109,Tabla3[REEMBOLSO])</f>
        <v>846556</v>
      </c>
      <c r="L10" s="28">
        <f>SUM(F2:K9)</f>
        <v>1324595</v>
      </c>
      <c r="N10" s="33" t="str">
        <f>+PLAN!B111</f>
        <v>EUGENIA ORTIZ</v>
      </c>
      <c r="O10" s="806">
        <f>+SUMIF(Tabla5[NOMBRE],Tabla7[[#This Row],[DIRECTORES]],Tabla5[TOTAL])</f>
        <v>45750</v>
      </c>
    </row>
    <row r="11" spans="1:17" x14ac:dyDescent="0.25">
      <c r="A11" s="29"/>
      <c r="D11" s="27"/>
      <c r="E11" s="27"/>
      <c r="F11" s="28"/>
      <c r="G11" s="28"/>
      <c r="H11" s="28"/>
      <c r="I11" s="28"/>
      <c r="J11" s="28"/>
      <c r="K11" s="28">
        <f>+K12-K10</f>
        <v>53340</v>
      </c>
      <c r="N11" s="33" t="str">
        <f>+PLAN!B112</f>
        <v>XAVIER CARVAJAL</v>
      </c>
      <c r="O11" s="806">
        <f>+SUMIF(Tabla5[NOMBRE],Tabla7[[#This Row],[DIRECTORES]],Tabla5[TOTAL])</f>
        <v>0</v>
      </c>
    </row>
    <row r="12" spans="1:17" x14ac:dyDescent="0.25">
      <c r="A12" s="116">
        <f>+Tabla5[[#Totals],[CITACION]]</f>
        <v>28</v>
      </c>
      <c r="B12" s="80" t="str">
        <f>+Tabla5[[#Totals],[FECHA]]</f>
        <v>Total</v>
      </c>
      <c r="C12" s="80"/>
      <c r="E12" s="80"/>
      <c r="F12" s="117">
        <f>+Tabla5[[#Totals],[PASAJES]]</f>
        <v>274040</v>
      </c>
      <c r="G12" s="117">
        <f>+Tabla5[[#Totals],[COLACION]]</f>
        <v>143519</v>
      </c>
      <c r="H12" s="117">
        <f>+Tabla5[[#Totals],[METRO]]</f>
        <v>24000</v>
      </c>
      <c r="I12" s="117">
        <f>+Tabla5[[#Totals],[TAXI / COLEC]]</f>
        <v>35380</v>
      </c>
      <c r="J12" s="117">
        <f>+Tabla5[[#Totals],[HOTEL]]</f>
        <v>1100</v>
      </c>
      <c r="K12" s="117">
        <f>+Tabla5[[#Totals],[REEMBOLSO]]</f>
        <v>899896</v>
      </c>
      <c r="L12" s="117">
        <f>+Tabla5[[#Totals],[TOTAL]]</f>
        <v>1377935</v>
      </c>
    </row>
    <row r="13" spans="1:17" s="98" customFormat="1" x14ac:dyDescent="0.25">
      <c r="B13" s="93" t="s">
        <v>0</v>
      </c>
      <c r="C13" s="93" t="s">
        <v>126</v>
      </c>
      <c r="D13" s="93" t="s">
        <v>3</v>
      </c>
      <c r="E13" s="93" t="s">
        <v>4</v>
      </c>
      <c r="F13" s="93" t="s">
        <v>62</v>
      </c>
      <c r="G13" s="93" t="s">
        <v>63</v>
      </c>
      <c r="H13" s="93" t="s">
        <v>64</v>
      </c>
      <c r="I13" s="99" t="s">
        <v>136</v>
      </c>
      <c r="J13" s="93" t="s">
        <v>66</v>
      </c>
      <c r="K13" s="100" t="s">
        <v>68</v>
      </c>
      <c r="L13" s="93" t="s">
        <v>29</v>
      </c>
      <c r="N13" s="23"/>
      <c r="O13" s="23"/>
    </row>
    <row r="14" spans="1:17" x14ac:dyDescent="0.25">
      <c r="B14" s="586">
        <v>45384</v>
      </c>
      <c r="C14" s="587" t="s">
        <v>213</v>
      </c>
      <c r="D14" s="587" t="s">
        <v>20</v>
      </c>
      <c r="E14" s="588" t="str">
        <f t="shared" ref="E14:E42" si="2">+IF(D14&lt;&gt;"",+LOOKUP(D14,$D$2:$D$9,$E$2:$E$9),"-")</f>
        <v>PRESENCIAL</v>
      </c>
      <c r="F14" s="382">
        <v>0</v>
      </c>
      <c r="G14" s="382">
        <v>0</v>
      </c>
      <c r="H14" s="382">
        <v>0</v>
      </c>
      <c r="I14" s="382">
        <v>0</v>
      </c>
      <c r="J14" s="382">
        <v>0</v>
      </c>
      <c r="K14" s="382">
        <v>0</v>
      </c>
      <c r="L14" s="925">
        <f t="shared" ref="L14:L42" si="3">SUM(F14:K14)</f>
        <v>0</v>
      </c>
      <c r="N14" s="98"/>
      <c r="O14" s="98"/>
    </row>
    <row r="15" spans="1:17" x14ac:dyDescent="0.25">
      <c r="B15" s="586">
        <v>45328</v>
      </c>
      <c r="C15" s="587" t="s">
        <v>140</v>
      </c>
      <c r="D15" s="587" t="s">
        <v>14</v>
      </c>
      <c r="E15" s="588" t="str">
        <f t="shared" si="2"/>
        <v>ZOOM</v>
      </c>
      <c r="F15" s="382">
        <v>0</v>
      </c>
      <c r="G15" s="382">
        <v>0</v>
      </c>
      <c r="H15" s="382">
        <v>0</v>
      </c>
      <c r="I15" s="382">
        <v>0</v>
      </c>
      <c r="J15" s="382">
        <v>0</v>
      </c>
      <c r="K15" s="382">
        <v>12000</v>
      </c>
      <c r="L15" s="925">
        <f t="shared" si="3"/>
        <v>12000</v>
      </c>
    </row>
    <row r="16" spans="1:17" x14ac:dyDescent="0.25">
      <c r="B16" s="586">
        <v>45385</v>
      </c>
      <c r="C16" s="587" t="s">
        <v>139</v>
      </c>
      <c r="D16" s="587" t="s">
        <v>14</v>
      </c>
      <c r="E16" s="588" t="str">
        <f t="shared" si="2"/>
        <v>ZOOM</v>
      </c>
      <c r="F16" s="382">
        <v>0</v>
      </c>
      <c r="G16" s="382">
        <v>0</v>
      </c>
      <c r="H16" s="382">
        <v>0</v>
      </c>
      <c r="I16" s="382">
        <v>0</v>
      </c>
      <c r="J16" s="382">
        <v>0</v>
      </c>
      <c r="K16" s="382">
        <f>36060+2300+1200</f>
        <v>39560</v>
      </c>
      <c r="L16" s="925">
        <f t="shared" si="3"/>
        <v>39560</v>
      </c>
    </row>
    <row r="17" spans="2:13" x14ac:dyDescent="0.25">
      <c r="B17" s="586">
        <v>45385</v>
      </c>
      <c r="C17" s="587" t="s">
        <v>140</v>
      </c>
      <c r="D17" s="587" t="s">
        <v>14</v>
      </c>
      <c r="E17" s="588" t="str">
        <f t="shared" si="2"/>
        <v>ZOOM</v>
      </c>
      <c r="F17" s="382">
        <v>0</v>
      </c>
      <c r="G17" s="382">
        <v>0</v>
      </c>
      <c r="H17" s="382">
        <v>0</v>
      </c>
      <c r="I17" s="382">
        <v>0</v>
      </c>
      <c r="J17" s="382">
        <v>0</v>
      </c>
      <c r="K17" s="382">
        <v>1780</v>
      </c>
      <c r="L17" s="925">
        <f t="shared" si="3"/>
        <v>1780</v>
      </c>
    </row>
    <row r="18" spans="2:13" x14ac:dyDescent="0.25">
      <c r="B18" s="586">
        <v>45406</v>
      </c>
      <c r="C18" s="587" t="s">
        <v>213</v>
      </c>
      <c r="D18" s="587" t="s">
        <v>19</v>
      </c>
      <c r="E18" s="588" t="str">
        <f t="shared" si="2"/>
        <v>PRESENCIAL</v>
      </c>
      <c r="F18" s="382">
        <v>0</v>
      </c>
      <c r="G18" s="382">
        <v>0</v>
      </c>
      <c r="H18" s="382">
        <v>0</v>
      </c>
      <c r="I18" s="382">
        <v>0</v>
      </c>
      <c r="J18" s="382">
        <v>0</v>
      </c>
      <c r="K18" s="382">
        <v>0</v>
      </c>
      <c r="L18" s="925">
        <f t="shared" si="3"/>
        <v>0</v>
      </c>
    </row>
    <row r="19" spans="2:13" x14ac:dyDescent="0.25">
      <c r="B19" s="586">
        <v>45418</v>
      </c>
      <c r="C19" s="587" t="s">
        <v>213</v>
      </c>
      <c r="D19" s="587" t="s">
        <v>17</v>
      </c>
      <c r="E19" s="588" t="str">
        <f t="shared" si="2"/>
        <v>PRESENCIAL</v>
      </c>
      <c r="F19" s="382">
        <v>0</v>
      </c>
      <c r="G19" s="382">
        <v>0</v>
      </c>
      <c r="H19" s="382">
        <v>0</v>
      </c>
      <c r="I19" s="382">
        <v>0</v>
      </c>
      <c r="J19" s="382">
        <v>0</v>
      </c>
      <c r="K19" s="382">
        <v>0</v>
      </c>
      <c r="L19" s="925">
        <f t="shared" si="3"/>
        <v>0</v>
      </c>
    </row>
    <row r="20" spans="2:13" x14ac:dyDescent="0.25">
      <c r="B20" s="586">
        <v>45418</v>
      </c>
      <c r="C20" s="587" t="s">
        <v>140</v>
      </c>
      <c r="D20" s="587" t="s">
        <v>17</v>
      </c>
      <c r="E20" s="588" t="str">
        <f t="shared" si="2"/>
        <v>PRESENCIAL</v>
      </c>
      <c r="F20" s="382">
        <f>12000+19420+24150</f>
        <v>55570</v>
      </c>
      <c r="G20" s="382">
        <f>3400+5880+1000</f>
        <v>10280</v>
      </c>
      <c r="H20" s="382">
        <v>3000</v>
      </c>
      <c r="I20" s="382">
        <v>0</v>
      </c>
      <c r="J20" s="382">
        <v>0</v>
      </c>
      <c r="K20" s="382">
        <f>500+500</f>
        <v>1000</v>
      </c>
      <c r="L20" s="925">
        <f t="shared" si="3"/>
        <v>69850</v>
      </c>
    </row>
    <row r="21" spans="2:13" x14ac:dyDescent="0.25">
      <c r="B21" s="586">
        <v>45418</v>
      </c>
      <c r="C21" s="587" t="s">
        <v>139</v>
      </c>
      <c r="D21" s="587" t="s">
        <v>17</v>
      </c>
      <c r="E21" s="588" t="str">
        <f t="shared" si="2"/>
        <v>PRESENCIAL</v>
      </c>
      <c r="F21" s="382">
        <f>5000+7000</f>
        <v>12000</v>
      </c>
      <c r="G21" s="382">
        <v>1490</v>
      </c>
      <c r="H21" s="382">
        <v>10000</v>
      </c>
      <c r="I21" s="382">
        <f>2000+1700</f>
        <v>3700</v>
      </c>
      <c r="J21" s="382">
        <v>0</v>
      </c>
      <c r="K21" s="382">
        <v>0</v>
      </c>
      <c r="L21" s="925">
        <f t="shared" si="3"/>
        <v>27190</v>
      </c>
    </row>
    <row r="22" spans="2:13" x14ac:dyDescent="0.25">
      <c r="B22" s="586">
        <v>45469</v>
      </c>
      <c r="C22" s="587" t="s">
        <v>581</v>
      </c>
      <c r="D22" s="587" t="s">
        <v>17</v>
      </c>
      <c r="E22" s="588" t="str">
        <f t="shared" si="2"/>
        <v>PRESENCIAL</v>
      </c>
      <c r="F22" s="382">
        <f>5000+5000</f>
        <v>10000</v>
      </c>
      <c r="G22" s="382">
        <v>0</v>
      </c>
      <c r="H22" s="382">
        <v>0</v>
      </c>
      <c r="I22" s="382">
        <v>6600</v>
      </c>
      <c r="J22" s="382">
        <v>0</v>
      </c>
      <c r="K22" s="382">
        <v>0</v>
      </c>
      <c r="L22" s="925">
        <f t="shared" si="3"/>
        <v>16600</v>
      </c>
    </row>
    <row r="23" spans="2:13" x14ac:dyDescent="0.25">
      <c r="B23" s="586">
        <v>45469</v>
      </c>
      <c r="C23" s="587" t="s">
        <v>140</v>
      </c>
      <c r="D23" s="587" t="s">
        <v>17</v>
      </c>
      <c r="E23" s="588" t="str">
        <f t="shared" si="2"/>
        <v>PRESENCIAL</v>
      </c>
      <c r="F23" s="382">
        <v>0</v>
      </c>
      <c r="G23" s="382">
        <v>13739</v>
      </c>
      <c r="H23" s="382">
        <v>0</v>
      </c>
      <c r="I23" s="382">
        <v>0</v>
      </c>
      <c r="J23" s="382">
        <v>0</v>
      </c>
      <c r="K23" s="382">
        <f>147008+9750+12000</f>
        <v>168758</v>
      </c>
      <c r="L23" s="925">
        <f t="shared" si="3"/>
        <v>182497</v>
      </c>
    </row>
    <row r="24" spans="2:13" x14ac:dyDescent="0.25">
      <c r="B24" s="586">
        <v>45469</v>
      </c>
      <c r="C24" s="587" t="s">
        <v>139</v>
      </c>
      <c r="D24" s="587" t="s">
        <v>17</v>
      </c>
      <c r="E24" s="588" t="str">
        <f t="shared" si="2"/>
        <v>PRESENCIAL</v>
      </c>
      <c r="F24" s="382">
        <v>0</v>
      </c>
      <c r="G24" s="382">
        <v>0</v>
      </c>
      <c r="H24" s="382">
        <v>0</v>
      </c>
      <c r="I24" s="382">
        <v>0</v>
      </c>
      <c r="J24" s="382">
        <v>0</v>
      </c>
      <c r="K24" s="382">
        <f>43000+20000+3300+9430+12100+19870+8890</f>
        <v>116590</v>
      </c>
      <c r="L24" s="925">
        <f>SUM(F24:K24)</f>
        <v>116590</v>
      </c>
    </row>
    <row r="25" spans="2:13" x14ac:dyDescent="0.25">
      <c r="B25" s="586">
        <v>45621</v>
      </c>
      <c r="C25" s="587" t="s">
        <v>140</v>
      </c>
      <c r="D25" s="587" t="s">
        <v>17</v>
      </c>
      <c r="E25" s="588" t="str">
        <f t="shared" si="2"/>
        <v>PRESENCIAL</v>
      </c>
      <c r="F25" s="382">
        <f>18900*2+22050*2</f>
        <v>81900</v>
      </c>
      <c r="G25" s="382">
        <f>9400+600+10000+5100+11760+600</f>
        <v>37460</v>
      </c>
      <c r="H25" s="382">
        <v>0</v>
      </c>
      <c r="I25" s="382">
        <v>0</v>
      </c>
      <c r="J25" s="382">
        <v>0</v>
      </c>
      <c r="K25" s="382">
        <v>0</v>
      </c>
      <c r="L25" s="925">
        <f t="shared" si="3"/>
        <v>119360</v>
      </c>
    </row>
    <row r="26" spans="2:13" x14ac:dyDescent="0.25">
      <c r="B26" s="586">
        <v>45621</v>
      </c>
      <c r="C26" s="587" t="s">
        <v>461</v>
      </c>
      <c r="D26" s="587" t="s">
        <v>17</v>
      </c>
      <c r="E26" s="588" t="str">
        <f t="shared" si="2"/>
        <v>PRESENCIAL</v>
      </c>
      <c r="F26" s="382">
        <v>0</v>
      </c>
      <c r="G26" s="382">
        <f>1700+9400+19800+4700+600+500+600</f>
        <v>37300</v>
      </c>
      <c r="H26" s="382">
        <v>0</v>
      </c>
      <c r="I26" s="382">
        <f>5780+2324</f>
        <v>8104</v>
      </c>
      <c r="J26" s="382">
        <v>0</v>
      </c>
      <c r="K26" s="382">
        <v>14498</v>
      </c>
      <c r="L26" s="925">
        <f t="shared" si="3"/>
        <v>59902</v>
      </c>
    </row>
    <row r="27" spans="2:13" x14ac:dyDescent="0.25">
      <c r="B27" s="586">
        <v>45621</v>
      </c>
      <c r="C27" s="587" t="s">
        <v>139</v>
      </c>
      <c r="D27" s="587" t="s">
        <v>17</v>
      </c>
      <c r="E27" s="588" t="str">
        <f t="shared" si="2"/>
        <v>PRESENCIAL</v>
      </c>
      <c r="F27" s="382">
        <f>6500+5000</f>
        <v>11500</v>
      </c>
      <c r="G27" s="382">
        <v>17800</v>
      </c>
      <c r="H27" s="382">
        <v>3000</v>
      </c>
      <c r="I27" s="382">
        <f>1800+3300</f>
        <v>5100</v>
      </c>
      <c r="J27" s="382">
        <v>0</v>
      </c>
      <c r="K27" s="382">
        <v>0</v>
      </c>
      <c r="L27" s="925">
        <f t="shared" si="3"/>
        <v>37400</v>
      </c>
    </row>
    <row r="28" spans="2:13" x14ac:dyDescent="0.25">
      <c r="B28" s="586">
        <v>45621</v>
      </c>
      <c r="C28" s="587" t="s">
        <v>581</v>
      </c>
      <c r="D28" s="587" t="s">
        <v>17</v>
      </c>
      <c r="E28" s="588" t="str">
        <f t="shared" si="2"/>
        <v>PRESENCIAL</v>
      </c>
      <c r="F28" s="382">
        <f>900*4</f>
        <v>3600</v>
      </c>
      <c r="G28" s="382">
        <v>11550</v>
      </c>
      <c r="H28" s="382">
        <v>0</v>
      </c>
      <c r="I28" s="382">
        <v>0</v>
      </c>
      <c r="J28" s="382">
        <v>0</v>
      </c>
      <c r="K28" s="382">
        <v>0</v>
      </c>
      <c r="L28" s="925">
        <f t="shared" si="3"/>
        <v>15150</v>
      </c>
    </row>
    <row r="29" spans="2:13" x14ac:dyDescent="0.25">
      <c r="B29" s="586">
        <v>45637</v>
      </c>
      <c r="C29" s="587" t="s">
        <v>140</v>
      </c>
      <c r="D29" s="587" t="s">
        <v>17</v>
      </c>
      <c r="E29" s="588" t="str">
        <f t="shared" si="2"/>
        <v>PRESENCIAL</v>
      </c>
      <c r="F29" s="382">
        <v>0</v>
      </c>
      <c r="G29" s="382">
        <v>0</v>
      </c>
      <c r="H29" s="382">
        <v>0</v>
      </c>
      <c r="I29" s="382">
        <v>0</v>
      </c>
      <c r="J29" s="382">
        <v>0</v>
      </c>
      <c r="K29" s="382">
        <f>48312+4250</f>
        <v>52562</v>
      </c>
      <c r="L29" s="925">
        <f t="shared" si="3"/>
        <v>52562</v>
      </c>
      <c r="M29" s="612"/>
    </row>
    <row r="30" spans="2:13" x14ac:dyDescent="0.25">
      <c r="B30" s="586">
        <v>45637</v>
      </c>
      <c r="C30" s="587" t="s">
        <v>213</v>
      </c>
      <c r="D30" s="587" t="s">
        <v>17</v>
      </c>
      <c r="E30" s="588" t="str">
        <f t="shared" si="2"/>
        <v>PRESENCIAL</v>
      </c>
      <c r="F30" s="382">
        <v>10000</v>
      </c>
      <c r="G30" s="382">
        <v>0</v>
      </c>
      <c r="H30" s="382">
        <v>0</v>
      </c>
      <c r="I30" s="382">
        <v>0</v>
      </c>
      <c r="J30" s="382">
        <v>0</v>
      </c>
      <c r="K30" s="382">
        <v>0</v>
      </c>
      <c r="L30" s="925">
        <f t="shared" si="3"/>
        <v>10000</v>
      </c>
    </row>
    <row r="31" spans="2:13" x14ac:dyDescent="0.25">
      <c r="B31" s="586">
        <v>45637</v>
      </c>
      <c r="C31" s="587" t="s">
        <v>461</v>
      </c>
      <c r="D31" s="587" t="s">
        <v>17</v>
      </c>
      <c r="E31" s="588" t="str">
        <f t="shared" si="2"/>
        <v>PRESENCIAL</v>
      </c>
      <c r="F31" s="382">
        <v>0</v>
      </c>
      <c r="G31" s="382">
        <v>0</v>
      </c>
      <c r="H31" s="382">
        <v>0</v>
      </c>
      <c r="I31" s="382">
        <v>0</v>
      </c>
      <c r="J31" s="382">
        <v>0</v>
      </c>
      <c r="K31" s="382">
        <v>14721</v>
      </c>
      <c r="L31" s="925">
        <f t="shared" si="3"/>
        <v>14721</v>
      </c>
    </row>
    <row r="32" spans="2:13" x14ac:dyDescent="0.25">
      <c r="B32" s="586">
        <v>45712</v>
      </c>
      <c r="C32" s="587" t="s">
        <v>186</v>
      </c>
      <c r="D32" s="587" t="s">
        <v>17</v>
      </c>
      <c r="E32" s="588" t="str">
        <f t="shared" si="2"/>
        <v>PRESENCIAL</v>
      </c>
      <c r="F32" s="382">
        <v>0</v>
      </c>
      <c r="G32" s="382">
        <v>0</v>
      </c>
      <c r="H32" s="382">
        <v>0</v>
      </c>
      <c r="I32" s="382">
        <v>0</v>
      </c>
      <c r="J32" s="382">
        <v>0</v>
      </c>
      <c r="K32" s="382">
        <v>62810</v>
      </c>
      <c r="L32" s="925">
        <f t="shared" si="3"/>
        <v>62810</v>
      </c>
    </row>
    <row r="33" spans="2:12" x14ac:dyDescent="0.25">
      <c r="B33" s="586">
        <v>45712</v>
      </c>
      <c r="C33" s="587" t="s">
        <v>140</v>
      </c>
      <c r="D33" s="587" t="s">
        <v>17</v>
      </c>
      <c r="E33" s="588" t="str">
        <f t="shared" si="2"/>
        <v>PRESENCIAL</v>
      </c>
      <c r="F33" s="382">
        <v>0</v>
      </c>
      <c r="G33" s="382">
        <v>0</v>
      </c>
      <c r="H33" s="382">
        <v>0</v>
      </c>
      <c r="I33" s="382">
        <v>0</v>
      </c>
      <c r="J33" s="382">
        <v>0</v>
      </c>
      <c r="K33" s="382">
        <v>162520</v>
      </c>
      <c r="L33" s="925">
        <f t="shared" si="3"/>
        <v>162520</v>
      </c>
    </row>
    <row r="34" spans="2:12" x14ac:dyDescent="0.25">
      <c r="B34" s="586">
        <v>45712</v>
      </c>
      <c r="C34" s="587" t="s">
        <v>461</v>
      </c>
      <c r="D34" s="587" t="s">
        <v>17</v>
      </c>
      <c r="E34" s="588" t="str">
        <f t="shared" si="2"/>
        <v>PRESENCIAL</v>
      </c>
      <c r="F34" s="382">
        <v>0</v>
      </c>
      <c r="G34" s="382">
        <v>0</v>
      </c>
      <c r="H34" s="382">
        <v>0</v>
      </c>
      <c r="I34" s="382">
        <v>0</v>
      </c>
      <c r="J34" s="382">
        <v>0</v>
      </c>
      <c r="K34" s="382">
        <v>15390</v>
      </c>
      <c r="L34" s="925">
        <f t="shared" si="3"/>
        <v>15390</v>
      </c>
    </row>
    <row r="35" spans="2:12" x14ac:dyDescent="0.25">
      <c r="B35" s="586">
        <v>45712</v>
      </c>
      <c r="C35" s="587" t="s">
        <v>139</v>
      </c>
      <c r="D35" s="587" t="s">
        <v>17</v>
      </c>
      <c r="E35" s="588" t="str">
        <f>+IF(D35&lt;&gt;"",+LOOKUP(D35,$D$2:$D$9,$E$2:$E$9),"-")</f>
        <v>PRESENCIAL</v>
      </c>
      <c r="F35" s="382">
        <v>0</v>
      </c>
      <c r="G35" s="382">
        <v>0</v>
      </c>
      <c r="H35" s="382">
        <v>0</v>
      </c>
      <c r="I35" s="382">
        <v>0</v>
      </c>
      <c r="J35" s="382">
        <v>0</v>
      </c>
      <c r="K35" s="382">
        <v>67821</v>
      </c>
      <c r="L35" s="925">
        <f>SUM(F35:K35)</f>
        <v>67821</v>
      </c>
    </row>
    <row r="36" spans="2:12" x14ac:dyDescent="0.25">
      <c r="B36" s="586">
        <v>45712</v>
      </c>
      <c r="C36" s="587" t="s">
        <v>581</v>
      </c>
      <c r="D36" s="587" t="s">
        <v>17</v>
      </c>
      <c r="E36" s="588" t="str">
        <f>+IF(D36&lt;&gt;"",+LOOKUP(D36,$D$2:$D$9,$E$2:$E$9),"-")</f>
        <v>PRESENCIAL</v>
      </c>
      <c r="F36" s="382">
        <v>0</v>
      </c>
      <c r="G36" s="382">
        <v>0</v>
      </c>
      <c r="H36" s="382">
        <v>0</v>
      </c>
      <c r="I36" s="382">
        <v>0</v>
      </c>
      <c r="J36" s="382">
        <v>0</v>
      </c>
      <c r="K36" s="382">
        <v>14000</v>
      </c>
      <c r="L36" s="925">
        <f>SUM(F36:K36)</f>
        <v>14000</v>
      </c>
    </row>
    <row r="37" spans="2:12" x14ac:dyDescent="0.25">
      <c r="B37" s="586">
        <v>45712</v>
      </c>
      <c r="C37" s="587" t="s">
        <v>213</v>
      </c>
      <c r="D37" s="587" t="s">
        <v>17</v>
      </c>
      <c r="E37" s="588" t="str">
        <f>+IF(D37&lt;&gt;"",+LOOKUP(D37,$D$2:$D$9,$E$2:$E$9),"-")</f>
        <v>PRESENCIAL</v>
      </c>
      <c r="F37" s="382">
        <v>0</v>
      </c>
      <c r="G37" s="382">
        <v>0</v>
      </c>
      <c r="H37" s="382">
        <v>0</v>
      </c>
      <c r="I37" s="382">
        <v>0</v>
      </c>
      <c r="J37" s="382">
        <v>0</v>
      </c>
      <c r="K37" s="382">
        <v>0</v>
      </c>
      <c r="L37" s="925">
        <f>SUM(F37:K37)</f>
        <v>0</v>
      </c>
    </row>
    <row r="38" spans="2:12" x14ac:dyDescent="0.25">
      <c r="B38" s="586">
        <v>45716</v>
      </c>
      <c r="C38" s="587" t="s">
        <v>187</v>
      </c>
      <c r="D38" s="587" t="s">
        <v>17</v>
      </c>
      <c r="E38" s="588" t="str">
        <f>+IF(D38&lt;&gt;"",+LOOKUP(D38,$D$2:$D$9,$E$2:$E$9),"-")</f>
        <v>PRESENCIAL</v>
      </c>
      <c r="F38" s="382">
        <v>0</v>
      </c>
      <c r="G38" s="382">
        <v>0</v>
      </c>
      <c r="H38" s="382">
        <v>0</v>
      </c>
      <c r="I38" s="382">
        <v>0</v>
      </c>
      <c r="J38" s="382">
        <v>0</v>
      </c>
      <c r="K38" s="382">
        <v>5934</v>
      </c>
      <c r="L38" s="925">
        <f>SUM(F38:K38)</f>
        <v>5934</v>
      </c>
    </row>
    <row r="39" spans="2:12" x14ac:dyDescent="0.25">
      <c r="B39" s="586">
        <v>45727</v>
      </c>
      <c r="C39" s="587" t="s">
        <v>461</v>
      </c>
      <c r="D39" s="587" t="s">
        <v>17</v>
      </c>
      <c r="E39" s="588" t="str">
        <f t="shared" si="2"/>
        <v>PRESENCIAL</v>
      </c>
      <c r="F39" s="382">
        <v>41470</v>
      </c>
      <c r="G39" s="382">
        <f>2000+2200+4700+1600</f>
        <v>10500</v>
      </c>
      <c r="H39" s="382">
        <v>3000</v>
      </c>
      <c r="I39" s="382">
        <v>9876</v>
      </c>
      <c r="J39" s="382">
        <v>1100</v>
      </c>
      <c r="K39" s="382"/>
      <c r="L39" s="925">
        <f t="shared" si="3"/>
        <v>65946</v>
      </c>
    </row>
    <row r="40" spans="2:12" x14ac:dyDescent="0.25">
      <c r="B40" s="924">
        <v>45727</v>
      </c>
      <c r="C40" s="926" t="s">
        <v>139</v>
      </c>
      <c r="D40" s="926" t="s">
        <v>17</v>
      </c>
      <c r="E40" s="588" t="str">
        <f t="shared" ref="E40:E41" si="4">+IF(D40&lt;&gt;"",+LOOKUP(D40,$D$2:$D$9,$E$2:$E$9),"-")</f>
        <v>PRESENCIAL</v>
      </c>
      <c r="F40" s="382">
        <f>7000+6000</f>
        <v>13000</v>
      </c>
      <c r="G40" s="382">
        <f>2000+1400</f>
        <v>3400</v>
      </c>
      <c r="H40" s="382">
        <v>2000</v>
      </c>
      <c r="I40" s="382">
        <v>2000</v>
      </c>
      <c r="J40" s="382">
        <v>0</v>
      </c>
      <c r="K40" s="382">
        <f>130966+18986</f>
        <v>149952</v>
      </c>
      <c r="L40" s="925">
        <f t="shared" si="3"/>
        <v>170352</v>
      </c>
    </row>
    <row r="41" spans="2:12" x14ac:dyDescent="0.25">
      <c r="B41" s="924">
        <v>45727</v>
      </c>
      <c r="C41" s="926" t="s">
        <v>213</v>
      </c>
      <c r="D41" s="926" t="s">
        <v>17</v>
      </c>
      <c r="E41" s="588" t="str">
        <f t="shared" si="4"/>
        <v>PRESENCIAL</v>
      </c>
      <c r="F41" s="382">
        <f>15000+20000</f>
        <v>35000</v>
      </c>
      <c r="G41" s="382">
        <v>0</v>
      </c>
      <c r="H41" s="382">
        <v>3000</v>
      </c>
      <c r="I41" s="382">
        <v>0</v>
      </c>
      <c r="J41" s="382">
        <v>0</v>
      </c>
      <c r="K41" s="382">
        <v>0</v>
      </c>
      <c r="L41" s="925">
        <f t="shared" si="3"/>
        <v>38000</v>
      </c>
    </row>
    <row r="42" spans="2:12" x14ac:dyDescent="0.25">
      <c r="B42" s="305"/>
      <c r="C42" s="27"/>
      <c r="D42" s="27"/>
      <c r="E42" s="34" t="str">
        <f t="shared" si="2"/>
        <v>-</v>
      </c>
      <c r="F42" s="382">
        <v>0</v>
      </c>
      <c r="G42" s="43">
        <v>0</v>
      </c>
      <c r="H42" s="43">
        <v>0</v>
      </c>
      <c r="I42" s="43">
        <v>0</v>
      </c>
      <c r="J42" s="43">
        <v>0</v>
      </c>
      <c r="K42" s="43">
        <v>0</v>
      </c>
      <c r="L42" s="28">
        <f t="shared" si="3"/>
        <v>0</v>
      </c>
    </row>
    <row r="43" spans="2:12" x14ac:dyDescent="0.25">
      <c r="B43" s="27" t="s">
        <v>105</v>
      </c>
      <c r="C43" s="27"/>
      <c r="D43" s="34">
        <f>SUBTOTAL(103,Tabla5[CITACION])</f>
        <v>28</v>
      </c>
      <c r="E43" s="34"/>
      <c r="F43" s="39">
        <f>SUBTOTAL(109,Tabla5[PASAJES])</f>
        <v>274040</v>
      </c>
      <c r="G43" s="39">
        <f>SUBTOTAL(109,Tabla5[COLACION])</f>
        <v>143519</v>
      </c>
      <c r="H43" s="39">
        <f>SUBTOTAL(109,Tabla5[METRO])</f>
        <v>24000</v>
      </c>
      <c r="I43" s="39">
        <f>SUBTOTAL(109,Tabla5[TAXI / COLEC])</f>
        <v>35380</v>
      </c>
      <c r="J43" s="39">
        <f>SUBTOTAL(109,Tabla5[HOTEL])</f>
        <v>1100</v>
      </c>
      <c r="K43" s="39">
        <f>SUBTOTAL(109,Tabla5[REEMBOLSO])</f>
        <v>899896</v>
      </c>
      <c r="L43" s="39">
        <f>SUBTOTAL(109,Tabla5[TOTAL])</f>
        <v>1377935</v>
      </c>
    </row>
  </sheetData>
  <conditionalFormatting sqref="B2:B9">
    <cfRule type="cellIs" dxfId="129" priority="1" operator="greaterThan">
      <formula>1</formula>
    </cfRule>
  </conditionalFormatting>
  <dataValidations count="2">
    <dataValidation type="list" allowBlank="1" showInputMessage="1" showErrorMessage="1" sqref="D14:D42" xr:uid="{00000000-0002-0000-0500-000000000000}">
      <formula1>$D$2:$D$9</formula1>
    </dataValidation>
    <dataValidation type="list" allowBlank="1" showInputMessage="1" showErrorMessage="1" sqref="C14:C42" xr:uid="{00000000-0002-0000-0500-000001000000}">
      <formula1>$N$2:$N$11</formula1>
    </dataValidation>
  </dataValidations>
  <pageMargins left="0.7" right="0.7" top="0.75" bottom="0.75" header="0.3" footer="0.3"/>
  <pageSetup orientation="portrait" r:id="rId1"/>
  <ignoredErrors>
    <ignoredError sqref="F14:F24 F26 F29 F42 F31:F32 F34" calculatedColumn="1"/>
  </ignoredErrors>
  <legacyDrawing r:id="rId2"/>
  <tableParts count="3"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14B5-BC96-471F-805D-4057029D1E7A}">
  <sheetPr codeName="Hoja9">
    <tabColor rgb="FF92D050"/>
  </sheetPr>
  <dimension ref="A1:P200"/>
  <sheetViews>
    <sheetView showGridLines="0" zoomScaleNormal="100" zoomScaleSheetLayoutView="100" workbookViewId="0">
      <pane ySplit="2" topLeftCell="A15" activePane="bottomLeft" state="frozen"/>
      <selection pane="bottomLeft" activeCell="C27" sqref="C27"/>
    </sheetView>
  </sheetViews>
  <sheetFormatPr baseColWidth="10" defaultColWidth="13.7109375" defaultRowHeight="15" x14ac:dyDescent="0.25"/>
  <cols>
    <col min="1" max="1" width="8.5703125" style="317" bestFit="1" customWidth="1"/>
    <col min="2" max="2" width="21" style="95" bestFit="1" customWidth="1"/>
    <col min="3" max="3" width="10.28515625" style="162" bestFit="1" customWidth="1"/>
    <col min="4" max="4" width="11.7109375" style="162" bestFit="1" customWidth="1"/>
    <col min="5" max="5" width="10.42578125" style="320" bestFit="1" customWidth="1"/>
    <col min="6" max="6" width="12.140625" style="624" bestFit="1" customWidth="1"/>
    <col min="7" max="7" width="13" style="617" bestFit="1" customWidth="1"/>
    <col min="8" max="8" width="12" style="617" bestFit="1" customWidth="1"/>
    <col min="9" max="9" width="12.5703125" style="617" bestFit="1" customWidth="1"/>
    <col min="10" max="10" width="10.42578125" style="617" bestFit="1" customWidth="1"/>
    <col min="11" max="11" width="14.140625" style="617" bestFit="1" customWidth="1"/>
    <col min="12" max="12" width="12" style="617" bestFit="1" customWidth="1"/>
    <col min="13" max="13" width="14.140625" style="617" bestFit="1" customWidth="1"/>
    <col min="14" max="14" width="13" style="321" bestFit="1" customWidth="1"/>
    <col min="15" max="15" width="10" style="95" bestFit="1" customWidth="1"/>
    <col min="16" max="16384" width="13.7109375" style="95"/>
  </cols>
  <sheetData>
    <row r="1" spans="1:16" x14ac:dyDescent="0.25">
      <c r="A1" s="312"/>
      <c r="B1" s="163"/>
      <c r="C1" s="313"/>
      <c r="D1" s="313"/>
      <c r="E1" s="314"/>
      <c r="F1" s="622"/>
      <c r="G1" s="618">
        <f t="shared" ref="G1:N1" si="0">SUBTOTAL(9,G3:G367)</f>
        <v>878667</v>
      </c>
      <c r="H1" s="618">
        <f t="shared" si="0"/>
        <v>88570</v>
      </c>
      <c r="I1" s="618">
        <f t="shared" si="0"/>
        <v>25509</v>
      </c>
      <c r="J1" s="618">
        <f t="shared" si="0"/>
        <v>15000</v>
      </c>
      <c r="K1" s="618">
        <f t="shared" si="0"/>
        <v>10300</v>
      </c>
      <c r="L1" s="618">
        <f t="shared" si="0"/>
        <v>0</v>
      </c>
      <c r="M1" s="618">
        <f t="shared" si="0"/>
        <v>467514</v>
      </c>
      <c r="N1" s="315">
        <f t="shared" si="0"/>
        <v>1485560</v>
      </c>
      <c r="O1" s="704">
        <f>+N1-SUBTOTAL(9,O3:O367)</f>
        <v>0</v>
      </c>
      <c r="P1" s="316"/>
    </row>
    <row r="2" spans="1:16" s="317" customFormat="1" x14ac:dyDescent="0.25">
      <c r="A2" s="312" t="s">
        <v>367</v>
      </c>
      <c r="B2" s="312" t="s">
        <v>126</v>
      </c>
      <c r="C2" s="312" t="s">
        <v>368</v>
      </c>
      <c r="D2" s="312" t="s">
        <v>137</v>
      </c>
      <c r="E2" s="318" t="s">
        <v>0</v>
      </c>
      <c r="F2" s="623" t="s">
        <v>369</v>
      </c>
      <c r="G2" s="619" t="s">
        <v>250</v>
      </c>
      <c r="H2" s="619" t="s">
        <v>62</v>
      </c>
      <c r="I2" s="619" t="s">
        <v>63</v>
      </c>
      <c r="J2" s="619" t="s">
        <v>64</v>
      </c>
      <c r="K2" s="619" t="s">
        <v>251</v>
      </c>
      <c r="L2" s="619" t="s">
        <v>66</v>
      </c>
      <c r="M2" s="619" t="s">
        <v>68</v>
      </c>
      <c r="N2" s="319" t="s">
        <v>29</v>
      </c>
    </row>
    <row r="3" spans="1:16" x14ac:dyDescent="0.25">
      <c r="A3" s="317">
        <v>2024</v>
      </c>
      <c r="B3" s="95" t="s">
        <v>185</v>
      </c>
      <c r="C3" s="162">
        <v>1152</v>
      </c>
      <c r="D3" s="162">
        <v>221743</v>
      </c>
      <c r="E3" s="320">
        <v>45406</v>
      </c>
      <c r="F3" s="624">
        <v>45411</v>
      </c>
      <c r="G3" s="625">
        <v>87918</v>
      </c>
      <c r="H3" s="625">
        <v>11000</v>
      </c>
      <c r="I3" s="625">
        <v>0</v>
      </c>
      <c r="J3" s="625">
        <v>0</v>
      </c>
      <c r="K3" s="625">
        <v>0</v>
      </c>
      <c r="L3" s="625">
        <v>0</v>
      </c>
      <c r="M3" s="625">
        <v>0</v>
      </c>
      <c r="N3" s="43">
        <f>SUM(G3:M3)</f>
        <v>98918</v>
      </c>
    </row>
    <row r="4" spans="1:16" x14ac:dyDescent="0.25">
      <c r="A4" s="317">
        <v>2024</v>
      </c>
      <c r="B4" s="95" t="s">
        <v>186</v>
      </c>
      <c r="C4" s="162">
        <v>1153</v>
      </c>
      <c r="D4" s="162">
        <v>221743</v>
      </c>
      <c r="E4" s="320">
        <v>45406</v>
      </c>
      <c r="F4" s="624">
        <v>45411</v>
      </c>
      <c r="G4" s="625">
        <v>55834</v>
      </c>
      <c r="H4" s="625">
        <v>10000</v>
      </c>
      <c r="I4" s="625">
        <v>0</v>
      </c>
      <c r="J4" s="625">
        <v>2000</v>
      </c>
      <c r="K4" s="625">
        <v>0</v>
      </c>
      <c r="L4" s="625">
        <v>0</v>
      </c>
      <c r="M4" s="625">
        <v>0</v>
      </c>
      <c r="N4" s="43">
        <f t="shared" ref="N4:N67" si="1">SUM(G4:M4)</f>
        <v>67834</v>
      </c>
    </row>
    <row r="5" spans="1:16" x14ac:dyDescent="0.25">
      <c r="A5" s="317">
        <v>2024</v>
      </c>
      <c r="B5" s="95" t="s">
        <v>187</v>
      </c>
      <c r="C5" s="162">
        <v>1154</v>
      </c>
      <c r="D5" s="162">
        <v>221743</v>
      </c>
      <c r="E5" s="320">
        <v>45406</v>
      </c>
      <c r="F5" s="624">
        <v>45411</v>
      </c>
      <c r="G5" s="625">
        <v>39876</v>
      </c>
      <c r="H5" s="625">
        <v>0</v>
      </c>
      <c r="I5" s="625">
        <v>0</v>
      </c>
      <c r="J5" s="625">
        <v>0</v>
      </c>
      <c r="K5" s="625">
        <v>0</v>
      </c>
      <c r="L5" s="625">
        <v>0</v>
      </c>
      <c r="M5" s="625">
        <v>0</v>
      </c>
      <c r="N5" s="43">
        <f t="shared" si="1"/>
        <v>39876</v>
      </c>
    </row>
    <row r="6" spans="1:16" x14ac:dyDescent="0.25">
      <c r="A6" s="317">
        <v>2024</v>
      </c>
      <c r="B6" s="95" t="s">
        <v>461</v>
      </c>
      <c r="C6" s="162">
        <v>1155</v>
      </c>
      <c r="D6" s="162">
        <v>221743</v>
      </c>
      <c r="E6" s="320">
        <v>45406</v>
      </c>
      <c r="F6" s="624">
        <v>45411</v>
      </c>
      <c r="G6" s="625">
        <v>64793</v>
      </c>
      <c r="H6" s="625">
        <v>0</v>
      </c>
      <c r="I6" s="625">
        <v>0</v>
      </c>
      <c r="J6" s="625">
        <v>0</v>
      </c>
      <c r="K6" s="625">
        <v>0</v>
      </c>
      <c r="L6" s="625">
        <v>0</v>
      </c>
      <c r="M6" s="625">
        <v>0</v>
      </c>
      <c r="N6" s="43">
        <f t="shared" si="1"/>
        <v>64793</v>
      </c>
    </row>
    <row r="7" spans="1:16" x14ac:dyDescent="0.25">
      <c r="A7" s="317">
        <v>2024</v>
      </c>
      <c r="B7" s="95" t="s">
        <v>213</v>
      </c>
      <c r="C7" s="162">
        <v>1156</v>
      </c>
      <c r="D7" s="162">
        <v>221743</v>
      </c>
      <c r="E7" s="320">
        <v>45406</v>
      </c>
      <c r="F7" s="624">
        <v>45411</v>
      </c>
      <c r="G7" s="625">
        <v>4792</v>
      </c>
      <c r="H7" s="625">
        <v>0</v>
      </c>
      <c r="I7" s="625">
        <v>0</v>
      </c>
      <c r="J7" s="625">
        <v>0</v>
      </c>
      <c r="K7" s="625">
        <v>0</v>
      </c>
      <c r="L7" s="625">
        <v>0</v>
      </c>
      <c r="M7" s="625">
        <v>0</v>
      </c>
      <c r="N7" s="43">
        <f t="shared" si="1"/>
        <v>4792</v>
      </c>
    </row>
    <row r="8" spans="1:16" x14ac:dyDescent="0.25">
      <c r="A8" s="317">
        <v>2024</v>
      </c>
      <c r="B8" s="95" t="s">
        <v>140</v>
      </c>
      <c r="C8" s="162">
        <v>1157</v>
      </c>
      <c r="D8" s="162">
        <v>221743</v>
      </c>
      <c r="E8" s="320">
        <v>45406</v>
      </c>
      <c r="F8" s="624">
        <v>45411</v>
      </c>
      <c r="G8" s="625">
        <v>4792</v>
      </c>
      <c r="H8" s="625">
        <v>0</v>
      </c>
      <c r="I8" s="625">
        <v>0</v>
      </c>
      <c r="J8" s="625">
        <v>0</v>
      </c>
      <c r="K8" s="625">
        <v>0</v>
      </c>
      <c r="L8" s="625">
        <v>0</v>
      </c>
      <c r="M8" s="625">
        <v>13780</v>
      </c>
      <c r="N8" s="43">
        <f t="shared" si="1"/>
        <v>18572</v>
      </c>
    </row>
    <row r="9" spans="1:16" x14ac:dyDescent="0.25">
      <c r="A9" s="317">
        <v>2024</v>
      </c>
      <c r="B9" s="95" t="s">
        <v>139</v>
      </c>
      <c r="C9" s="162">
        <v>1158</v>
      </c>
      <c r="D9" s="162">
        <v>221743</v>
      </c>
      <c r="E9" s="320">
        <v>45406</v>
      </c>
      <c r="F9" s="624">
        <v>45411</v>
      </c>
      <c r="G9" s="625">
        <v>4792</v>
      </c>
      <c r="H9" s="625">
        <v>0</v>
      </c>
      <c r="I9" s="625">
        <v>0</v>
      </c>
      <c r="J9" s="625">
        <v>0</v>
      </c>
      <c r="K9" s="625">
        <v>0</v>
      </c>
      <c r="L9" s="625">
        <v>0</v>
      </c>
      <c r="M9" s="625">
        <v>39560</v>
      </c>
      <c r="N9" s="43">
        <f t="shared" si="1"/>
        <v>44352</v>
      </c>
      <c r="O9" s="702">
        <f>SUM(N3:N9)</f>
        <v>339137</v>
      </c>
    </row>
    <row r="10" spans="1:16" x14ac:dyDescent="0.25">
      <c r="A10" s="317">
        <v>2024</v>
      </c>
      <c r="B10" s="95" t="s">
        <v>213</v>
      </c>
      <c r="C10" s="614">
        <f>+C9+1</f>
        <v>1159</v>
      </c>
      <c r="D10" s="162">
        <v>221745</v>
      </c>
      <c r="E10" s="320">
        <v>45453</v>
      </c>
      <c r="F10" s="624">
        <v>45454</v>
      </c>
      <c r="G10" s="617">
        <v>132292</v>
      </c>
      <c r="H10" s="617">
        <v>0</v>
      </c>
      <c r="I10" s="617">
        <v>0</v>
      </c>
      <c r="J10" s="617">
        <v>0</v>
      </c>
      <c r="K10" s="617">
        <v>0</v>
      </c>
      <c r="L10" s="617">
        <v>0</v>
      </c>
      <c r="M10" s="617">
        <v>0</v>
      </c>
      <c r="N10" s="321">
        <f t="shared" si="1"/>
        <v>132292</v>
      </c>
    </row>
    <row r="11" spans="1:16" x14ac:dyDescent="0.25">
      <c r="A11" s="317">
        <v>2024</v>
      </c>
      <c r="B11" s="95" t="s">
        <v>140</v>
      </c>
      <c r="C11" s="614">
        <f t="shared" ref="C11:C26" si="2">+C10+1</f>
        <v>1160</v>
      </c>
      <c r="D11" s="162">
        <v>221745</v>
      </c>
      <c r="E11" s="320">
        <v>45453</v>
      </c>
      <c r="F11" s="624">
        <v>45454</v>
      </c>
      <c r="G11" s="617">
        <v>57500</v>
      </c>
      <c r="H11" s="617">
        <v>55570</v>
      </c>
      <c r="I11" s="617">
        <v>10280</v>
      </c>
      <c r="J11" s="617">
        <v>3000</v>
      </c>
      <c r="K11" s="617">
        <v>0</v>
      </c>
      <c r="L11" s="617">
        <v>0</v>
      </c>
      <c r="M11" s="617">
        <v>1000</v>
      </c>
      <c r="N11" s="321">
        <f t="shared" si="1"/>
        <v>127350</v>
      </c>
    </row>
    <row r="12" spans="1:16" x14ac:dyDescent="0.25">
      <c r="A12" s="317">
        <v>2024</v>
      </c>
      <c r="B12" s="95" t="s">
        <v>139</v>
      </c>
      <c r="C12" s="614">
        <f t="shared" si="2"/>
        <v>1161</v>
      </c>
      <c r="D12" s="162">
        <v>221745</v>
      </c>
      <c r="E12" s="320">
        <v>45453</v>
      </c>
      <c r="F12" s="624">
        <v>45454</v>
      </c>
      <c r="G12" s="617">
        <v>57500</v>
      </c>
      <c r="H12" s="617">
        <v>12000</v>
      </c>
      <c r="I12" s="617">
        <v>1490</v>
      </c>
      <c r="J12" s="617">
        <v>10000</v>
      </c>
      <c r="K12" s="617">
        <v>3700</v>
      </c>
      <c r="L12" s="617">
        <v>0</v>
      </c>
      <c r="M12" s="617">
        <v>0</v>
      </c>
      <c r="N12" s="321">
        <f t="shared" si="1"/>
        <v>84690</v>
      </c>
    </row>
    <row r="13" spans="1:16" x14ac:dyDescent="0.25">
      <c r="A13" s="317">
        <v>2024</v>
      </c>
      <c r="B13" s="95" t="s">
        <v>595</v>
      </c>
      <c r="C13" s="614">
        <f t="shared" si="2"/>
        <v>1162</v>
      </c>
      <c r="D13" s="162">
        <v>221745</v>
      </c>
      <c r="E13" s="320">
        <v>45453</v>
      </c>
      <c r="F13" s="624">
        <v>45454</v>
      </c>
      <c r="G13" s="617">
        <v>5208</v>
      </c>
      <c r="H13" s="617">
        <v>0</v>
      </c>
      <c r="I13" s="617">
        <v>0</v>
      </c>
      <c r="J13" s="617">
        <v>0</v>
      </c>
      <c r="K13" s="617">
        <v>0</v>
      </c>
      <c r="L13" s="617">
        <v>0</v>
      </c>
      <c r="M13" s="617">
        <v>0</v>
      </c>
      <c r="N13" s="321">
        <f t="shared" si="1"/>
        <v>5208</v>
      </c>
    </row>
    <row r="14" spans="1:16" x14ac:dyDescent="0.25">
      <c r="A14" s="317">
        <v>2024</v>
      </c>
      <c r="B14" s="95" t="s">
        <v>185</v>
      </c>
      <c r="C14" s="614">
        <f t="shared" si="2"/>
        <v>1163</v>
      </c>
      <c r="D14" s="162">
        <v>221745</v>
      </c>
      <c r="E14" s="320">
        <v>45453</v>
      </c>
      <c r="F14" s="624">
        <v>45454</v>
      </c>
      <c r="G14" s="617">
        <v>8750</v>
      </c>
      <c r="H14" s="617">
        <v>0</v>
      </c>
      <c r="I14" s="617">
        <v>0</v>
      </c>
      <c r="J14" s="617">
        <v>0</v>
      </c>
      <c r="K14" s="617">
        <v>0</v>
      </c>
      <c r="L14" s="617">
        <v>0</v>
      </c>
      <c r="M14" s="617">
        <v>0</v>
      </c>
      <c r="N14" s="321">
        <f t="shared" si="1"/>
        <v>8750</v>
      </c>
    </row>
    <row r="15" spans="1:16" x14ac:dyDescent="0.25">
      <c r="A15" s="317">
        <v>2024</v>
      </c>
      <c r="B15" s="95" t="s">
        <v>186</v>
      </c>
      <c r="C15" s="614">
        <f t="shared" si="2"/>
        <v>1164</v>
      </c>
      <c r="D15" s="162">
        <v>221745</v>
      </c>
      <c r="E15" s="320">
        <v>45453</v>
      </c>
      <c r="F15" s="624">
        <v>45454</v>
      </c>
      <c r="G15" s="617">
        <v>28875</v>
      </c>
      <c r="H15" s="617">
        <v>0</v>
      </c>
      <c r="I15" s="617">
        <v>0</v>
      </c>
      <c r="J15" s="617">
        <v>0</v>
      </c>
      <c r="K15" s="617">
        <v>0</v>
      </c>
      <c r="L15" s="617">
        <v>0</v>
      </c>
      <c r="M15" s="617">
        <v>0</v>
      </c>
      <c r="N15" s="321">
        <f t="shared" si="1"/>
        <v>28875</v>
      </c>
    </row>
    <row r="16" spans="1:16" x14ac:dyDescent="0.25">
      <c r="A16" s="317">
        <v>2024</v>
      </c>
      <c r="B16" s="95" t="s">
        <v>461</v>
      </c>
      <c r="C16" s="614">
        <f t="shared" si="2"/>
        <v>1165</v>
      </c>
      <c r="D16" s="162">
        <v>221745</v>
      </c>
      <c r="E16" s="320">
        <v>45453</v>
      </c>
      <c r="F16" s="624">
        <v>45454</v>
      </c>
      <c r="G16" s="617">
        <v>28875</v>
      </c>
      <c r="H16" s="617">
        <v>0</v>
      </c>
      <c r="I16" s="617">
        <v>0</v>
      </c>
      <c r="J16" s="617">
        <v>0</v>
      </c>
      <c r="K16" s="617">
        <v>0</v>
      </c>
      <c r="L16" s="617">
        <v>0</v>
      </c>
      <c r="M16" s="617">
        <v>0</v>
      </c>
      <c r="N16" s="321">
        <f t="shared" si="1"/>
        <v>28875</v>
      </c>
    </row>
    <row r="17" spans="1:15" x14ac:dyDescent="0.25">
      <c r="A17" s="317">
        <v>2024</v>
      </c>
      <c r="B17" s="95" t="s">
        <v>187</v>
      </c>
      <c r="C17" s="614">
        <f t="shared" si="2"/>
        <v>1166</v>
      </c>
      <c r="D17" s="162">
        <v>221745</v>
      </c>
      <c r="E17" s="320">
        <v>45453</v>
      </c>
      <c r="F17" s="624">
        <v>45454</v>
      </c>
      <c r="G17" s="617">
        <v>28875</v>
      </c>
      <c r="H17" s="617">
        <v>0</v>
      </c>
      <c r="I17" s="617">
        <v>0</v>
      </c>
      <c r="J17" s="617">
        <v>0</v>
      </c>
      <c r="K17" s="617">
        <v>0</v>
      </c>
      <c r="L17" s="617">
        <v>0</v>
      </c>
      <c r="M17" s="617">
        <v>0</v>
      </c>
      <c r="N17" s="321">
        <f t="shared" si="1"/>
        <v>28875</v>
      </c>
    </row>
    <row r="18" spans="1:15" x14ac:dyDescent="0.25">
      <c r="A18" s="317">
        <v>2024</v>
      </c>
      <c r="B18" s="95" t="s">
        <v>581</v>
      </c>
      <c r="C18" s="614">
        <f t="shared" si="2"/>
        <v>1167</v>
      </c>
      <c r="D18" s="162">
        <v>221745</v>
      </c>
      <c r="E18" s="320">
        <v>45453</v>
      </c>
      <c r="F18" s="624">
        <v>45454</v>
      </c>
      <c r="G18" s="617">
        <v>5208</v>
      </c>
      <c r="H18" s="617">
        <v>0</v>
      </c>
      <c r="I18" s="617">
        <v>0</v>
      </c>
      <c r="J18" s="617">
        <v>0</v>
      </c>
      <c r="K18" s="617">
        <v>0</v>
      </c>
      <c r="L18" s="617">
        <v>0</v>
      </c>
      <c r="M18" s="617">
        <v>0</v>
      </c>
      <c r="N18" s="321">
        <f t="shared" si="1"/>
        <v>5208</v>
      </c>
      <c r="O18" s="702">
        <f>SUM(N10:N18)</f>
        <v>450123</v>
      </c>
    </row>
    <row r="19" spans="1:15" x14ac:dyDescent="0.25">
      <c r="A19" s="706">
        <v>2024</v>
      </c>
      <c r="B19" s="670" t="s">
        <v>139</v>
      </c>
      <c r="C19" s="614">
        <f t="shared" si="2"/>
        <v>1168</v>
      </c>
      <c r="D19" s="614">
        <v>221746</v>
      </c>
      <c r="E19" s="707">
        <v>45517</v>
      </c>
      <c r="G19" s="705">
        <v>24416</v>
      </c>
      <c r="H19" s="705">
        <v>0</v>
      </c>
      <c r="I19" s="705">
        <v>0</v>
      </c>
      <c r="J19" s="705">
        <v>0</v>
      </c>
      <c r="K19" s="705">
        <v>0</v>
      </c>
      <c r="L19" s="705">
        <v>0</v>
      </c>
      <c r="M19" s="705">
        <v>116590</v>
      </c>
      <c r="N19" s="725">
        <f t="shared" si="1"/>
        <v>141006</v>
      </c>
    </row>
    <row r="20" spans="1:15" x14ac:dyDescent="0.25">
      <c r="A20" s="706">
        <v>2024</v>
      </c>
      <c r="B20" s="670" t="s">
        <v>461</v>
      </c>
      <c r="C20" s="614">
        <f t="shared" si="2"/>
        <v>1169</v>
      </c>
      <c r="D20" s="614">
        <v>221746</v>
      </c>
      <c r="E20" s="707">
        <v>45517</v>
      </c>
      <c r="G20" s="705">
        <v>38166</v>
      </c>
      <c r="H20" s="705">
        <v>0</v>
      </c>
      <c r="I20" s="705">
        <v>0</v>
      </c>
      <c r="J20" s="705">
        <v>0</v>
      </c>
      <c r="K20" s="705">
        <v>0</v>
      </c>
      <c r="L20" s="705">
        <v>0</v>
      </c>
      <c r="M20" s="705">
        <v>27826</v>
      </c>
      <c r="N20" s="725">
        <f t="shared" si="1"/>
        <v>65992</v>
      </c>
    </row>
    <row r="21" spans="1:15" x14ac:dyDescent="0.25">
      <c r="A21" s="706">
        <v>2024</v>
      </c>
      <c r="B21" s="670" t="s">
        <v>581</v>
      </c>
      <c r="C21" s="614">
        <f t="shared" si="2"/>
        <v>1170</v>
      </c>
      <c r="D21" s="614">
        <v>221746</v>
      </c>
      <c r="E21" s="707">
        <v>45517</v>
      </c>
      <c r="G21" s="705">
        <v>34416</v>
      </c>
      <c r="H21" s="705">
        <v>0</v>
      </c>
      <c r="I21" s="705">
        <v>0</v>
      </c>
      <c r="J21" s="705">
        <v>0</v>
      </c>
      <c r="K21" s="705">
        <v>6600</v>
      </c>
      <c r="L21" s="705">
        <v>0</v>
      </c>
      <c r="M21" s="705">
        <v>0</v>
      </c>
      <c r="N21" s="725">
        <f t="shared" si="1"/>
        <v>41016</v>
      </c>
    </row>
    <row r="22" spans="1:15" x14ac:dyDescent="0.25">
      <c r="A22" s="706">
        <v>2024</v>
      </c>
      <c r="B22" s="670" t="s">
        <v>140</v>
      </c>
      <c r="C22" s="614">
        <f t="shared" si="2"/>
        <v>1171</v>
      </c>
      <c r="D22" s="614">
        <v>221746</v>
      </c>
      <c r="E22" s="707">
        <v>45517</v>
      </c>
      <c r="G22" s="705">
        <v>38166</v>
      </c>
      <c r="H22" s="705">
        <v>0</v>
      </c>
      <c r="I22" s="705">
        <v>13739</v>
      </c>
      <c r="J22" s="705">
        <v>0</v>
      </c>
      <c r="K22" s="705">
        <v>0</v>
      </c>
      <c r="L22" s="705">
        <v>0</v>
      </c>
      <c r="M22" s="705">
        <v>218758</v>
      </c>
      <c r="N22" s="725">
        <f t="shared" si="1"/>
        <v>270663</v>
      </c>
    </row>
    <row r="23" spans="1:15" x14ac:dyDescent="0.25">
      <c r="A23" s="706">
        <v>2024</v>
      </c>
      <c r="B23" s="670" t="s">
        <v>213</v>
      </c>
      <c r="C23" s="614">
        <f t="shared" si="2"/>
        <v>1172</v>
      </c>
      <c r="D23" s="614">
        <v>221746</v>
      </c>
      <c r="E23" s="707">
        <v>45517</v>
      </c>
      <c r="G23" s="705">
        <v>25625</v>
      </c>
      <c r="H23" s="705">
        <v>0</v>
      </c>
      <c r="I23" s="705">
        <v>0</v>
      </c>
      <c r="J23" s="705">
        <v>0</v>
      </c>
      <c r="K23" s="705">
        <v>0</v>
      </c>
      <c r="L23" s="705">
        <v>0</v>
      </c>
      <c r="M23" s="705">
        <v>50000</v>
      </c>
      <c r="N23" s="725">
        <f t="shared" si="1"/>
        <v>75625</v>
      </c>
    </row>
    <row r="24" spans="1:15" x14ac:dyDescent="0.25">
      <c r="A24" s="706">
        <v>2024</v>
      </c>
      <c r="B24" s="670" t="s">
        <v>595</v>
      </c>
      <c r="C24" s="614">
        <f t="shared" si="2"/>
        <v>1173</v>
      </c>
      <c r="D24" s="614">
        <v>221746</v>
      </c>
      <c r="E24" s="707">
        <v>45517</v>
      </c>
      <c r="G24" s="705">
        <v>35666</v>
      </c>
      <c r="H24" s="705">
        <v>0</v>
      </c>
      <c r="I24" s="705">
        <v>0</v>
      </c>
      <c r="J24" s="705">
        <v>0</v>
      </c>
      <c r="K24" s="705">
        <v>0</v>
      </c>
      <c r="L24" s="705">
        <v>0</v>
      </c>
      <c r="M24" s="705">
        <v>0</v>
      </c>
      <c r="N24" s="725">
        <f t="shared" si="1"/>
        <v>35666</v>
      </c>
    </row>
    <row r="25" spans="1:15" x14ac:dyDescent="0.25">
      <c r="A25" s="706">
        <v>2024</v>
      </c>
      <c r="B25" s="670" t="s">
        <v>186</v>
      </c>
      <c r="C25" s="614">
        <f t="shared" si="2"/>
        <v>1174</v>
      </c>
      <c r="D25" s="614">
        <v>221746</v>
      </c>
      <c r="E25" s="707">
        <v>45517</v>
      </c>
      <c r="G25" s="705">
        <v>35666</v>
      </c>
      <c r="H25" s="705">
        <v>0</v>
      </c>
      <c r="I25" s="705">
        <v>0</v>
      </c>
      <c r="J25" s="705">
        <v>0</v>
      </c>
      <c r="K25" s="705">
        <v>0</v>
      </c>
      <c r="L25" s="705">
        <v>0</v>
      </c>
      <c r="M25" s="705">
        <v>0</v>
      </c>
      <c r="N25" s="725">
        <f t="shared" si="1"/>
        <v>35666</v>
      </c>
    </row>
    <row r="26" spans="1:15" x14ac:dyDescent="0.25">
      <c r="A26" s="706">
        <v>2024</v>
      </c>
      <c r="B26" s="670" t="s">
        <v>187</v>
      </c>
      <c r="C26" s="614">
        <f t="shared" si="2"/>
        <v>1175</v>
      </c>
      <c r="D26" s="614">
        <v>221746</v>
      </c>
      <c r="E26" s="707">
        <v>45517</v>
      </c>
      <c r="G26" s="705">
        <v>30666</v>
      </c>
      <c r="H26" s="705">
        <v>0</v>
      </c>
      <c r="I26" s="705">
        <v>0</v>
      </c>
      <c r="J26" s="705">
        <v>0</v>
      </c>
      <c r="K26" s="705">
        <v>0</v>
      </c>
      <c r="L26" s="705">
        <v>0</v>
      </c>
      <c r="M26" s="705">
        <v>0</v>
      </c>
      <c r="N26" s="725">
        <f t="shared" si="1"/>
        <v>30666</v>
      </c>
      <c r="O26" s="95">
        <f>SUM(N19:N26)</f>
        <v>696300</v>
      </c>
    </row>
    <row r="27" spans="1:15" x14ac:dyDescent="0.25">
      <c r="C27" s="614"/>
      <c r="N27" s="321">
        <f t="shared" si="1"/>
        <v>0</v>
      </c>
    </row>
    <row r="28" spans="1:15" x14ac:dyDescent="0.25">
      <c r="C28" s="614"/>
      <c r="N28" s="321">
        <f t="shared" si="1"/>
        <v>0</v>
      </c>
    </row>
    <row r="29" spans="1:15" x14ac:dyDescent="0.25">
      <c r="N29" s="321">
        <f t="shared" si="1"/>
        <v>0</v>
      </c>
    </row>
    <row r="30" spans="1:15" x14ac:dyDescent="0.25">
      <c r="N30" s="321">
        <f t="shared" si="1"/>
        <v>0</v>
      </c>
    </row>
    <row r="31" spans="1:15" x14ac:dyDescent="0.25">
      <c r="N31" s="321">
        <f t="shared" si="1"/>
        <v>0</v>
      </c>
    </row>
    <row r="32" spans="1:15" x14ac:dyDescent="0.25">
      <c r="N32" s="321">
        <f t="shared" si="1"/>
        <v>0</v>
      </c>
    </row>
    <row r="33" spans="14:14" x14ac:dyDescent="0.25">
      <c r="N33" s="321">
        <f t="shared" si="1"/>
        <v>0</v>
      </c>
    </row>
    <row r="34" spans="14:14" x14ac:dyDescent="0.25">
      <c r="N34" s="321">
        <f t="shared" si="1"/>
        <v>0</v>
      </c>
    </row>
    <row r="35" spans="14:14" x14ac:dyDescent="0.25">
      <c r="N35" s="321">
        <f t="shared" si="1"/>
        <v>0</v>
      </c>
    </row>
    <row r="36" spans="14:14" x14ac:dyDescent="0.25">
      <c r="N36" s="321">
        <f t="shared" si="1"/>
        <v>0</v>
      </c>
    </row>
    <row r="37" spans="14:14" x14ac:dyDescent="0.25">
      <c r="N37" s="321">
        <f t="shared" si="1"/>
        <v>0</v>
      </c>
    </row>
    <row r="38" spans="14:14" x14ac:dyDescent="0.25">
      <c r="N38" s="321">
        <f t="shared" si="1"/>
        <v>0</v>
      </c>
    </row>
    <row r="39" spans="14:14" x14ac:dyDescent="0.25">
      <c r="N39" s="321">
        <f t="shared" si="1"/>
        <v>0</v>
      </c>
    </row>
    <row r="40" spans="14:14" x14ac:dyDescent="0.25">
      <c r="N40" s="321">
        <f t="shared" si="1"/>
        <v>0</v>
      </c>
    </row>
    <row r="41" spans="14:14" x14ac:dyDescent="0.25">
      <c r="N41" s="321">
        <f t="shared" si="1"/>
        <v>0</v>
      </c>
    </row>
    <row r="42" spans="14:14" x14ac:dyDescent="0.25">
      <c r="N42" s="321">
        <f t="shared" si="1"/>
        <v>0</v>
      </c>
    </row>
    <row r="43" spans="14:14" x14ac:dyDescent="0.25">
      <c r="N43" s="321">
        <f t="shared" si="1"/>
        <v>0</v>
      </c>
    </row>
    <row r="44" spans="14:14" x14ac:dyDescent="0.25">
      <c r="N44" s="321">
        <f t="shared" si="1"/>
        <v>0</v>
      </c>
    </row>
    <row r="45" spans="14:14" x14ac:dyDescent="0.25">
      <c r="N45" s="321">
        <f t="shared" si="1"/>
        <v>0</v>
      </c>
    </row>
    <row r="46" spans="14:14" x14ac:dyDescent="0.25">
      <c r="N46" s="321">
        <f t="shared" si="1"/>
        <v>0</v>
      </c>
    </row>
    <row r="47" spans="14:14" x14ac:dyDescent="0.25">
      <c r="N47" s="321">
        <f t="shared" si="1"/>
        <v>0</v>
      </c>
    </row>
    <row r="48" spans="14:14" x14ac:dyDescent="0.25">
      <c r="N48" s="321">
        <f t="shared" si="1"/>
        <v>0</v>
      </c>
    </row>
    <row r="49" spans="14:14" x14ac:dyDescent="0.25">
      <c r="N49" s="321">
        <f t="shared" si="1"/>
        <v>0</v>
      </c>
    </row>
    <row r="50" spans="14:14" x14ac:dyDescent="0.25">
      <c r="N50" s="321">
        <f t="shared" si="1"/>
        <v>0</v>
      </c>
    </row>
    <row r="51" spans="14:14" x14ac:dyDescent="0.25">
      <c r="N51" s="321">
        <f t="shared" si="1"/>
        <v>0</v>
      </c>
    </row>
    <row r="52" spans="14:14" x14ac:dyDescent="0.25">
      <c r="N52" s="321">
        <f t="shared" si="1"/>
        <v>0</v>
      </c>
    </row>
    <row r="53" spans="14:14" x14ac:dyDescent="0.25">
      <c r="N53" s="321">
        <f t="shared" si="1"/>
        <v>0</v>
      </c>
    </row>
    <row r="54" spans="14:14" x14ac:dyDescent="0.25">
      <c r="N54" s="321">
        <f t="shared" si="1"/>
        <v>0</v>
      </c>
    </row>
    <row r="55" spans="14:14" x14ac:dyDescent="0.25">
      <c r="N55" s="321">
        <f t="shared" si="1"/>
        <v>0</v>
      </c>
    </row>
    <row r="56" spans="14:14" x14ac:dyDescent="0.25">
      <c r="N56" s="321">
        <f t="shared" si="1"/>
        <v>0</v>
      </c>
    </row>
    <row r="57" spans="14:14" x14ac:dyDescent="0.25">
      <c r="N57" s="321">
        <f t="shared" si="1"/>
        <v>0</v>
      </c>
    </row>
    <row r="58" spans="14:14" x14ac:dyDescent="0.25">
      <c r="N58" s="321">
        <f t="shared" si="1"/>
        <v>0</v>
      </c>
    </row>
    <row r="59" spans="14:14" x14ac:dyDescent="0.25">
      <c r="N59" s="321">
        <f t="shared" si="1"/>
        <v>0</v>
      </c>
    </row>
    <row r="60" spans="14:14" x14ac:dyDescent="0.25">
      <c r="N60" s="321">
        <f t="shared" si="1"/>
        <v>0</v>
      </c>
    </row>
    <row r="61" spans="14:14" x14ac:dyDescent="0.25">
      <c r="N61" s="321">
        <f t="shared" si="1"/>
        <v>0</v>
      </c>
    </row>
    <row r="62" spans="14:14" x14ac:dyDescent="0.25">
      <c r="N62" s="321">
        <f t="shared" si="1"/>
        <v>0</v>
      </c>
    </row>
    <row r="63" spans="14:14" x14ac:dyDescent="0.25">
      <c r="N63" s="321">
        <f t="shared" si="1"/>
        <v>0</v>
      </c>
    </row>
    <row r="64" spans="14:14" x14ac:dyDescent="0.25">
      <c r="N64" s="321">
        <f t="shared" si="1"/>
        <v>0</v>
      </c>
    </row>
    <row r="65" spans="14:14" x14ac:dyDescent="0.25">
      <c r="N65" s="321">
        <f t="shared" si="1"/>
        <v>0</v>
      </c>
    </row>
    <row r="66" spans="14:14" x14ac:dyDescent="0.25">
      <c r="N66" s="321">
        <f t="shared" si="1"/>
        <v>0</v>
      </c>
    </row>
    <row r="67" spans="14:14" x14ac:dyDescent="0.25">
      <c r="N67" s="321">
        <f t="shared" si="1"/>
        <v>0</v>
      </c>
    </row>
    <row r="68" spans="14:14" x14ac:dyDescent="0.25">
      <c r="N68" s="321">
        <f t="shared" ref="N68:N131" si="3">SUM(G68:M68)</f>
        <v>0</v>
      </c>
    </row>
    <row r="69" spans="14:14" x14ac:dyDescent="0.25">
      <c r="N69" s="321">
        <f t="shared" si="3"/>
        <v>0</v>
      </c>
    </row>
    <row r="70" spans="14:14" x14ac:dyDescent="0.25">
      <c r="N70" s="321">
        <f t="shared" si="3"/>
        <v>0</v>
      </c>
    </row>
    <row r="71" spans="14:14" x14ac:dyDescent="0.25">
      <c r="N71" s="321">
        <f t="shared" si="3"/>
        <v>0</v>
      </c>
    </row>
    <row r="72" spans="14:14" x14ac:dyDescent="0.25">
      <c r="N72" s="321">
        <f t="shared" si="3"/>
        <v>0</v>
      </c>
    </row>
    <row r="73" spans="14:14" x14ac:dyDescent="0.25">
      <c r="N73" s="321">
        <f t="shared" si="3"/>
        <v>0</v>
      </c>
    </row>
    <row r="74" spans="14:14" x14ac:dyDescent="0.25">
      <c r="N74" s="321">
        <f t="shared" si="3"/>
        <v>0</v>
      </c>
    </row>
    <row r="75" spans="14:14" x14ac:dyDescent="0.25">
      <c r="N75" s="321">
        <f t="shared" si="3"/>
        <v>0</v>
      </c>
    </row>
    <row r="76" spans="14:14" x14ac:dyDescent="0.25">
      <c r="N76" s="321">
        <f t="shared" si="3"/>
        <v>0</v>
      </c>
    </row>
    <row r="77" spans="14:14" x14ac:dyDescent="0.25">
      <c r="N77" s="321">
        <f t="shared" si="3"/>
        <v>0</v>
      </c>
    </row>
    <row r="78" spans="14:14" x14ac:dyDescent="0.25">
      <c r="N78" s="321">
        <f t="shared" si="3"/>
        <v>0</v>
      </c>
    </row>
    <row r="79" spans="14:14" x14ac:dyDescent="0.25">
      <c r="N79" s="321">
        <f t="shared" si="3"/>
        <v>0</v>
      </c>
    </row>
    <row r="80" spans="14:14" x14ac:dyDescent="0.25">
      <c r="N80" s="321">
        <f t="shared" si="3"/>
        <v>0</v>
      </c>
    </row>
    <row r="81" spans="14:14" x14ac:dyDescent="0.25">
      <c r="N81" s="321">
        <f t="shared" si="3"/>
        <v>0</v>
      </c>
    </row>
    <row r="82" spans="14:14" x14ac:dyDescent="0.25">
      <c r="N82" s="321">
        <f t="shared" si="3"/>
        <v>0</v>
      </c>
    </row>
    <row r="83" spans="14:14" x14ac:dyDescent="0.25">
      <c r="N83" s="321">
        <f t="shared" si="3"/>
        <v>0</v>
      </c>
    </row>
    <row r="84" spans="14:14" x14ac:dyDescent="0.25">
      <c r="N84" s="321">
        <f t="shared" si="3"/>
        <v>0</v>
      </c>
    </row>
    <row r="85" spans="14:14" x14ac:dyDescent="0.25">
      <c r="N85" s="321">
        <f t="shared" si="3"/>
        <v>0</v>
      </c>
    </row>
    <row r="86" spans="14:14" x14ac:dyDescent="0.25">
      <c r="N86" s="321">
        <f t="shared" si="3"/>
        <v>0</v>
      </c>
    </row>
    <row r="87" spans="14:14" x14ac:dyDescent="0.25">
      <c r="N87" s="321">
        <f t="shared" si="3"/>
        <v>0</v>
      </c>
    </row>
    <row r="88" spans="14:14" x14ac:dyDescent="0.25">
      <c r="N88" s="321">
        <f t="shared" si="3"/>
        <v>0</v>
      </c>
    </row>
    <row r="89" spans="14:14" x14ac:dyDescent="0.25">
      <c r="N89" s="321">
        <f t="shared" si="3"/>
        <v>0</v>
      </c>
    </row>
    <row r="90" spans="14:14" x14ac:dyDescent="0.25">
      <c r="N90" s="321">
        <f t="shared" si="3"/>
        <v>0</v>
      </c>
    </row>
    <row r="91" spans="14:14" x14ac:dyDescent="0.25">
      <c r="N91" s="321">
        <f t="shared" si="3"/>
        <v>0</v>
      </c>
    </row>
    <row r="92" spans="14:14" x14ac:dyDescent="0.25">
      <c r="N92" s="321">
        <f t="shared" si="3"/>
        <v>0</v>
      </c>
    </row>
    <row r="93" spans="14:14" x14ac:dyDescent="0.25">
      <c r="N93" s="321">
        <f t="shared" si="3"/>
        <v>0</v>
      </c>
    </row>
    <row r="94" spans="14:14" x14ac:dyDescent="0.25">
      <c r="N94" s="321">
        <f t="shared" si="3"/>
        <v>0</v>
      </c>
    </row>
    <row r="95" spans="14:14" x14ac:dyDescent="0.25">
      <c r="N95" s="321">
        <f t="shared" si="3"/>
        <v>0</v>
      </c>
    </row>
    <row r="96" spans="14:14" x14ac:dyDescent="0.25">
      <c r="N96" s="321">
        <f t="shared" si="3"/>
        <v>0</v>
      </c>
    </row>
    <row r="97" spans="14:14" x14ac:dyDescent="0.25">
      <c r="N97" s="321">
        <f t="shared" si="3"/>
        <v>0</v>
      </c>
    </row>
    <row r="98" spans="14:14" x14ac:dyDescent="0.25">
      <c r="N98" s="321">
        <f t="shared" si="3"/>
        <v>0</v>
      </c>
    </row>
    <row r="99" spans="14:14" x14ac:dyDescent="0.25">
      <c r="N99" s="321">
        <f t="shared" si="3"/>
        <v>0</v>
      </c>
    </row>
    <row r="100" spans="14:14" x14ac:dyDescent="0.25">
      <c r="N100" s="321">
        <f t="shared" si="3"/>
        <v>0</v>
      </c>
    </row>
    <row r="101" spans="14:14" x14ac:dyDescent="0.25">
      <c r="N101" s="321">
        <f t="shared" si="3"/>
        <v>0</v>
      </c>
    </row>
    <row r="102" spans="14:14" x14ac:dyDescent="0.25">
      <c r="N102" s="321">
        <f t="shared" si="3"/>
        <v>0</v>
      </c>
    </row>
    <row r="103" spans="14:14" x14ac:dyDescent="0.25">
      <c r="N103" s="321">
        <f t="shared" si="3"/>
        <v>0</v>
      </c>
    </row>
    <row r="104" spans="14:14" x14ac:dyDescent="0.25">
      <c r="N104" s="321">
        <f t="shared" si="3"/>
        <v>0</v>
      </c>
    </row>
    <row r="105" spans="14:14" x14ac:dyDescent="0.25">
      <c r="N105" s="321">
        <f t="shared" si="3"/>
        <v>0</v>
      </c>
    </row>
    <row r="106" spans="14:14" x14ac:dyDescent="0.25">
      <c r="N106" s="321">
        <f t="shared" si="3"/>
        <v>0</v>
      </c>
    </row>
    <row r="107" spans="14:14" x14ac:dyDescent="0.25">
      <c r="N107" s="321">
        <f t="shared" si="3"/>
        <v>0</v>
      </c>
    </row>
    <row r="108" spans="14:14" x14ac:dyDescent="0.25">
      <c r="N108" s="321">
        <f t="shared" si="3"/>
        <v>0</v>
      </c>
    </row>
    <row r="109" spans="14:14" x14ac:dyDescent="0.25">
      <c r="N109" s="321">
        <f t="shared" si="3"/>
        <v>0</v>
      </c>
    </row>
    <row r="110" spans="14:14" x14ac:dyDescent="0.25">
      <c r="N110" s="321">
        <f t="shared" si="3"/>
        <v>0</v>
      </c>
    </row>
    <row r="111" spans="14:14" x14ac:dyDescent="0.25">
      <c r="N111" s="321">
        <f t="shared" si="3"/>
        <v>0</v>
      </c>
    </row>
    <row r="112" spans="14:14" x14ac:dyDescent="0.25">
      <c r="N112" s="321">
        <f t="shared" si="3"/>
        <v>0</v>
      </c>
    </row>
    <row r="113" spans="14:14" x14ac:dyDescent="0.25">
      <c r="N113" s="321">
        <f t="shared" si="3"/>
        <v>0</v>
      </c>
    </row>
    <row r="114" spans="14:14" x14ac:dyDescent="0.25">
      <c r="N114" s="321">
        <f t="shared" si="3"/>
        <v>0</v>
      </c>
    </row>
    <row r="115" spans="14:14" x14ac:dyDescent="0.25">
      <c r="N115" s="321">
        <f t="shared" si="3"/>
        <v>0</v>
      </c>
    </row>
    <row r="116" spans="14:14" x14ac:dyDescent="0.25">
      <c r="N116" s="321">
        <f t="shared" si="3"/>
        <v>0</v>
      </c>
    </row>
    <row r="117" spans="14:14" x14ac:dyDescent="0.25">
      <c r="N117" s="321">
        <f t="shared" si="3"/>
        <v>0</v>
      </c>
    </row>
    <row r="118" spans="14:14" x14ac:dyDescent="0.25">
      <c r="N118" s="321">
        <f t="shared" si="3"/>
        <v>0</v>
      </c>
    </row>
    <row r="119" spans="14:14" x14ac:dyDescent="0.25">
      <c r="N119" s="321">
        <f t="shared" si="3"/>
        <v>0</v>
      </c>
    </row>
    <row r="120" spans="14:14" x14ac:dyDescent="0.25">
      <c r="N120" s="321">
        <f t="shared" si="3"/>
        <v>0</v>
      </c>
    </row>
    <row r="121" spans="14:14" x14ac:dyDescent="0.25">
      <c r="N121" s="321">
        <f t="shared" si="3"/>
        <v>0</v>
      </c>
    </row>
    <row r="122" spans="14:14" x14ac:dyDescent="0.25">
      <c r="N122" s="321">
        <f t="shared" si="3"/>
        <v>0</v>
      </c>
    </row>
    <row r="123" spans="14:14" x14ac:dyDescent="0.25">
      <c r="N123" s="321">
        <f t="shared" si="3"/>
        <v>0</v>
      </c>
    </row>
    <row r="124" spans="14:14" x14ac:dyDescent="0.25">
      <c r="N124" s="321">
        <f t="shared" si="3"/>
        <v>0</v>
      </c>
    </row>
    <row r="125" spans="14:14" x14ac:dyDescent="0.25">
      <c r="N125" s="321">
        <f t="shared" si="3"/>
        <v>0</v>
      </c>
    </row>
    <row r="126" spans="14:14" x14ac:dyDescent="0.25">
      <c r="N126" s="321">
        <f t="shared" si="3"/>
        <v>0</v>
      </c>
    </row>
    <row r="127" spans="14:14" x14ac:dyDescent="0.25">
      <c r="N127" s="321">
        <f t="shared" si="3"/>
        <v>0</v>
      </c>
    </row>
    <row r="128" spans="14:14" x14ac:dyDescent="0.25">
      <c r="N128" s="321">
        <f t="shared" si="3"/>
        <v>0</v>
      </c>
    </row>
    <row r="129" spans="14:14" x14ac:dyDescent="0.25">
      <c r="N129" s="321">
        <f t="shared" si="3"/>
        <v>0</v>
      </c>
    </row>
    <row r="130" spans="14:14" x14ac:dyDescent="0.25">
      <c r="N130" s="321">
        <f t="shared" si="3"/>
        <v>0</v>
      </c>
    </row>
    <row r="131" spans="14:14" x14ac:dyDescent="0.25">
      <c r="N131" s="321">
        <f t="shared" si="3"/>
        <v>0</v>
      </c>
    </row>
    <row r="132" spans="14:14" x14ac:dyDescent="0.25">
      <c r="N132" s="321">
        <f t="shared" ref="N132:N195" si="4">SUM(G132:M132)</f>
        <v>0</v>
      </c>
    </row>
    <row r="133" spans="14:14" x14ac:dyDescent="0.25">
      <c r="N133" s="321">
        <f t="shared" si="4"/>
        <v>0</v>
      </c>
    </row>
    <row r="134" spans="14:14" x14ac:dyDescent="0.25">
      <c r="N134" s="321">
        <f t="shared" si="4"/>
        <v>0</v>
      </c>
    </row>
    <row r="135" spans="14:14" x14ac:dyDescent="0.25">
      <c r="N135" s="321">
        <f t="shared" si="4"/>
        <v>0</v>
      </c>
    </row>
    <row r="136" spans="14:14" x14ac:dyDescent="0.25">
      <c r="N136" s="321">
        <f t="shared" si="4"/>
        <v>0</v>
      </c>
    </row>
    <row r="137" spans="14:14" x14ac:dyDescent="0.25">
      <c r="N137" s="321">
        <f t="shared" si="4"/>
        <v>0</v>
      </c>
    </row>
    <row r="138" spans="14:14" x14ac:dyDescent="0.25">
      <c r="N138" s="321">
        <f t="shared" si="4"/>
        <v>0</v>
      </c>
    </row>
    <row r="139" spans="14:14" x14ac:dyDescent="0.25">
      <c r="N139" s="321">
        <f t="shared" si="4"/>
        <v>0</v>
      </c>
    </row>
    <row r="140" spans="14:14" x14ac:dyDescent="0.25">
      <c r="N140" s="321">
        <f t="shared" si="4"/>
        <v>0</v>
      </c>
    </row>
    <row r="141" spans="14:14" x14ac:dyDescent="0.25">
      <c r="N141" s="321">
        <f t="shared" si="4"/>
        <v>0</v>
      </c>
    </row>
    <row r="142" spans="14:14" x14ac:dyDescent="0.25">
      <c r="N142" s="321">
        <f t="shared" si="4"/>
        <v>0</v>
      </c>
    </row>
    <row r="143" spans="14:14" x14ac:dyDescent="0.25">
      <c r="N143" s="321">
        <f t="shared" si="4"/>
        <v>0</v>
      </c>
    </row>
    <row r="144" spans="14:14" x14ac:dyDescent="0.25">
      <c r="N144" s="321">
        <f t="shared" si="4"/>
        <v>0</v>
      </c>
    </row>
    <row r="145" spans="14:14" x14ac:dyDescent="0.25">
      <c r="N145" s="321">
        <f t="shared" si="4"/>
        <v>0</v>
      </c>
    </row>
    <row r="146" spans="14:14" x14ac:dyDescent="0.25">
      <c r="N146" s="321">
        <f t="shared" si="4"/>
        <v>0</v>
      </c>
    </row>
    <row r="147" spans="14:14" x14ac:dyDescent="0.25">
      <c r="N147" s="321">
        <f t="shared" si="4"/>
        <v>0</v>
      </c>
    </row>
    <row r="148" spans="14:14" x14ac:dyDescent="0.25">
      <c r="N148" s="321">
        <f t="shared" si="4"/>
        <v>0</v>
      </c>
    </row>
    <row r="149" spans="14:14" x14ac:dyDescent="0.25">
      <c r="N149" s="321">
        <f t="shared" si="4"/>
        <v>0</v>
      </c>
    </row>
    <row r="150" spans="14:14" x14ac:dyDescent="0.25">
      <c r="N150" s="321">
        <f t="shared" si="4"/>
        <v>0</v>
      </c>
    </row>
    <row r="151" spans="14:14" x14ac:dyDescent="0.25">
      <c r="N151" s="321">
        <f t="shared" si="4"/>
        <v>0</v>
      </c>
    </row>
    <row r="152" spans="14:14" x14ac:dyDescent="0.25">
      <c r="N152" s="321">
        <f t="shared" si="4"/>
        <v>0</v>
      </c>
    </row>
    <row r="153" spans="14:14" x14ac:dyDescent="0.25">
      <c r="N153" s="321">
        <f t="shared" si="4"/>
        <v>0</v>
      </c>
    </row>
    <row r="154" spans="14:14" x14ac:dyDescent="0.25">
      <c r="N154" s="321">
        <f t="shared" si="4"/>
        <v>0</v>
      </c>
    </row>
    <row r="155" spans="14:14" x14ac:dyDescent="0.25">
      <c r="N155" s="321">
        <f t="shared" si="4"/>
        <v>0</v>
      </c>
    </row>
    <row r="156" spans="14:14" x14ac:dyDescent="0.25">
      <c r="N156" s="321">
        <f t="shared" si="4"/>
        <v>0</v>
      </c>
    </row>
    <row r="157" spans="14:14" x14ac:dyDescent="0.25">
      <c r="N157" s="321">
        <f t="shared" si="4"/>
        <v>0</v>
      </c>
    </row>
    <row r="158" spans="14:14" x14ac:dyDescent="0.25">
      <c r="N158" s="321">
        <f t="shared" si="4"/>
        <v>0</v>
      </c>
    </row>
    <row r="159" spans="14:14" x14ac:dyDescent="0.25">
      <c r="N159" s="321">
        <f t="shared" si="4"/>
        <v>0</v>
      </c>
    </row>
    <row r="160" spans="14:14" x14ac:dyDescent="0.25">
      <c r="N160" s="321">
        <f t="shared" si="4"/>
        <v>0</v>
      </c>
    </row>
    <row r="161" spans="14:14" x14ac:dyDescent="0.25">
      <c r="N161" s="321">
        <f t="shared" si="4"/>
        <v>0</v>
      </c>
    </row>
    <row r="162" spans="14:14" x14ac:dyDescent="0.25">
      <c r="N162" s="321">
        <f t="shared" si="4"/>
        <v>0</v>
      </c>
    </row>
    <row r="163" spans="14:14" x14ac:dyDescent="0.25">
      <c r="N163" s="321">
        <f t="shared" si="4"/>
        <v>0</v>
      </c>
    </row>
    <row r="164" spans="14:14" x14ac:dyDescent="0.25">
      <c r="N164" s="321">
        <f t="shared" si="4"/>
        <v>0</v>
      </c>
    </row>
    <row r="165" spans="14:14" x14ac:dyDescent="0.25">
      <c r="N165" s="321">
        <f t="shared" si="4"/>
        <v>0</v>
      </c>
    </row>
    <row r="166" spans="14:14" x14ac:dyDescent="0.25">
      <c r="N166" s="321">
        <f t="shared" si="4"/>
        <v>0</v>
      </c>
    </row>
    <row r="167" spans="14:14" x14ac:dyDescent="0.25">
      <c r="N167" s="321">
        <f t="shared" si="4"/>
        <v>0</v>
      </c>
    </row>
    <row r="168" spans="14:14" x14ac:dyDescent="0.25">
      <c r="N168" s="321">
        <f t="shared" si="4"/>
        <v>0</v>
      </c>
    </row>
    <row r="169" spans="14:14" x14ac:dyDescent="0.25">
      <c r="N169" s="321">
        <f t="shared" si="4"/>
        <v>0</v>
      </c>
    </row>
    <row r="170" spans="14:14" x14ac:dyDescent="0.25">
      <c r="N170" s="321">
        <f t="shared" si="4"/>
        <v>0</v>
      </c>
    </row>
    <row r="171" spans="14:14" x14ac:dyDescent="0.25">
      <c r="N171" s="321">
        <f t="shared" si="4"/>
        <v>0</v>
      </c>
    </row>
    <row r="172" spans="14:14" x14ac:dyDescent="0.25">
      <c r="N172" s="321">
        <f t="shared" si="4"/>
        <v>0</v>
      </c>
    </row>
    <row r="173" spans="14:14" x14ac:dyDescent="0.25">
      <c r="N173" s="321">
        <f t="shared" si="4"/>
        <v>0</v>
      </c>
    </row>
    <row r="174" spans="14:14" x14ac:dyDescent="0.25">
      <c r="N174" s="321">
        <f t="shared" si="4"/>
        <v>0</v>
      </c>
    </row>
    <row r="175" spans="14:14" x14ac:dyDescent="0.25">
      <c r="N175" s="321">
        <f t="shared" si="4"/>
        <v>0</v>
      </c>
    </row>
    <row r="176" spans="14:14" x14ac:dyDescent="0.25">
      <c r="N176" s="321">
        <f t="shared" si="4"/>
        <v>0</v>
      </c>
    </row>
    <row r="177" spans="14:14" x14ac:dyDescent="0.25">
      <c r="N177" s="321">
        <f t="shared" si="4"/>
        <v>0</v>
      </c>
    </row>
    <row r="178" spans="14:14" x14ac:dyDescent="0.25">
      <c r="N178" s="321">
        <f t="shared" si="4"/>
        <v>0</v>
      </c>
    </row>
    <row r="179" spans="14:14" x14ac:dyDescent="0.25">
      <c r="N179" s="321">
        <f t="shared" si="4"/>
        <v>0</v>
      </c>
    </row>
    <row r="180" spans="14:14" x14ac:dyDescent="0.25">
      <c r="N180" s="321">
        <f t="shared" si="4"/>
        <v>0</v>
      </c>
    </row>
    <row r="181" spans="14:14" x14ac:dyDescent="0.25">
      <c r="N181" s="321">
        <f t="shared" si="4"/>
        <v>0</v>
      </c>
    </row>
    <row r="182" spans="14:14" x14ac:dyDescent="0.25">
      <c r="N182" s="321">
        <f t="shared" si="4"/>
        <v>0</v>
      </c>
    </row>
    <row r="183" spans="14:14" x14ac:dyDescent="0.25">
      <c r="N183" s="321">
        <f t="shared" si="4"/>
        <v>0</v>
      </c>
    </row>
    <row r="184" spans="14:14" x14ac:dyDescent="0.25">
      <c r="N184" s="321">
        <f t="shared" si="4"/>
        <v>0</v>
      </c>
    </row>
    <row r="185" spans="14:14" x14ac:dyDescent="0.25">
      <c r="N185" s="321">
        <f t="shared" si="4"/>
        <v>0</v>
      </c>
    </row>
    <row r="186" spans="14:14" x14ac:dyDescent="0.25">
      <c r="N186" s="321">
        <f t="shared" si="4"/>
        <v>0</v>
      </c>
    </row>
    <row r="187" spans="14:14" x14ac:dyDescent="0.25">
      <c r="N187" s="321">
        <f t="shared" si="4"/>
        <v>0</v>
      </c>
    </row>
    <row r="188" spans="14:14" x14ac:dyDescent="0.25">
      <c r="N188" s="321">
        <f t="shared" si="4"/>
        <v>0</v>
      </c>
    </row>
    <row r="189" spans="14:14" x14ac:dyDescent="0.25">
      <c r="N189" s="321">
        <f t="shared" si="4"/>
        <v>0</v>
      </c>
    </row>
    <row r="190" spans="14:14" x14ac:dyDescent="0.25">
      <c r="N190" s="321">
        <f t="shared" si="4"/>
        <v>0</v>
      </c>
    </row>
    <row r="191" spans="14:14" x14ac:dyDescent="0.25">
      <c r="N191" s="321">
        <f t="shared" si="4"/>
        <v>0</v>
      </c>
    </row>
    <row r="192" spans="14:14" x14ac:dyDescent="0.25">
      <c r="N192" s="321">
        <f t="shared" si="4"/>
        <v>0</v>
      </c>
    </row>
    <row r="193" spans="14:14" x14ac:dyDescent="0.25">
      <c r="N193" s="321">
        <f t="shared" si="4"/>
        <v>0</v>
      </c>
    </row>
    <row r="194" spans="14:14" x14ac:dyDescent="0.25">
      <c r="N194" s="321">
        <f t="shared" si="4"/>
        <v>0</v>
      </c>
    </row>
    <row r="195" spans="14:14" x14ac:dyDescent="0.25">
      <c r="N195" s="321">
        <f t="shared" si="4"/>
        <v>0</v>
      </c>
    </row>
    <row r="196" spans="14:14" x14ac:dyDescent="0.25">
      <c r="N196" s="321">
        <f>SUM(G196:M196)</f>
        <v>0</v>
      </c>
    </row>
    <row r="197" spans="14:14" x14ac:dyDescent="0.25">
      <c r="N197" s="321">
        <f>SUM(G197:M197)</f>
        <v>0</v>
      </c>
    </row>
    <row r="198" spans="14:14" x14ac:dyDescent="0.25">
      <c r="N198" s="321">
        <f>SUM(G198:M198)</f>
        <v>0</v>
      </c>
    </row>
    <row r="199" spans="14:14" x14ac:dyDescent="0.25">
      <c r="N199" s="321">
        <f>SUM(G199:M199)</f>
        <v>0</v>
      </c>
    </row>
    <row r="200" spans="14:14" x14ac:dyDescent="0.25">
      <c r="N200" s="321">
        <f>SUM(G200:M200)</f>
        <v>0</v>
      </c>
    </row>
  </sheetData>
  <autoFilter ref="A2:N200" xr:uid="{897414B5-BC96-471F-805D-4057029D1E7A}"/>
  <pageMargins left="0.7" right="0.7" top="0.75" bottom="0.75" header="0.3" footer="0.3"/>
  <pageSetup scale="73" orientation="landscape" r:id="rId1"/>
  <ignoredErrors>
    <ignoredError sqref="N3 N4:N9 N10:N18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E329CDD5-E446-4A06-BB36-4DB9F0E46E20}">
          <x14:formula1>
            <xm:f>PLAN!$B$103:$B$111</xm:f>
          </x14:formula1>
          <xm:sqref>B3:B200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2839-1946-407E-AD9A-7952FC83D806}">
  <sheetPr codeName="Hoja8">
    <tabColor rgb="FF92D050"/>
    <pageSetUpPr fitToPage="1"/>
  </sheetPr>
  <dimension ref="A1:P878"/>
  <sheetViews>
    <sheetView showGridLines="0" topLeftCell="A792" zoomScaleNormal="100" workbookViewId="0">
      <selection activeCell="A807" sqref="A807"/>
    </sheetView>
  </sheetViews>
  <sheetFormatPr baseColWidth="10" defaultColWidth="11.42578125" defaultRowHeight="15" x14ac:dyDescent="0.25"/>
  <cols>
    <col min="1" max="1" width="8.7109375" style="95" bestFit="1" customWidth="1"/>
    <col min="2" max="2" width="12.7109375" style="162" customWidth="1"/>
    <col min="3" max="3" width="12.7109375" style="95" customWidth="1"/>
    <col min="4" max="4" width="31.28515625" style="95" bestFit="1" customWidth="1"/>
    <col min="5" max="11" width="11.7109375" style="162" customWidth="1"/>
    <col min="12" max="12" width="12.7109375" style="95" customWidth="1"/>
    <col min="13" max="13" width="3.140625" style="95" bestFit="1" customWidth="1"/>
    <col min="14" max="14" width="12.7109375" style="95" bestFit="1" customWidth="1"/>
    <col min="15" max="15" width="11.140625" style="95" bestFit="1" customWidth="1"/>
    <col min="16" max="16" width="18.85546875" style="95" customWidth="1"/>
    <col min="17" max="16384" width="11.42578125" style="95"/>
  </cols>
  <sheetData>
    <row r="1" spans="1:16" s="552" customFormat="1" ht="18.75" x14ac:dyDescent="0.3">
      <c r="A1" s="95"/>
      <c r="B1" s="592" t="s">
        <v>246</v>
      </c>
      <c r="C1" s="1037" t="s">
        <v>130</v>
      </c>
      <c r="D1" s="1038"/>
      <c r="E1" s="593" t="s">
        <v>247</v>
      </c>
      <c r="F1" s="594"/>
      <c r="G1" s="594"/>
      <c r="H1" s="594"/>
      <c r="I1" s="595" t="s">
        <v>248</v>
      </c>
      <c r="J1" s="596">
        <v>1152</v>
      </c>
      <c r="K1" s="593" t="s">
        <v>137</v>
      </c>
      <c r="L1" s="596">
        <v>221743</v>
      </c>
      <c r="P1" s="552" t="s">
        <v>127</v>
      </c>
    </row>
    <row r="2" spans="1:16" x14ac:dyDescent="0.25">
      <c r="B2" s="597" t="s">
        <v>0</v>
      </c>
      <c r="C2" s="597" t="s">
        <v>249</v>
      </c>
      <c r="D2" s="597" t="s">
        <v>6</v>
      </c>
      <c r="E2" s="597" t="s">
        <v>250</v>
      </c>
      <c r="F2" s="597" t="s">
        <v>62</v>
      </c>
      <c r="G2" s="597" t="s">
        <v>63</v>
      </c>
      <c r="H2" s="597" t="s">
        <v>64</v>
      </c>
      <c r="I2" s="597" t="s">
        <v>251</v>
      </c>
      <c r="J2" s="597" t="s">
        <v>66</v>
      </c>
      <c r="K2" s="597" t="s">
        <v>68</v>
      </c>
      <c r="L2" s="597" t="s">
        <v>252</v>
      </c>
      <c r="P2" s="95" t="s">
        <v>128</v>
      </c>
    </row>
    <row r="3" spans="1:16" x14ac:dyDescent="0.25">
      <c r="B3" s="598">
        <v>45244</v>
      </c>
      <c r="C3" s="599" t="s">
        <v>16</v>
      </c>
      <c r="D3" s="600" t="s">
        <v>17</v>
      </c>
      <c r="E3" s="601">
        <v>20000</v>
      </c>
      <c r="F3" s="601" t="s">
        <v>253</v>
      </c>
      <c r="G3" s="601" t="s">
        <v>253</v>
      </c>
      <c r="H3" s="601" t="s">
        <v>253</v>
      </c>
      <c r="I3" s="601" t="s">
        <v>253</v>
      </c>
      <c r="J3" s="601" t="s">
        <v>253</v>
      </c>
      <c r="K3" s="601" t="s">
        <v>253</v>
      </c>
      <c r="L3" s="602">
        <f t="shared" ref="L3:L15" si="0">SUM(E3:K3)</f>
        <v>20000</v>
      </c>
      <c r="P3" s="95" t="s">
        <v>129</v>
      </c>
    </row>
    <row r="4" spans="1:16" x14ac:dyDescent="0.25">
      <c r="A4" s="603"/>
      <c r="B4" s="598">
        <v>45260</v>
      </c>
      <c r="C4" s="604" t="s">
        <v>16</v>
      </c>
      <c r="D4" s="599" t="s">
        <v>17</v>
      </c>
      <c r="E4" s="601">
        <v>20000</v>
      </c>
      <c r="F4" s="601">
        <f>6000+5000</f>
        <v>11000</v>
      </c>
      <c r="G4" s="601" t="s">
        <v>253</v>
      </c>
      <c r="H4" s="601" t="s">
        <v>253</v>
      </c>
      <c r="I4" s="601" t="s">
        <v>253</v>
      </c>
      <c r="J4" s="601" t="s">
        <v>253</v>
      </c>
      <c r="K4" s="601" t="s">
        <v>253</v>
      </c>
      <c r="L4" s="602">
        <f t="shared" si="0"/>
        <v>31000</v>
      </c>
      <c r="P4" s="95" t="s">
        <v>232</v>
      </c>
    </row>
    <row r="5" spans="1:16" x14ac:dyDescent="0.25">
      <c r="A5" s="603"/>
      <c r="B5" s="598">
        <v>45238</v>
      </c>
      <c r="C5" s="604" t="s">
        <v>13</v>
      </c>
      <c r="D5" s="599" t="s">
        <v>15</v>
      </c>
      <c r="E5" s="601">
        <v>7667</v>
      </c>
      <c r="F5" s="601" t="s">
        <v>253</v>
      </c>
      <c r="G5" s="601" t="s">
        <v>253</v>
      </c>
      <c r="H5" s="601" t="s">
        <v>253</v>
      </c>
      <c r="I5" s="601" t="s">
        <v>253</v>
      </c>
      <c r="J5" s="601" t="s">
        <v>253</v>
      </c>
      <c r="K5" s="601" t="s">
        <v>253</v>
      </c>
      <c r="L5" s="602">
        <f t="shared" si="0"/>
        <v>7667</v>
      </c>
      <c r="P5" s="95" t="s">
        <v>131</v>
      </c>
    </row>
    <row r="6" spans="1:16" x14ac:dyDescent="0.25">
      <c r="A6" s="603"/>
      <c r="B6" s="598">
        <v>45251</v>
      </c>
      <c r="C6" s="599" t="s">
        <v>13</v>
      </c>
      <c r="D6" s="600" t="s">
        <v>15</v>
      </c>
      <c r="E6" s="601">
        <v>6250</v>
      </c>
      <c r="F6" s="601" t="s">
        <v>253</v>
      </c>
      <c r="G6" s="601" t="s">
        <v>253</v>
      </c>
      <c r="H6" s="601" t="s">
        <v>253</v>
      </c>
      <c r="I6" s="601" t="s">
        <v>253</v>
      </c>
      <c r="J6" s="601" t="s">
        <v>253</v>
      </c>
      <c r="K6" s="601" t="s">
        <v>253</v>
      </c>
      <c r="L6" s="602">
        <f t="shared" si="0"/>
        <v>6250</v>
      </c>
      <c r="P6" s="95" t="s">
        <v>176</v>
      </c>
    </row>
    <row r="7" spans="1:16" x14ac:dyDescent="0.25">
      <c r="A7" s="603"/>
      <c r="B7" s="598">
        <v>45301</v>
      </c>
      <c r="C7" s="604" t="s">
        <v>13</v>
      </c>
      <c r="D7" s="599" t="s">
        <v>18</v>
      </c>
      <c r="E7" s="601">
        <v>3417</v>
      </c>
      <c r="F7" s="601" t="s">
        <v>253</v>
      </c>
      <c r="G7" s="601" t="s">
        <v>253</v>
      </c>
      <c r="H7" s="601" t="s">
        <v>253</v>
      </c>
      <c r="I7" s="601" t="s">
        <v>253</v>
      </c>
      <c r="J7" s="601" t="s">
        <v>253</v>
      </c>
      <c r="K7" s="601" t="s">
        <v>253</v>
      </c>
      <c r="L7" s="602">
        <f t="shared" si="0"/>
        <v>3417</v>
      </c>
      <c r="P7" s="95" t="s">
        <v>132</v>
      </c>
    </row>
    <row r="8" spans="1:16" x14ac:dyDescent="0.25">
      <c r="A8" s="603"/>
      <c r="B8" s="598">
        <v>45322</v>
      </c>
      <c r="C8" s="604" t="s">
        <v>13</v>
      </c>
      <c r="D8" s="599" t="s">
        <v>15</v>
      </c>
      <c r="E8" s="601">
        <v>2500</v>
      </c>
      <c r="F8" s="601" t="s">
        <v>253</v>
      </c>
      <c r="G8" s="601" t="s">
        <v>253</v>
      </c>
      <c r="H8" s="601" t="s">
        <v>253</v>
      </c>
      <c r="I8" s="601" t="s">
        <v>253</v>
      </c>
      <c r="J8" s="601" t="s">
        <v>253</v>
      </c>
      <c r="K8" s="601" t="s">
        <v>253</v>
      </c>
      <c r="L8" s="602">
        <f t="shared" si="0"/>
        <v>2500</v>
      </c>
      <c r="P8" s="95" t="s">
        <v>599</v>
      </c>
    </row>
    <row r="9" spans="1:16" x14ac:dyDescent="0.25">
      <c r="A9" s="603"/>
      <c r="B9" s="598">
        <v>45322</v>
      </c>
      <c r="C9" s="599" t="s">
        <v>13</v>
      </c>
      <c r="D9" s="600" t="s">
        <v>15</v>
      </c>
      <c r="E9" s="601">
        <v>5000</v>
      </c>
      <c r="F9" s="601" t="s">
        <v>253</v>
      </c>
      <c r="G9" s="601" t="s">
        <v>253</v>
      </c>
      <c r="H9" s="601" t="s">
        <v>253</v>
      </c>
      <c r="I9" s="601" t="s">
        <v>253</v>
      </c>
      <c r="J9" s="601" t="s">
        <v>253</v>
      </c>
      <c r="K9" s="601" t="s">
        <v>253</v>
      </c>
      <c r="L9" s="602">
        <f t="shared" si="0"/>
        <v>5000</v>
      </c>
      <c r="P9" s="95" t="s">
        <v>700</v>
      </c>
    </row>
    <row r="10" spans="1:16" x14ac:dyDescent="0.25">
      <c r="A10" s="603"/>
      <c r="B10" s="598">
        <v>45323</v>
      </c>
      <c r="C10" s="604" t="s">
        <v>13</v>
      </c>
      <c r="D10" s="599" t="s">
        <v>15</v>
      </c>
      <c r="E10" s="601">
        <v>3667</v>
      </c>
      <c r="F10" s="601" t="s">
        <v>253</v>
      </c>
      <c r="G10" s="601" t="s">
        <v>253</v>
      </c>
      <c r="H10" s="601" t="s">
        <v>253</v>
      </c>
      <c r="I10" s="601" t="s">
        <v>253</v>
      </c>
      <c r="J10" s="601" t="s">
        <v>253</v>
      </c>
      <c r="K10" s="601" t="s">
        <v>253</v>
      </c>
      <c r="L10" s="602">
        <f t="shared" si="0"/>
        <v>3667</v>
      </c>
    </row>
    <row r="11" spans="1:16" x14ac:dyDescent="0.25">
      <c r="A11" s="603"/>
      <c r="B11" s="598">
        <v>45362</v>
      </c>
      <c r="C11" s="604" t="s">
        <v>13</v>
      </c>
      <c r="D11" s="599" t="s">
        <v>15</v>
      </c>
      <c r="E11" s="601">
        <v>5292</v>
      </c>
      <c r="F11" s="601" t="s">
        <v>253</v>
      </c>
      <c r="G11" s="601" t="s">
        <v>253</v>
      </c>
      <c r="H11" s="601" t="s">
        <v>253</v>
      </c>
      <c r="I11" s="601" t="s">
        <v>253</v>
      </c>
      <c r="J11" s="601" t="s">
        <v>253</v>
      </c>
      <c r="K11" s="601" t="s">
        <v>253</v>
      </c>
      <c r="L11" s="602">
        <f t="shared" si="0"/>
        <v>5292</v>
      </c>
    </row>
    <row r="12" spans="1:16" x14ac:dyDescent="0.25">
      <c r="A12" s="603"/>
      <c r="B12" s="598">
        <v>45370</v>
      </c>
      <c r="C12" s="599" t="s">
        <v>13</v>
      </c>
      <c r="D12" s="600" t="s">
        <v>18</v>
      </c>
      <c r="E12" s="601">
        <v>2500</v>
      </c>
      <c r="F12" s="601" t="s">
        <v>253</v>
      </c>
      <c r="G12" s="601" t="s">
        <v>253</v>
      </c>
      <c r="H12" s="601" t="s">
        <v>253</v>
      </c>
      <c r="I12" s="601" t="s">
        <v>253</v>
      </c>
      <c r="J12" s="601" t="s">
        <v>253</v>
      </c>
      <c r="K12" s="601" t="s">
        <v>253</v>
      </c>
      <c r="L12" s="602">
        <f t="shared" si="0"/>
        <v>2500</v>
      </c>
    </row>
    <row r="13" spans="1:16" x14ac:dyDescent="0.25">
      <c r="A13" s="603"/>
      <c r="B13" s="598">
        <v>45370</v>
      </c>
      <c r="C13" s="604" t="s">
        <v>13</v>
      </c>
      <c r="D13" s="599" t="s">
        <v>18</v>
      </c>
      <c r="E13" s="601">
        <v>3708</v>
      </c>
      <c r="F13" s="601" t="s">
        <v>253</v>
      </c>
      <c r="G13" s="601" t="s">
        <v>253</v>
      </c>
      <c r="H13" s="601" t="s">
        <v>253</v>
      </c>
      <c r="I13" s="601" t="s">
        <v>253</v>
      </c>
      <c r="J13" s="601" t="s">
        <v>253</v>
      </c>
      <c r="K13" s="601" t="s">
        <v>253</v>
      </c>
      <c r="L13" s="602">
        <f t="shared" si="0"/>
        <v>3708</v>
      </c>
    </row>
    <row r="14" spans="1:16" x14ac:dyDescent="0.25">
      <c r="A14" s="603"/>
      <c r="B14" s="598">
        <v>45370</v>
      </c>
      <c r="C14" s="604" t="s">
        <v>13</v>
      </c>
      <c r="D14" s="599" t="s">
        <v>15</v>
      </c>
      <c r="E14" s="601">
        <v>3125</v>
      </c>
      <c r="F14" s="601" t="s">
        <v>253</v>
      </c>
      <c r="G14" s="601" t="s">
        <v>253</v>
      </c>
      <c r="H14" s="601" t="s">
        <v>253</v>
      </c>
      <c r="I14" s="601" t="s">
        <v>253</v>
      </c>
      <c r="J14" s="601" t="s">
        <v>253</v>
      </c>
      <c r="K14" s="601" t="s">
        <v>253</v>
      </c>
      <c r="L14" s="602">
        <f t="shared" si="0"/>
        <v>3125</v>
      </c>
    </row>
    <row r="15" spans="1:16" x14ac:dyDescent="0.25">
      <c r="A15" s="603"/>
      <c r="B15" s="598">
        <v>45378</v>
      </c>
      <c r="C15" s="604" t="s">
        <v>13</v>
      </c>
      <c r="D15" s="599" t="s">
        <v>18</v>
      </c>
      <c r="E15" s="601">
        <v>4792</v>
      </c>
      <c r="F15" s="601" t="s">
        <v>253</v>
      </c>
      <c r="G15" s="601" t="s">
        <v>253</v>
      </c>
      <c r="H15" s="601" t="s">
        <v>253</v>
      </c>
      <c r="I15" s="601" t="s">
        <v>253</v>
      </c>
      <c r="J15" s="601" t="s">
        <v>253</v>
      </c>
      <c r="K15" s="601" t="s">
        <v>253</v>
      </c>
      <c r="L15" s="602">
        <f t="shared" si="0"/>
        <v>4792</v>
      </c>
    </row>
    <row r="16" spans="1:16" ht="18.75" x14ac:dyDescent="0.25">
      <c r="A16" s="605" t="s">
        <v>254</v>
      </c>
      <c r="B16" s="1039" t="s">
        <v>255</v>
      </c>
      <c r="C16" s="1040"/>
      <c r="D16" s="610">
        <f>SUM(E16:K16)</f>
        <v>98918</v>
      </c>
      <c r="E16" s="602">
        <f t="shared" ref="E16:K16" si="1">SUM(E3:E15)</f>
        <v>87918</v>
      </c>
      <c r="F16" s="602">
        <f t="shared" si="1"/>
        <v>11000</v>
      </c>
      <c r="G16" s="602">
        <f t="shared" si="1"/>
        <v>0</v>
      </c>
      <c r="H16" s="602">
        <f t="shared" si="1"/>
        <v>0</v>
      </c>
      <c r="I16" s="602">
        <f t="shared" si="1"/>
        <v>0</v>
      </c>
      <c r="J16" s="602">
        <f t="shared" si="1"/>
        <v>0</v>
      </c>
      <c r="K16" s="602">
        <f t="shared" si="1"/>
        <v>0</v>
      </c>
      <c r="L16" s="606">
        <f>SUM(E16:K16)-SUM(L3:L15)</f>
        <v>0</v>
      </c>
    </row>
    <row r="18" spans="1:12" ht="18.75" x14ac:dyDescent="0.3">
      <c r="B18" s="592" t="s">
        <v>246</v>
      </c>
      <c r="C18" s="1037" t="s">
        <v>131</v>
      </c>
      <c r="D18" s="1038"/>
      <c r="E18" s="593" t="s">
        <v>247</v>
      </c>
      <c r="F18" s="594"/>
      <c r="G18" s="594"/>
      <c r="H18" s="594"/>
      <c r="I18" s="595" t="s">
        <v>248</v>
      </c>
      <c r="J18" s="596">
        <v>1153</v>
      </c>
      <c r="K18" s="593" t="s">
        <v>137</v>
      </c>
      <c r="L18" s="596">
        <v>221743</v>
      </c>
    </row>
    <row r="19" spans="1:12" x14ac:dyDescent="0.25">
      <c r="B19" s="597" t="s">
        <v>0</v>
      </c>
      <c r="C19" s="597" t="s">
        <v>249</v>
      </c>
      <c r="D19" s="597" t="s">
        <v>6</v>
      </c>
      <c r="E19" s="597" t="s">
        <v>250</v>
      </c>
      <c r="F19" s="597" t="s">
        <v>62</v>
      </c>
      <c r="G19" s="597" t="s">
        <v>63</v>
      </c>
      <c r="H19" s="597" t="s">
        <v>64</v>
      </c>
      <c r="I19" s="597" t="s">
        <v>251</v>
      </c>
      <c r="J19" s="597" t="s">
        <v>66</v>
      </c>
      <c r="K19" s="597" t="s">
        <v>68</v>
      </c>
      <c r="L19" s="597" t="s">
        <v>252</v>
      </c>
    </row>
    <row r="20" spans="1:12" x14ac:dyDescent="0.25">
      <c r="B20" s="598">
        <v>45274</v>
      </c>
      <c r="C20" s="604" t="s">
        <v>16</v>
      </c>
      <c r="D20" s="599" t="s">
        <v>19</v>
      </c>
      <c r="E20" s="601">
        <v>20000</v>
      </c>
      <c r="F20" s="601">
        <f>3000+4000+3000</f>
        <v>10000</v>
      </c>
      <c r="G20" s="601" t="s">
        <v>253</v>
      </c>
      <c r="H20" s="601">
        <v>2000</v>
      </c>
      <c r="I20" s="601" t="s">
        <v>253</v>
      </c>
      <c r="J20" s="601" t="s">
        <v>253</v>
      </c>
      <c r="K20" s="601" t="s">
        <v>253</v>
      </c>
      <c r="L20" s="602">
        <f t="shared" ref="L20:L27" si="2">SUM(E20:K20)</f>
        <v>32000</v>
      </c>
    </row>
    <row r="21" spans="1:12" x14ac:dyDescent="0.25">
      <c r="B21" s="598">
        <v>45238</v>
      </c>
      <c r="C21" s="604" t="s">
        <v>13</v>
      </c>
      <c r="D21" s="599" t="s">
        <v>15</v>
      </c>
      <c r="E21" s="601">
        <v>7667</v>
      </c>
      <c r="F21" s="601" t="s">
        <v>253</v>
      </c>
      <c r="G21" s="601" t="s">
        <v>253</v>
      </c>
      <c r="H21" s="601" t="s">
        <v>253</v>
      </c>
      <c r="I21" s="601" t="s">
        <v>253</v>
      </c>
      <c r="J21" s="601" t="s">
        <v>253</v>
      </c>
      <c r="K21" s="601" t="s">
        <v>253</v>
      </c>
      <c r="L21" s="602">
        <f t="shared" si="2"/>
        <v>7667</v>
      </c>
    </row>
    <row r="22" spans="1:12" x14ac:dyDescent="0.25">
      <c r="B22" s="598">
        <v>45301</v>
      </c>
      <c r="C22" s="604" t="s">
        <v>13</v>
      </c>
      <c r="D22" s="599" t="s">
        <v>18</v>
      </c>
      <c r="E22" s="601">
        <v>3417</v>
      </c>
      <c r="F22" s="601" t="s">
        <v>253</v>
      </c>
      <c r="G22" s="601" t="s">
        <v>253</v>
      </c>
      <c r="H22" s="601" t="s">
        <v>253</v>
      </c>
      <c r="I22" s="601" t="s">
        <v>253</v>
      </c>
      <c r="J22" s="601" t="s">
        <v>253</v>
      </c>
      <c r="K22" s="601" t="s">
        <v>253</v>
      </c>
      <c r="L22" s="602">
        <f t="shared" si="2"/>
        <v>3417</v>
      </c>
    </row>
    <row r="23" spans="1:12" x14ac:dyDescent="0.25">
      <c r="B23" s="598">
        <v>45306</v>
      </c>
      <c r="C23" s="604" t="s">
        <v>13</v>
      </c>
      <c r="D23" s="599" t="s">
        <v>18</v>
      </c>
      <c r="E23" s="601">
        <v>3125</v>
      </c>
      <c r="F23" s="601" t="s">
        <v>253</v>
      </c>
      <c r="G23" s="601" t="s">
        <v>253</v>
      </c>
      <c r="H23" s="601" t="s">
        <v>253</v>
      </c>
      <c r="I23" s="601" t="s">
        <v>253</v>
      </c>
      <c r="J23" s="601" t="s">
        <v>253</v>
      </c>
      <c r="K23" s="601" t="s">
        <v>253</v>
      </c>
      <c r="L23" s="602">
        <f t="shared" si="2"/>
        <v>3125</v>
      </c>
    </row>
    <row r="24" spans="1:12" x14ac:dyDescent="0.25">
      <c r="B24" s="598">
        <v>45322</v>
      </c>
      <c r="C24" s="604" t="s">
        <v>13</v>
      </c>
      <c r="D24" s="599" t="s">
        <v>15</v>
      </c>
      <c r="E24" s="601">
        <v>2500</v>
      </c>
      <c r="F24" s="601" t="s">
        <v>253</v>
      </c>
      <c r="G24" s="601" t="s">
        <v>253</v>
      </c>
      <c r="H24" s="601" t="s">
        <v>253</v>
      </c>
      <c r="I24" s="601" t="s">
        <v>253</v>
      </c>
      <c r="J24" s="601" t="s">
        <v>253</v>
      </c>
      <c r="K24" s="601" t="s">
        <v>253</v>
      </c>
      <c r="L24" s="602">
        <f t="shared" si="2"/>
        <v>2500</v>
      </c>
    </row>
    <row r="25" spans="1:12" x14ac:dyDescent="0.25">
      <c r="B25" s="598">
        <v>45322</v>
      </c>
      <c r="C25" s="599" t="s">
        <v>13</v>
      </c>
      <c r="D25" s="600" t="s">
        <v>15</v>
      </c>
      <c r="E25" s="601">
        <v>5000</v>
      </c>
      <c r="F25" s="601" t="s">
        <v>253</v>
      </c>
      <c r="G25" s="601" t="s">
        <v>253</v>
      </c>
      <c r="H25" s="601" t="s">
        <v>253</v>
      </c>
      <c r="I25" s="601" t="s">
        <v>253</v>
      </c>
      <c r="J25" s="601" t="s">
        <v>253</v>
      </c>
      <c r="K25" s="601" t="s">
        <v>253</v>
      </c>
      <c r="L25" s="602">
        <f t="shared" si="2"/>
        <v>5000</v>
      </c>
    </row>
    <row r="26" spans="1:12" x14ac:dyDescent="0.25">
      <c r="B26" s="598">
        <v>45370</v>
      </c>
      <c r="C26" s="599" t="s">
        <v>13</v>
      </c>
      <c r="D26" s="600" t="s">
        <v>18</v>
      </c>
      <c r="E26" s="601">
        <v>2500</v>
      </c>
      <c r="F26" s="601" t="s">
        <v>253</v>
      </c>
      <c r="G26" s="601" t="s">
        <v>253</v>
      </c>
      <c r="H26" s="601" t="s">
        <v>253</v>
      </c>
      <c r="I26" s="601" t="s">
        <v>253</v>
      </c>
      <c r="J26" s="601" t="s">
        <v>253</v>
      </c>
      <c r="K26" s="601" t="s">
        <v>253</v>
      </c>
      <c r="L26" s="602">
        <f t="shared" si="2"/>
        <v>2500</v>
      </c>
    </row>
    <row r="27" spans="1:12" x14ac:dyDescent="0.25">
      <c r="B27" s="598">
        <v>45370</v>
      </c>
      <c r="C27" s="604" t="s">
        <v>13</v>
      </c>
      <c r="D27" s="599" t="s">
        <v>18</v>
      </c>
      <c r="E27" s="601">
        <v>3708</v>
      </c>
      <c r="F27" s="601" t="s">
        <v>253</v>
      </c>
      <c r="G27" s="601" t="s">
        <v>253</v>
      </c>
      <c r="H27" s="601" t="s">
        <v>253</v>
      </c>
      <c r="I27" s="601" t="s">
        <v>253</v>
      </c>
      <c r="J27" s="601" t="s">
        <v>253</v>
      </c>
      <c r="K27" s="601" t="s">
        <v>253</v>
      </c>
      <c r="L27" s="602">
        <f t="shared" si="2"/>
        <v>3708</v>
      </c>
    </row>
    <row r="28" spans="1:12" x14ac:dyDescent="0.25">
      <c r="B28" s="598">
        <v>45370</v>
      </c>
      <c r="C28" s="604" t="s">
        <v>13</v>
      </c>
      <c r="D28" s="599" t="s">
        <v>15</v>
      </c>
      <c r="E28" s="601">
        <v>3125</v>
      </c>
      <c r="F28" s="601" t="s">
        <v>253</v>
      </c>
      <c r="G28" s="601" t="s">
        <v>253</v>
      </c>
      <c r="H28" s="601" t="s">
        <v>253</v>
      </c>
      <c r="I28" s="601" t="s">
        <v>253</v>
      </c>
      <c r="J28" s="601" t="s">
        <v>253</v>
      </c>
      <c r="K28" s="601" t="s">
        <v>253</v>
      </c>
      <c r="L28" s="602"/>
    </row>
    <row r="29" spans="1:12" x14ac:dyDescent="0.25">
      <c r="B29" s="598">
        <v>45378</v>
      </c>
      <c r="C29" s="604" t="s">
        <v>13</v>
      </c>
      <c r="D29" s="599" t="s">
        <v>18</v>
      </c>
      <c r="E29" s="601">
        <v>4792</v>
      </c>
      <c r="F29" s="601" t="s">
        <v>253</v>
      </c>
      <c r="G29" s="601" t="s">
        <v>253</v>
      </c>
      <c r="H29" s="601" t="s">
        <v>253</v>
      </c>
      <c r="I29" s="601" t="s">
        <v>253</v>
      </c>
      <c r="J29" s="601" t="s">
        <v>253</v>
      </c>
      <c r="K29" s="601" t="s">
        <v>253</v>
      </c>
      <c r="L29" s="602">
        <f>SUM(E29:K29)</f>
        <v>4792</v>
      </c>
    </row>
    <row r="30" spans="1:12" ht="18.75" x14ac:dyDescent="0.25">
      <c r="A30" s="605" t="s">
        <v>254</v>
      </c>
      <c r="B30" s="1039" t="s">
        <v>255</v>
      </c>
      <c r="C30" s="1040"/>
      <c r="D30" s="610">
        <f>SUM(E30:K30)</f>
        <v>67834</v>
      </c>
      <c r="E30" s="602">
        <f t="shared" ref="E30:K30" si="3">SUM(E20:E29)</f>
        <v>55834</v>
      </c>
      <c r="F30" s="602">
        <f t="shared" si="3"/>
        <v>10000</v>
      </c>
      <c r="G30" s="602">
        <f t="shared" si="3"/>
        <v>0</v>
      </c>
      <c r="H30" s="602">
        <f t="shared" si="3"/>
        <v>2000</v>
      </c>
      <c r="I30" s="602">
        <f t="shared" si="3"/>
        <v>0</v>
      </c>
      <c r="J30" s="602">
        <f t="shared" si="3"/>
        <v>0</v>
      </c>
      <c r="K30" s="602">
        <f t="shared" si="3"/>
        <v>0</v>
      </c>
      <c r="L30" s="606">
        <f>SUM(E30:K30)-SUM(L20:L29)</f>
        <v>3125</v>
      </c>
    </row>
    <row r="32" spans="1:12" ht="18.75" x14ac:dyDescent="0.3">
      <c r="B32" s="592" t="s">
        <v>246</v>
      </c>
      <c r="C32" s="1037" t="s">
        <v>132</v>
      </c>
      <c r="D32" s="1038"/>
      <c r="E32" s="593" t="s">
        <v>247</v>
      </c>
      <c r="F32" s="594"/>
      <c r="G32" s="594"/>
      <c r="H32" s="594"/>
      <c r="I32" s="595" t="s">
        <v>248</v>
      </c>
      <c r="J32" s="596">
        <v>1154</v>
      </c>
      <c r="K32" s="593" t="s">
        <v>137</v>
      </c>
      <c r="L32" s="596">
        <v>221743</v>
      </c>
    </row>
    <row r="33" spans="1:12" x14ac:dyDescent="0.25">
      <c r="B33" s="597" t="s">
        <v>0</v>
      </c>
      <c r="C33" s="597" t="s">
        <v>249</v>
      </c>
      <c r="D33" s="597" t="s">
        <v>6</v>
      </c>
      <c r="E33" s="597" t="s">
        <v>250</v>
      </c>
      <c r="F33" s="597" t="s">
        <v>62</v>
      </c>
      <c r="G33" s="597" t="s">
        <v>63</v>
      </c>
      <c r="H33" s="597" t="s">
        <v>64</v>
      </c>
      <c r="I33" s="597" t="s">
        <v>251</v>
      </c>
      <c r="J33" s="597" t="s">
        <v>66</v>
      </c>
      <c r="K33" s="597" t="s">
        <v>68</v>
      </c>
      <c r="L33" s="597" t="s">
        <v>252</v>
      </c>
    </row>
    <row r="34" spans="1:12" x14ac:dyDescent="0.25">
      <c r="B34" s="598">
        <v>45238</v>
      </c>
      <c r="C34" s="604" t="s">
        <v>13</v>
      </c>
      <c r="D34" s="599" t="s">
        <v>15</v>
      </c>
      <c r="E34" s="601">
        <v>7667</v>
      </c>
      <c r="F34" s="601" t="s">
        <v>253</v>
      </c>
      <c r="G34" s="601" t="s">
        <v>253</v>
      </c>
      <c r="H34" s="601" t="s">
        <v>253</v>
      </c>
      <c r="I34" s="601" t="s">
        <v>253</v>
      </c>
      <c r="J34" s="601" t="s">
        <v>253</v>
      </c>
      <c r="K34" s="601" t="s">
        <v>253</v>
      </c>
      <c r="L34" s="602">
        <f t="shared" ref="L34:L42" si="4">SUM(E34:K34)</f>
        <v>7667</v>
      </c>
    </row>
    <row r="35" spans="1:12" x14ac:dyDescent="0.25">
      <c r="B35" s="598">
        <v>45251</v>
      </c>
      <c r="C35" s="599" t="s">
        <v>13</v>
      </c>
      <c r="D35" s="600" t="s">
        <v>15</v>
      </c>
      <c r="E35" s="601">
        <v>6250</v>
      </c>
      <c r="F35" s="601" t="s">
        <v>253</v>
      </c>
      <c r="G35" s="601" t="s">
        <v>253</v>
      </c>
      <c r="H35" s="601" t="s">
        <v>253</v>
      </c>
      <c r="I35" s="601" t="s">
        <v>253</v>
      </c>
      <c r="J35" s="601" t="s">
        <v>253</v>
      </c>
      <c r="K35" s="601" t="s">
        <v>253</v>
      </c>
      <c r="L35" s="602">
        <f t="shared" si="4"/>
        <v>6250</v>
      </c>
    </row>
    <row r="36" spans="1:12" x14ac:dyDescent="0.25">
      <c r="B36" s="598">
        <v>45301</v>
      </c>
      <c r="C36" s="604" t="s">
        <v>13</v>
      </c>
      <c r="D36" s="599" t="s">
        <v>18</v>
      </c>
      <c r="E36" s="601">
        <v>3417</v>
      </c>
      <c r="F36" s="601" t="s">
        <v>253</v>
      </c>
      <c r="G36" s="601" t="s">
        <v>253</v>
      </c>
      <c r="H36" s="601" t="s">
        <v>253</v>
      </c>
      <c r="I36" s="601" t="s">
        <v>253</v>
      </c>
      <c r="J36" s="601" t="s">
        <v>253</v>
      </c>
      <c r="K36" s="601" t="s">
        <v>253</v>
      </c>
      <c r="L36" s="602">
        <f t="shared" si="4"/>
        <v>3417</v>
      </c>
    </row>
    <row r="37" spans="1:12" x14ac:dyDescent="0.25">
      <c r="B37" s="598">
        <v>45306</v>
      </c>
      <c r="C37" s="604" t="s">
        <v>13</v>
      </c>
      <c r="D37" s="599" t="s">
        <v>18</v>
      </c>
      <c r="E37" s="601">
        <v>3125</v>
      </c>
      <c r="F37" s="601" t="s">
        <v>253</v>
      </c>
      <c r="G37" s="601" t="s">
        <v>253</v>
      </c>
      <c r="H37" s="601" t="s">
        <v>253</v>
      </c>
      <c r="I37" s="601" t="s">
        <v>253</v>
      </c>
      <c r="J37" s="601" t="s">
        <v>253</v>
      </c>
      <c r="K37" s="601" t="s">
        <v>253</v>
      </c>
      <c r="L37" s="602">
        <f t="shared" si="4"/>
        <v>3125</v>
      </c>
    </row>
    <row r="38" spans="1:12" x14ac:dyDescent="0.25">
      <c r="B38" s="598">
        <v>45362</v>
      </c>
      <c r="C38" s="604" t="s">
        <v>13</v>
      </c>
      <c r="D38" s="599" t="s">
        <v>15</v>
      </c>
      <c r="E38" s="601">
        <v>5292</v>
      </c>
      <c r="F38" s="601" t="s">
        <v>253</v>
      </c>
      <c r="G38" s="601" t="s">
        <v>253</v>
      </c>
      <c r="H38" s="601" t="s">
        <v>253</v>
      </c>
      <c r="I38" s="601" t="s">
        <v>253</v>
      </c>
      <c r="J38" s="601" t="s">
        <v>253</v>
      </c>
      <c r="K38" s="601" t="s">
        <v>253</v>
      </c>
      <c r="L38" s="602">
        <f t="shared" si="4"/>
        <v>5292</v>
      </c>
    </row>
    <row r="39" spans="1:12" x14ac:dyDescent="0.25">
      <c r="B39" s="598">
        <v>45370</v>
      </c>
      <c r="C39" s="599" t="s">
        <v>13</v>
      </c>
      <c r="D39" s="600" t="s">
        <v>18</v>
      </c>
      <c r="E39" s="601">
        <v>2500</v>
      </c>
      <c r="F39" s="601" t="s">
        <v>253</v>
      </c>
      <c r="G39" s="601" t="s">
        <v>253</v>
      </c>
      <c r="H39" s="601" t="s">
        <v>253</v>
      </c>
      <c r="I39" s="601" t="s">
        <v>253</v>
      </c>
      <c r="J39" s="601" t="s">
        <v>253</v>
      </c>
      <c r="K39" s="601" t="s">
        <v>253</v>
      </c>
      <c r="L39" s="602">
        <f t="shared" si="4"/>
        <v>2500</v>
      </c>
    </row>
    <row r="40" spans="1:12" x14ac:dyDescent="0.25">
      <c r="B40" s="598">
        <v>45370</v>
      </c>
      <c r="C40" s="604" t="s">
        <v>13</v>
      </c>
      <c r="D40" s="599" t="s">
        <v>18</v>
      </c>
      <c r="E40" s="601">
        <v>3708</v>
      </c>
      <c r="F40" s="601" t="s">
        <v>253</v>
      </c>
      <c r="G40" s="601" t="s">
        <v>253</v>
      </c>
      <c r="H40" s="601" t="s">
        <v>253</v>
      </c>
      <c r="I40" s="601" t="s">
        <v>253</v>
      </c>
      <c r="J40" s="601" t="s">
        <v>253</v>
      </c>
      <c r="K40" s="601" t="s">
        <v>253</v>
      </c>
      <c r="L40" s="602">
        <f t="shared" si="4"/>
        <v>3708</v>
      </c>
    </row>
    <row r="41" spans="1:12" x14ac:dyDescent="0.25">
      <c r="B41" s="598">
        <v>45370</v>
      </c>
      <c r="C41" s="604" t="s">
        <v>13</v>
      </c>
      <c r="D41" s="599" t="s">
        <v>15</v>
      </c>
      <c r="E41" s="601">
        <v>3125</v>
      </c>
      <c r="F41" s="601" t="s">
        <v>253</v>
      </c>
      <c r="G41" s="601" t="s">
        <v>253</v>
      </c>
      <c r="H41" s="601" t="s">
        <v>253</v>
      </c>
      <c r="I41" s="601" t="s">
        <v>253</v>
      </c>
      <c r="J41" s="601" t="s">
        <v>253</v>
      </c>
      <c r="K41" s="601" t="s">
        <v>253</v>
      </c>
      <c r="L41" s="602">
        <f t="shared" si="4"/>
        <v>3125</v>
      </c>
    </row>
    <row r="42" spans="1:12" x14ac:dyDescent="0.25">
      <c r="B42" s="598">
        <v>45378</v>
      </c>
      <c r="C42" s="604" t="s">
        <v>13</v>
      </c>
      <c r="D42" s="599" t="s">
        <v>18</v>
      </c>
      <c r="E42" s="601">
        <v>4792</v>
      </c>
      <c r="F42" s="601" t="s">
        <v>253</v>
      </c>
      <c r="G42" s="601" t="s">
        <v>253</v>
      </c>
      <c r="H42" s="601" t="s">
        <v>253</v>
      </c>
      <c r="I42" s="601" t="s">
        <v>253</v>
      </c>
      <c r="J42" s="601" t="s">
        <v>253</v>
      </c>
      <c r="K42" s="601" t="s">
        <v>253</v>
      </c>
      <c r="L42" s="602">
        <f t="shared" si="4"/>
        <v>4792</v>
      </c>
    </row>
    <row r="43" spans="1:12" ht="18.75" x14ac:dyDescent="0.25">
      <c r="A43" s="605" t="s">
        <v>254</v>
      </c>
      <c r="B43" s="1039" t="s">
        <v>255</v>
      </c>
      <c r="C43" s="1040"/>
      <c r="D43" s="610">
        <f>SUM(E43:K43)</f>
        <v>39876</v>
      </c>
      <c r="E43" s="602">
        <f t="shared" ref="E43:K43" si="5">SUM(E34:E42)</f>
        <v>39876</v>
      </c>
      <c r="F43" s="602">
        <f t="shared" si="5"/>
        <v>0</v>
      </c>
      <c r="G43" s="602">
        <f t="shared" si="5"/>
        <v>0</v>
      </c>
      <c r="H43" s="602">
        <f t="shared" si="5"/>
        <v>0</v>
      </c>
      <c r="I43" s="602">
        <f t="shared" si="5"/>
        <v>0</v>
      </c>
      <c r="J43" s="602">
        <f t="shared" si="5"/>
        <v>0</v>
      </c>
      <c r="K43" s="602">
        <f t="shared" si="5"/>
        <v>0</v>
      </c>
      <c r="L43" s="606">
        <f>SUM(E43:K43)-SUM(L34:L42)</f>
        <v>0</v>
      </c>
    </row>
    <row r="45" spans="1:12" ht="18.75" x14ac:dyDescent="0.3">
      <c r="B45" s="592" t="s">
        <v>246</v>
      </c>
      <c r="C45" s="1037" t="s">
        <v>176</v>
      </c>
      <c r="D45" s="1038"/>
      <c r="E45" s="593" t="s">
        <v>247</v>
      </c>
      <c r="F45" s="594"/>
      <c r="G45" s="594"/>
      <c r="H45" s="594"/>
      <c r="I45" s="595" t="s">
        <v>248</v>
      </c>
      <c r="J45" s="596">
        <v>1155</v>
      </c>
      <c r="K45" s="593" t="s">
        <v>137</v>
      </c>
      <c r="L45" s="596">
        <v>221743</v>
      </c>
    </row>
    <row r="46" spans="1:12" x14ac:dyDescent="0.25">
      <c r="B46" s="597" t="s">
        <v>0</v>
      </c>
      <c r="C46" s="597" t="s">
        <v>249</v>
      </c>
      <c r="D46" s="597" t="s">
        <v>6</v>
      </c>
      <c r="E46" s="597" t="s">
        <v>250</v>
      </c>
      <c r="F46" s="597" t="s">
        <v>62</v>
      </c>
      <c r="G46" s="597" t="s">
        <v>63</v>
      </c>
      <c r="H46" s="597" t="s">
        <v>64</v>
      </c>
      <c r="I46" s="597" t="s">
        <v>251</v>
      </c>
      <c r="J46" s="597" t="s">
        <v>66</v>
      </c>
      <c r="K46" s="597" t="s">
        <v>68</v>
      </c>
      <c r="L46" s="597" t="s">
        <v>252</v>
      </c>
    </row>
    <row r="47" spans="1:12" x14ac:dyDescent="0.25">
      <c r="B47" s="598">
        <v>45244</v>
      </c>
      <c r="C47" s="599" t="s">
        <v>16</v>
      </c>
      <c r="D47" s="600" t="s">
        <v>17</v>
      </c>
      <c r="E47" s="601">
        <v>20000</v>
      </c>
      <c r="F47" s="601" t="s">
        <v>253</v>
      </c>
      <c r="G47" s="601" t="s">
        <v>253</v>
      </c>
      <c r="H47" s="601" t="s">
        <v>253</v>
      </c>
      <c r="I47" s="601" t="s">
        <v>253</v>
      </c>
      <c r="J47" s="601" t="s">
        <v>253</v>
      </c>
      <c r="K47" s="601" t="s">
        <v>253</v>
      </c>
      <c r="L47" s="602">
        <f t="shared" ref="L47:L59" si="6">SUM(E47:K47)</f>
        <v>20000</v>
      </c>
    </row>
    <row r="48" spans="1:12" x14ac:dyDescent="0.25">
      <c r="B48" s="598">
        <v>45238</v>
      </c>
      <c r="C48" s="604" t="s">
        <v>13</v>
      </c>
      <c r="D48" s="599" t="s">
        <v>15</v>
      </c>
      <c r="E48" s="601">
        <v>7667</v>
      </c>
      <c r="F48" s="601" t="s">
        <v>253</v>
      </c>
      <c r="G48" s="601" t="s">
        <v>253</v>
      </c>
      <c r="H48" s="601" t="s">
        <v>253</v>
      </c>
      <c r="I48" s="601" t="s">
        <v>253</v>
      </c>
      <c r="J48" s="601" t="s">
        <v>253</v>
      </c>
      <c r="K48" s="601" t="s">
        <v>253</v>
      </c>
      <c r="L48" s="602">
        <f t="shared" si="6"/>
        <v>7667</v>
      </c>
    </row>
    <row r="49" spans="1:12" x14ac:dyDescent="0.25">
      <c r="B49" s="598">
        <v>45301</v>
      </c>
      <c r="C49" s="604" t="s">
        <v>13</v>
      </c>
      <c r="D49" s="599" t="s">
        <v>18</v>
      </c>
      <c r="E49" s="601">
        <v>3417</v>
      </c>
      <c r="F49" s="601" t="s">
        <v>253</v>
      </c>
      <c r="G49" s="601" t="s">
        <v>253</v>
      </c>
      <c r="H49" s="601" t="s">
        <v>253</v>
      </c>
      <c r="I49" s="601" t="s">
        <v>253</v>
      </c>
      <c r="J49" s="601" t="s">
        <v>253</v>
      </c>
      <c r="K49" s="601" t="s">
        <v>253</v>
      </c>
      <c r="L49" s="602">
        <f t="shared" si="6"/>
        <v>3417</v>
      </c>
    </row>
    <row r="50" spans="1:12" x14ac:dyDescent="0.25">
      <c r="B50" s="598">
        <v>45306</v>
      </c>
      <c r="C50" s="604" t="s">
        <v>13</v>
      </c>
      <c r="D50" s="599" t="s">
        <v>18</v>
      </c>
      <c r="E50" s="601">
        <v>3125</v>
      </c>
      <c r="F50" s="601" t="s">
        <v>253</v>
      </c>
      <c r="G50" s="601" t="s">
        <v>253</v>
      </c>
      <c r="H50" s="601" t="s">
        <v>253</v>
      </c>
      <c r="I50" s="601" t="s">
        <v>253</v>
      </c>
      <c r="J50" s="601" t="s">
        <v>253</v>
      </c>
      <c r="K50" s="601" t="s">
        <v>253</v>
      </c>
      <c r="L50" s="602">
        <f t="shared" si="6"/>
        <v>3125</v>
      </c>
    </row>
    <row r="51" spans="1:12" x14ac:dyDescent="0.25">
      <c r="B51" s="598">
        <v>45322</v>
      </c>
      <c r="C51" s="604" t="s">
        <v>13</v>
      </c>
      <c r="D51" s="599" t="s">
        <v>15</v>
      </c>
      <c r="E51" s="601">
        <v>2500</v>
      </c>
      <c r="F51" s="601" t="s">
        <v>253</v>
      </c>
      <c r="G51" s="601" t="s">
        <v>253</v>
      </c>
      <c r="H51" s="601" t="s">
        <v>253</v>
      </c>
      <c r="I51" s="601" t="s">
        <v>253</v>
      </c>
      <c r="J51" s="601" t="s">
        <v>253</v>
      </c>
      <c r="K51" s="601" t="s">
        <v>253</v>
      </c>
      <c r="L51" s="602">
        <f t="shared" si="6"/>
        <v>2500</v>
      </c>
    </row>
    <row r="52" spans="1:12" x14ac:dyDescent="0.25">
      <c r="B52" s="598">
        <v>45322</v>
      </c>
      <c r="C52" s="599" t="s">
        <v>13</v>
      </c>
      <c r="D52" s="600" t="s">
        <v>15</v>
      </c>
      <c r="E52" s="601">
        <v>5000</v>
      </c>
      <c r="F52" s="601" t="s">
        <v>253</v>
      </c>
      <c r="G52" s="601" t="s">
        <v>253</v>
      </c>
      <c r="H52" s="601" t="s">
        <v>253</v>
      </c>
      <c r="I52" s="601" t="s">
        <v>253</v>
      </c>
      <c r="J52" s="601" t="s">
        <v>253</v>
      </c>
      <c r="K52" s="601" t="s">
        <v>253</v>
      </c>
      <c r="L52" s="602">
        <f t="shared" si="6"/>
        <v>5000</v>
      </c>
    </row>
    <row r="53" spans="1:12" x14ac:dyDescent="0.25">
      <c r="B53" s="598">
        <v>45323</v>
      </c>
      <c r="C53" s="604" t="s">
        <v>13</v>
      </c>
      <c r="D53" s="599" t="s">
        <v>15</v>
      </c>
      <c r="E53" s="601">
        <v>3667</v>
      </c>
      <c r="F53" s="601" t="s">
        <v>253</v>
      </c>
      <c r="G53" s="601" t="s">
        <v>253</v>
      </c>
      <c r="H53" s="601" t="s">
        <v>253</v>
      </c>
      <c r="I53" s="601" t="s">
        <v>253</v>
      </c>
      <c r="J53" s="601" t="s">
        <v>253</v>
      </c>
      <c r="K53" s="601" t="s">
        <v>253</v>
      </c>
      <c r="L53" s="602">
        <f t="shared" si="6"/>
        <v>3667</v>
      </c>
    </row>
    <row r="54" spans="1:12" x14ac:dyDescent="0.25">
      <c r="B54" s="598">
        <v>45328</v>
      </c>
      <c r="C54" s="604" t="s">
        <v>16</v>
      </c>
      <c r="D54" s="599" t="s">
        <v>511</v>
      </c>
      <c r="E54" s="601">
        <v>0</v>
      </c>
      <c r="F54" s="601" t="s">
        <v>253</v>
      </c>
      <c r="G54" s="601" t="s">
        <v>253</v>
      </c>
      <c r="H54" s="601" t="s">
        <v>253</v>
      </c>
      <c r="I54" s="601" t="s">
        <v>253</v>
      </c>
      <c r="J54" s="601" t="s">
        <v>253</v>
      </c>
      <c r="K54" s="601" t="s">
        <v>253</v>
      </c>
      <c r="L54" s="602">
        <f t="shared" si="6"/>
        <v>0</v>
      </c>
    </row>
    <row r="55" spans="1:12" x14ac:dyDescent="0.25">
      <c r="B55" s="598">
        <v>45362</v>
      </c>
      <c r="C55" s="604" t="s">
        <v>13</v>
      </c>
      <c r="D55" s="599" t="s">
        <v>15</v>
      </c>
      <c r="E55" s="601">
        <v>5292</v>
      </c>
      <c r="F55" s="601" t="s">
        <v>253</v>
      </c>
      <c r="G55" s="601" t="s">
        <v>253</v>
      </c>
      <c r="H55" s="601" t="s">
        <v>253</v>
      </c>
      <c r="I55" s="601" t="s">
        <v>253</v>
      </c>
      <c r="J55" s="601" t="s">
        <v>253</v>
      </c>
      <c r="K55" s="601" t="s">
        <v>253</v>
      </c>
      <c r="L55" s="602">
        <f t="shared" si="6"/>
        <v>5292</v>
      </c>
    </row>
    <row r="56" spans="1:12" x14ac:dyDescent="0.25">
      <c r="B56" s="598">
        <v>45370</v>
      </c>
      <c r="C56" s="599" t="s">
        <v>13</v>
      </c>
      <c r="D56" s="600" t="s">
        <v>18</v>
      </c>
      <c r="E56" s="601">
        <v>2500</v>
      </c>
      <c r="F56" s="601" t="s">
        <v>253</v>
      </c>
      <c r="G56" s="601" t="s">
        <v>253</v>
      </c>
      <c r="H56" s="601" t="s">
        <v>253</v>
      </c>
      <c r="I56" s="601" t="s">
        <v>253</v>
      </c>
      <c r="J56" s="601" t="s">
        <v>253</v>
      </c>
      <c r="K56" s="601" t="s">
        <v>253</v>
      </c>
      <c r="L56" s="602">
        <f t="shared" si="6"/>
        <v>2500</v>
      </c>
    </row>
    <row r="57" spans="1:12" x14ac:dyDescent="0.25">
      <c r="B57" s="598">
        <v>45370</v>
      </c>
      <c r="C57" s="604" t="s">
        <v>13</v>
      </c>
      <c r="D57" s="599" t="s">
        <v>18</v>
      </c>
      <c r="E57" s="601">
        <v>3708</v>
      </c>
      <c r="F57" s="601" t="s">
        <v>253</v>
      </c>
      <c r="G57" s="601" t="s">
        <v>253</v>
      </c>
      <c r="H57" s="601" t="s">
        <v>253</v>
      </c>
      <c r="I57" s="601" t="s">
        <v>253</v>
      </c>
      <c r="J57" s="601" t="s">
        <v>253</v>
      </c>
      <c r="K57" s="601" t="s">
        <v>253</v>
      </c>
      <c r="L57" s="602">
        <f t="shared" si="6"/>
        <v>3708</v>
      </c>
    </row>
    <row r="58" spans="1:12" x14ac:dyDescent="0.25">
      <c r="B58" s="598">
        <v>45370</v>
      </c>
      <c r="C58" s="604" t="s">
        <v>13</v>
      </c>
      <c r="D58" s="599" t="s">
        <v>15</v>
      </c>
      <c r="E58" s="601">
        <v>3125</v>
      </c>
      <c r="F58" s="601" t="s">
        <v>253</v>
      </c>
      <c r="G58" s="601" t="s">
        <v>253</v>
      </c>
      <c r="H58" s="601" t="s">
        <v>253</v>
      </c>
      <c r="I58" s="601" t="s">
        <v>253</v>
      </c>
      <c r="J58" s="601" t="s">
        <v>253</v>
      </c>
      <c r="K58" s="601" t="s">
        <v>253</v>
      </c>
      <c r="L58" s="602">
        <f t="shared" si="6"/>
        <v>3125</v>
      </c>
    </row>
    <row r="59" spans="1:12" x14ac:dyDescent="0.25">
      <c r="B59" s="598">
        <v>45378</v>
      </c>
      <c r="C59" s="604" t="s">
        <v>13</v>
      </c>
      <c r="D59" s="599" t="s">
        <v>18</v>
      </c>
      <c r="E59" s="601">
        <v>4792</v>
      </c>
      <c r="F59" s="601" t="s">
        <v>253</v>
      </c>
      <c r="G59" s="601" t="s">
        <v>253</v>
      </c>
      <c r="H59" s="601" t="s">
        <v>253</v>
      </c>
      <c r="I59" s="601" t="s">
        <v>253</v>
      </c>
      <c r="J59" s="601" t="s">
        <v>253</v>
      </c>
      <c r="K59" s="601" t="s">
        <v>253</v>
      </c>
      <c r="L59" s="602">
        <f t="shared" si="6"/>
        <v>4792</v>
      </c>
    </row>
    <row r="60" spans="1:12" ht="18.75" x14ac:dyDescent="0.25">
      <c r="A60" s="605" t="s">
        <v>254</v>
      </c>
      <c r="B60" s="1039" t="s">
        <v>255</v>
      </c>
      <c r="C60" s="1040"/>
      <c r="D60" s="610">
        <f>SUM(E60:K60)</f>
        <v>64793</v>
      </c>
      <c r="E60" s="602">
        <f t="shared" ref="E60:K60" si="7">SUM(E47:E59)</f>
        <v>64793</v>
      </c>
      <c r="F60" s="602">
        <f t="shared" si="7"/>
        <v>0</v>
      </c>
      <c r="G60" s="602">
        <f t="shared" si="7"/>
        <v>0</v>
      </c>
      <c r="H60" s="602">
        <f t="shared" si="7"/>
        <v>0</v>
      </c>
      <c r="I60" s="602">
        <f t="shared" si="7"/>
        <v>0</v>
      </c>
      <c r="J60" s="602">
        <f t="shared" si="7"/>
        <v>0</v>
      </c>
      <c r="K60" s="602">
        <f t="shared" si="7"/>
        <v>0</v>
      </c>
      <c r="L60" s="606">
        <f>SUM(E60:K60)-SUM(L47:L59)</f>
        <v>0</v>
      </c>
    </row>
    <row r="61" spans="1:12" x14ac:dyDescent="0.25">
      <c r="D61" s="607"/>
    </row>
    <row r="62" spans="1:12" ht="18.75" x14ac:dyDescent="0.3">
      <c r="B62" s="592" t="s">
        <v>246</v>
      </c>
      <c r="C62" s="1037" t="s">
        <v>127</v>
      </c>
      <c r="D62" s="1038"/>
      <c r="E62" s="593" t="s">
        <v>247</v>
      </c>
      <c r="F62" s="594"/>
      <c r="G62" s="594"/>
      <c r="H62" s="594"/>
      <c r="I62" s="595" t="s">
        <v>248</v>
      </c>
      <c r="J62" s="596">
        <v>1156</v>
      </c>
      <c r="K62" s="593" t="s">
        <v>137</v>
      </c>
      <c r="L62" s="596">
        <v>221743</v>
      </c>
    </row>
    <row r="63" spans="1:12" x14ac:dyDescent="0.25">
      <c r="B63" s="597" t="s">
        <v>0</v>
      </c>
      <c r="C63" s="597" t="s">
        <v>249</v>
      </c>
      <c r="D63" s="597" t="s">
        <v>6</v>
      </c>
      <c r="E63" s="597" t="s">
        <v>250</v>
      </c>
      <c r="F63" s="597" t="s">
        <v>62</v>
      </c>
      <c r="G63" s="597" t="s">
        <v>63</v>
      </c>
      <c r="H63" s="597" t="s">
        <v>64</v>
      </c>
      <c r="I63" s="597" t="s">
        <v>251</v>
      </c>
      <c r="J63" s="597" t="s">
        <v>66</v>
      </c>
      <c r="K63" s="597" t="s">
        <v>68</v>
      </c>
      <c r="L63" s="597" t="s">
        <v>252</v>
      </c>
    </row>
    <row r="64" spans="1:12" x14ac:dyDescent="0.25">
      <c r="B64" s="598">
        <v>45378</v>
      </c>
      <c r="C64" s="599" t="s">
        <v>13</v>
      </c>
      <c r="D64" s="600" t="s">
        <v>18</v>
      </c>
      <c r="E64" s="601">
        <v>4792</v>
      </c>
      <c r="F64" s="601" t="s">
        <v>253</v>
      </c>
      <c r="G64" s="601" t="s">
        <v>253</v>
      </c>
      <c r="H64" s="601" t="s">
        <v>253</v>
      </c>
      <c r="I64" s="601" t="s">
        <v>253</v>
      </c>
      <c r="J64" s="601" t="s">
        <v>253</v>
      </c>
      <c r="K64" s="601" t="s">
        <v>253</v>
      </c>
      <c r="L64" s="602">
        <f>SUM(E64:K64)</f>
        <v>4792</v>
      </c>
    </row>
    <row r="65" spans="1:12" ht="18.75" x14ac:dyDescent="0.25">
      <c r="A65" s="605" t="s">
        <v>254</v>
      </c>
      <c r="B65" s="1039" t="s">
        <v>255</v>
      </c>
      <c r="C65" s="1040"/>
      <c r="D65" s="610">
        <f>SUM(E65:K65)</f>
        <v>4792</v>
      </c>
      <c r="E65" s="602">
        <f t="shared" ref="E65:K65" si="8">SUM(E64:E64)</f>
        <v>4792</v>
      </c>
      <c r="F65" s="602">
        <f t="shared" si="8"/>
        <v>0</v>
      </c>
      <c r="G65" s="602">
        <f t="shared" si="8"/>
        <v>0</v>
      </c>
      <c r="H65" s="602">
        <f t="shared" si="8"/>
        <v>0</v>
      </c>
      <c r="I65" s="602">
        <f t="shared" si="8"/>
        <v>0</v>
      </c>
      <c r="J65" s="602">
        <f t="shared" si="8"/>
        <v>0</v>
      </c>
      <c r="K65" s="602">
        <f t="shared" si="8"/>
        <v>0</v>
      </c>
      <c r="L65" s="606">
        <f>SUM(E65:K65)-SUM(L64:L64)</f>
        <v>0</v>
      </c>
    </row>
    <row r="66" spans="1:12" x14ac:dyDescent="0.25">
      <c r="D66" s="607"/>
    </row>
    <row r="67" spans="1:12" ht="18.75" x14ac:dyDescent="0.3">
      <c r="B67" s="592" t="s">
        <v>246</v>
      </c>
      <c r="C67" s="1037" t="s">
        <v>128</v>
      </c>
      <c r="D67" s="1038"/>
      <c r="E67" s="593" t="s">
        <v>247</v>
      </c>
      <c r="F67" s="594"/>
      <c r="G67" s="594"/>
      <c r="H67" s="594"/>
      <c r="I67" s="595" t="s">
        <v>248</v>
      </c>
      <c r="J67" s="596">
        <v>1157</v>
      </c>
      <c r="K67" s="593" t="s">
        <v>137</v>
      </c>
      <c r="L67" s="596">
        <v>221743</v>
      </c>
    </row>
    <row r="68" spans="1:12" x14ac:dyDescent="0.25">
      <c r="B68" s="597" t="s">
        <v>0</v>
      </c>
      <c r="C68" s="597" t="s">
        <v>249</v>
      </c>
      <c r="D68" s="597" t="s">
        <v>6</v>
      </c>
      <c r="E68" s="597" t="s">
        <v>250</v>
      </c>
      <c r="F68" s="597" t="s">
        <v>62</v>
      </c>
      <c r="G68" s="597" t="s">
        <v>63</v>
      </c>
      <c r="H68" s="597" t="s">
        <v>64</v>
      </c>
      <c r="I68" s="597" t="s">
        <v>251</v>
      </c>
      <c r="J68" s="597" t="s">
        <v>66</v>
      </c>
      <c r="K68" s="597" t="s">
        <v>68</v>
      </c>
      <c r="L68" s="597" t="s">
        <v>252</v>
      </c>
    </row>
    <row r="69" spans="1:12" x14ac:dyDescent="0.25">
      <c r="B69" s="598">
        <v>45328</v>
      </c>
      <c r="C69" s="604" t="s">
        <v>512</v>
      </c>
      <c r="D69" s="599" t="s">
        <v>513</v>
      </c>
      <c r="E69" s="601" t="s">
        <v>253</v>
      </c>
      <c r="F69" s="601" t="s">
        <v>253</v>
      </c>
      <c r="G69" s="601" t="s">
        <v>253</v>
      </c>
      <c r="H69" s="601">
        <v>0</v>
      </c>
      <c r="I69" s="601" t="s">
        <v>253</v>
      </c>
      <c r="J69" s="601" t="s">
        <v>253</v>
      </c>
      <c r="K69" s="601">
        <v>12000</v>
      </c>
      <c r="L69" s="602">
        <f>SUM(E69:K69)</f>
        <v>12000</v>
      </c>
    </row>
    <row r="70" spans="1:12" x14ac:dyDescent="0.25">
      <c r="B70" s="598">
        <v>45385</v>
      </c>
      <c r="C70" s="604" t="s">
        <v>514</v>
      </c>
      <c r="D70" s="599" t="s">
        <v>515</v>
      </c>
      <c r="E70" s="601"/>
      <c r="F70" s="601"/>
      <c r="G70" s="601"/>
      <c r="H70" s="601"/>
      <c r="I70" s="601"/>
      <c r="J70" s="601"/>
      <c r="K70" s="601">
        <v>1780</v>
      </c>
      <c r="L70" s="602">
        <f>SUM(E70:K70)</f>
        <v>1780</v>
      </c>
    </row>
    <row r="71" spans="1:12" x14ac:dyDescent="0.25">
      <c r="B71" s="598">
        <v>45378</v>
      </c>
      <c r="C71" s="599" t="s">
        <v>13</v>
      </c>
      <c r="D71" s="600" t="s">
        <v>18</v>
      </c>
      <c r="E71" s="601">
        <v>4792</v>
      </c>
      <c r="F71" s="601" t="s">
        <v>253</v>
      </c>
      <c r="G71" s="601" t="s">
        <v>253</v>
      </c>
      <c r="H71" s="601" t="s">
        <v>253</v>
      </c>
      <c r="I71" s="601" t="s">
        <v>253</v>
      </c>
      <c r="J71" s="601" t="s">
        <v>253</v>
      </c>
      <c r="K71" s="601" t="s">
        <v>253</v>
      </c>
      <c r="L71" s="602">
        <f>SUM(E71:K71)</f>
        <v>4792</v>
      </c>
    </row>
    <row r="72" spans="1:12" ht="18.75" x14ac:dyDescent="0.25">
      <c r="A72" s="605" t="s">
        <v>254</v>
      </c>
      <c r="B72" s="1039" t="s">
        <v>255</v>
      </c>
      <c r="C72" s="1040"/>
      <c r="D72" s="610">
        <f>SUM(E72:K72)</f>
        <v>18572</v>
      </c>
      <c r="E72" s="602">
        <f t="shared" ref="E72:K72" si="9">SUM(E69:E71)</f>
        <v>4792</v>
      </c>
      <c r="F72" s="602">
        <f t="shared" si="9"/>
        <v>0</v>
      </c>
      <c r="G72" s="602">
        <f t="shared" si="9"/>
        <v>0</v>
      </c>
      <c r="H72" s="602">
        <f t="shared" si="9"/>
        <v>0</v>
      </c>
      <c r="I72" s="602">
        <f t="shared" si="9"/>
        <v>0</v>
      </c>
      <c r="J72" s="602">
        <f t="shared" si="9"/>
        <v>0</v>
      </c>
      <c r="K72" s="602">
        <f t="shared" si="9"/>
        <v>13780</v>
      </c>
      <c r="L72" s="606">
        <f>SUM(E72:K72)-SUM(L69:L71)</f>
        <v>0</v>
      </c>
    </row>
    <row r="73" spans="1:12" x14ac:dyDescent="0.25">
      <c r="D73" s="607"/>
    </row>
    <row r="74" spans="1:12" ht="18.75" x14ac:dyDescent="0.3">
      <c r="B74" s="592" t="s">
        <v>246</v>
      </c>
      <c r="C74" s="1037" t="s">
        <v>129</v>
      </c>
      <c r="D74" s="1038"/>
      <c r="E74" s="593" t="s">
        <v>247</v>
      </c>
      <c r="F74" s="594"/>
      <c r="G74" s="594"/>
      <c r="H74" s="594"/>
      <c r="I74" s="595" t="s">
        <v>248</v>
      </c>
      <c r="J74" s="596">
        <v>1158</v>
      </c>
      <c r="K74" s="593" t="s">
        <v>137</v>
      </c>
      <c r="L74" s="596">
        <v>221743</v>
      </c>
    </row>
    <row r="75" spans="1:12" x14ac:dyDescent="0.25">
      <c r="B75" s="597" t="s">
        <v>0</v>
      </c>
      <c r="C75" s="597" t="s">
        <v>249</v>
      </c>
      <c r="D75" s="597" t="s">
        <v>6</v>
      </c>
      <c r="E75" s="597" t="s">
        <v>250</v>
      </c>
      <c r="F75" s="597" t="s">
        <v>62</v>
      </c>
      <c r="G75" s="597" t="s">
        <v>63</v>
      </c>
      <c r="H75" s="597" t="s">
        <v>64</v>
      </c>
      <c r="I75" s="597" t="s">
        <v>251</v>
      </c>
      <c r="J75" s="597" t="s">
        <v>66</v>
      </c>
      <c r="K75" s="597" t="s">
        <v>68</v>
      </c>
      <c r="L75" s="597" t="s">
        <v>252</v>
      </c>
    </row>
    <row r="76" spans="1:12" x14ac:dyDescent="0.25">
      <c r="B76" s="598">
        <v>45385</v>
      </c>
      <c r="C76" s="604" t="s">
        <v>514</v>
      </c>
      <c r="D76" s="599" t="s">
        <v>516</v>
      </c>
      <c r="E76" s="601" t="s">
        <v>253</v>
      </c>
      <c r="F76" s="601" t="s">
        <v>253</v>
      </c>
      <c r="G76" s="601" t="s">
        <v>253</v>
      </c>
      <c r="H76" s="601">
        <v>0</v>
      </c>
      <c r="I76" s="601" t="s">
        <v>253</v>
      </c>
      <c r="J76" s="601" t="s">
        <v>253</v>
      </c>
      <c r="K76" s="601">
        <v>36060</v>
      </c>
      <c r="L76" s="602">
        <f>SUM(E76:K76)</f>
        <v>36060</v>
      </c>
    </row>
    <row r="77" spans="1:12" x14ac:dyDescent="0.25">
      <c r="B77" s="598">
        <v>45378</v>
      </c>
      <c r="C77" s="599" t="s">
        <v>13</v>
      </c>
      <c r="D77" s="600" t="s">
        <v>18</v>
      </c>
      <c r="E77" s="601">
        <v>4792</v>
      </c>
      <c r="F77" s="601" t="s">
        <v>253</v>
      </c>
      <c r="G77" s="601" t="s">
        <v>253</v>
      </c>
      <c r="H77" s="601" t="s">
        <v>253</v>
      </c>
      <c r="I77" s="601" t="s">
        <v>253</v>
      </c>
      <c r="J77" s="601" t="s">
        <v>253</v>
      </c>
      <c r="K77" s="601">
        <f>1200+2300</f>
        <v>3500</v>
      </c>
      <c r="L77" s="602">
        <f>SUM(E77:K77)</f>
        <v>8292</v>
      </c>
    </row>
    <row r="78" spans="1:12" ht="18.75" x14ac:dyDescent="0.25">
      <c r="A78" s="605" t="s">
        <v>254</v>
      </c>
      <c r="B78" s="1039" t="s">
        <v>255</v>
      </c>
      <c r="C78" s="1040"/>
      <c r="D78" s="610">
        <f>SUM(E78:K78)</f>
        <v>44352</v>
      </c>
      <c r="E78" s="602">
        <f t="shared" ref="E78:K78" si="10">SUM(E76:E77)</f>
        <v>4792</v>
      </c>
      <c r="F78" s="602">
        <f t="shared" si="10"/>
        <v>0</v>
      </c>
      <c r="G78" s="602">
        <f t="shared" si="10"/>
        <v>0</v>
      </c>
      <c r="H78" s="602">
        <f t="shared" si="10"/>
        <v>0</v>
      </c>
      <c r="I78" s="602">
        <f t="shared" si="10"/>
        <v>0</v>
      </c>
      <c r="J78" s="602">
        <f t="shared" si="10"/>
        <v>0</v>
      </c>
      <c r="K78" s="602">
        <f t="shared" si="10"/>
        <v>39560</v>
      </c>
      <c r="L78" s="606">
        <f>SUM(E78:K78)-SUM(L76:L77)</f>
        <v>0</v>
      </c>
    </row>
    <row r="79" spans="1:12" ht="15.75" x14ac:dyDescent="0.25">
      <c r="D79" s="608">
        <f>+D78+D72+D60+D43+D30+D16+D65</f>
        <v>339137</v>
      </c>
    </row>
    <row r="80" spans="1:12" ht="18.75" x14ac:dyDescent="0.3">
      <c r="B80" s="592" t="s">
        <v>246</v>
      </c>
      <c r="C80" s="1037" t="s">
        <v>127</v>
      </c>
      <c r="D80" s="1038"/>
      <c r="E80" s="593" t="s">
        <v>247</v>
      </c>
      <c r="F80" s="594"/>
      <c r="G80" s="594"/>
      <c r="H80" s="594"/>
      <c r="I80" s="595" t="s">
        <v>248</v>
      </c>
      <c r="J80" s="596">
        <v>1159</v>
      </c>
      <c r="K80" s="593" t="s">
        <v>137</v>
      </c>
      <c r="L80" s="596">
        <v>221745</v>
      </c>
    </row>
    <row r="81" spans="1:12" x14ac:dyDescent="0.25">
      <c r="B81" s="597" t="s">
        <v>0</v>
      </c>
      <c r="C81" s="597" t="s">
        <v>249</v>
      </c>
      <c r="D81" s="597" t="s">
        <v>6</v>
      </c>
      <c r="E81" s="597" t="s">
        <v>250</v>
      </c>
      <c r="F81" s="597" t="s">
        <v>62</v>
      </c>
      <c r="G81" s="597" t="s">
        <v>63</v>
      </c>
      <c r="H81" s="597" t="s">
        <v>64</v>
      </c>
      <c r="I81" s="597" t="s">
        <v>251</v>
      </c>
      <c r="J81" s="597" t="s">
        <v>66</v>
      </c>
      <c r="K81" s="597" t="s">
        <v>68</v>
      </c>
      <c r="L81" s="597" t="s">
        <v>252</v>
      </c>
    </row>
    <row r="82" spans="1:12" x14ac:dyDescent="0.25">
      <c r="B82" s="598">
        <v>45384</v>
      </c>
      <c r="C82" s="604" t="s">
        <v>514</v>
      </c>
      <c r="D82" s="688" t="s">
        <v>589</v>
      </c>
      <c r="E82" s="601">
        <v>60000</v>
      </c>
      <c r="F82" s="601" t="s">
        <v>253</v>
      </c>
      <c r="G82" s="601" t="s">
        <v>253</v>
      </c>
      <c r="H82" s="601" t="s">
        <v>253</v>
      </c>
      <c r="I82" s="601" t="s">
        <v>253</v>
      </c>
      <c r="J82" s="601" t="s">
        <v>253</v>
      </c>
      <c r="K82" s="601" t="s">
        <v>253</v>
      </c>
      <c r="L82" s="602">
        <f>SUM(E82:K82)</f>
        <v>60000</v>
      </c>
    </row>
    <row r="83" spans="1:12" ht="25.5" x14ac:dyDescent="0.25">
      <c r="B83" s="598">
        <v>45399</v>
      </c>
      <c r="C83" s="604" t="s">
        <v>13</v>
      </c>
      <c r="D83" s="688" t="s">
        <v>498</v>
      </c>
      <c r="E83" s="601">
        <v>1625</v>
      </c>
      <c r="F83" s="601" t="s">
        <v>253</v>
      </c>
      <c r="G83" s="601" t="s">
        <v>253</v>
      </c>
      <c r="H83" s="601" t="s">
        <v>253</v>
      </c>
      <c r="I83" s="601" t="s">
        <v>253</v>
      </c>
      <c r="J83" s="601" t="s">
        <v>253</v>
      </c>
      <c r="K83" s="601" t="s">
        <v>253</v>
      </c>
      <c r="L83" s="602">
        <f>SUM(E83:K83)</f>
        <v>1625</v>
      </c>
    </row>
    <row r="84" spans="1:12" x14ac:dyDescent="0.25">
      <c r="B84" s="598">
        <v>45399</v>
      </c>
      <c r="C84" s="604" t="s">
        <v>13</v>
      </c>
      <c r="D84" s="688" t="s">
        <v>500</v>
      </c>
      <c r="E84" s="601">
        <v>1750</v>
      </c>
      <c r="F84" s="601" t="s">
        <v>253</v>
      </c>
      <c r="G84" s="601" t="s">
        <v>253</v>
      </c>
      <c r="H84" s="601" t="s">
        <v>253</v>
      </c>
      <c r="I84" s="601" t="s">
        <v>253</v>
      </c>
      <c r="J84" s="601" t="s">
        <v>253</v>
      </c>
      <c r="K84" s="601" t="s">
        <v>253</v>
      </c>
      <c r="L84" s="602">
        <f>SUM(E84:K84)</f>
        <v>1750</v>
      </c>
    </row>
    <row r="85" spans="1:12" x14ac:dyDescent="0.25">
      <c r="B85" s="598">
        <v>45401</v>
      </c>
      <c r="C85" s="604" t="s">
        <v>13</v>
      </c>
      <c r="D85" s="688" t="s">
        <v>503</v>
      </c>
      <c r="E85" s="601">
        <v>3750</v>
      </c>
      <c r="F85" s="601" t="s">
        <v>253</v>
      </c>
      <c r="G85" s="601" t="s">
        <v>253</v>
      </c>
      <c r="H85" s="601" t="s">
        <v>253</v>
      </c>
      <c r="I85" s="601" t="s">
        <v>253</v>
      </c>
      <c r="J85" s="601" t="s">
        <v>253</v>
      </c>
      <c r="K85" s="601" t="s">
        <v>253</v>
      </c>
      <c r="L85" s="602">
        <f>SUM(E85:K85)</f>
        <v>3750</v>
      </c>
    </row>
    <row r="86" spans="1:12" x14ac:dyDescent="0.25">
      <c r="B86" s="598">
        <v>45406</v>
      </c>
      <c r="C86" s="604" t="s">
        <v>590</v>
      </c>
      <c r="D86" s="688" t="s">
        <v>504</v>
      </c>
      <c r="E86" s="601">
        <v>20000</v>
      </c>
      <c r="F86" s="601" t="s">
        <v>253</v>
      </c>
      <c r="G86" s="601" t="s">
        <v>253</v>
      </c>
      <c r="H86" s="601" t="s">
        <v>253</v>
      </c>
      <c r="I86" s="601" t="s">
        <v>253</v>
      </c>
      <c r="J86" s="601" t="s">
        <v>253</v>
      </c>
      <c r="K86" s="601" t="s">
        <v>253</v>
      </c>
      <c r="L86" s="602">
        <f t="shared" ref="L86:L92" si="11">SUM(E86:K86)</f>
        <v>20000</v>
      </c>
    </row>
    <row r="87" spans="1:12" ht="25.5" x14ac:dyDescent="0.25">
      <c r="B87" s="598">
        <v>45415</v>
      </c>
      <c r="C87" s="604" t="s">
        <v>13</v>
      </c>
      <c r="D87" s="688" t="s">
        <v>505</v>
      </c>
      <c r="E87" s="601">
        <v>6042</v>
      </c>
      <c r="F87" s="601" t="s">
        <v>253</v>
      </c>
      <c r="G87" s="601" t="s">
        <v>253</v>
      </c>
      <c r="H87" s="601" t="s">
        <v>253</v>
      </c>
      <c r="I87" s="601" t="s">
        <v>253</v>
      </c>
      <c r="J87" s="601" t="s">
        <v>253</v>
      </c>
      <c r="K87" s="601" t="s">
        <v>253</v>
      </c>
      <c r="L87" s="602">
        <f t="shared" si="11"/>
        <v>6042</v>
      </c>
    </row>
    <row r="88" spans="1:12" x14ac:dyDescent="0.25">
      <c r="B88" s="598">
        <v>45418</v>
      </c>
      <c r="C88" s="604" t="s">
        <v>590</v>
      </c>
      <c r="D88" s="688" t="s">
        <v>585</v>
      </c>
      <c r="E88" s="601">
        <v>20000</v>
      </c>
      <c r="F88" s="601" t="s">
        <v>253</v>
      </c>
      <c r="G88" s="601" t="s">
        <v>253</v>
      </c>
      <c r="H88" s="601" t="s">
        <v>253</v>
      </c>
      <c r="I88" s="601" t="s">
        <v>253</v>
      </c>
      <c r="J88" s="601" t="s">
        <v>253</v>
      </c>
      <c r="K88" s="601" t="s">
        <v>253</v>
      </c>
      <c r="L88" s="602">
        <f t="shared" si="11"/>
        <v>20000</v>
      </c>
    </row>
    <row r="89" spans="1:12" x14ac:dyDescent="0.25">
      <c r="B89" s="598">
        <v>45420</v>
      </c>
      <c r="C89" s="604" t="s">
        <v>13</v>
      </c>
      <c r="D89" s="688" t="s">
        <v>584</v>
      </c>
      <c r="E89" s="601">
        <v>5000</v>
      </c>
      <c r="F89" s="601" t="s">
        <v>253</v>
      </c>
      <c r="G89" s="601" t="s">
        <v>253</v>
      </c>
      <c r="H89" s="601" t="s">
        <v>253</v>
      </c>
      <c r="I89" s="601" t="s">
        <v>253</v>
      </c>
      <c r="J89" s="601" t="s">
        <v>253</v>
      </c>
      <c r="K89" s="601" t="s">
        <v>253</v>
      </c>
      <c r="L89" s="602">
        <f t="shared" si="11"/>
        <v>5000</v>
      </c>
    </row>
    <row r="90" spans="1:12" x14ac:dyDescent="0.25">
      <c r="B90" s="598">
        <v>45421</v>
      </c>
      <c r="C90" s="604" t="s">
        <v>13</v>
      </c>
      <c r="D90" s="688" t="s">
        <v>552</v>
      </c>
      <c r="E90" s="601" t="s">
        <v>565</v>
      </c>
      <c r="F90" s="601" t="s">
        <v>253</v>
      </c>
      <c r="G90" s="601" t="s">
        <v>253</v>
      </c>
      <c r="H90" s="601" t="s">
        <v>253</v>
      </c>
      <c r="I90" s="601" t="s">
        <v>253</v>
      </c>
      <c r="J90" s="601" t="s">
        <v>253</v>
      </c>
      <c r="K90" s="601" t="s">
        <v>253</v>
      </c>
      <c r="L90" s="602">
        <f t="shared" si="11"/>
        <v>0</v>
      </c>
    </row>
    <row r="91" spans="1:12" ht="25.5" x14ac:dyDescent="0.25">
      <c r="B91" s="598">
        <v>45425</v>
      </c>
      <c r="C91" s="604" t="s">
        <v>13</v>
      </c>
      <c r="D91" s="688" t="s">
        <v>555</v>
      </c>
      <c r="E91" s="601">
        <v>1500</v>
      </c>
      <c r="F91" s="601" t="s">
        <v>253</v>
      </c>
      <c r="G91" s="601" t="s">
        <v>253</v>
      </c>
      <c r="H91" s="601" t="s">
        <v>253</v>
      </c>
      <c r="I91" s="601" t="s">
        <v>253</v>
      </c>
      <c r="J91" s="601" t="s">
        <v>253</v>
      </c>
      <c r="K91" s="601" t="s">
        <v>253</v>
      </c>
      <c r="L91" s="602">
        <f t="shared" si="11"/>
        <v>1500</v>
      </c>
    </row>
    <row r="92" spans="1:12" ht="25.5" x14ac:dyDescent="0.25">
      <c r="B92" s="598">
        <v>45425</v>
      </c>
      <c r="C92" s="604" t="s">
        <v>13</v>
      </c>
      <c r="D92" s="688" t="s">
        <v>556</v>
      </c>
      <c r="E92" s="601">
        <v>3750</v>
      </c>
      <c r="F92" s="601" t="s">
        <v>253</v>
      </c>
      <c r="G92" s="601" t="s">
        <v>253</v>
      </c>
      <c r="H92" s="601" t="s">
        <v>253</v>
      </c>
      <c r="I92" s="601" t="s">
        <v>253</v>
      </c>
      <c r="J92" s="601" t="s">
        <v>253</v>
      </c>
      <c r="K92" s="601" t="s">
        <v>253</v>
      </c>
      <c r="L92" s="602">
        <f t="shared" si="11"/>
        <v>3750</v>
      </c>
    </row>
    <row r="93" spans="1:12" x14ac:dyDescent="0.25">
      <c r="B93" s="598">
        <v>45443</v>
      </c>
      <c r="C93" s="604" t="s">
        <v>13</v>
      </c>
      <c r="D93" s="688" t="s">
        <v>557</v>
      </c>
      <c r="E93" s="601">
        <v>8875</v>
      </c>
      <c r="F93" s="601" t="s">
        <v>253</v>
      </c>
      <c r="G93" s="601" t="s">
        <v>253</v>
      </c>
      <c r="H93" s="601" t="s">
        <v>253</v>
      </c>
      <c r="I93" s="601" t="s">
        <v>253</v>
      </c>
      <c r="J93" s="601" t="s">
        <v>253</v>
      </c>
      <c r="K93" s="601" t="s">
        <v>253</v>
      </c>
      <c r="L93" s="602">
        <f>SUM(E93:K93)</f>
        <v>8875</v>
      </c>
    </row>
    <row r="94" spans="1:12" x14ac:dyDescent="0.25">
      <c r="B94" s="598">
        <v>45447</v>
      </c>
      <c r="C94" s="604" t="s">
        <v>13</v>
      </c>
      <c r="D94" s="688" t="s">
        <v>583</v>
      </c>
      <c r="E94" s="601" t="s">
        <v>565</v>
      </c>
      <c r="F94" s="601" t="s">
        <v>253</v>
      </c>
      <c r="G94" s="601" t="s">
        <v>253</v>
      </c>
      <c r="H94" s="601" t="s">
        <v>253</v>
      </c>
      <c r="I94" s="601" t="s">
        <v>253</v>
      </c>
      <c r="J94" s="601" t="s">
        <v>253</v>
      </c>
      <c r="K94" s="601" t="s">
        <v>253</v>
      </c>
      <c r="L94" s="602">
        <f>SUM(E94:K94)</f>
        <v>0</v>
      </c>
    </row>
    <row r="95" spans="1:12" ht="18.75" x14ac:dyDescent="0.25">
      <c r="A95" s="605" t="s">
        <v>254</v>
      </c>
      <c r="B95" s="1039" t="s">
        <v>255</v>
      </c>
      <c r="C95" s="1040"/>
      <c r="D95" s="610">
        <f>SUM(E95:K95)</f>
        <v>132292</v>
      </c>
      <c r="E95" s="602">
        <f t="shared" ref="E95:K95" si="12">SUM(E82:E94)</f>
        <v>132292</v>
      </c>
      <c r="F95" s="602">
        <f t="shared" si="12"/>
        <v>0</v>
      </c>
      <c r="G95" s="602">
        <f t="shared" si="12"/>
        <v>0</v>
      </c>
      <c r="H95" s="602">
        <f t="shared" si="12"/>
        <v>0</v>
      </c>
      <c r="I95" s="602">
        <f t="shared" si="12"/>
        <v>0</v>
      </c>
      <c r="J95" s="602">
        <f t="shared" si="12"/>
        <v>0</v>
      </c>
      <c r="K95" s="602">
        <f t="shared" si="12"/>
        <v>0</v>
      </c>
      <c r="L95" s="606">
        <f>SUM(E95:K95)-SUM(L82:L94)</f>
        <v>0</v>
      </c>
    </row>
    <row r="96" spans="1:12" x14ac:dyDescent="0.25">
      <c r="B96" s="614"/>
      <c r="C96" s="670"/>
      <c r="D96" s="670"/>
      <c r="E96" s="614"/>
      <c r="F96" s="614"/>
      <c r="G96" s="614"/>
      <c r="H96" s="614"/>
      <c r="I96" s="614"/>
      <c r="J96" s="614"/>
      <c r="K96" s="614"/>
      <c r="L96" s="670"/>
    </row>
    <row r="97" spans="1:14" ht="18.75" x14ac:dyDescent="0.3">
      <c r="B97" s="592" t="s">
        <v>246</v>
      </c>
      <c r="C97" s="1037" t="s">
        <v>128</v>
      </c>
      <c r="D97" s="1038"/>
      <c r="E97" s="593" t="s">
        <v>247</v>
      </c>
      <c r="F97" s="594"/>
      <c r="G97" s="594"/>
      <c r="H97" s="594"/>
      <c r="I97" s="595" t="s">
        <v>248</v>
      </c>
      <c r="J97" s="596">
        <v>1160</v>
      </c>
      <c r="K97" s="593" t="s">
        <v>137</v>
      </c>
      <c r="L97" s="596">
        <v>221745</v>
      </c>
    </row>
    <row r="98" spans="1:14" x14ac:dyDescent="0.25">
      <c r="B98" s="597" t="s">
        <v>0</v>
      </c>
      <c r="C98" s="597" t="s">
        <v>249</v>
      </c>
      <c r="D98" s="597" t="s">
        <v>6</v>
      </c>
      <c r="E98" s="597" t="s">
        <v>250</v>
      </c>
      <c r="F98" s="597" t="s">
        <v>62</v>
      </c>
      <c r="G98" s="597" t="s">
        <v>63</v>
      </c>
      <c r="H98" s="597" t="s">
        <v>64</v>
      </c>
      <c r="I98" s="597" t="s">
        <v>251</v>
      </c>
      <c r="J98" s="597" t="s">
        <v>66</v>
      </c>
      <c r="K98" s="597" t="s">
        <v>68</v>
      </c>
      <c r="L98" s="597" t="s">
        <v>252</v>
      </c>
    </row>
    <row r="99" spans="1:14" ht="25.5" x14ac:dyDescent="0.25">
      <c r="B99" s="598">
        <v>45399</v>
      </c>
      <c r="C99" s="604" t="s">
        <v>13</v>
      </c>
      <c r="D99" s="688" t="s">
        <v>498</v>
      </c>
      <c r="E99" s="601">
        <v>1625</v>
      </c>
      <c r="F99" s="601" t="s">
        <v>253</v>
      </c>
      <c r="G99" s="601" t="s">
        <v>253</v>
      </c>
      <c r="H99" s="601" t="s">
        <v>253</v>
      </c>
      <c r="I99" s="601" t="s">
        <v>253</v>
      </c>
      <c r="J99" s="601" t="s">
        <v>253</v>
      </c>
      <c r="K99" s="601" t="s">
        <v>253</v>
      </c>
      <c r="L99" s="602">
        <f t="shared" ref="L99:L109" si="13">SUM(E99:K99)</f>
        <v>1625</v>
      </c>
    </row>
    <row r="100" spans="1:14" x14ac:dyDescent="0.25">
      <c r="B100" s="598">
        <v>45399</v>
      </c>
      <c r="C100" s="604" t="s">
        <v>13</v>
      </c>
      <c r="D100" s="688" t="s">
        <v>500</v>
      </c>
      <c r="E100" s="601">
        <v>1750</v>
      </c>
      <c r="F100" s="601" t="s">
        <v>253</v>
      </c>
      <c r="G100" s="601" t="s">
        <v>253</v>
      </c>
      <c r="H100" s="601" t="s">
        <v>253</v>
      </c>
      <c r="I100" s="601" t="s">
        <v>253</v>
      </c>
      <c r="J100" s="601" t="s">
        <v>253</v>
      </c>
      <c r="K100" s="601" t="s">
        <v>253</v>
      </c>
      <c r="L100" s="602">
        <f t="shared" si="13"/>
        <v>1750</v>
      </c>
    </row>
    <row r="101" spans="1:14" x14ac:dyDescent="0.25">
      <c r="B101" s="598">
        <v>45401</v>
      </c>
      <c r="C101" s="604" t="s">
        <v>13</v>
      </c>
      <c r="D101" s="688" t="s">
        <v>503</v>
      </c>
      <c r="E101" s="601">
        <v>3750</v>
      </c>
      <c r="F101" s="601" t="s">
        <v>253</v>
      </c>
      <c r="G101" s="601" t="s">
        <v>253</v>
      </c>
      <c r="H101" s="601" t="s">
        <v>253</v>
      </c>
      <c r="I101" s="601" t="s">
        <v>253</v>
      </c>
      <c r="J101" s="601" t="s">
        <v>253</v>
      </c>
      <c r="K101" s="601" t="s">
        <v>253</v>
      </c>
      <c r="L101" s="602">
        <f t="shared" si="13"/>
        <v>3750</v>
      </c>
    </row>
    <row r="102" spans="1:14" ht="25.5" x14ac:dyDescent="0.25">
      <c r="B102" s="598">
        <v>45415</v>
      </c>
      <c r="C102" s="604" t="s">
        <v>13</v>
      </c>
      <c r="D102" s="688" t="s">
        <v>505</v>
      </c>
      <c r="E102" s="601">
        <v>6042</v>
      </c>
      <c r="F102" s="601" t="s">
        <v>253</v>
      </c>
      <c r="G102" s="601" t="s">
        <v>253</v>
      </c>
      <c r="H102" s="601" t="s">
        <v>253</v>
      </c>
      <c r="I102" s="601" t="s">
        <v>253</v>
      </c>
      <c r="J102" s="601" t="s">
        <v>253</v>
      </c>
      <c r="K102" s="601" t="s">
        <v>253</v>
      </c>
      <c r="L102" s="602">
        <f t="shared" si="13"/>
        <v>6042</v>
      </c>
    </row>
    <row r="103" spans="1:14" x14ac:dyDescent="0.25">
      <c r="B103" s="598">
        <v>45418</v>
      </c>
      <c r="C103" s="604" t="s">
        <v>590</v>
      </c>
      <c r="D103" s="688" t="s">
        <v>585</v>
      </c>
      <c r="E103" s="601">
        <v>20000</v>
      </c>
      <c r="F103" s="601">
        <v>55570</v>
      </c>
      <c r="G103" s="601">
        <v>10280</v>
      </c>
      <c r="H103" s="601">
        <v>3000</v>
      </c>
      <c r="I103" s="601">
        <v>0</v>
      </c>
      <c r="J103" s="601">
        <v>0</v>
      </c>
      <c r="K103" s="601">
        <v>1000</v>
      </c>
      <c r="L103" s="602">
        <f t="shared" si="13"/>
        <v>89850</v>
      </c>
      <c r="N103" s="95" t="s">
        <v>591</v>
      </c>
    </row>
    <row r="104" spans="1:14" x14ac:dyDescent="0.25">
      <c r="B104" s="598">
        <v>45420</v>
      </c>
      <c r="C104" s="604" t="s">
        <v>13</v>
      </c>
      <c r="D104" s="688" t="s">
        <v>584</v>
      </c>
      <c r="E104" s="601">
        <v>5000</v>
      </c>
      <c r="F104" s="601" t="s">
        <v>253</v>
      </c>
      <c r="G104" s="601" t="s">
        <v>253</v>
      </c>
      <c r="H104" s="601" t="s">
        <v>253</v>
      </c>
      <c r="I104" s="601" t="s">
        <v>253</v>
      </c>
      <c r="J104" s="601" t="s">
        <v>253</v>
      </c>
      <c r="K104" s="601" t="s">
        <v>253</v>
      </c>
      <c r="L104" s="602">
        <f t="shared" si="13"/>
        <v>5000</v>
      </c>
    </row>
    <row r="105" spans="1:14" x14ac:dyDescent="0.25">
      <c r="B105" s="598">
        <v>45421</v>
      </c>
      <c r="C105" s="604" t="s">
        <v>13</v>
      </c>
      <c r="D105" s="688" t="s">
        <v>552</v>
      </c>
      <c r="E105" s="601" t="s">
        <v>565</v>
      </c>
      <c r="F105" s="601" t="s">
        <v>253</v>
      </c>
      <c r="G105" s="601" t="s">
        <v>253</v>
      </c>
      <c r="H105" s="601" t="s">
        <v>253</v>
      </c>
      <c r="I105" s="601" t="s">
        <v>253</v>
      </c>
      <c r="J105" s="601" t="s">
        <v>253</v>
      </c>
      <c r="K105" s="601" t="s">
        <v>253</v>
      </c>
      <c r="L105" s="602">
        <f t="shared" si="13"/>
        <v>0</v>
      </c>
    </row>
    <row r="106" spans="1:14" ht="25.5" x14ac:dyDescent="0.25">
      <c r="B106" s="598">
        <v>45425</v>
      </c>
      <c r="C106" s="604" t="s">
        <v>13</v>
      </c>
      <c r="D106" s="688" t="s">
        <v>555</v>
      </c>
      <c r="E106" s="601">
        <v>1500</v>
      </c>
      <c r="F106" s="601" t="s">
        <v>253</v>
      </c>
      <c r="G106" s="601" t="s">
        <v>253</v>
      </c>
      <c r="H106" s="601" t="s">
        <v>253</v>
      </c>
      <c r="I106" s="601" t="s">
        <v>253</v>
      </c>
      <c r="J106" s="601" t="s">
        <v>253</v>
      </c>
      <c r="K106" s="601" t="s">
        <v>253</v>
      </c>
      <c r="L106" s="602">
        <f t="shared" si="13"/>
        <v>1500</v>
      </c>
    </row>
    <row r="107" spans="1:14" ht="25.5" x14ac:dyDescent="0.25">
      <c r="B107" s="598">
        <v>45425</v>
      </c>
      <c r="C107" s="604" t="s">
        <v>13</v>
      </c>
      <c r="D107" s="688" t="s">
        <v>556</v>
      </c>
      <c r="E107" s="601">
        <v>3750</v>
      </c>
      <c r="F107" s="601" t="s">
        <v>253</v>
      </c>
      <c r="G107" s="601" t="s">
        <v>253</v>
      </c>
      <c r="H107" s="601" t="s">
        <v>253</v>
      </c>
      <c r="I107" s="601" t="s">
        <v>253</v>
      </c>
      <c r="J107" s="601" t="s">
        <v>253</v>
      </c>
      <c r="K107" s="601" t="s">
        <v>253</v>
      </c>
      <c r="L107" s="602">
        <f t="shared" si="13"/>
        <v>3750</v>
      </c>
    </row>
    <row r="108" spans="1:14" x14ac:dyDescent="0.25">
      <c r="B108" s="598">
        <v>45443</v>
      </c>
      <c r="C108" s="604" t="s">
        <v>13</v>
      </c>
      <c r="D108" s="688" t="s">
        <v>557</v>
      </c>
      <c r="E108" s="601">
        <v>8875</v>
      </c>
      <c r="F108" s="601" t="s">
        <v>253</v>
      </c>
      <c r="G108" s="601" t="s">
        <v>253</v>
      </c>
      <c r="H108" s="601" t="s">
        <v>253</v>
      </c>
      <c r="I108" s="601" t="s">
        <v>253</v>
      </c>
      <c r="J108" s="601" t="s">
        <v>253</v>
      </c>
      <c r="K108" s="601" t="s">
        <v>253</v>
      </c>
      <c r="L108" s="602">
        <f t="shared" si="13"/>
        <v>8875</v>
      </c>
    </row>
    <row r="109" spans="1:14" x14ac:dyDescent="0.25">
      <c r="B109" s="598">
        <v>45447</v>
      </c>
      <c r="C109" s="604" t="s">
        <v>13</v>
      </c>
      <c r="D109" s="688" t="s">
        <v>583</v>
      </c>
      <c r="E109" s="601" t="s">
        <v>565</v>
      </c>
      <c r="F109" s="601" t="s">
        <v>253</v>
      </c>
      <c r="G109" s="601" t="s">
        <v>253</v>
      </c>
      <c r="H109" s="601" t="s">
        <v>253</v>
      </c>
      <c r="I109" s="601" t="s">
        <v>253</v>
      </c>
      <c r="J109" s="601" t="s">
        <v>253</v>
      </c>
      <c r="K109" s="601" t="s">
        <v>253</v>
      </c>
      <c r="L109" s="602">
        <f t="shared" si="13"/>
        <v>0</v>
      </c>
    </row>
    <row r="110" spans="1:14" x14ac:dyDescent="0.25">
      <c r="B110" s="598">
        <v>45453</v>
      </c>
      <c r="C110" s="604" t="s">
        <v>13</v>
      </c>
      <c r="D110" s="688" t="s">
        <v>15</v>
      </c>
      <c r="E110" s="601">
        <v>5208</v>
      </c>
      <c r="F110" s="601" t="s">
        <v>253</v>
      </c>
      <c r="G110" s="601" t="s">
        <v>253</v>
      </c>
      <c r="H110" s="601" t="s">
        <v>253</v>
      </c>
      <c r="I110" s="601" t="s">
        <v>253</v>
      </c>
      <c r="J110" s="601" t="s">
        <v>253</v>
      </c>
      <c r="K110" s="601" t="s">
        <v>253</v>
      </c>
      <c r="L110" s="602">
        <f>SUM(E110:K110)</f>
        <v>5208</v>
      </c>
    </row>
    <row r="111" spans="1:14" ht="18.75" x14ac:dyDescent="0.25">
      <c r="A111" s="605" t="s">
        <v>254</v>
      </c>
      <c r="B111" s="1039" t="s">
        <v>255</v>
      </c>
      <c r="C111" s="1040"/>
      <c r="D111" s="610">
        <f>SUM(E111:K111)</f>
        <v>127350</v>
      </c>
      <c r="E111" s="602">
        <f t="shared" ref="E111:K111" si="14">SUM(E99:E110)</f>
        <v>57500</v>
      </c>
      <c r="F111" s="602">
        <f t="shared" si="14"/>
        <v>55570</v>
      </c>
      <c r="G111" s="602">
        <f t="shared" si="14"/>
        <v>10280</v>
      </c>
      <c r="H111" s="602">
        <f t="shared" si="14"/>
        <v>3000</v>
      </c>
      <c r="I111" s="602">
        <f t="shared" si="14"/>
        <v>0</v>
      </c>
      <c r="J111" s="602">
        <f t="shared" si="14"/>
        <v>0</v>
      </c>
      <c r="K111" s="602">
        <f t="shared" si="14"/>
        <v>1000</v>
      </c>
      <c r="L111" s="606">
        <f>SUM(E111:K111)-SUM(L99:L110)</f>
        <v>0</v>
      </c>
    </row>
    <row r="112" spans="1:14" x14ac:dyDescent="0.25">
      <c r="B112" s="614"/>
      <c r="C112" s="670"/>
      <c r="D112" s="670"/>
      <c r="E112" s="614"/>
      <c r="F112" s="614"/>
      <c r="G112" s="614"/>
      <c r="H112" s="614"/>
      <c r="I112" s="614"/>
      <c r="J112" s="614"/>
      <c r="K112" s="614"/>
      <c r="L112" s="670"/>
    </row>
    <row r="113" spans="1:15" ht="18.75" x14ac:dyDescent="0.3">
      <c r="B113" s="592" t="s">
        <v>246</v>
      </c>
      <c r="C113" s="1037" t="s">
        <v>129</v>
      </c>
      <c r="D113" s="1038"/>
      <c r="E113" s="593" t="s">
        <v>247</v>
      </c>
      <c r="F113" s="594"/>
      <c r="G113" s="594"/>
      <c r="H113" s="594"/>
      <c r="I113" s="595" t="s">
        <v>248</v>
      </c>
      <c r="J113" s="596">
        <v>1161</v>
      </c>
      <c r="K113" s="593" t="s">
        <v>137</v>
      </c>
      <c r="L113" s="596">
        <v>221745</v>
      </c>
    </row>
    <row r="114" spans="1:15" x14ac:dyDescent="0.25">
      <c r="B114" s="597" t="s">
        <v>0</v>
      </c>
      <c r="C114" s="597" t="s">
        <v>249</v>
      </c>
      <c r="D114" s="597" t="s">
        <v>6</v>
      </c>
      <c r="E114" s="597" t="s">
        <v>250</v>
      </c>
      <c r="F114" s="597" t="s">
        <v>62</v>
      </c>
      <c r="G114" s="597" t="s">
        <v>63</v>
      </c>
      <c r="H114" s="597" t="s">
        <v>64</v>
      </c>
      <c r="I114" s="597" t="s">
        <v>251</v>
      </c>
      <c r="J114" s="597" t="s">
        <v>66</v>
      </c>
      <c r="K114" s="597" t="s">
        <v>68</v>
      </c>
      <c r="L114" s="597" t="s">
        <v>252</v>
      </c>
    </row>
    <row r="115" spans="1:15" ht="25.5" x14ac:dyDescent="0.25">
      <c r="B115" s="598">
        <v>45399</v>
      </c>
      <c r="C115" s="604" t="s">
        <v>13</v>
      </c>
      <c r="D115" s="688" t="s">
        <v>498</v>
      </c>
      <c r="E115" s="601">
        <v>1625</v>
      </c>
      <c r="F115" s="601" t="s">
        <v>253</v>
      </c>
      <c r="G115" s="601" t="s">
        <v>253</v>
      </c>
      <c r="H115" s="601" t="s">
        <v>253</v>
      </c>
      <c r="I115" s="601" t="s">
        <v>253</v>
      </c>
      <c r="J115" s="601" t="s">
        <v>253</v>
      </c>
      <c r="K115" s="601" t="s">
        <v>253</v>
      </c>
      <c r="L115" s="602">
        <f t="shared" ref="L115:L126" si="15">SUM(E115:K115)</f>
        <v>1625</v>
      </c>
    </row>
    <row r="116" spans="1:15" x14ac:dyDescent="0.25">
      <c r="B116" s="598">
        <v>45399</v>
      </c>
      <c r="C116" s="604" t="s">
        <v>13</v>
      </c>
      <c r="D116" s="688" t="s">
        <v>500</v>
      </c>
      <c r="E116" s="601">
        <v>1750</v>
      </c>
      <c r="F116" s="601" t="s">
        <v>253</v>
      </c>
      <c r="G116" s="601" t="s">
        <v>253</v>
      </c>
      <c r="H116" s="601" t="s">
        <v>253</v>
      </c>
      <c r="I116" s="601" t="s">
        <v>253</v>
      </c>
      <c r="J116" s="601" t="s">
        <v>253</v>
      </c>
      <c r="K116" s="601" t="s">
        <v>253</v>
      </c>
      <c r="L116" s="602">
        <f t="shared" si="15"/>
        <v>1750</v>
      </c>
    </row>
    <row r="117" spans="1:15" x14ac:dyDescent="0.25">
      <c r="B117" s="598">
        <v>45401</v>
      </c>
      <c r="C117" s="604" t="s">
        <v>13</v>
      </c>
      <c r="D117" s="688" t="s">
        <v>503</v>
      </c>
      <c r="E117" s="601">
        <v>3750</v>
      </c>
      <c r="F117" s="601" t="s">
        <v>253</v>
      </c>
      <c r="G117" s="601" t="s">
        <v>253</v>
      </c>
      <c r="H117" s="601" t="s">
        <v>253</v>
      </c>
      <c r="I117" s="601" t="s">
        <v>253</v>
      </c>
      <c r="J117" s="601" t="s">
        <v>253</v>
      </c>
      <c r="K117" s="601" t="s">
        <v>253</v>
      </c>
      <c r="L117" s="602">
        <f t="shared" si="15"/>
        <v>3750</v>
      </c>
    </row>
    <row r="118" spans="1:15" ht="25.5" x14ac:dyDescent="0.25">
      <c r="B118" s="598">
        <v>45415</v>
      </c>
      <c r="C118" s="604" t="s">
        <v>13</v>
      </c>
      <c r="D118" s="688" t="s">
        <v>505</v>
      </c>
      <c r="E118" s="601">
        <v>6042</v>
      </c>
      <c r="F118" s="601" t="s">
        <v>253</v>
      </c>
      <c r="G118" s="601" t="s">
        <v>253</v>
      </c>
      <c r="H118" s="601" t="s">
        <v>253</v>
      </c>
      <c r="I118" s="601" t="s">
        <v>253</v>
      </c>
      <c r="J118" s="601" t="s">
        <v>253</v>
      </c>
      <c r="K118" s="601" t="s">
        <v>253</v>
      </c>
      <c r="L118" s="602">
        <f t="shared" si="15"/>
        <v>6042</v>
      </c>
    </row>
    <row r="119" spans="1:15" x14ac:dyDescent="0.25">
      <c r="B119" s="598">
        <v>45418</v>
      </c>
      <c r="C119" s="604" t="s">
        <v>590</v>
      </c>
      <c r="D119" s="688" t="s">
        <v>585</v>
      </c>
      <c r="E119" s="601">
        <v>20000</v>
      </c>
      <c r="F119" s="601">
        <v>12000</v>
      </c>
      <c r="G119" s="601">
        <v>1490</v>
      </c>
      <c r="H119" s="601">
        <v>10000</v>
      </c>
      <c r="I119" s="601">
        <v>3700</v>
      </c>
      <c r="J119" s="601">
        <v>0</v>
      </c>
      <c r="K119" s="601">
        <v>0</v>
      </c>
      <c r="L119" s="602">
        <f t="shared" si="15"/>
        <v>47190</v>
      </c>
    </row>
    <row r="120" spans="1:15" x14ac:dyDescent="0.25">
      <c r="B120" s="598">
        <v>45420</v>
      </c>
      <c r="C120" s="604" t="s">
        <v>13</v>
      </c>
      <c r="D120" s="688" t="s">
        <v>584</v>
      </c>
      <c r="E120" s="601">
        <v>5000</v>
      </c>
      <c r="F120" s="601" t="s">
        <v>253</v>
      </c>
      <c r="G120" s="601" t="s">
        <v>253</v>
      </c>
      <c r="H120" s="601" t="s">
        <v>253</v>
      </c>
      <c r="I120" s="601" t="s">
        <v>253</v>
      </c>
      <c r="J120" s="601" t="s">
        <v>253</v>
      </c>
      <c r="K120" s="601" t="s">
        <v>253</v>
      </c>
      <c r="L120" s="602">
        <f t="shared" si="15"/>
        <v>5000</v>
      </c>
    </row>
    <row r="121" spans="1:15" x14ac:dyDescent="0.25">
      <c r="B121" s="598">
        <v>45421</v>
      </c>
      <c r="C121" s="604" t="s">
        <v>13</v>
      </c>
      <c r="D121" s="688" t="s">
        <v>552</v>
      </c>
      <c r="E121" s="601" t="s">
        <v>565</v>
      </c>
      <c r="F121" s="601" t="s">
        <v>253</v>
      </c>
      <c r="G121" s="601" t="s">
        <v>253</v>
      </c>
      <c r="H121" s="601" t="s">
        <v>253</v>
      </c>
      <c r="I121" s="601" t="s">
        <v>253</v>
      </c>
      <c r="J121" s="601" t="s">
        <v>253</v>
      </c>
      <c r="K121" s="601" t="s">
        <v>253</v>
      </c>
      <c r="L121" s="602">
        <f t="shared" si="15"/>
        <v>0</v>
      </c>
    </row>
    <row r="122" spans="1:15" ht="25.5" x14ac:dyDescent="0.25">
      <c r="B122" s="598">
        <v>45425</v>
      </c>
      <c r="C122" s="604" t="s">
        <v>13</v>
      </c>
      <c r="D122" s="688" t="s">
        <v>555</v>
      </c>
      <c r="E122" s="601">
        <v>1500</v>
      </c>
      <c r="F122" s="601" t="s">
        <v>253</v>
      </c>
      <c r="G122" s="601" t="s">
        <v>253</v>
      </c>
      <c r="H122" s="601" t="s">
        <v>253</v>
      </c>
      <c r="I122" s="601" t="s">
        <v>253</v>
      </c>
      <c r="J122" s="601" t="s">
        <v>253</v>
      </c>
      <c r="K122" s="601" t="s">
        <v>253</v>
      </c>
      <c r="L122" s="602">
        <f t="shared" si="15"/>
        <v>1500</v>
      </c>
    </row>
    <row r="123" spans="1:15" ht="25.5" x14ac:dyDescent="0.25">
      <c r="B123" s="598">
        <v>45425</v>
      </c>
      <c r="C123" s="604" t="s">
        <v>13</v>
      </c>
      <c r="D123" s="688" t="s">
        <v>556</v>
      </c>
      <c r="E123" s="601">
        <v>3750</v>
      </c>
      <c r="F123" s="601" t="s">
        <v>253</v>
      </c>
      <c r="G123" s="601" t="s">
        <v>253</v>
      </c>
      <c r="H123" s="601" t="s">
        <v>253</v>
      </c>
      <c r="I123" s="601" t="s">
        <v>253</v>
      </c>
      <c r="J123" s="601" t="s">
        <v>253</v>
      </c>
      <c r="K123" s="601" t="s">
        <v>253</v>
      </c>
      <c r="L123" s="602">
        <f t="shared" si="15"/>
        <v>3750</v>
      </c>
    </row>
    <row r="124" spans="1:15" x14ac:dyDescent="0.25">
      <c r="B124" s="598">
        <v>45443</v>
      </c>
      <c r="C124" s="604" t="s">
        <v>13</v>
      </c>
      <c r="D124" s="688" t="s">
        <v>557</v>
      </c>
      <c r="E124" s="601">
        <v>8875</v>
      </c>
      <c r="F124" s="601" t="s">
        <v>253</v>
      </c>
      <c r="G124" s="601" t="s">
        <v>253</v>
      </c>
      <c r="H124" s="601" t="s">
        <v>253</v>
      </c>
      <c r="I124" s="601" t="s">
        <v>253</v>
      </c>
      <c r="J124" s="601" t="s">
        <v>253</v>
      </c>
      <c r="K124" s="601" t="s">
        <v>253</v>
      </c>
      <c r="L124" s="602">
        <f t="shared" si="15"/>
        <v>8875</v>
      </c>
    </row>
    <row r="125" spans="1:15" x14ac:dyDescent="0.25">
      <c r="B125" s="598">
        <v>45447</v>
      </c>
      <c r="C125" s="604" t="s">
        <v>13</v>
      </c>
      <c r="D125" s="688" t="s">
        <v>583</v>
      </c>
      <c r="E125" s="601" t="s">
        <v>565</v>
      </c>
      <c r="F125" s="601" t="s">
        <v>253</v>
      </c>
      <c r="G125" s="601" t="s">
        <v>253</v>
      </c>
      <c r="H125" s="601" t="s">
        <v>253</v>
      </c>
      <c r="I125" s="601" t="s">
        <v>253</v>
      </c>
      <c r="J125" s="601" t="s">
        <v>253</v>
      </c>
      <c r="K125" s="601" t="s">
        <v>253</v>
      </c>
      <c r="L125" s="602">
        <f t="shared" si="15"/>
        <v>0</v>
      </c>
      <c r="N125" s="671" t="s">
        <v>594</v>
      </c>
      <c r="O125" s="672"/>
    </row>
    <row r="126" spans="1:15" x14ac:dyDescent="0.25">
      <c r="B126" s="598">
        <v>45453</v>
      </c>
      <c r="C126" s="604" t="s">
        <v>13</v>
      </c>
      <c r="D126" s="688" t="s">
        <v>15</v>
      </c>
      <c r="E126" s="601">
        <v>5208</v>
      </c>
      <c r="F126" s="601" t="s">
        <v>253</v>
      </c>
      <c r="G126" s="601" t="s">
        <v>253</v>
      </c>
      <c r="H126" s="601" t="s">
        <v>253</v>
      </c>
      <c r="I126" s="601" t="s">
        <v>253</v>
      </c>
      <c r="J126" s="601" t="s">
        <v>253</v>
      </c>
      <c r="K126" s="601" t="s">
        <v>253</v>
      </c>
      <c r="L126" s="602">
        <f t="shared" si="15"/>
        <v>5208</v>
      </c>
      <c r="N126" s="671" t="s">
        <v>586</v>
      </c>
      <c r="O126" s="672"/>
    </row>
    <row r="127" spans="1:15" ht="18.75" x14ac:dyDescent="0.25">
      <c r="A127" s="605" t="s">
        <v>254</v>
      </c>
      <c r="B127" s="1039" t="s">
        <v>255</v>
      </c>
      <c r="C127" s="1040"/>
      <c r="D127" s="610">
        <f>SUM(E127:K127)</f>
        <v>84690</v>
      </c>
      <c r="E127" s="602">
        <f t="shared" ref="E127:K127" si="16">SUM(E115:E126)</f>
        <v>57500</v>
      </c>
      <c r="F127" s="602">
        <f t="shared" si="16"/>
        <v>12000</v>
      </c>
      <c r="G127" s="602">
        <f t="shared" si="16"/>
        <v>1490</v>
      </c>
      <c r="H127" s="602">
        <f t="shared" si="16"/>
        <v>10000</v>
      </c>
      <c r="I127" s="602">
        <f t="shared" si="16"/>
        <v>3700</v>
      </c>
      <c r="J127" s="602">
        <f t="shared" si="16"/>
        <v>0</v>
      </c>
      <c r="K127" s="602">
        <f t="shared" si="16"/>
        <v>0</v>
      </c>
      <c r="L127" s="606">
        <f>SUM(E127:K127)-SUM(L115:L126)</f>
        <v>0</v>
      </c>
      <c r="N127" s="671" t="s">
        <v>593</v>
      </c>
      <c r="O127" s="672"/>
    </row>
    <row r="128" spans="1:15" x14ac:dyDescent="0.25">
      <c r="B128" s="614"/>
      <c r="C128" s="670"/>
      <c r="D128" s="670"/>
      <c r="E128" s="614"/>
      <c r="F128" s="614"/>
      <c r="G128" s="614"/>
      <c r="H128" s="614"/>
      <c r="I128" s="614"/>
      <c r="J128" s="614"/>
      <c r="K128" s="614"/>
      <c r="L128" s="670"/>
      <c r="N128" s="671" t="s">
        <v>592</v>
      </c>
      <c r="O128" s="672"/>
    </row>
    <row r="129" spans="1:12" ht="18.75" x14ac:dyDescent="0.3">
      <c r="B129" s="592" t="s">
        <v>246</v>
      </c>
      <c r="C129" s="1037" t="s">
        <v>130</v>
      </c>
      <c r="D129" s="1038"/>
      <c r="E129" s="593" t="s">
        <v>247</v>
      </c>
      <c r="F129" s="594"/>
      <c r="G129" s="594"/>
      <c r="H129" s="594"/>
      <c r="I129" s="595" t="s">
        <v>248</v>
      </c>
      <c r="J129" s="596">
        <v>1162</v>
      </c>
      <c r="K129" s="593" t="s">
        <v>137</v>
      </c>
      <c r="L129" s="596">
        <v>221745</v>
      </c>
    </row>
    <row r="130" spans="1:12" x14ac:dyDescent="0.25">
      <c r="B130" s="597" t="s">
        <v>0</v>
      </c>
      <c r="C130" s="597" t="s">
        <v>249</v>
      </c>
      <c r="D130" s="597" t="s">
        <v>6</v>
      </c>
      <c r="E130" s="597" t="s">
        <v>250</v>
      </c>
      <c r="F130" s="597" t="s">
        <v>62</v>
      </c>
      <c r="G130" s="597" t="s">
        <v>63</v>
      </c>
      <c r="H130" s="597" t="s">
        <v>64</v>
      </c>
      <c r="I130" s="597" t="s">
        <v>251</v>
      </c>
      <c r="J130" s="597" t="s">
        <v>66</v>
      </c>
      <c r="K130" s="597" t="s">
        <v>68</v>
      </c>
      <c r="L130" s="597" t="s">
        <v>252</v>
      </c>
    </row>
    <row r="131" spans="1:12" x14ac:dyDescent="0.25">
      <c r="B131" s="598">
        <v>45401</v>
      </c>
      <c r="C131" s="604" t="s">
        <v>13</v>
      </c>
      <c r="D131" s="688" t="s">
        <v>503</v>
      </c>
      <c r="E131" s="601">
        <v>3750</v>
      </c>
      <c r="F131" s="601" t="s">
        <v>253</v>
      </c>
      <c r="G131" s="601" t="s">
        <v>253</v>
      </c>
      <c r="H131" s="601" t="s">
        <v>253</v>
      </c>
      <c r="I131" s="601" t="s">
        <v>253</v>
      </c>
      <c r="J131" s="601" t="s">
        <v>253</v>
      </c>
      <c r="K131" s="601" t="s">
        <v>253</v>
      </c>
      <c r="L131" s="602">
        <f>SUM(E131:K131)</f>
        <v>3750</v>
      </c>
    </row>
    <row r="132" spans="1:12" x14ac:dyDescent="0.25">
      <c r="B132" s="598">
        <v>45420</v>
      </c>
      <c r="C132" s="604" t="s">
        <v>13</v>
      </c>
      <c r="D132" s="688" t="s">
        <v>584</v>
      </c>
      <c r="E132" s="601">
        <v>5000</v>
      </c>
      <c r="F132" s="601" t="s">
        <v>253</v>
      </c>
      <c r="G132" s="601" t="s">
        <v>253</v>
      </c>
      <c r="H132" s="601" t="s">
        <v>253</v>
      </c>
      <c r="I132" s="601" t="s">
        <v>253</v>
      </c>
      <c r="J132" s="601" t="s">
        <v>253</v>
      </c>
      <c r="K132" s="601" t="s">
        <v>253</v>
      </c>
      <c r="L132" s="602">
        <f>SUM(E132:K132)</f>
        <v>5000</v>
      </c>
    </row>
    <row r="133" spans="1:12" ht="18.75" x14ac:dyDescent="0.25">
      <c r="A133" s="605" t="s">
        <v>254</v>
      </c>
      <c r="B133" s="1039" t="s">
        <v>255</v>
      </c>
      <c r="C133" s="1040"/>
      <c r="D133" s="610">
        <f>SUM(E133:K133)</f>
        <v>8750</v>
      </c>
      <c r="E133" s="602">
        <f t="shared" ref="E133:K133" si="17">SUM(E131:E132)</f>
        <v>8750</v>
      </c>
      <c r="F133" s="602">
        <f t="shared" si="17"/>
        <v>0</v>
      </c>
      <c r="G133" s="602">
        <f t="shared" si="17"/>
        <v>0</v>
      </c>
      <c r="H133" s="602">
        <f t="shared" si="17"/>
        <v>0</v>
      </c>
      <c r="I133" s="602">
        <f t="shared" si="17"/>
        <v>0</v>
      </c>
      <c r="J133" s="602">
        <f t="shared" si="17"/>
        <v>0</v>
      </c>
      <c r="K133" s="602">
        <f t="shared" si="17"/>
        <v>0</v>
      </c>
      <c r="L133" s="606">
        <f>SUM(E133:K133)-SUM(L131:L132)</f>
        <v>0</v>
      </c>
    </row>
    <row r="134" spans="1:12" x14ac:dyDescent="0.25">
      <c r="B134" s="614"/>
      <c r="C134" s="670"/>
      <c r="D134" s="670"/>
      <c r="E134" s="614"/>
      <c r="F134" s="614"/>
      <c r="G134" s="614"/>
      <c r="H134" s="614"/>
      <c r="I134" s="614"/>
      <c r="J134" s="614"/>
      <c r="K134" s="614"/>
      <c r="L134" s="670"/>
    </row>
    <row r="135" spans="1:12" ht="18.75" x14ac:dyDescent="0.3">
      <c r="B135" s="592" t="s">
        <v>246</v>
      </c>
      <c r="C135" s="1037" t="s">
        <v>131</v>
      </c>
      <c r="D135" s="1038"/>
      <c r="E135" s="593" t="s">
        <v>247</v>
      </c>
      <c r="F135" s="594"/>
      <c r="G135" s="594"/>
      <c r="H135" s="594"/>
      <c r="I135" s="595" t="s">
        <v>248</v>
      </c>
      <c r="J135" s="596">
        <v>1163</v>
      </c>
      <c r="K135" s="593" t="s">
        <v>137</v>
      </c>
      <c r="L135" s="596">
        <v>221745</v>
      </c>
    </row>
    <row r="136" spans="1:12" x14ac:dyDescent="0.25">
      <c r="B136" s="597" t="s">
        <v>0</v>
      </c>
      <c r="C136" s="597" t="s">
        <v>249</v>
      </c>
      <c r="D136" s="597" t="s">
        <v>6</v>
      </c>
      <c r="E136" s="597" t="s">
        <v>250</v>
      </c>
      <c r="F136" s="597" t="s">
        <v>62</v>
      </c>
      <c r="G136" s="597" t="s">
        <v>63</v>
      </c>
      <c r="H136" s="597" t="s">
        <v>64</v>
      </c>
      <c r="I136" s="597" t="s">
        <v>251</v>
      </c>
      <c r="J136" s="597" t="s">
        <v>66</v>
      </c>
      <c r="K136" s="597" t="s">
        <v>68</v>
      </c>
      <c r="L136" s="597" t="s">
        <v>252</v>
      </c>
    </row>
    <row r="137" spans="1:12" x14ac:dyDescent="0.25">
      <c r="B137" s="598">
        <v>45401</v>
      </c>
      <c r="C137" s="604" t="s">
        <v>13</v>
      </c>
      <c r="D137" s="599" t="s">
        <v>503</v>
      </c>
      <c r="E137" s="601">
        <v>3750</v>
      </c>
      <c r="F137" s="601" t="s">
        <v>253</v>
      </c>
      <c r="G137" s="601" t="s">
        <v>253</v>
      </c>
      <c r="H137" s="601" t="s">
        <v>253</v>
      </c>
      <c r="I137" s="601" t="s">
        <v>253</v>
      </c>
      <c r="J137" s="601" t="s">
        <v>253</v>
      </c>
      <c r="K137" s="601" t="s">
        <v>253</v>
      </c>
      <c r="L137" s="602">
        <f t="shared" ref="L137:L143" si="18">SUM(E137:K137)</f>
        <v>3750</v>
      </c>
    </row>
    <row r="138" spans="1:12" x14ac:dyDescent="0.25">
      <c r="B138" s="598">
        <v>45415</v>
      </c>
      <c r="C138" s="599" t="s">
        <v>13</v>
      </c>
      <c r="D138" s="600" t="s">
        <v>15</v>
      </c>
      <c r="E138" s="601">
        <v>6042</v>
      </c>
      <c r="F138" s="601" t="s">
        <v>253</v>
      </c>
      <c r="G138" s="601" t="s">
        <v>253</v>
      </c>
      <c r="H138" s="601" t="s">
        <v>253</v>
      </c>
      <c r="I138" s="601" t="s">
        <v>253</v>
      </c>
      <c r="J138" s="601" t="s">
        <v>253</v>
      </c>
      <c r="K138" s="601" t="s">
        <v>253</v>
      </c>
      <c r="L138" s="602">
        <f t="shared" si="18"/>
        <v>6042</v>
      </c>
    </row>
    <row r="139" spans="1:12" x14ac:dyDescent="0.25">
      <c r="B139" s="598">
        <v>45420</v>
      </c>
      <c r="C139" s="604" t="s">
        <v>13</v>
      </c>
      <c r="D139" s="599" t="s">
        <v>15</v>
      </c>
      <c r="E139" s="601">
        <v>5000</v>
      </c>
      <c r="F139" s="601" t="s">
        <v>253</v>
      </c>
      <c r="G139" s="601" t="s">
        <v>253</v>
      </c>
      <c r="H139" s="601" t="s">
        <v>253</v>
      </c>
      <c r="I139" s="601" t="s">
        <v>253</v>
      </c>
      <c r="J139" s="601" t="s">
        <v>253</v>
      </c>
      <c r="K139" s="601" t="s">
        <v>253</v>
      </c>
      <c r="L139" s="602">
        <f t="shared" si="18"/>
        <v>5000</v>
      </c>
    </row>
    <row r="140" spans="1:12" x14ac:dyDescent="0.25">
      <c r="B140" s="598">
        <v>45421</v>
      </c>
      <c r="C140" s="604" t="s">
        <v>13</v>
      </c>
      <c r="D140" s="599" t="s">
        <v>14</v>
      </c>
      <c r="E140" s="601" t="s">
        <v>565</v>
      </c>
      <c r="F140" s="601" t="s">
        <v>253</v>
      </c>
      <c r="G140" s="601" t="s">
        <v>253</v>
      </c>
      <c r="H140" s="601" t="s">
        <v>253</v>
      </c>
      <c r="I140" s="601" t="s">
        <v>253</v>
      </c>
      <c r="J140" s="601" t="s">
        <v>253</v>
      </c>
      <c r="K140" s="601" t="s">
        <v>253</v>
      </c>
      <c r="L140" s="602">
        <f t="shared" si="18"/>
        <v>0</v>
      </c>
    </row>
    <row r="141" spans="1:12" x14ac:dyDescent="0.25">
      <c r="B141" s="598">
        <v>45443</v>
      </c>
      <c r="C141" s="599" t="s">
        <v>13</v>
      </c>
      <c r="D141" s="600" t="s">
        <v>15</v>
      </c>
      <c r="E141" s="601">
        <v>8875</v>
      </c>
      <c r="F141" s="601" t="s">
        <v>253</v>
      </c>
      <c r="G141" s="601" t="s">
        <v>253</v>
      </c>
      <c r="H141" s="601" t="s">
        <v>253</v>
      </c>
      <c r="I141" s="601" t="s">
        <v>253</v>
      </c>
      <c r="J141" s="601" t="s">
        <v>253</v>
      </c>
      <c r="K141" s="601" t="s">
        <v>253</v>
      </c>
      <c r="L141" s="602">
        <f t="shared" si="18"/>
        <v>8875</v>
      </c>
    </row>
    <row r="142" spans="1:12" x14ac:dyDescent="0.25">
      <c r="B142" s="598">
        <v>45447</v>
      </c>
      <c r="C142" s="604" t="s">
        <v>13</v>
      </c>
      <c r="D142" s="599" t="s">
        <v>14</v>
      </c>
      <c r="E142" s="601" t="s">
        <v>565</v>
      </c>
      <c r="F142" s="601" t="s">
        <v>253</v>
      </c>
      <c r="G142" s="601" t="s">
        <v>253</v>
      </c>
      <c r="H142" s="601" t="s">
        <v>253</v>
      </c>
      <c r="I142" s="601" t="s">
        <v>253</v>
      </c>
      <c r="J142" s="601" t="s">
        <v>253</v>
      </c>
      <c r="K142" s="601" t="s">
        <v>253</v>
      </c>
      <c r="L142" s="602">
        <f t="shared" si="18"/>
        <v>0</v>
      </c>
    </row>
    <row r="143" spans="1:12" x14ac:dyDescent="0.25">
      <c r="B143" s="598">
        <v>45453</v>
      </c>
      <c r="C143" s="604" t="s">
        <v>13</v>
      </c>
      <c r="D143" s="599" t="s">
        <v>15</v>
      </c>
      <c r="E143" s="601">
        <v>5208</v>
      </c>
      <c r="F143" s="601" t="s">
        <v>253</v>
      </c>
      <c r="G143" s="601" t="s">
        <v>253</v>
      </c>
      <c r="H143" s="601" t="s">
        <v>253</v>
      </c>
      <c r="I143" s="601" t="s">
        <v>253</v>
      </c>
      <c r="J143" s="601" t="s">
        <v>253</v>
      </c>
      <c r="K143" s="601" t="s">
        <v>253</v>
      </c>
      <c r="L143" s="602">
        <f t="shared" si="18"/>
        <v>5208</v>
      </c>
    </row>
    <row r="144" spans="1:12" ht="18.75" x14ac:dyDescent="0.25">
      <c r="A144" s="605" t="s">
        <v>254</v>
      </c>
      <c r="B144" s="1039" t="s">
        <v>255</v>
      </c>
      <c r="C144" s="1040"/>
      <c r="D144" s="610">
        <f>SUM(E144:K144)</f>
        <v>28875</v>
      </c>
      <c r="E144" s="602">
        <f t="shared" ref="E144:K144" si="19">SUM(E137:E143)</f>
        <v>28875</v>
      </c>
      <c r="F144" s="602">
        <f t="shared" si="19"/>
        <v>0</v>
      </c>
      <c r="G144" s="602">
        <f t="shared" si="19"/>
        <v>0</v>
      </c>
      <c r="H144" s="602">
        <f t="shared" si="19"/>
        <v>0</v>
      </c>
      <c r="I144" s="602">
        <f t="shared" si="19"/>
        <v>0</v>
      </c>
      <c r="J144" s="602">
        <f t="shared" si="19"/>
        <v>0</v>
      </c>
      <c r="K144" s="602">
        <f t="shared" si="19"/>
        <v>0</v>
      </c>
      <c r="L144" s="606">
        <f>SUM(E144:K144)-SUM(L137:L143)</f>
        <v>0</v>
      </c>
    </row>
    <row r="145" spans="1:12" x14ac:dyDescent="0.25">
      <c r="B145" s="614"/>
      <c r="C145" s="670"/>
      <c r="D145" s="670"/>
      <c r="E145" s="614"/>
      <c r="F145" s="614"/>
      <c r="G145" s="614"/>
      <c r="H145" s="614"/>
      <c r="I145" s="614"/>
      <c r="J145" s="614"/>
      <c r="K145" s="614"/>
      <c r="L145" s="670"/>
    </row>
    <row r="146" spans="1:12" ht="18.75" x14ac:dyDescent="0.3">
      <c r="B146" s="592" t="s">
        <v>246</v>
      </c>
      <c r="C146" s="1037" t="s">
        <v>176</v>
      </c>
      <c r="D146" s="1038"/>
      <c r="E146" s="593" t="s">
        <v>247</v>
      </c>
      <c r="F146" s="594"/>
      <c r="G146" s="594"/>
      <c r="H146" s="594"/>
      <c r="I146" s="595" t="s">
        <v>248</v>
      </c>
      <c r="J146" s="596">
        <v>1164</v>
      </c>
      <c r="K146" s="593" t="s">
        <v>137</v>
      </c>
      <c r="L146" s="596">
        <v>221745</v>
      </c>
    </row>
    <row r="147" spans="1:12" x14ac:dyDescent="0.25">
      <c r="B147" s="597" t="s">
        <v>0</v>
      </c>
      <c r="C147" s="597" t="s">
        <v>249</v>
      </c>
      <c r="D147" s="597" t="s">
        <v>6</v>
      </c>
      <c r="E147" s="597" t="s">
        <v>250</v>
      </c>
      <c r="F147" s="597" t="s">
        <v>62</v>
      </c>
      <c r="G147" s="597" t="s">
        <v>63</v>
      </c>
      <c r="H147" s="597" t="s">
        <v>64</v>
      </c>
      <c r="I147" s="597" t="s">
        <v>251</v>
      </c>
      <c r="J147" s="597" t="s">
        <v>66</v>
      </c>
      <c r="K147" s="597" t="s">
        <v>68</v>
      </c>
      <c r="L147" s="597" t="s">
        <v>252</v>
      </c>
    </row>
    <row r="148" spans="1:12" x14ac:dyDescent="0.25">
      <c r="B148" s="598">
        <v>45401</v>
      </c>
      <c r="C148" s="604" t="s">
        <v>13</v>
      </c>
      <c r="D148" s="599" t="s">
        <v>15</v>
      </c>
      <c r="E148" s="601">
        <v>3750</v>
      </c>
      <c r="F148" s="601" t="s">
        <v>253</v>
      </c>
      <c r="G148" s="601" t="s">
        <v>253</v>
      </c>
      <c r="H148" s="601" t="s">
        <v>253</v>
      </c>
      <c r="I148" s="601" t="s">
        <v>253</v>
      </c>
      <c r="J148" s="601" t="s">
        <v>253</v>
      </c>
      <c r="K148" s="601" t="s">
        <v>253</v>
      </c>
      <c r="L148" s="602">
        <f t="shared" ref="L148:L154" si="20">SUM(E148:K148)</f>
        <v>3750</v>
      </c>
    </row>
    <row r="149" spans="1:12" x14ac:dyDescent="0.25">
      <c r="B149" s="598">
        <v>45415</v>
      </c>
      <c r="C149" s="599" t="s">
        <v>13</v>
      </c>
      <c r="D149" s="600" t="s">
        <v>15</v>
      </c>
      <c r="E149" s="601">
        <v>6042</v>
      </c>
      <c r="F149" s="601" t="s">
        <v>253</v>
      </c>
      <c r="G149" s="601" t="s">
        <v>253</v>
      </c>
      <c r="H149" s="601" t="s">
        <v>253</v>
      </c>
      <c r="I149" s="601" t="s">
        <v>253</v>
      </c>
      <c r="J149" s="601" t="s">
        <v>253</v>
      </c>
      <c r="K149" s="601" t="s">
        <v>253</v>
      </c>
      <c r="L149" s="602">
        <f t="shared" si="20"/>
        <v>6042</v>
      </c>
    </row>
    <row r="150" spans="1:12" x14ac:dyDescent="0.25">
      <c r="B150" s="598">
        <v>45420</v>
      </c>
      <c r="C150" s="604" t="s">
        <v>13</v>
      </c>
      <c r="D150" s="599" t="s">
        <v>15</v>
      </c>
      <c r="E150" s="601">
        <v>5000</v>
      </c>
      <c r="F150" s="601" t="s">
        <v>253</v>
      </c>
      <c r="G150" s="601" t="s">
        <v>253</v>
      </c>
      <c r="H150" s="601" t="s">
        <v>253</v>
      </c>
      <c r="I150" s="601" t="s">
        <v>253</v>
      </c>
      <c r="J150" s="601" t="s">
        <v>253</v>
      </c>
      <c r="K150" s="601" t="s">
        <v>253</v>
      </c>
      <c r="L150" s="602">
        <f t="shared" si="20"/>
        <v>5000</v>
      </c>
    </row>
    <row r="151" spans="1:12" x14ac:dyDescent="0.25">
      <c r="B151" s="598">
        <v>45421</v>
      </c>
      <c r="C151" s="604" t="s">
        <v>13</v>
      </c>
      <c r="D151" s="599" t="s">
        <v>14</v>
      </c>
      <c r="E151" s="601" t="s">
        <v>565</v>
      </c>
      <c r="F151" s="601" t="s">
        <v>253</v>
      </c>
      <c r="G151" s="601" t="s">
        <v>253</v>
      </c>
      <c r="H151" s="601" t="s">
        <v>253</v>
      </c>
      <c r="I151" s="601" t="s">
        <v>253</v>
      </c>
      <c r="J151" s="601" t="s">
        <v>253</v>
      </c>
      <c r="K151" s="601" t="s">
        <v>253</v>
      </c>
      <c r="L151" s="602">
        <f t="shared" si="20"/>
        <v>0</v>
      </c>
    </row>
    <row r="152" spans="1:12" x14ac:dyDescent="0.25">
      <c r="B152" s="598">
        <v>45443</v>
      </c>
      <c r="C152" s="599" t="s">
        <v>13</v>
      </c>
      <c r="D152" s="600" t="s">
        <v>15</v>
      </c>
      <c r="E152" s="601">
        <v>8875</v>
      </c>
      <c r="F152" s="601" t="s">
        <v>253</v>
      </c>
      <c r="G152" s="601" t="s">
        <v>253</v>
      </c>
      <c r="H152" s="601" t="s">
        <v>253</v>
      </c>
      <c r="I152" s="601" t="s">
        <v>253</v>
      </c>
      <c r="J152" s="601" t="s">
        <v>253</v>
      </c>
      <c r="K152" s="601" t="s">
        <v>253</v>
      </c>
      <c r="L152" s="602">
        <f t="shared" si="20"/>
        <v>8875</v>
      </c>
    </row>
    <row r="153" spans="1:12" x14ac:dyDescent="0.25">
      <c r="B153" s="598">
        <v>45447</v>
      </c>
      <c r="C153" s="604" t="s">
        <v>13</v>
      </c>
      <c r="D153" s="599" t="s">
        <v>14</v>
      </c>
      <c r="E153" s="601" t="s">
        <v>565</v>
      </c>
      <c r="F153" s="601" t="s">
        <v>253</v>
      </c>
      <c r="G153" s="601" t="s">
        <v>253</v>
      </c>
      <c r="H153" s="601" t="s">
        <v>253</v>
      </c>
      <c r="I153" s="601" t="s">
        <v>253</v>
      </c>
      <c r="J153" s="601" t="s">
        <v>253</v>
      </c>
      <c r="K153" s="601" t="s">
        <v>253</v>
      </c>
      <c r="L153" s="602">
        <f t="shared" si="20"/>
        <v>0</v>
      </c>
    </row>
    <row r="154" spans="1:12" x14ac:dyDescent="0.25">
      <c r="B154" s="598">
        <v>45453</v>
      </c>
      <c r="C154" s="604" t="s">
        <v>13</v>
      </c>
      <c r="D154" s="599" t="s">
        <v>15</v>
      </c>
      <c r="E154" s="601">
        <v>5208</v>
      </c>
      <c r="F154" s="601" t="s">
        <v>253</v>
      </c>
      <c r="G154" s="601" t="s">
        <v>253</v>
      </c>
      <c r="H154" s="601" t="s">
        <v>253</v>
      </c>
      <c r="I154" s="601" t="s">
        <v>253</v>
      </c>
      <c r="J154" s="601" t="s">
        <v>253</v>
      </c>
      <c r="K154" s="601" t="s">
        <v>253</v>
      </c>
      <c r="L154" s="602">
        <f t="shared" si="20"/>
        <v>5208</v>
      </c>
    </row>
    <row r="155" spans="1:12" ht="18.75" x14ac:dyDescent="0.25">
      <c r="A155" s="605" t="s">
        <v>254</v>
      </c>
      <c r="B155" s="1039" t="s">
        <v>255</v>
      </c>
      <c r="C155" s="1040"/>
      <c r="D155" s="610">
        <f>SUM(E155:K155)</f>
        <v>28875</v>
      </c>
      <c r="E155" s="602">
        <f t="shared" ref="E155:K155" si="21">SUM(E148:E154)</f>
        <v>28875</v>
      </c>
      <c r="F155" s="602">
        <f t="shared" si="21"/>
        <v>0</v>
      </c>
      <c r="G155" s="602">
        <f t="shared" si="21"/>
        <v>0</v>
      </c>
      <c r="H155" s="602">
        <f t="shared" si="21"/>
        <v>0</v>
      </c>
      <c r="I155" s="602">
        <f t="shared" si="21"/>
        <v>0</v>
      </c>
      <c r="J155" s="602">
        <f t="shared" si="21"/>
        <v>0</v>
      </c>
      <c r="K155" s="602">
        <f t="shared" si="21"/>
        <v>0</v>
      </c>
      <c r="L155" s="606">
        <f>SUM(E155:K155)-SUM(L148:L154)</f>
        <v>0</v>
      </c>
    </row>
    <row r="156" spans="1:12" x14ac:dyDescent="0.25">
      <c r="B156" s="614"/>
      <c r="C156" s="670"/>
      <c r="D156" s="670"/>
      <c r="E156" s="614"/>
      <c r="F156" s="614"/>
      <c r="G156" s="614"/>
      <c r="H156" s="614"/>
      <c r="I156" s="614"/>
      <c r="J156" s="614"/>
      <c r="K156" s="614"/>
      <c r="L156" s="670"/>
    </row>
    <row r="157" spans="1:12" ht="18.75" x14ac:dyDescent="0.3">
      <c r="B157" s="592" t="s">
        <v>246</v>
      </c>
      <c r="C157" s="1037" t="s">
        <v>132</v>
      </c>
      <c r="D157" s="1038"/>
      <c r="E157" s="593" t="s">
        <v>247</v>
      </c>
      <c r="F157" s="594"/>
      <c r="G157" s="594"/>
      <c r="H157" s="594"/>
      <c r="I157" s="595" t="s">
        <v>248</v>
      </c>
      <c r="J157" s="596">
        <v>1165</v>
      </c>
      <c r="K157" s="593" t="s">
        <v>137</v>
      </c>
      <c r="L157" s="596">
        <v>221745</v>
      </c>
    </row>
    <row r="158" spans="1:12" x14ac:dyDescent="0.25">
      <c r="B158" s="597" t="s">
        <v>0</v>
      </c>
      <c r="C158" s="597" t="s">
        <v>249</v>
      </c>
      <c r="D158" s="597" t="s">
        <v>6</v>
      </c>
      <c r="E158" s="597" t="s">
        <v>250</v>
      </c>
      <c r="F158" s="597" t="s">
        <v>62</v>
      </c>
      <c r="G158" s="597" t="s">
        <v>63</v>
      </c>
      <c r="H158" s="597" t="s">
        <v>64</v>
      </c>
      <c r="I158" s="597" t="s">
        <v>251</v>
      </c>
      <c r="J158" s="597" t="s">
        <v>66</v>
      </c>
      <c r="K158" s="597" t="s">
        <v>68</v>
      </c>
      <c r="L158" s="597" t="s">
        <v>252</v>
      </c>
    </row>
    <row r="159" spans="1:12" x14ac:dyDescent="0.25">
      <c r="B159" s="598">
        <v>45401</v>
      </c>
      <c r="C159" s="604" t="s">
        <v>13</v>
      </c>
      <c r="D159" s="599" t="s">
        <v>15</v>
      </c>
      <c r="E159" s="601">
        <v>3750</v>
      </c>
      <c r="F159" s="601" t="s">
        <v>253</v>
      </c>
      <c r="G159" s="601" t="s">
        <v>253</v>
      </c>
      <c r="H159" s="601" t="s">
        <v>253</v>
      </c>
      <c r="I159" s="601" t="s">
        <v>253</v>
      </c>
      <c r="J159" s="601" t="s">
        <v>253</v>
      </c>
      <c r="K159" s="601" t="s">
        <v>253</v>
      </c>
      <c r="L159" s="602">
        <f t="shared" ref="L159:L166" si="22">SUM(E159:K159)</f>
        <v>3750</v>
      </c>
    </row>
    <row r="160" spans="1:12" x14ac:dyDescent="0.25">
      <c r="B160" s="598">
        <v>45415</v>
      </c>
      <c r="C160" s="599" t="s">
        <v>13</v>
      </c>
      <c r="D160" s="600" t="s">
        <v>15</v>
      </c>
      <c r="E160" s="601">
        <v>6042</v>
      </c>
      <c r="F160" s="601" t="s">
        <v>253</v>
      </c>
      <c r="G160" s="601" t="s">
        <v>253</v>
      </c>
      <c r="H160" s="601" t="s">
        <v>253</v>
      </c>
      <c r="I160" s="601" t="s">
        <v>253</v>
      </c>
      <c r="J160" s="601" t="s">
        <v>253</v>
      </c>
      <c r="K160" s="601" t="s">
        <v>253</v>
      </c>
      <c r="L160" s="602">
        <f t="shared" si="22"/>
        <v>6042</v>
      </c>
    </row>
    <row r="161" spans="1:12" x14ac:dyDescent="0.25">
      <c r="B161" s="598">
        <v>45420</v>
      </c>
      <c r="C161" s="604" t="s">
        <v>13</v>
      </c>
      <c r="D161" s="599" t="s">
        <v>15</v>
      </c>
      <c r="E161" s="601">
        <v>5000</v>
      </c>
      <c r="F161" s="601" t="s">
        <v>253</v>
      </c>
      <c r="G161" s="601" t="s">
        <v>253</v>
      </c>
      <c r="H161" s="601" t="s">
        <v>253</v>
      </c>
      <c r="I161" s="601" t="s">
        <v>253</v>
      </c>
      <c r="J161" s="601" t="s">
        <v>253</v>
      </c>
      <c r="K161" s="601" t="s">
        <v>253</v>
      </c>
      <c r="L161" s="602">
        <f t="shared" si="22"/>
        <v>5000</v>
      </c>
    </row>
    <row r="162" spans="1:12" x14ac:dyDescent="0.25">
      <c r="B162" s="598">
        <v>45421</v>
      </c>
      <c r="C162" s="604" t="s">
        <v>13</v>
      </c>
      <c r="D162" s="599" t="s">
        <v>14</v>
      </c>
      <c r="E162" s="601" t="s">
        <v>565</v>
      </c>
      <c r="F162" s="601" t="s">
        <v>253</v>
      </c>
      <c r="G162" s="601" t="s">
        <v>253</v>
      </c>
      <c r="H162" s="601" t="s">
        <v>253</v>
      </c>
      <c r="I162" s="601" t="s">
        <v>253</v>
      </c>
      <c r="J162" s="601" t="s">
        <v>253</v>
      </c>
      <c r="K162" s="601" t="s">
        <v>253</v>
      </c>
      <c r="L162" s="602">
        <f t="shared" si="22"/>
        <v>0</v>
      </c>
    </row>
    <row r="163" spans="1:12" x14ac:dyDescent="0.25">
      <c r="B163" s="598">
        <v>45443</v>
      </c>
      <c r="C163" s="599" t="s">
        <v>13</v>
      </c>
      <c r="D163" s="600" t="s">
        <v>15</v>
      </c>
      <c r="E163" s="601">
        <v>8875</v>
      </c>
      <c r="F163" s="601" t="s">
        <v>253</v>
      </c>
      <c r="G163" s="601" t="s">
        <v>253</v>
      </c>
      <c r="H163" s="601" t="s">
        <v>253</v>
      </c>
      <c r="I163" s="601" t="s">
        <v>253</v>
      </c>
      <c r="J163" s="601" t="s">
        <v>253</v>
      </c>
      <c r="K163" s="601" t="s">
        <v>253</v>
      </c>
      <c r="L163" s="602">
        <f t="shared" si="22"/>
        <v>8875</v>
      </c>
    </row>
    <row r="164" spans="1:12" x14ac:dyDescent="0.25">
      <c r="B164" s="598">
        <v>45447</v>
      </c>
      <c r="C164" s="604" t="s">
        <v>13</v>
      </c>
      <c r="D164" s="599" t="s">
        <v>14</v>
      </c>
      <c r="E164" s="601" t="s">
        <v>565</v>
      </c>
      <c r="F164" s="601" t="s">
        <v>253</v>
      </c>
      <c r="G164" s="601" t="s">
        <v>253</v>
      </c>
      <c r="H164" s="601" t="s">
        <v>253</v>
      </c>
      <c r="I164" s="601" t="s">
        <v>253</v>
      </c>
      <c r="J164" s="601" t="s">
        <v>253</v>
      </c>
      <c r="K164" s="601" t="s">
        <v>253</v>
      </c>
      <c r="L164" s="602">
        <f t="shared" si="22"/>
        <v>0</v>
      </c>
    </row>
    <row r="165" spans="1:12" x14ac:dyDescent="0.25">
      <c r="B165" s="598">
        <v>45453</v>
      </c>
      <c r="C165" s="604" t="s">
        <v>13</v>
      </c>
      <c r="D165" s="599" t="s">
        <v>15</v>
      </c>
      <c r="E165" s="601">
        <v>5208</v>
      </c>
      <c r="F165" s="601" t="s">
        <v>253</v>
      </c>
      <c r="G165" s="601" t="s">
        <v>253</v>
      </c>
      <c r="H165" s="601" t="s">
        <v>253</v>
      </c>
      <c r="I165" s="601" t="s">
        <v>253</v>
      </c>
      <c r="J165" s="601" t="s">
        <v>253</v>
      </c>
      <c r="K165" s="601" t="s">
        <v>253</v>
      </c>
      <c r="L165" s="602">
        <f t="shared" si="22"/>
        <v>5208</v>
      </c>
    </row>
    <row r="166" spans="1:12" x14ac:dyDescent="0.25">
      <c r="B166" s="598">
        <v>45454</v>
      </c>
      <c r="C166" s="604" t="s">
        <v>512</v>
      </c>
      <c r="D166" s="599" t="s">
        <v>587</v>
      </c>
      <c r="E166" s="601" t="s">
        <v>253</v>
      </c>
      <c r="F166" s="601" t="s">
        <v>253</v>
      </c>
      <c r="G166" s="601" t="s">
        <v>253</v>
      </c>
      <c r="H166" s="601" t="s">
        <v>253</v>
      </c>
      <c r="I166" s="601" t="s">
        <v>253</v>
      </c>
      <c r="J166" s="601" t="s">
        <v>253</v>
      </c>
      <c r="K166" s="601">
        <v>1521065</v>
      </c>
      <c r="L166" s="602">
        <f t="shared" si="22"/>
        <v>1521065</v>
      </c>
    </row>
    <row r="167" spans="1:12" ht="18.75" x14ac:dyDescent="0.25">
      <c r="A167" s="605" t="s">
        <v>254</v>
      </c>
      <c r="B167" s="1039" t="s">
        <v>255</v>
      </c>
      <c r="C167" s="1040"/>
      <c r="D167" s="610">
        <f>SUM(E167:K167)</f>
        <v>1549940</v>
      </c>
      <c r="E167" s="602">
        <f t="shared" ref="E167:K167" si="23">SUM(E159:E166)</f>
        <v>28875</v>
      </c>
      <c r="F167" s="602">
        <f t="shared" si="23"/>
        <v>0</v>
      </c>
      <c r="G167" s="602">
        <f t="shared" si="23"/>
        <v>0</v>
      </c>
      <c r="H167" s="602">
        <f t="shared" si="23"/>
        <v>0</v>
      </c>
      <c r="I167" s="602">
        <f t="shared" si="23"/>
        <v>0</v>
      </c>
      <c r="J167" s="602">
        <f t="shared" si="23"/>
        <v>0</v>
      </c>
      <c r="K167" s="602">
        <f t="shared" si="23"/>
        <v>1521065</v>
      </c>
      <c r="L167" s="606">
        <f>SUM(E167:K167)-SUM(L159:L166)</f>
        <v>0</v>
      </c>
    </row>
    <row r="169" spans="1:12" ht="18.75" x14ac:dyDescent="0.3">
      <c r="B169" s="592" t="s">
        <v>246</v>
      </c>
      <c r="C169" s="1037" t="s">
        <v>232</v>
      </c>
      <c r="D169" s="1038"/>
      <c r="E169" s="593" t="s">
        <v>247</v>
      </c>
      <c r="F169" s="594"/>
      <c r="G169" s="594"/>
      <c r="H169" s="594"/>
      <c r="I169" s="595" t="s">
        <v>248</v>
      </c>
      <c r="J169" s="596">
        <v>1166</v>
      </c>
      <c r="K169" s="593" t="s">
        <v>137</v>
      </c>
      <c r="L169" s="596">
        <v>221745</v>
      </c>
    </row>
    <row r="170" spans="1:12" x14ac:dyDescent="0.25">
      <c r="B170" s="597" t="s">
        <v>0</v>
      </c>
      <c r="C170" s="597" t="s">
        <v>249</v>
      </c>
      <c r="D170" s="597" t="s">
        <v>6</v>
      </c>
      <c r="E170" s="597" t="s">
        <v>250</v>
      </c>
      <c r="F170" s="597" t="s">
        <v>62</v>
      </c>
      <c r="G170" s="597" t="s">
        <v>63</v>
      </c>
      <c r="H170" s="597" t="s">
        <v>64</v>
      </c>
      <c r="I170" s="597" t="s">
        <v>251</v>
      </c>
      <c r="J170" s="597" t="s">
        <v>66</v>
      </c>
      <c r="K170" s="597" t="s">
        <v>68</v>
      </c>
      <c r="L170" s="597" t="s">
        <v>252</v>
      </c>
    </row>
    <row r="171" spans="1:12" x14ac:dyDescent="0.25">
      <c r="B171" s="598">
        <v>45447</v>
      </c>
      <c r="C171" s="604" t="s">
        <v>13</v>
      </c>
      <c r="D171" s="599" t="s">
        <v>14</v>
      </c>
      <c r="E171" s="601" t="s">
        <v>565</v>
      </c>
      <c r="F171" s="601" t="s">
        <v>253</v>
      </c>
      <c r="G171" s="601" t="s">
        <v>253</v>
      </c>
      <c r="H171" s="601" t="s">
        <v>253</v>
      </c>
      <c r="I171" s="601" t="s">
        <v>253</v>
      </c>
      <c r="J171" s="601" t="s">
        <v>253</v>
      </c>
      <c r="K171" s="601" t="s">
        <v>253</v>
      </c>
      <c r="L171" s="602">
        <f>SUM(E171:K171)</f>
        <v>0</v>
      </c>
    </row>
    <row r="172" spans="1:12" x14ac:dyDescent="0.25">
      <c r="B172" s="598">
        <v>45453</v>
      </c>
      <c r="C172" s="599" t="s">
        <v>13</v>
      </c>
      <c r="D172" s="600" t="s">
        <v>15</v>
      </c>
      <c r="E172" s="601">
        <v>5208</v>
      </c>
      <c r="F172" s="601" t="s">
        <v>253</v>
      </c>
      <c r="G172" s="601" t="s">
        <v>253</v>
      </c>
      <c r="H172" s="601" t="s">
        <v>253</v>
      </c>
      <c r="I172" s="601" t="s">
        <v>253</v>
      </c>
      <c r="J172" s="601" t="s">
        <v>253</v>
      </c>
      <c r="K172" s="601" t="s">
        <v>253</v>
      </c>
      <c r="L172" s="602">
        <f>SUM(E172:K172)</f>
        <v>5208</v>
      </c>
    </row>
    <row r="173" spans="1:12" ht="18.75" x14ac:dyDescent="0.25">
      <c r="A173" s="605" t="s">
        <v>254</v>
      </c>
      <c r="B173" s="1039" t="s">
        <v>255</v>
      </c>
      <c r="C173" s="1040"/>
      <c r="D173" s="610">
        <f>SUM(E173:K173)</f>
        <v>5208</v>
      </c>
      <c r="E173" s="602">
        <f t="shared" ref="E173:K173" si="24">SUM(E171:E172)</f>
        <v>5208</v>
      </c>
      <c r="F173" s="602">
        <f t="shared" si="24"/>
        <v>0</v>
      </c>
      <c r="G173" s="602">
        <f t="shared" si="24"/>
        <v>0</v>
      </c>
      <c r="H173" s="602">
        <f t="shared" si="24"/>
        <v>0</v>
      </c>
      <c r="I173" s="602">
        <f t="shared" si="24"/>
        <v>0</v>
      </c>
      <c r="J173" s="602">
        <f t="shared" si="24"/>
        <v>0</v>
      </c>
      <c r="K173" s="602">
        <f t="shared" si="24"/>
        <v>0</v>
      </c>
      <c r="L173" s="606">
        <f>SUM(E173:K173)-SUM(L171:L172)</f>
        <v>0</v>
      </c>
    </row>
    <row r="175" spans="1:12" ht="18.75" x14ac:dyDescent="0.3">
      <c r="B175" s="592" t="s">
        <v>246</v>
      </c>
      <c r="C175" s="1037" t="s">
        <v>588</v>
      </c>
      <c r="D175" s="1038"/>
      <c r="E175" s="593" t="s">
        <v>247</v>
      </c>
      <c r="F175" s="594"/>
      <c r="G175" s="594"/>
      <c r="H175" s="594"/>
      <c r="I175" s="595" t="s">
        <v>248</v>
      </c>
      <c r="J175" s="596">
        <v>1167</v>
      </c>
      <c r="K175" s="593" t="s">
        <v>137</v>
      </c>
      <c r="L175" s="596">
        <v>221745</v>
      </c>
    </row>
    <row r="176" spans="1:12" x14ac:dyDescent="0.25">
      <c r="B176" s="597" t="s">
        <v>0</v>
      </c>
      <c r="C176" s="597" t="s">
        <v>249</v>
      </c>
      <c r="D176" s="597" t="s">
        <v>6</v>
      </c>
      <c r="E176" s="597" t="s">
        <v>250</v>
      </c>
      <c r="F176" s="597" t="s">
        <v>62</v>
      </c>
      <c r="G176" s="597" t="s">
        <v>63</v>
      </c>
      <c r="H176" s="597" t="s">
        <v>64</v>
      </c>
      <c r="I176" s="597" t="s">
        <v>251</v>
      </c>
      <c r="J176" s="597" t="s">
        <v>66</v>
      </c>
      <c r="K176" s="597" t="s">
        <v>68</v>
      </c>
      <c r="L176" s="597" t="s">
        <v>252</v>
      </c>
    </row>
    <row r="177" spans="1:12" x14ac:dyDescent="0.25">
      <c r="B177" s="598">
        <v>45447</v>
      </c>
      <c r="C177" s="604" t="s">
        <v>13</v>
      </c>
      <c r="D177" s="599" t="s">
        <v>14</v>
      </c>
      <c r="E177" s="601" t="s">
        <v>565</v>
      </c>
      <c r="F177" s="601" t="s">
        <v>253</v>
      </c>
      <c r="G177" s="601" t="s">
        <v>253</v>
      </c>
      <c r="H177" s="601" t="s">
        <v>253</v>
      </c>
      <c r="I177" s="601" t="s">
        <v>253</v>
      </c>
      <c r="J177" s="601" t="s">
        <v>253</v>
      </c>
      <c r="K177" s="601" t="s">
        <v>253</v>
      </c>
      <c r="L177" s="602">
        <f>SUM(E177:K177)</f>
        <v>0</v>
      </c>
    </row>
    <row r="178" spans="1:12" x14ac:dyDescent="0.25">
      <c r="B178" s="598">
        <v>45453</v>
      </c>
      <c r="C178" s="599" t="s">
        <v>13</v>
      </c>
      <c r="D178" s="600" t="s">
        <v>15</v>
      </c>
      <c r="E178" s="601">
        <v>5208</v>
      </c>
      <c r="F178" s="601" t="s">
        <v>253</v>
      </c>
      <c r="G178" s="601" t="s">
        <v>253</v>
      </c>
      <c r="H178" s="601" t="s">
        <v>253</v>
      </c>
      <c r="I178" s="601" t="s">
        <v>253</v>
      </c>
      <c r="J178" s="601" t="s">
        <v>253</v>
      </c>
      <c r="K178" s="601" t="s">
        <v>253</v>
      </c>
      <c r="L178" s="602">
        <f>SUM(E178:K178)</f>
        <v>5208</v>
      </c>
    </row>
    <row r="179" spans="1:12" ht="18.75" x14ac:dyDescent="0.25">
      <c r="A179" s="605" t="s">
        <v>254</v>
      </c>
      <c r="B179" s="1039" t="s">
        <v>255</v>
      </c>
      <c r="C179" s="1040"/>
      <c r="D179" s="610">
        <f>SUM(E179:K179)</f>
        <v>5208</v>
      </c>
      <c r="E179" s="602">
        <f t="shared" ref="E179:K179" si="25">SUM(E177:E178)</f>
        <v>5208</v>
      </c>
      <c r="F179" s="602">
        <f t="shared" si="25"/>
        <v>0</v>
      </c>
      <c r="G179" s="602">
        <f t="shared" si="25"/>
        <v>0</v>
      </c>
      <c r="H179" s="602">
        <f t="shared" si="25"/>
        <v>0</v>
      </c>
      <c r="I179" s="602">
        <f t="shared" si="25"/>
        <v>0</v>
      </c>
      <c r="J179" s="602">
        <f t="shared" si="25"/>
        <v>0</v>
      </c>
      <c r="K179" s="602">
        <f t="shared" si="25"/>
        <v>0</v>
      </c>
      <c r="L179" s="606">
        <f>SUM(E179:K179)-SUM(L177:L178)</f>
        <v>0</v>
      </c>
    </row>
    <row r="180" spans="1:12" ht="15.75" x14ac:dyDescent="0.25">
      <c r="D180" s="608">
        <f>+D179+D173+D167+D155+D144+D133+D127+D111+D95</f>
        <v>1971188</v>
      </c>
      <c r="K180" s="703"/>
    </row>
    <row r="181" spans="1:12" ht="18.75" x14ac:dyDescent="0.3">
      <c r="B181" s="845" t="s">
        <v>246</v>
      </c>
      <c r="C181" s="1032" t="s">
        <v>129</v>
      </c>
      <c r="D181" s="1033"/>
      <c r="E181" s="848" t="s">
        <v>247</v>
      </c>
      <c r="F181" s="859"/>
      <c r="G181" s="859"/>
      <c r="H181" s="859"/>
      <c r="I181" s="860" t="s">
        <v>248</v>
      </c>
      <c r="J181" s="847">
        <v>1168</v>
      </c>
      <c r="K181" s="848" t="s">
        <v>137</v>
      </c>
      <c r="L181" s="847">
        <v>221746</v>
      </c>
    </row>
    <row r="182" spans="1:12" x14ac:dyDescent="0.25">
      <c r="B182" s="849" t="s">
        <v>0</v>
      </c>
      <c r="C182" s="849" t="s">
        <v>249</v>
      </c>
      <c r="D182" s="849" t="s">
        <v>6</v>
      </c>
      <c r="E182" s="849" t="s">
        <v>250</v>
      </c>
      <c r="F182" s="849" t="s">
        <v>62</v>
      </c>
      <c r="G182" s="849" t="s">
        <v>63</v>
      </c>
      <c r="H182" s="849" t="s">
        <v>64</v>
      </c>
      <c r="I182" s="849" t="s">
        <v>251</v>
      </c>
      <c r="J182" s="849" t="s">
        <v>66</v>
      </c>
      <c r="K182" s="849" t="s">
        <v>68</v>
      </c>
      <c r="L182" s="849" t="s">
        <v>252</v>
      </c>
    </row>
    <row r="183" spans="1:12" x14ac:dyDescent="0.25">
      <c r="B183" s="850">
        <v>45408</v>
      </c>
      <c r="C183" s="851" t="s">
        <v>512</v>
      </c>
      <c r="D183" s="852" t="s">
        <v>615</v>
      </c>
      <c r="E183" s="853" t="s">
        <v>253</v>
      </c>
      <c r="F183" s="853" t="s">
        <v>253</v>
      </c>
      <c r="G183" s="853" t="s">
        <v>253</v>
      </c>
      <c r="H183" s="853" t="s">
        <v>253</v>
      </c>
      <c r="I183" s="853" t="s">
        <v>253</v>
      </c>
      <c r="J183" s="853" t="s">
        <v>253</v>
      </c>
      <c r="K183" s="853">
        <v>43000</v>
      </c>
      <c r="L183" s="854">
        <f t="shared" ref="L183:L188" si="26">SUM(E183:K183)</f>
        <v>43000</v>
      </c>
    </row>
    <row r="184" spans="1:12" x14ac:dyDescent="0.25">
      <c r="B184" s="850">
        <v>45467</v>
      </c>
      <c r="C184" s="851" t="s">
        <v>512</v>
      </c>
      <c r="D184" s="852" t="s">
        <v>614</v>
      </c>
      <c r="E184" s="853" t="s">
        <v>253</v>
      </c>
      <c r="F184" s="853" t="s">
        <v>253</v>
      </c>
      <c r="G184" s="853" t="s">
        <v>253</v>
      </c>
      <c r="H184" s="853" t="s">
        <v>253</v>
      </c>
      <c r="I184" s="853" t="s">
        <v>253</v>
      </c>
      <c r="J184" s="853" t="s">
        <v>253</v>
      </c>
      <c r="K184" s="853">
        <v>19870</v>
      </c>
      <c r="L184" s="854">
        <f t="shared" si="26"/>
        <v>19870</v>
      </c>
    </row>
    <row r="185" spans="1:12" x14ac:dyDescent="0.25">
      <c r="B185" s="850">
        <v>45467</v>
      </c>
      <c r="C185" s="851" t="s">
        <v>512</v>
      </c>
      <c r="D185" s="852" t="s">
        <v>614</v>
      </c>
      <c r="E185" s="853" t="s">
        <v>253</v>
      </c>
      <c r="F185" s="853" t="s">
        <v>253</v>
      </c>
      <c r="G185" s="853" t="s">
        <v>253</v>
      </c>
      <c r="H185" s="853" t="s">
        <v>253</v>
      </c>
      <c r="I185" s="853" t="s">
        <v>253</v>
      </c>
      <c r="J185" s="853" t="s">
        <v>253</v>
      </c>
      <c r="K185" s="853">
        <v>3300</v>
      </c>
      <c r="L185" s="854">
        <f t="shared" si="26"/>
        <v>3300</v>
      </c>
    </row>
    <row r="186" spans="1:12" x14ac:dyDescent="0.25">
      <c r="B186" s="850">
        <v>45468</v>
      </c>
      <c r="C186" s="851" t="s">
        <v>512</v>
      </c>
      <c r="D186" s="852" t="s">
        <v>614</v>
      </c>
      <c r="E186" s="853" t="s">
        <v>253</v>
      </c>
      <c r="F186" s="853" t="s">
        <v>253</v>
      </c>
      <c r="G186" s="853" t="s">
        <v>253</v>
      </c>
      <c r="H186" s="853" t="s">
        <v>253</v>
      </c>
      <c r="I186" s="853" t="s">
        <v>253</v>
      </c>
      <c r="J186" s="853" t="s">
        <v>253</v>
      </c>
      <c r="K186" s="853">
        <v>8890</v>
      </c>
      <c r="L186" s="854">
        <f t="shared" si="26"/>
        <v>8890</v>
      </c>
    </row>
    <row r="187" spans="1:12" x14ac:dyDescent="0.25">
      <c r="B187" s="850">
        <v>45468</v>
      </c>
      <c r="C187" s="851" t="s">
        <v>512</v>
      </c>
      <c r="D187" s="852" t="s">
        <v>614</v>
      </c>
      <c r="E187" s="853" t="s">
        <v>253</v>
      </c>
      <c r="F187" s="853" t="s">
        <v>253</v>
      </c>
      <c r="G187" s="853" t="s">
        <v>253</v>
      </c>
      <c r="H187" s="853" t="s">
        <v>253</v>
      </c>
      <c r="I187" s="853" t="s">
        <v>253</v>
      </c>
      <c r="J187" s="853" t="s">
        <v>253</v>
      </c>
      <c r="K187" s="853">
        <v>12100</v>
      </c>
      <c r="L187" s="854">
        <f t="shared" si="26"/>
        <v>12100</v>
      </c>
    </row>
    <row r="188" spans="1:12" x14ac:dyDescent="0.25">
      <c r="B188" s="850">
        <v>45468</v>
      </c>
      <c r="C188" s="851" t="s">
        <v>512</v>
      </c>
      <c r="D188" s="852" t="s">
        <v>614</v>
      </c>
      <c r="E188" s="853" t="s">
        <v>253</v>
      </c>
      <c r="F188" s="853" t="s">
        <v>253</v>
      </c>
      <c r="G188" s="853" t="s">
        <v>253</v>
      </c>
      <c r="H188" s="853" t="s">
        <v>253</v>
      </c>
      <c r="I188" s="853" t="s">
        <v>253</v>
      </c>
      <c r="J188" s="853" t="s">
        <v>253</v>
      </c>
      <c r="K188" s="853">
        <v>20000</v>
      </c>
      <c r="L188" s="854">
        <f t="shared" si="26"/>
        <v>20000</v>
      </c>
    </row>
    <row r="189" spans="1:12" x14ac:dyDescent="0.25">
      <c r="B189" s="850">
        <v>45470</v>
      </c>
      <c r="C189" s="851" t="s">
        <v>512</v>
      </c>
      <c r="D189" s="852" t="s">
        <v>614</v>
      </c>
      <c r="E189" s="853" t="s">
        <v>253</v>
      </c>
      <c r="F189" s="853" t="s">
        <v>253</v>
      </c>
      <c r="G189" s="853" t="s">
        <v>253</v>
      </c>
      <c r="H189" s="853" t="s">
        <v>253</v>
      </c>
      <c r="I189" s="853" t="s">
        <v>253</v>
      </c>
      <c r="J189" s="853" t="s">
        <v>253</v>
      </c>
      <c r="K189" s="853">
        <v>9430</v>
      </c>
      <c r="L189" s="854">
        <f t="shared" ref="L189:L194" si="27">SUM(E189:K189)</f>
        <v>9430</v>
      </c>
    </row>
    <row r="190" spans="1:12" x14ac:dyDescent="0.25">
      <c r="B190" s="850">
        <v>45485</v>
      </c>
      <c r="C190" s="851" t="s">
        <v>13</v>
      </c>
      <c r="D190" s="852" t="s">
        <v>15</v>
      </c>
      <c r="E190" s="853">
        <v>5000</v>
      </c>
      <c r="F190" s="853" t="s">
        <v>253</v>
      </c>
      <c r="G190" s="853" t="s">
        <v>253</v>
      </c>
      <c r="H190" s="853" t="s">
        <v>253</v>
      </c>
      <c r="I190" s="853" t="s">
        <v>253</v>
      </c>
      <c r="J190" s="853" t="s">
        <v>253</v>
      </c>
      <c r="K190" s="853" t="s">
        <v>253</v>
      </c>
      <c r="L190" s="854">
        <f>SUM(E190:K190)</f>
        <v>5000</v>
      </c>
    </row>
    <row r="191" spans="1:12" x14ac:dyDescent="0.25">
      <c r="B191" s="850">
        <v>45496</v>
      </c>
      <c r="C191" s="851" t="s">
        <v>13</v>
      </c>
      <c r="D191" s="852" t="s">
        <v>18</v>
      </c>
      <c r="E191" s="853">
        <v>4583</v>
      </c>
      <c r="F191" s="853" t="s">
        <v>253</v>
      </c>
      <c r="G191" s="853" t="s">
        <v>253</v>
      </c>
      <c r="H191" s="853" t="s">
        <v>253</v>
      </c>
      <c r="I191" s="853" t="s">
        <v>253</v>
      </c>
      <c r="J191" s="853" t="s">
        <v>253</v>
      </c>
      <c r="K191" s="853" t="s">
        <v>253</v>
      </c>
      <c r="L191" s="854">
        <f>SUM(E191:K191)</f>
        <v>4583</v>
      </c>
    </row>
    <row r="192" spans="1:12" x14ac:dyDescent="0.25">
      <c r="B192" s="850">
        <v>45497</v>
      </c>
      <c r="C192" s="851" t="s">
        <v>13</v>
      </c>
      <c r="D192" s="852" t="s">
        <v>18</v>
      </c>
      <c r="E192" s="853">
        <v>5458</v>
      </c>
      <c r="F192" s="853" t="s">
        <v>253</v>
      </c>
      <c r="G192" s="853" t="s">
        <v>253</v>
      </c>
      <c r="H192" s="853" t="s">
        <v>253</v>
      </c>
      <c r="I192" s="853" t="s">
        <v>253</v>
      </c>
      <c r="J192" s="853" t="s">
        <v>253</v>
      </c>
      <c r="K192" s="853" t="s">
        <v>253</v>
      </c>
      <c r="L192" s="854">
        <f>SUM(E192:K192)</f>
        <v>5458</v>
      </c>
    </row>
    <row r="193" spans="1:12" x14ac:dyDescent="0.25">
      <c r="B193" s="850">
        <v>45511</v>
      </c>
      <c r="C193" s="852" t="s">
        <v>13</v>
      </c>
      <c r="D193" s="858" t="s">
        <v>15</v>
      </c>
      <c r="E193" s="853">
        <v>4375</v>
      </c>
      <c r="F193" s="853" t="s">
        <v>253</v>
      </c>
      <c r="G193" s="853" t="s">
        <v>253</v>
      </c>
      <c r="H193" s="853" t="s">
        <v>253</v>
      </c>
      <c r="I193" s="853" t="s">
        <v>253</v>
      </c>
      <c r="J193" s="853" t="s">
        <v>253</v>
      </c>
      <c r="K193" s="853" t="s">
        <v>253</v>
      </c>
      <c r="L193" s="854">
        <f t="shared" si="27"/>
        <v>4375</v>
      </c>
    </row>
    <row r="194" spans="1:12" x14ac:dyDescent="0.25">
      <c r="B194" s="850">
        <v>45516</v>
      </c>
      <c r="C194" s="851" t="s">
        <v>13</v>
      </c>
      <c r="D194" s="852" t="s">
        <v>18</v>
      </c>
      <c r="E194" s="853">
        <v>5000</v>
      </c>
      <c r="F194" s="853" t="s">
        <v>253</v>
      </c>
      <c r="G194" s="853" t="s">
        <v>253</v>
      </c>
      <c r="H194" s="853" t="s">
        <v>253</v>
      </c>
      <c r="I194" s="853" t="s">
        <v>253</v>
      </c>
      <c r="J194" s="853" t="s">
        <v>253</v>
      </c>
      <c r="K194" s="853" t="s">
        <v>253</v>
      </c>
      <c r="L194" s="854">
        <f t="shared" si="27"/>
        <v>5000</v>
      </c>
    </row>
    <row r="195" spans="1:12" ht="18.75" x14ac:dyDescent="0.25">
      <c r="A195" s="605" t="s">
        <v>254</v>
      </c>
      <c r="B195" s="1030" t="s">
        <v>255</v>
      </c>
      <c r="C195" s="1031"/>
      <c r="D195" s="855">
        <f>SUM(E195:K195)</f>
        <v>141006</v>
      </c>
      <c r="E195" s="854">
        <f t="shared" ref="E195:K195" si="28">SUM(E183:E194)</f>
        <v>24416</v>
      </c>
      <c r="F195" s="854">
        <f t="shared" si="28"/>
        <v>0</v>
      </c>
      <c r="G195" s="854">
        <f t="shared" si="28"/>
        <v>0</v>
      </c>
      <c r="H195" s="854">
        <f t="shared" si="28"/>
        <v>0</v>
      </c>
      <c r="I195" s="854">
        <f t="shared" si="28"/>
        <v>0</v>
      </c>
      <c r="J195" s="854">
        <f t="shared" si="28"/>
        <v>0</v>
      </c>
      <c r="K195" s="854">
        <f t="shared" si="28"/>
        <v>116590</v>
      </c>
      <c r="L195" s="856">
        <f>SUM(E195:K195)-SUM(L183:L194)</f>
        <v>0</v>
      </c>
    </row>
    <row r="197" spans="1:12" ht="18.75" x14ac:dyDescent="0.3">
      <c r="B197" s="845" t="s">
        <v>246</v>
      </c>
      <c r="C197" s="1032" t="s">
        <v>176</v>
      </c>
      <c r="D197" s="1033"/>
      <c r="E197" s="848" t="s">
        <v>247</v>
      </c>
      <c r="F197" s="859"/>
      <c r="G197" s="859"/>
      <c r="H197" s="859"/>
      <c r="I197" s="860" t="s">
        <v>248</v>
      </c>
      <c r="J197" s="847">
        <f>+J181+1</f>
        <v>1169</v>
      </c>
      <c r="K197" s="848" t="s">
        <v>137</v>
      </c>
      <c r="L197" s="847">
        <v>221746</v>
      </c>
    </row>
    <row r="198" spans="1:12" x14ac:dyDescent="0.25">
      <c r="B198" s="849" t="s">
        <v>0</v>
      </c>
      <c r="C198" s="849" t="s">
        <v>249</v>
      </c>
      <c r="D198" s="849" t="s">
        <v>6</v>
      </c>
      <c r="E198" s="849" t="s">
        <v>250</v>
      </c>
      <c r="F198" s="849" t="s">
        <v>62</v>
      </c>
      <c r="G198" s="849" t="s">
        <v>63</v>
      </c>
      <c r="H198" s="849" t="s">
        <v>64</v>
      </c>
      <c r="I198" s="849" t="s">
        <v>251</v>
      </c>
      <c r="J198" s="849" t="s">
        <v>66</v>
      </c>
      <c r="K198" s="849" t="s">
        <v>68</v>
      </c>
      <c r="L198" s="849" t="s">
        <v>252</v>
      </c>
    </row>
    <row r="199" spans="1:12" x14ac:dyDescent="0.25">
      <c r="B199" s="850">
        <v>45478</v>
      </c>
      <c r="C199" s="851" t="s">
        <v>354</v>
      </c>
      <c r="D199" s="852" t="s">
        <v>616</v>
      </c>
      <c r="E199" s="853" t="s">
        <v>253</v>
      </c>
      <c r="F199" s="853" t="s">
        <v>253</v>
      </c>
      <c r="G199" s="853" t="s">
        <v>253</v>
      </c>
      <c r="H199" s="853" t="s">
        <v>253</v>
      </c>
      <c r="I199" s="853" t="s">
        <v>253</v>
      </c>
      <c r="J199" s="853" t="s">
        <v>253</v>
      </c>
      <c r="K199" s="853">
        <f>14.88*935</f>
        <v>13912.800000000001</v>
      </c>
      <c r="L199" s="854">
        <f t="shared" ref="L199:L207" si="29">SUM(E199:K199)</f>
        <v>13912.800000000001</v>
      </c>
    </row>
    <row r="200" spans="1:12" x14ac:dyDescent="0.25">
      <c r="B200" s="850">
        <v>45509</v>
      </c>
      <c r="C200" s="851" t="s">
        <v>354</v>
      </c>
      <c r="D200" s="852" t="s">
        <v>616</v>
      </c>
      <c r="E200" s="853" t="s">
        <v>253</v>
      </c>
      <c r="F200" s="853" t="s">
        <v>253</v>
      </c>
      <c r="G200" s="853" t="s">
        <v>253</v>
      </c>
      <c r="H200" s="853" t="s">
        <v>253</v>
      </c>
      <c r="I200" s="853" t="s">
        <v>253</v>
      </c>
      <c r="J200" s="853" t="s">
        <v>253</v>
      </c>
      <c r="K200" s="853">
        <f>14.88*935</f>
        <v>13912.800000000001</v>
      </c>
      <c r="L200" s="854">
        <f t="shared" si="29"/>
        <v>13912.800000000001</v>
      </c>
    </row>
    <row r="201" spans="1:12" x14ac:dyDescent="0.25">
      <c r="B201" s="850">
        <v>45485</v>
      </c>
      <c r="C201" s="851" t="s">
        <v>13</v>
      </c>
      <c r="D201" s="852" t="s">
        <v>15</v>
      </c>
      <c r="E201" s="853">
        <v>5000</v>
      </c>
      <c r="F201" s="853" t="s">
        <v>253</v>
      </c>
      <c r="G201" s="853" t="s">
        <v>253</v>
      </c>
      <c r="H201" s="853" t="s">
        <v>253</v>
      </c>
      <c r="I201" s="853" t="s">
        <v>253</v>
      </c>
      <c r="J201" s="853" t="s">
        <v>253</v>
      </c>
      <c r="K201" s="853" t="s">
        <v>253</v>
      </c>
      <c r="L201" s="854">
        <f t="shared" si="29"/>
        <v>5000</v>
      </c>
    </row>
    <row r="202" spans="1:12" x14ac:dyDescent="0.25">
      <c r="B202" s="850">
        <v>45490</v>
      </c>
      <c r="C202" s="851" t="s">
        <v>13</v>
      </c>
      <c r="D202" s="852" t="s">
        <v>15</v>
      </c>
      <c r="E202" s="853">
        <v>11250</v>
      </c>
      <c r="F202" s="853" t="s">
        <v>253</v>
      </c>
      <c r="G202" s="853" t="s">
        <v>253</v>
      </c>
      <c r="H202" s="853" t="s">
        <v>253</v>
      </c>
      <c r="I202" s="853" t="s">
        <v>253</v>
      </c>
      <c r="J202" s="853" t="s">
        <v>253</v>
      </c>
      <c r="K202" s="853" t="s">
        <v>253</v>
      </c>
      <c r="L202" s="854">
        <f t="shared" si="29"/>
        <v>11250</v>
      </c>
    </row>
    <row r="203" spans="1:12" x14ac:dyDescent="0.25">
      <c r="B203" s="850">
        <v>45496</v>
      </c>
      <c r="C203" s="852" t="s">
        <v>13</v>
      </c>
      <c r="D203" s="858" t="s">
        <v>18</v>
      </c>
      <c r="E203" s="853">
        <v>4583</v>
      </c>
      <c r="F203" s="853" t="s">
        <v>253</v>
      </c>
      <c r="G203" s="853" t="s">
        <v>253</v>
      </c>
      <c r="H203" s="853" t="s">
        <v>253</v>
      </c>
      <c r="I203" s="853" t="s">
        <v>253</v>
      </c>
      <c r="J203" s="853" t="s">
        <v>253</v>
      </c>
      <c r="K203" s="853" t="s">
        <v>253</v>
      </c>
      <c r="L203" s="854">
        <f t="shared" si="29"/>
        <v>4583</v>
      </c>
    </row>
    <row r="204" spans="1:12" x14ac:dyDescent="0.25">
      <c r="B204" s="850">
        <v>45497</v>
      </c>
      <c r="C204" s="851" t="s">
        <v>13</v>
      </c>
      <c r="D204" s="852" t="s">
        <v>18</v>
      </c>
      <c r="E204" s="853">
        <v>5458</v>
      </c>
      <c r="F204" s="853" t="s">
        <v>253</v>
      </c>
      <c r="G204" s="853" t="s">
        <v>253</v>
      </c>
      <c r="H204" s="853" t="s">
        <v>253</v>
      </c>
      <c r="I204" s="853" t="s">
        <v>253</v>
      </c>
      <c r="J204" s="853" t="s">
        <v>253</v>
      </c>
      <c r="K204" s="853" t="s">
        <v>253</v>
      </c>
      <c r="L204" s="854">
        <f t="shared" si="29"/>
        <v>5458</v>
      </c>
    </row>
    <row r="205" spans="1:12" x14ac:dyDescent="0.25">
      <c r="B205" s="850">
        <v>45510</v>
      </c>
      <c r="C205" s="851" t="s">
        <v>13</v>
      </c>
      <c r="D205" s="852" t="s">
        <v>18</v>
      </c>
      <c r="E205" s="853">
        <v>2500</v>
      </c>
      <c r="F205" s="853" t="s">
        <v>253</v>
      </c>
      <c r="G205" s="853" t="s">
        <v>253</v>
      </c>
      <c r="H205" s="853" t="s">
        <v>253</v>
      </c>
      <c r="I205" s="853" t="s">
        <v>253</v>
      </c>
      <c r="J205" s="853" t="s">
        <v>253</v>
      </c>
      <c r="K205" s="853" t="s">
        <v>253</v>
      </c>
      <c r="L205" s="854">
        <f t="shared" si="29"/>
        <v>2500</v>
      </c>
    </row>
    <row r="206" spans="1:12" x14ac:dyDescent="0.25">
      <c r="B206" s="850">
        <v>45511</v>
      </c>
      <c r="C206" s="851" t="s">
        <v>13</v>
      </c>
      <c r="D206" s="852" t="s">
        <v>15</v>
      </c>
      <c r="E206" s="853">
        <v>4375</v>
      </c>
      <c r="F206" s="853" t="s">
        <v>253</v>
      </c>
      <c r="G206" s="853" t="s">
        <v>253</v>
      </c>
      <c r="H206" s="853" t="s">
        <v>253</v>
      </c>
      <c r="I206" s="853" t="s">
        <v>253</v>
      </c>
      <c r="J206" s="853" t="s">
        <v>253</v>
      </c>
      <c r="K206" s="853" t="s">
        <v>253</v>
      </c>
      <c r="L206" s="854">
        <f t="shared" si="29"/>
        <v>4375</v>
      </c>
    </row>
    <row r="207" spans="1:12" x14ac:dyDescent="0.25">
      <c r="B207" s="850">
        <v>45516</v>
      </c>
      <c r="C207" s="852" t="s">
        <v>13</v>
      </c>
      <c r="D207" s="858" t="s">
        <v>18</v>
      </c>
      <c r="E207" s="853">
        <v>5000</v>
      </c>
      <c r="F207" s="853" t="s">
        <v>253</v>
      </c>
      <c r="G207" s="853" t="s">
        <v>253</v>
      </c>
      <c r="H207" s="853" t="s">
        <v>253</v>
      </c>
      <c r="I207" s="853" t="s">
        <v>253</v>
      </c>
      <c r="J207" s="853" t="s">
        <v>253</v>
      </c>
      <c r="K207" s="853" t="s">
        <v>253</v>
      </c>
      <c r="L207" s="854">
        <f t="shared" si="29"/>
        <v>5000</v>
      </c>
    </row>
    <row r="208" spans="1:12" ht="18.75" x14ac:dyDescent="0.25">
      <c r="A208" s="605" t="s">
        <v>254</v>
      </c>
      <c r="B208" s="1030" t="s">
        <v>255</v>
      </c>
      <c r="C208" s="1031"/>
      <c r="D208" s="855">
        <f>SUM(E208:K208)</f>
        <v>65991.600000000006</v>
      </c>
      <c r="E208" s="854">
        <f t="shared" ref="E208:K208" si="30">SUM(E199:E207)</f>
        <v>38166</v>
      </c>
      <c r="F208" s="854">
        <f t="shared" si="30"/>
        <v>0</v>
      </c>
      <c r="G208" s="854">
        <f t="shared" si="30"/>
        <v>0</v>
      </c>
      <c r="H208" s="854">
        <f t="shared" si="30"/>
        <v>0</v>
      </c>
      <c r="I208" s="854">
        <f t="shared" si="30"/>
        <v>0</v>
      </c>
      <c r="J208" s="854">
        <f t="shared" si="30"/>
        <v>0</v>
      </c>
      <c r="K208" s="854">
        <f t="shared" si="30"/>
        <v>27825.600000000002</v>
      </c>
      <c r="L208" s="856">
        <f>SUM(E208:K208)-SUM(L199:L207)</f>
        <v>0</v>
      </c>
    </row>
    <row r="210" spans="1:12" ht="18.75" x14ac:dyDescent="0.3">
      <c r="B210" s="845" t="s">
        <v>246</v>
      </c>
      <c r="C210" s="1032" t="s">
        <v>617</v>
      </c>
      <c r="D210" s="1033"/>
      <c r="E210" s="848" t="s">
        <v>247</v>
      </c>
      <c r="F210" s="859"/>
      <c r="G210" s="859"/>
      <c r="H210" s="859"/>
      <c r="I210" s="860" t="s">
        <v>248</v>
      </c>
      <c r="J210" s="847">
        <f>+J197+1</f>
        <v>1170</v>
      </c>
      <c r="K210" s="848" t="s">
        <v>137</v>
      </c>
      <c r="L210" s="847">
        <v>221746</v>
      </c>
    </row>
    <row r="211" spans="1:12" x14ac:dyDescent="0.25">
      <c r="B211" s="849" t="s">
        <v>0</v>
      </c>
      <c r="C211" s="849" t="s">
        <v>249</v>
      </c>
      <c r="D211" s="849" t="s">
        <v>6</v>
      </c>
      <c r="E211" s="849" t="s">
        <v>250</v>
      </c>
      <c r="F211" s="849" t="s">
        <v>62</v>
      </c>
      <c r="G211" s="849" t="s">
        <v>63</v>
      </c>
      <c r="H211" s="849" t="s">
        <v>64</v>
      </c>
      <c r="I211" s="849" t="s">
        <v>251</v>
      </c>
      <c r="J211" s="849" t="s">
        <v>66</v>
      </c>
      <c r="K211" s="849" t="s">
        <v>68</v>
      </c>
      <c r="L211" s="849" t="s">
        <v>252</v>
      </c>
    </row>
    <row r="212" spans="1:12" x14ac:dyDescent="0.25">
      <c r="B212" s="850">
        <v>45468</v>
      </c>
      <c r="C212" s="851" t="s">
        <v>618</v>
      </c>
      <c r="D212" s="852" t="s">
        <v>614</v>
      </c>
      <c r="E212" s="853">
        <v>5000</v>
      </c>
      <c r="F212" s="853" t="s">
        <v>253</v>
      </c>
      <c r="G212" s="853" t="s">
        <v>253</v>
      </c>
      <c r="H212" s="853" t="s">
        <v>253</v>
      </c>
      <c r="I212" s="853">
        <v>6600</v>
      </c>
      <c r="J212" s="853" t="s">
        <v>253</v>
      </c>
      <c r="K212" s="853" t="s">
        <v>253</v>
      </c>
      <c r="L212" s="854">
        <f t="shared" ref="L212:L218" si="31">SUM(E212:K212)</f>
        <v>11600</v>
      </c>
    </row>
    <row r="213" spans="1:12" x14ac:dyDescent="0.25">
      <c r="B213" s="850">
        <v>45469</v>
      </c>
      <c r="C213" s="851" t="s">
        <v>619</v>
      </c>
      <c r="D213" s="858" t="s">
        <v>614</v>
      </c>
      <c r="E213" s="853">
        <v>5000</v>
      </c>
      <c r="F213" s="853" t="s">
        <v>253</v>
      </c>
      <c r="G213" s="853" t="s">
        <v>253</v>
      </c>
      <c r="H213" s="853" t="s">
        <v>253</v>
      </c>
      <c r="I213" s="853" t="s">
        <v>253</v>
      </c>
      <c r="J213" s="853" t="s">
        <v>253</v>
      </c>
      <c r="K213" s="853" t="s">
        <v>253</v>
      </c>
      <c r="L213" s="854">
        <f t="shared" si="31"/>
        <v>5000</v>
      </c>
    </row>
    <row r="214" spans="1:12" x14ac:dyDescent="0.25">
      <c r="B214" s="850">
        <v>45485</v>
      </c>
      <c r="C214" s="851" t="s">
        <v>13</v>
      </c>
      <c r="D214" s="852" t="s">
        <v>15</v>
      </c>
      <c r="E214" s="853">
        <v>5000</v>
      </c>
      <c r="F214" s="853" t="s">
        <v>253</v>
      </c>
      <c r="G214" s="853" t="s">
        <v>253</v>
      </c>
      <c r="H214" s="853" t="s">
        <v>253</v>
      </c>
      <c r="I214" s="853" t="s">
        <v>253</v>
      </c>
      <c r="J214" s="853" t="s">
        <v>253</v>
      </c>
      <c r="K214" s="853" t="s">
        <v>253</v>
      </c>
      <c r="L214" s="854">
        <f t="shared" si="31"/>
        <v>5000</v>
      </c>
    </row>
    <row r="215" spans="1:12" x14ac:dyDescent="0.25">
      <c r="B215" s="850">
        <v>45496</v>
      </c>
      <c r="C215" s="852" t="s">
        <v>13</v>
      </c>
      <c r="D215" s="858" t="s">
        <v>18</v>
      </c>
      <c r="E215" s="853">
        <v>4583</v>
      </c>
      <c r="F215" s="853" t="s">
        <v>253</v>
      </c>
      <c r="G215" s="853" t="s">
        <v>253</v>
      </c>
      <c r="H215" s="853" t="s">
        <v>253</v>
      </c>
      <c r="I215" s="853" t="s">
        <v>253</v>
      </c>
      <c r="J215" s="853" t="s">
        <v>253</v>
      </c>
      <c r="K215" s="853" t="s">
        <v>253</v>
      </c>
      <c r="L215" s="854">
        <f t="shared" si="31"/>
        <v>4583</v>
      </c>
    </row>
    <row r="216" spans="1:12" x14ac:dyDescent="0.25">
      <c r="B216" s="850">
        <v>45497</v>
      </c>
      <c r="C216" s="851" t="s">
        <v>13</v>
      </c>
      <c r="D216" s="852" t="s">
        <v>18</v>
      </c>
      <c r="E216" s="853">
        <v>5458</v>
      </c>
      <c r="F216" s="853" t="s">
        <v>253</v>
      </c>
      <c r="G216" s="853" t="s">
        <v>253</v>
      </c>
      <c r="H216" s="853" t="s">
        <v>253</v>
      </c>
      <c r="I216" s="853" t="s">
        <v>253</v>
      </c>
      <c r="J216" s="853" t="s">
        <v>253</v>
      </c>
      <c r="K216" s="853" t="s">
        <v>253</v>
      </c>
      <c r="L216" s="854">
        <f t="shared" si="31"/>
        <v>5458</v>
      </c>
    </row>
    <row r="217" spans="1:12" x14ac:dyDescent="0.25">
      <c r="B217" s="850">
        <v>45511</v>
      </c>
      <c r="C217" s="851" t="s">
        <v>13</v>
      </c>
      <c r="D217" s="852" t="s">
        <v>15</v>
      </c>
      <c r="E217" s="853">
        <v>4375</v>
      </c>
      <c r="F217" s="853" t="s">
        <v>253</v>
      </c>
      <c r="G217" s="853" t="s">
        <v>253</v>
      </c>
      <c r="H217" s="853" t="s">
        <v>253</v>
      </c>
      <c r="I217" s="853" t="s">
        <v>253</v>
      </c>
      <c r="J217" s="853" t="s">
        <v>253</v>
      </c>
      <c r="K217" s="853" t="s">
        <v>253</v>
      </c>
      <c r="L217" s="854">
        <f t="shared" si="31"/>
        <v>4375</v>
      </c>
    </row>
    <row r="218" spans="1:12" x14ac:dyDescent="0.25">
      <c r="B218" s="850">
        <v>45516</v>
      </c>
      <c r="C218" s="852" t="s">
        <v>13</v>
      </c>
      <c r="D218" s="858" t="s">
        <v>18</v>
      </c>
      <c r="E218" s="853">
        <v>5000</v>
      </c>
      <c r="F218" s="853" t="s">
        <v>253</v>
      </c>
      <c r="G218" s="853" t="s">
        <v>253</v>
      </c>
      <c r="H218" s="853" t="s">
        <v>253</v>
      </c>
      <c r="I218" s="853" t="s">
        <v>253</v>
      </c>
      <c r="J218" s="853" t="s">
        <v>253</v>
      </c>
      <c r="K218" s="853" t="s">
        <v>253</v>
      </c>
      <c r="L218" s="854">
        <f t="shared" si="31"/>
        <v>5000</v>
      </c>
    </row>
    <row r="219" spans="1:12" ht="18.75" x14ac:dyDescent="0.25">
      <c r="A219" s="605" t="s">
        <v>254</v>
      </c>
      <c r="B219" s="1030" t="s">
        <v>255</v>
      </c>
      <c r="C219" s="1031"/>
      <c r="D219" s="855">
        <f>SUM(E219:K219)</f>
        <v>41016</v>
      </c>
      <c r="E219" s="854">
        <f t="shared" ref="E219:K219" si="32">SUM(E212:E218)</f>
        <v>34416</v>
      </c>
      <c r="F219" s="854">
        <f t="shared" si="32"/>
        <v>0</v>
      </c>
      <c r="G219" s="854">
        <f t="shared" si="32"/>
        <v>0</v>
      </c>
      <c r="H219" s="854">
        <f t="shared" si="32"/>
        <v>0</v>
      </c>
      <c r="I219" s="854">
        <f t="shared" si="32"/>
        <v>6600</v>
      </c>
      <c r="J219" s="854">
        <f t="shared" si="32"/>
        <v>0</v>
      </c>
      <c r="K219" s="854">
        <f t="shared" si="32"/>
        <v>0</v>
      </c>
      <c r="L219" s="856">
        <f>SUM(E219:K219)-SUM(L212:L218)</f>
        <v>0</v>
      </c>
    </row>
    <row r="221" spans="1:12" ht="18.75" x14ac:dyDescent="0.3">
      <c r="B221" s="845" t="s">
        <v>246</v>
      </c>
      <c r="C221" s="1032" t="s">
        <v>128</v>
      </c>
      <c r="D221" s="1033"/>
      <c r="E221" s="848" t="s">
        <v>247</v>
      </c>
      <c r="F221" s="859"/>
      <c r="G221" s="859"/>
      <c r="H221" s="859"/>
      <c r="I221" s="860" t="s">
        <v>248</v>
      </c>
      <c r="J221" s="847">
        <f>+J210+1</f>
        <v>1171</v>
      </c>
      <c r="K221" s="848" t="s">
        <v>137</v>
      </c>
      <c r="L221" s="847">
        <v>221746</v>
      </c>
    </row>
    <row r="222" spans="1:12" x14ac:dyDescent="0.25">
      <c r="B222" s="849" t="s">
        <v>0</v>
      </c>
      <c r="C222" s="849" t="s">
        <v>249</v>
      </c>
      <c r="D222" s="849" t="s">
        <v>6</v>
      </c>
      <c r="E222" s="849" t="s">
        <v>250</v>
      </c>
      <c r="F222" s="849" t="s">
        <v>62</v>
      </c>
      <c r="G222" s="849" t="s">
        <v>63</v>
      </c>
      <c r="H222" s="849" t="s">
        <v>64</v>
      </c>
      <c r="I222" s="849" t="s">
        <v>251</v>
      </c>
      <c r="J222" s="849" t="s">
        <v>66</v>
      </c>
      <c r="K222" s="849" t="s">
        <v>68</v>
      </c>
      <c r="L222" s="849" t="s">
        <v>252</v>
      </c>
    </row>
    <row r="223" spans="1:12" x14ac:dyDescent="0.25">
      <c r="B223" s="850">
        <v>45468</v>
      </c>
      <c r="C223" s="851" t="s">
        <v>620</v>
      </c>
      <c r="D223" s="852" t="s">
        <v>614</v>
      </c>
      <c r="E223" s="853" t="s">
        <v>253</v>
      </c>
      <c r="F223" s="853" t="s">
        <v>253</v>
      </c>
      <c r="G223" s="853" t="s">
        <v>253</v>
      </c>
      <c r="H223" s="853" t="s">
        <v>253</v>
      </c>
      <c r="I223" s="853" t="s">
        <v>253</v>
      </c>
      <c r="J223" s="853" t="s">
        <v>253</v>
      </c>
      <c r="K223" s="853">
        <v>12000</v>
      </c>
      <c r="L223" s="854">
        <f t="shared" ref="L223:L232" si="33">SUM(E223:K223)</f>
        <v>12000</v>
      </c>
    </row>
    <row r="224" spans="1:12" x14ac:dyDescent="0.25">
      <c r="B224" s="850">
        <v>45469</v>
      </c>
      <c r="C224" s="852" t="s">
        <v>621</v>
      </c>
      <c r="D224" s="858" t="s">
        <v>614</v>
      </c>
      <c r="E224" s="853" t="s">
        <v>253</v>
      </c>
      <c r="F224" s="853" t="s">
        <v>253</v>
      </c>
      <c r="G224" s="853">
        <v>13739</v>
      </c>
      <c r="H224" s="853" t="s">
        <v>253</v>
      </c>
      <c r="I224" s="853" t="s">
        <v>253</v>
      </c>
      <c r="J224" s="853" t="s">
        <v>253</v>
      </c>
      <c r="K224" s="853">
        <f>147008+9750</f>
        <v>156758</v>
      </c>
      <c r="L224" s="854">
        <f t="shared" si="33"/>
        <v>170497</v>
      </c>
    </row>
    <row r="225" spans="1:12" x14ac:dyDescent="0.25">
      <c r="B225" s="850">
        <v>45485</v>
      </c>
      <c r="C225" s="852" t="s">
        <v>13</v>
      </c>
      <c r="D225" s="852" t="s">
        <v>15</v>
      </c>
      <c r="E225" s="853">
        <v>5000</v>
      </c>
      <c r="F225" s="853" t="s">
        <v>253</v>
      </c>
      <c r="G225" s="853" t="s">
        <v>253</v>
      </c>
      <c r="H225" s="853" t="s">
        <v>253</v>
      </c>
      <c r="I225" s="853" t="s">
        <v>253</v>
      </c>
      <c r="J225" s="853" t="s">
        <v>253</v>
      </c>
      <c r="K225" s="853" t="s">
        <v>253</v>
      </c>
      <c r="L225" s="854">
        <f t="shared" si="33"/>
        <v>5000</v>
      </c>
    </row>
    <row r="226" spans="1:12" x14ac:dyDescent="0.25">
      <c r="B226" s="850">
        <v>45490</v>
      </c>
      <c r="C226" s="852" t="s">
        <v>13</v>
      </c>
      <c r="D226" s="852" t="s">
        <v>15</v>
      </c>
      <c r="E226" s="853">
        <v>11250</v>
      </c>
      <c r="F226" s="853" t="s">
        <v>253</v>
      </c>
      <c r="G226" s="853" t="s">
        <v>253</v>
      </c>
      <c r="H226" s="853" t="s">
        <v>253</v>
      </c>
      <c r="I226" s="853" t="s">
        <v>253</v>
      </c>
      <c r="J226" s="853" t="s">
        <v>253</v>
      </c>
      <c r="K226" s="853" t="s">
        <v>253</v>
      </c>
      <c r="L226" s="854">
        <f t="shared" si="33"/>
        <v>11250</v>
      </c>
    </row>
    <row r="227" spans="1:12" x14ac:dyDescent="0.25">
      <c r="B227" s="850">
        <v>45496</v>
      </c>
      <c r="C227" s="852" t="s">
        <v>13</v>
      </c>
      <c r="D227" s="858" t="s">
        <v>18</v>
      </c>
      <c r="E227" s="853">
        <v>4583</v>
      </c>
      <c r="F227" s="853" t="s">
        <v>253</v>
      </c>
      <c r="G227" s="853" t="s">
        <v>253</v>
      </c>
      <c r="H227" s="853" t="s">
        <v>253</v>
      </c>
      <c r="I227" s="853" t="s">
        <v>253</v>
      </c>
      <c r="J227" s="853" t="s">
        <v>253</v>
      </c>
      <c r="K227" s="853" t="s">
        <v>253</v>
      </c>
      <c r="L227" s="854">
        <f t="shared" si="33"/>
        <v>4583</v>
      </c>
    </row>
    <row r="228" spans="1:12" x14ac:dyDescent="0.25">
      <c r="B228" s="850">
        <v>45497</v>
      </c>
      <c r="C228" s="852" t="s">
        <v>13</v>
      </c>
      <c r="D228" s="852" t="s">
        <v>18</v>
      </c>
      <c r="E228" s="853">
        <v>5458</v>
      </c>
      <c r="F228" s="853" t="s">
        <v>253</v>
      </c>
      <c r="G228" s="853" t="s">
        <v>253</v>
      </c>
      <c r="H228" s="853" t="s">
        <v>253</v>
      </c>
      <c r="I228" s="853" t="s">
        <v>253</v>
      </c>
      <c r="J228" s="853" t="s">
        <v>253</v>
      </c>
      <c r="K228" s="853" t="s">
        <v>253</v>
      </c>
      <c r="L228" s="854">
        <f t="shared" si="33"/>
        <v>5458</v>
      </c>
    </row>
    <row r="229" spans="1:12" x14ac:dyDescent="0.25">
      <c r="B229" s="850">
        <v>45510</v>
      </c>
      <c r="C229" s="852" t="s">
        <v>13</v>
      </c>
      <c r="D229" s="852" t="s">
        <v>18</v>
      </c>
      <c r="E229" s="853">
        <v>2500</v>
      </c>
      <c r="F229" s="853" t="s">
        <v>253</v>
      </c>
      <c r="G229" s="853" t="s">
        <v>253</v>
      </c>
      <c r="H229" s="853" t="s">
        <v>253</v>
      </c>
      <c r="I229" s="853" t="s">
        <v>253</v>
      </c>
      <c r="J229" s="853" t="s">
        <v>253</v>
      </c>
      <c r="K229" s="853" t="s">
        <v>253</v>
      </c>
      <c r="L229" s="854">
        <f t="shared" si="33"/>
        <v>2500</v>
      </c>
    </row>
    <row r="230" spans="1:12" x14ac:dyDescent="0.25">
      <c r="B230" s="850">
        <v>45511</v>
      </c>
      <c r="C230" s="852" t="s">
        <v>13</v>
      </c>
      <c r="D230" s="852" t="s">
        <v>15</v>
      </c>
      <c r="E230" s="853">
        <v>4375</v>
      </c>
      <c r="F230" s="853" t="s">
        <v>253</v>
      </c>
      <c r="G230" s="853" t="s">
        <v>253</v>
      </c>
      <c r="H230" s="853" t="s">
        <v>253</v>
      </c>
      <c r="I230" s="853" t="s">
        <v>253</v>
      </c>
      <c r="J230" s="853" t="s">
        <v>253</v>
      </c>
      <c r="K230" s="853" t="s">
        <v>253</v>
      </c>
      <c r="L230" s="854">
        <f t="shared" si="33"/>
        <v>4375</v>
      </c>
    </row>
    <row r="231" spans="1:12" x14ac:dyDescent="0.25">
      <c r="B231" s="850">
        <v>45516</v>
      </c>
      <c r="C231" s="852" t="s">
        <v>13</v>
      </c>
      <c r="D231" s="858" t="s">
        <v>18</v>
      </c>
      <c r="E231" s="853">
        <v>5000</v>
      </c>
      <c r="F231" s="853" t="s">
        <v>253</v>
      </c>
      <c r="G231" s="853" t="s">
        <v>253</v>
      </c>
      <c r="H231" s="853" t="s">
        <v>253</v>
      </c>
      <c r="I231" s="853" t="s">
        <v>253</v>
      </c>
      <c r="J231" s="853" t="s">
        <v>253</v>
      </c>
      <c r="K231" s="853" t="s">
        <v>253</v>
      </c>
      <c r="L231" s="854">
        <f t="shared" si="33"/>
        <v>5000</v>
      </c>
    </row>
    <row r="232" spans="1:12" x14ac:dyDescent="0.25">
      <c r="B232" s="850">
        <v>45516</v>
      </c>
      <c r="C232" s="851" t="s">
        <v>124</v>
      </c>
      <c r="D232" s="852" t="s">
        <v>623</v>
      </c>
      <c r="E232" s="853" t="s">
        <v>253</v>
      </c>
      <c r="F232" s="853" t="s">
        <v>253</v>
      </c>
      <c r="G232" s="853" t="s">
        <v>253</v>
      </c>
      <c r="H232" s="853" t="s">
        <v>253</v>
      </c>
      <c r="I232" s="853" t="s">
        <v>253</v>
      </c>
      <c r="J232" s="853" t="s">
        <v>253</v>
      </c>
      <c r="K232" s="853">
        <v>50000</v>
      </c>
      <c r="L232" s="854">
        <f t="shared" si="33"/>
        <v>50000</v>
      </c>
    </row>
    <row r="233" spans="1:12" ht="18.75" x14ac:dyDescent="0.25">
      <c r="A233" s="605" t="s">
        <v>254</v>
      </c>
      <c r="B233" s="1030" t="s">
        <v>255</v>
      </c>
      <c r="C233" s="1031"/>
      <c r="D233" s="855">
        <f>SUM(E233:K233)</f>
        <v>270663</v>
      </c>
      <c r="E233" s="854">
        <f t="shared" ref="E233:K233" si="34">SUM(E223:E232)</f>
        <v>38166</v>
      </c>
      <c r="F233" s="854">
        <f t="shared" si="34"/>
        <v>0</v>
      </c>
      <c r="G233" s="854">
        <f t="shared" si="34"/>
        <v>13739</v>
      </c>
      <c r="H233" s="854">
        <f t="shared" si="34"/>
        <v>0</v>
      </c>
      <c r="I233" s="854">
        <f t="shared" si="34"/>
        <v>0</v>
      </c>
      <c r="J233" s="854">
        <f t="shared" si="34"/>
        <v>0</v>
      </c>
      <c r="K233" s="854">
        <f t="shared" si="34"/>
        <v>218758</v>
      </c>
      <c r="L233" s="856">
        <f>SUM(E233:K233)-SUM(L223:L232)</f>
        <v>0</v>
      </c>
    </row>
    <row r="235" spans="1:12" ht="18.75" x14ac:dyDescent="0.3">
      <c r="B235" s="845" t="s">
        <v>246</v>
      </c>
      <c r="C235" s="1032" t="s">
        <v>127</v>
      </c>
      <c r="D235" s="1033"/>
      <c r="E235" s="848" t="s">
        <v>247</v>
      </c>
      <c r="F235" s="859"/>
      <c r="G235" s="859"/>
      <c r="H235" s="859"/>
      <c r="I235" s="860" t="s">
        <v>248</v>
      </c>
      <c r="J235" s="847">
        <f>+J221+1</f>
        <v>1172</v>
      </c>
      <c r="K235" s="848" t="s">
        <v>137</v>
      </c>
      <c r="L235" s="847">
        <v>221746</v>
      </c>
    </row>
    <row r="236" spans="1:12" x14ac:dyDescent="0.25">
      <c r="B236" s="849" t="s">
        <v>0</v>
      </c>
      <c r="C236" s="849" t="s">
        <v>249</v>
      </c>
      <c r="D236" s="849" t="s">
        <v>6</v>
      </c>
      <c r="E236" s="849" t="s">
        <v>250</v>
      </c>
      <c r="F236" s="849" t="s">
        <v>62</v>
      </c>
      <c r="G236" s="849" t="s">
        <v>63</v>
      </c>
      <c r="H236" s="849" t="s">
        <v>64</v>
      </c>
      <c r="I236" s="849" t="s">
        <v>251</v>
      </c>
      <c r="J236" s="849" t="s">
        <v>66</v>
      </c>
      <c r="K236" s="849" t="s">
        <v>68</v>
      </c>
      <c r="L236" s="849" t="s">
        <v>252</v>
      </c>
    </row>
    <row r="237" spans="1:12" x14ac:dyDescent="0.25">
      <c r="B237" s="850">
        <v>45485</v>
      </c>
      <c r="C237" s="851" t="s">
        <v>13</v>
      </c>
      <c r="D237" s="852" t="s">
        <v>15</v>
      </c>
      <c r="E237" s="853">
        <v>5000</v>
      </c>
      <c r="F237" s="853" t="s">
        <v>253</v>
      </c>
      <c r="G237" s="853" t="s">
        <v>253</v>
      </c>
      <c r="H237" s="853" t="s">
        <v>253</v>
      </c>
      <c r="I237" s="853" t="s">
        <v>253</v>
      </c>
      <c r="J237" s="853" t="s">
        <v>253</v>
      </c>
      <c r="K237" s="853" t="s">
        <v>253</v>
      </c>
      <c r="L237" s="854">
        <f>SUM(E237:K237)</f>
        <v>5000</v>
      </c>
    </row>
    <row r="238" spans="1:12" x14ac:dyDescent="0.25">
      <c r="B238" s="850">
        <v>45490</v>
      </c>
      <c r="C238" s="852" t="s">
        <v>13</v>
      </c>
      <c r="D238" s="858" t="s">
        <v>15</v>
      </c>
      <c r="E238" s="853">
        <v>11250</v>
      </c>
      <c r="F238" s="853" t="s">
        <v>253</v>
      </c>
      <c r="G238" s="853" t="s">
        <v>253</v>
      </c>
      <c r="H238" s="853" t="s">
        <v>253</v>
      </c>
      <c r="I238" s="853" t="s">
        <v>253</v>
      </c>
      <c r="J238" s="853" t="s">
        <v>253</v>
      </c>
      <c r="K238" s="853" t="s">
        <v>253</v>
      </c>
      <c r="L238" s="854">
        <f>SUM(E238:K238)</f>
        <v>11250</v>
      </c>
    </row>
    <row r="239" spans="1:12" x14ac:dyDescent="0.25">
      <c r="B239" s="850">
        <v>45511</v>
      </c>
      <c r="C239" s="851" t="s">
        <v>13</v>
      </c>
      <c r="D239" s="852" t="s">
        <v>15</v>
      </c>
      <c r="E239" s="853">
        <v>4375</v>
      </c>
      <c r="F239" s="853" t="s">
        <v>253</v>
      </c>
      <c r="G239" s="853" t="s">
        <v>253</v>
      </c>
      <c r="H239" s="853" t="s">
        <v>253</v>
      </c>
      <c r="I239" s="853" t="s">
        <v>253</v>
      </c>
      <c r="J239" s="853" t="s">
        <v>253</v>
      </c>
      <c r="K239" s="853" t="s">
        <v>253</v>
      </c>
      <c r="L239" s="854">
        <f>SUM(E239:K239)</f>
        <v>4375</v>
      </c>
    </row>
    <row r="240" spans="1:12" x14ac:dyDescent="0.25">
      <c r="B240" s="850">
        <v>45516</v>
      </c>
      <c r="C240" s="851" t="s">
        <v>13</v>
      </c>
      <c r="D240" s="852" t="s">
        <v>18</v>
      </c>
      <c r="E240" s="853">
        <v>5000</v>
      </c>
      <c r="F240" s="853" t="s">
        <v>253</v>
      </c>
      <c r="G240" s="853" t="s">
        <v>253</v>
      </c>
      <c r="H240" s="853" t="s">
        <v>253</v>
      </c>
      <c r="I240" s="853" t="s">
        <v>253</v>
      </c>
      <c r="J240" s="853" t="s">
        <v>253</v>
      </c>
      <c r="K240" s="853" t="s">
        <v>253</v>
      </c>
      <c r="L240" s="854">
        <f>SUM(E240:K240)</f>
        <v>5000</v>
      </c>
    </row>
    <row r="241" spans="1:12" x14ac:dyDescent="0.25">
      <c r="B241" s="850">
        <v>45516</v>
      </c>
      <c r="C241" s="851" t="s">
        <v>124</v>
      </c>
      <c r="D241" s="852" t="s">
        <v>622</v>
      </c>
      <c r="E241" s="853" t="s">
        <v>253</v>
      </c>
      <c r="F241" s="853" t="s">
        <v>253</v>
      </c>
      <c r="G241" s="853" t="s">
        <v>253</v>
      </c>
      <c r="H241" s="853" t="s">
        <v>253</v>
      </c>
      <c r="I241" s="853" t="s">
        <v>253</v>
      </c>
      <c r="J241" s="853" t="s">
        <v>253</v>
      </c>
      <c r="K241" s="853">
        <v>50000</v>
      </c>
      <c r="L241" s="854">
        <f>SUM(E241:K241)</f>
        <v>50000</v>
      </c>
    </row>
    <row r="242" spans="1:12" ht="18.75" x14ac:dyDescent="0.25">
      <c r="A242" s="605" t="s">
        <v>254</v>
      </c>
      <c r="B242" s="1030" t="s">
        <v>255</v>
      </c>
      <c r="C242" s="1031"/>
      <c r="D242" s="855">
        <f>SUM(E242:K242)</f>
        <v>75625</v>
      </c>
      <c r="E242" s="854">
        <f t="shared" ref="E242:K242" si="35">SUM(E237:E241)</f>
        <v>25625</v>
      </c>
      <c r="F242" s="854">
        <f t="shared" si="35"/>
        <v>0</v>
      </c>
      <c r="G242" s="854">
        <f t="shared" si="35"/>
        <v>0</v>
      </c>
      <c r="H242" s="854">
        <f t="shared" si="35"/>
        <v>0</v>
      </c>
      <c r="I242" s="854">
        <f t="shared" si="35"/>
        <v>0</v>
      </c>
      <c r="J242" s="854">
        <f t="shared" si="35"/>
        <v>0</v>
      </c>
      <c r="K242" s="854">
        <f t="shared" si="35"/>
        <v>50000</v>
      </c>
      <c r="L242" s="856">
        <f>SUM(E242:K242)-SUM(L237:L241)</f>
        <v>0</v>
      </c>
    </row>
    <row r="244" spans="1:12" ht="18.75" x14ac:dyDescent="0.3">
      <c r="B244" s="845" t="s">
        <v>246</v>
      </c>
      <c r="C244" s="1032" t="s">
        <v>232</v>
      </c>
      <c r="D244" s="1033"/>
      <c r="E244" s="848" t="s">
        <v>247</v>
      </c>
      <c r="F244" s="859"/>
      <c r="G244" s="859"/>
      <c r="H244" s="859"/>
      <c r="I244" s="860" t="s">
        <v>248</v>
      </c>
      <c r="J244" s="847">
        <f>+J235+1</f>
        <v>1173</v>
      </c>
      <c r="K244" s="848" t="s">
        <v>137</v>
      </c>
      <c r="L244" s="847">
        <v>221746</v>
      </c>
    </row>
    <row r="245" spans="1:12" x14ac:dyDescent="0.25">
      <c r="B245" s="849" t="s">
        <v>0</v>
      </c>
      <c r="C245" s="849" t="s">
        <v>249</v>
      </c>
      <c r="D245" s="849" t="s">
        <v>6</v>
      </c>
      <c r="E245" s="849" t="s">
        <v>250</v>
      </c>
      <c r="F245" s="849" t="s">
        <v>62</v>
      </c>
      <c r="G245" s="849" t="s">
        <v>63</v>
      </c>
      <c r="H245" s="849" t="s">
        <v>64</v>
      </c>
      <c r="I245" s="849" t="s">
        <v>251</v>
      </c>
      <c r="J245" s="849" t="s">
        <v>66</v>
      </c>
      <c r="K245" s="849" t="s">
        <v>68</v>
      </c>
      <c r="L245" s="849" t="s">
        <v>252</v>
      </c>
    </row>
    <row r="246" spans="1:12" x14ac:dyDescent="0.25">
      <c r="B246" s="850">
        <v>45485</v>
      </c>
      <c r="C246" s="851" t="s">
        <v>13</v>
      </c>
      <c r="D246" s="852" t="s">
        <v>15</v>
      </c>
      <c r="E246" s="853">
        <v>5000</v>
      </c>
      <c r="F246" s="853" t="s">
        <v>253</v>
      </c>
      <c r="G246" s="853" t="s">
        <v>253</v>
      </c>
      <c r="H246" s="853" t="s">
        <v>253</v>
      </c>
      <c r="I246" s="853" t="s">
        <v>253</v>
      </c>
      <c r="J246" s="853" t="s">
        <v>253</v>
      </c>
      <c r="K246" s="853" t="s">
        <v>253</v>
      </c>
      <c r="L246" s="854">
        <f t="shared" ref="L246:L251" si="36">SUM(E246:K246)</f>
        <v>5000</v>
      </c>
    </row>
    <row r="247" spans="1:12" x14ac:dyDescent="0.25">
      <c r="B247" s="850">
        <v>45490</v>
      </c>
      <c r="C247" s="852" t="s">
        <v>13</v>
      </c>
      <c r="D247" s="858" t="s">
        <v>15</v>
      </c>
      <c r="E247" s="853">
        <v>11250</v>
      </c>
      <c r="F247" s="853" t="s">
        <v>253</v>
      </c>
      <c r="G247" s="853" t="s">
        <v>253</v>
      </c>
      <c r="H247" s="853" t="s">
        <v>253</v>
      </c>
      <c r="I247" s="853" t="s">
        <v>253</v>
      </c>
      <c r="J247" s="853" t="s">
        <v>253</v>
      </c>
      <c r="K247" s="853" t="s">
        <v>253</v>
      </c>
      <c r="L247" s="854">
        <f t="shared" si="36"/>
        <v>11250</v>
      </c>
    </row>
    <row r="248" spans="1:12" x14ac:dyDescent="0.25">
      <c r="B248" s="850">
        <v>45496</v>
      </c>
      <c r="C248" s="851" t="s">
        <v>13</v>
      </c>
      <c r="D248" s="852" t="s">
        <v>18</v>
      </c>
      <c r="E248" s="853">
        <v>4583</v>
      </c>
      <c r="F248" s="853" t="s">
        <v>253</v>
      </c>
      <c r="G248" s="853" t="s">
        <v>253</v>
      </c>
      <c r="H248" s="853" t="s">
        <v>253</v>
      </c>
      <c r="I248" s="853" t="s">
        <v>253</v>
      </c>
      <c r="J248" s="853" t="s">
        <v>253</v>
      </c>
      <c r="K248" s="853" t="s">
        <v>253</v>
      </c>
      <c r="L248" s="854">
        <f t="shared" si="36"/>
        <v>4583</v>
      </c>
    </row>
    <row r="249" spans="1:12" x14ac:dyDescent="0.25">
      <c r="B249" s="850">
        <v>45497</v>
      </c>
      <c r="C249" s="851" t="s">
        <v>13</v>
      </c>
      <c r="D249" s="852" t="s">
        <v>18</v>
      </c>
      <c r="E249" s="853">
        <v>5458</v>
      </c>
      <c r="F249" s="853" t="s">
        <v>253</v>
      </c>
      <c r="G249" s="853" t="s">
        <v>253</v>
      </c>
      <c r="H249" s="853" t="s">
        <v>253</v>
      </c>
      <c r="I249" s="853" t="s">
        <v>253</v>
      </c>
      <c r="J249" s="853" t="s">
        <v>253</v>
      </c>
      <c r="K249" s="853" t="s">
        <v>253</v>
      </c>
      <c r="L249" s="854">
        <f t="shared" si="36"/>
        <v>5458</v>
      </c>
    </row>
    <row r="250" spans="1:12" x14ac:dyDescent="0.25">
      <c r="B250" s="850">
        <v>45511</v>
      </c>
      <c r="C250" s="851" t="s">
        <v>13</v>
      </c>
      <c r="D250" s="852" t="s">
        <v>15</v>
      </c>
      <c r="E250" s="853">
        <v>4375</v>
      </c>
      <c r="F250" s="853" t="s">
        <v>253</v>
      </c>
      <c r="G250" s="853" t="s">
        <v>253</v>
      </c>
      <c r="H250" s="853" t="s">
        <v>253</v>
      </c>
      <c r="I250" s="853" t="s">
        <v>253</v>
      </c>
      <c r="J250" s="853" t="s">
        <v>253</v>
      </c>
      <c r="K250" s="853" t="s">
        <v>253</v>
      </c>
      <c r="L250" s="854">
        <f t="shared" si="36"/>
        <v>4375</v>
      </c>
    </row>
    <row r="251" spans="1:12" x14ac:dyDescent="0.25">
      <c r="B251" s="850">
        <v>45516</v>
      </c>
      <c r="C251" s="851" t="s">
        <v>13</v>
      </c>
      <c r="D251" s="852" t="s">
        <v>18</v>
      </c>
      <c r="E251" s="853">
        <v>5000</v>
      </c>
      <c r="F251" s="853" t="s">
        <v>253</v>
      </c>
      <c r="G251" s="853" t="s">
        <v>253</v>
      </c>
      <c r="H251" s="853" t="s">
        <v>253</v>
      </c>
      <c r="I251" s="853" t="s">
        <v>253</v>
      </c>
      <c r="J251" s="853" t="s">
        <v>253</v>
      </c>
      <c r="K251" s="853" t="s">
        <v>253</v>
      </c>
      <c r="L251" s="854">
        <f t="shared" si="36"/>
        <v>5000</v>
      </c>
    </row>
    <row r="252" spans="1:12" ht="18.75" x14ac:dyDescent="0.25">
      <c r="A252" s="605" t="s">
        <v>254</v>
      </c>
      <c r="B252" s="1030" t="s">
        <v>255</v>
      </c>
      <c r="C252" s="1031"/>
      <c r="D252" s="855">
        <f>SUM(E252:K252)</f>
        <v>35666</v>
      </c>
      <c r="E252" s="854">
        <f t="shared" ref="E252:K252" si="37">SUM(E246:E251)</f>
        <v>35666</v>
      </c>
      <c r="F252" s="854">
        <f t="shared" si="37"/>
        <v>0</v>
      </c>
      <c r="G252" s="854">
        <f t="shared" si="37"/>
        <v>0</v>
      </c>
      <c r="H252" s="854">
        <f t="shared" si="37"/>
        <v>0</v>
      </c>
      <c r="I252" s="854">
        <f t="shared" si="37"/>
        <v>0</v>
      </c>
      <c r="J252" s="854">
        <f t="shared" si="37"/>
        <v>0</v>
      </c>
      <c r="K252" s="854">
        <f t="shared" si="37"/>
        <v>0</v>
      </c>
      <c r="L252" s="856">
        <f>SUM(E252:K252)-SUM(L246:L251)</f>
        <v>0</v>
      </c>
    </row>
    <row r="254" spans="1:12" ht="18.75" x14ac:dyDescent="0.3">
      <c r="B254" s="845" t="s">
        <v>246</v>
      </c>
      <c r="C254" s="1032" t="s">
        <v>624</v>
      </c>
      <c r="D254" s="1033"/>
      <c r="E254" s="848" t="s">
        <v>247</v>
      </c>
      <c r="F254" s="859"/>
      <c r="G254" s="859"/>
      <c r="H254" s="859"/>
      <c r="I254" s="860" t="s">
        <v>248</v>
      </c>
      <c r="J254" s="847">
        <f>+J244+1</f>
        <v>1174</v>
      </c>
      <c r="K254" s="848" t="s">
        <v>137</v>
      </c>
      <c r="L254" s="847">
        <v>221746</v>
      </c>
    </row>
    <row r="255" spans="1:12" x14ac:dyDescent="0.25">
      <c r="B255" s="849" t="s">
        <v>0</v>
      </c>
      <c r="C255" s="849" t="s">
        <v>249</v>
      </c>
      <c r="D255" s="849" t="s">
        <v>6</v>
      </c>
      <c r="E255" s="849" t="s">
        <v>250</v>
      </c>
      <c r="F255" s="849" t="s">
        <v>62</v>
      </c>
      <c r="G255" s="849" t="s">
        <v>63</v>
      </c>
      <c r="H255" s="849" t="s">
        <v>64</v>
      </c>
      <c r="I255" s="849" t="s">
        <v>251</v>
      </c>
      <c r="J255" s="849" t="s">
        <v>66</v>
      </c>
      <c r="K255" s="849" t="s">
        <v>68</v>
      </c>
      <c r="L255" s="849" t="s">
        <v>252</v>
      </c>
    </row>
    <row r="256" spans="1:12" x14ac:dyDescent="0.25">
      <c r="B256" s="850">
        <v>45485</v>
      </c>
      <c r="C256" s="851" t="s">
        <v>13</v>
      </c>
      <c r="D256" s="852" t="s">
        <v>15</v>
      </c>
      <c r="E256" s="853">
        <v>5000</v>
      </c>
      <c r="F256" s="853" t="s">
        <v>253</v>
      </c>
      <c r="G256" s="853" t="s">
        <v>253</v>
      </c>
      <c r="H256" s="853" t="s">
        <v>253</v>
      </c>
      <c r="I256" s="853" t="s">
        <v>253</v>
      </c>
      <c r="J256" s="853" t="s">
        <v>253</v>
      </c>
      <c r="K256" s="853" t="s">
        <v>253</v>
      </c>
      <c r="L256" s="854">
        <f t="shared" ref="L256:L261" si="38">SUM(E256:K256)</f>
        <v>5000</v>
      </c>
    </row>
    <row r="257" spans="1:12" x14ac:dyDescent="0.25">
      <c r="B257" s="850">
        <v>45490</v>
      </c>
      <c r="C257" s="852" t="s">
        <v>13</v>
      </c>
      <c r="D257" s="858" t="s">
        <v>15</v>
      </c>
      <c r="E257" s="853">
        <v>11250</v>
      </c>
      <c r="F257" s="853" t="s">
        <v>253</v>
      </c>
      <c r="G257" s="853" t="s">
        <v>253</v>
      </c>
      <c r="H257" s="853" t="s">
        <v>253</v>
      </c>
      <c r="I257" s="853" t="s">
        <v>253</v>
      </c>
      <c r="J257" s="853" t="s">
        <v>253</v>
      </c>
      <c r="K257" s="853" t="s">
        <v>253</v>
      </c>
      <c r="L257" s="854">
        <f t="shared" si="38"/>
        <v>11250</v>
      </c>
    </row>
    <row r="258" spans="1:12" x14ac:dyDescent="0.25">
      <c r="B258" s="850">
        <v>45496</v>
      </c>
      <c r="C258" s="851" t="s">
        <v>13</v>
      </c>
      <c r="D258" s="852" t="s">
        <v>18</v>
      </c>
      <c r="E258" s="853">
        <v>4583</v>
      </c>
      <c r="F258" s="853" t="s">
        <v>253</v>
      </c>
      <c r="G258" s="853" t="s">
        <v>253</v>
      </c>
      <c r="H258" s="853" t="s">
        <v>253</v>
      </c>
      <c r="I258" s="853" t="s">
        <v>253</v>
      </c>
      <c r="J258" s="853" t="s">
        <v>253</v>
      </c>
      <c r="K258" s="853" t="s">
        <v>253</v>
      </c>
      <c r="L258" s="854">
        <f t="shared" si="38"/>
        <v>4583</v>
      </c>
    </row>
    <row r="259" spans="1:12" x14ac:dyDescent="0.25">
      <c r="B259" s="850">
        <v>45497</v>
      </c>
      <c r="C259" s="851" t="s">
        <v>13</v>
      </c>
      <c r="D259" s="852" t="s">
        <v>18</v>
      </c>
      <c r="E259" s="853">
        <v>5458</v>
      </c>
      <c r="F259" s="853" t="s">
        <v>253</v>
      </c>
      <c r="G259" s="853" t="s">
        <v>253</v>
      </c>
      <c r="H259" s="853" t="s">
        <v>253</v>
      </c>
      <c r="I259" s="853" t="s">
        <v>253</v>
      </c>
      <c r="J259" s="853" t="s">
        <v>253</v>
      </c>
      <c r="K259" s="853" t="s">
        <v>253</v>
      </c>
      <c r="L259" s="854">
        <f t="shared" si="38"/>
        <v>5458</v>
      </c>
    </row>
    <row r="260" spans="1:12" x14ac:dyDescent="0.25">
      <c r="B260" s="850">
        <v>45511</v>
      </c>
      <c r="C260" s="851" t="s">
        <v>13</v>
      </c>
      <c r="D260" s="852" t="s">
        <v>15</v>
      </c>
      <c r="E260" s="853">
        <v>4375</v>
      </c>
      <c r="F260" s="853" t="s">
        <v>253</v>
      </c>
      <c r="G260" s="853" t="s">
        <v>253</v>
      </c>
      <c r="H260" s="853" t="s">
        <v>253</v>
      </c>
      <c r="I260" s="853" t="s">
        <v>253</v>
      </c>
      <c r="J260" s="853" t="s">
        <v>253</v>
      </c>
      <c r="K260" s="853" t="s">
        <v>253</v>
      </c>
      <c r="L260" s="854">
        <f t="shared" si="38"/>
        <v>4375</v>
      </c>
    </row>
    <row r="261" spans="1:12" x14ac:dyDescent="0.25">
      <c r="B261" s="850">
        <v>45516</v>
      </c>
      <c r="C261" s="851" t="s">
        <v>13</v>
      </c>
      <c r="D261" s="852" t="s">
        <v>18</v>
      </c>
      <c r="E261" s="853">
        <v>5000</v>
      </c>
      <c r="F261" s="853" t="s">
        <v>253</v>
      </c>
      <c r="G261" s="853" t="s">
        <v>253</v>
      </c>
      <c r="H261" s="853" t="s">
        <v>253</v>
      </c>
      <c r="I261" s="853" t="s">
        <v>253</v>
      </c>
      <c r="J261" s="853" t="s">
        <v>253</v>
      </c>
      <c r="K261" s="853" t="s">
        <v>253</v>
      </c>
      <c r="L261" s="854">
        <f t="shared" si="38"/>
        <v>5000</v>
      </c>
    </row>
    <row r="262" spans="1:12" ht="18.75" x14ac:dyDescent="0.25">
      <c r="A262" s="605" t="s">
        <v>254</v>
      </c>
      <c r="B262" s="1030" t="s">
        <v>255</v>
      </c>
      <c r="C262" s="1031"/>
      <c r="D262" s="855">
        <f>SUM(E262:K262)</f>
        <v>35666</v>
      </c>
      <c r="E262" s="854">
        <f t="shared" ref="E262:K262" si="39">SUM(E256:E261)</f>
        <v>35666</v>
      </c>
      <c r="F262" s="854">
        <f t="shared" si="39"/>
        <v>0</v>
      </c>
      <c r="G262" s="854">
        <f t="shared" si="39"/>
        <v>0</v>
      </c>
      <c r="H262" s="854">
        <f t="shared" si="39"/>
        <v>0</v>
      </c>
      <c r="I262" s="854">
        <f t="shared" si="39"/>
        <v>0</v>
      </c>
      <c r="J262" s="854">
        <f t="shared" si="39"/>
        <v>0</v>
      </c>
      <c r="K262" s="854">
        <f t="shared" si="39"/>
        <v>0</v>
      </c>
      <c r="L262" s="856">
        <f>SUM(E262:K262)-SUM(L256:L261)</f>
        <v>0</v>
      </c>
    </row>
    <row r="264" spans="1:12" ht="18.75" x14ac:dyDescent="0.3">
      <c r="B264" s="845" t="s">
        <v>246</v>
      </c>
      <c r="C264" s="1032" t="s">
        <v>132</v>
      </c>
      <c r="D264" s="1033"/>
      <c r="E264" s="848" t="s">
        <v>247</v>
      </c>
      <c r="F264" s="859"/>
      <c r="G264" s="859"/>
      <c r="H264" s="859"/>
      <c r="I264" s="860" t="s">
        <v>248</v>
      </c>
      <c r="J264" s="847">
        <f>+J254+1</f>
        <v>1175</v>
      </c>
      <c r="K264" s="848" t="s">
        <v>137</v>
      </c>
      <c r="L264" s="847">
        <v>221746</v>
      </c>
    </row>
    <row r="265" spans="1:12" x14ac:dyDescent="0.25">
      <c r="B265" s="849" t="s">
        <v>0</v>
      </c>
      <c r="C265" s="849" t="s">
        <v>249</v>
      </c>
      <c r="D265" s="849" t="s">
        <v>6</v>
      </c>
      <c r="E265" s="849" t="s">
        <v>250</v>
      </c>
      <c r="F265" s="849" t="s">
        <v>62</v>
      </c>
      <c r="G265" s="849" t="s">
        <v>63</v>
      </c>
      <c r="H265" s="849" t="s">
        <v>64</v>
      </c>
      <c r="I265" s="849" t="s">
        <v>251</v>
      </c>
      <c r="J265" s="849" t="s">
        <v>66</v>
      </c>
      <c r="K265" s="849" t="s">
        <v>68</v>
      </c>
      <c r="L265" s="849" t="s">
        <v>252</v>
      </c>
    </row>
    <row r="266" spans="1:12" x14ac:dyDescent="0.25">
      <c r="B266" s="850">
        <v>45485</v>
      </c>
      <c r="C266" s="851" t="s">
        <v>13</v>
      </c>
      <c r="D266" s="852" t="s">
        <v>15</v>
      </c>
      <c r="E266" s="853">
        <v>5000</v>
      </c>
      <c r="F266" s="853" t="s">
        <v>253</v>
      </c>
      <c r="G266" s="853" t="s">
        <v>253</v>
      </c>
      <c r="H266" s="853" t="s">
        <v>253</v>
      </c>
      <c r="I266" s="853" t="s">
        <v>253</v>
      </c>
      <c r="J266" s="853" t="s">
        <v>253</v>
      </c>
      <c r="K266" s="853" t="s">
        <v>253</v>
      </c>
      <c r="L266" s="854">
        <f>SUM(E266:K266)</f>
        <v>5000</v>
      </c>
    </row>
    <row r="267" spans="1:12" x14ac:dyDescent="0.25">
      <c r="B267" s="850">
        <v>45490</v>
      </c>
      <c r="C267" s="852" t="s">
        <v>13</v>
      </c>
      <c r="D267" s="858" t="s">
        <v>15</v>
      </c>
      <c r="E267" s="853">
        <v>11250</v>
      </c>
      <c r="F267" s="853" t="s">
        <v>253</v>
      </c>
      <c r="G267" s="853" t="s">
        <v>253</v>
      </c>
      <c r="H267" s="853" t="s">
        <v>253</v>
      </c>
      <c r="I267" s="853" t="s">
        <v>253</v>
      </c>
      <c r="J267" s="853" t="s">
        <v>253</v>
      </c>
      <c r="K267" s="853" t="s">
        <v>253</v>
      </c>
      <c r="L267" s="854">
        <f>SUM(E267:K267)</f>
        <v>11250</v>
      </c>
    </row>
    <row r="268" spans="1:12" x14ac:dyDescent="0.25">
      <c r="B268" s="850">
        <v>45496</v>
      </c>
      <c r="C268" s="851" t="s">
        <v>13</v>
      </c>
      <c r="D268" s="852" t="s">
        <v>18</v>
      </c>
      <c r="E268" s="853">
        <v>4583</v>
      </c>
      <c r="F268" s="853" t="s">
        <v>253</v>
      </c>
      <c r="G268" s="853" t="s">
        <v>253</v>
      </c>
      <c r="H268" s="853" t="s">
        <v>253</v>
      </c>
      <c r="I268" s="853" t="s">
        <v>253</v>
      </c>
      <c r="J268" s="853" t="s">
        <v>253</v>
      </c>
      <c r="K268" s="853" t="s">
        <v>253</v>
      </c>
      <c r="L268" s="854">
        <f>SUM(E268:K268)</f>
        <v>4583</v>
      </c>
    </row>
    <row r="269" spans="1:12" x14ac:dyDescent="0.25">
      <c r="B269" s="850">
        <v>45497</v>
      </c>
      <c r="C269" s="851" t="s">
        <v>13</v>
      </c>
      <c r="D269" s="852" t="s">
        <v>18</v>
      </c>
      <c r="E269" s="853">
        <v>5458</v>
      </c>
      <c r="F269" s="853" t="s">
        <v>253</v>
      </c>
      <c r="G269" s="853" t="s">
        <v>253</v>
      </c>
      <c r="H269" s="853" t="s">
        <v>253</v>
      </c>
      <c r="I269" s="853" t="s">
        <v>253</v>
      </c>
      <c r="J269" s="853" t="s">
        <v>253</v>
      </c>
      <c r="K269" s="853" t="s">
        <v>253</v>
      </c>
      <c r="L269" s="854">
        <f>SUM(E269:K269)</f>
        <v>5458</v>
      </c>
    </row>
    <row r="270" spans="1:12" x14ac:dyDescent="0.25">
      <c r="B270" s="850">
        <v>45511</v>
      </c>
      <c r="C270" s="851" t="s">
        <v>13</v>
      </c>
      <c r="D270" s="852" t="s">
        <v>15</v>
      </c>
      <c r="E270" s="853">
        <v>4375</v>
      </c>
      <c r="F270" s="853" t="s">
        <v>253</v>
      </c>
      <c r="G270" s="853" t="s">
        <v>253</v>
      </c>
      <c r="H270" s="853" t="s">
        <v>253</v>
      </c>
      <c r="I270" s="853" t="s">
        <v>253</v>
      </c>
      <c r="J270" s="853" t="s">
        <v>253</v>
      </c>
      <c r="K270" s="853" t="s">
        <v>253</v>
      </c>
      <c r="L270" s="854">
        <f>SUM(E270:K270)</f>
        <v>4375</v>
      </c>
    </row>
    <row r="271" spans="1:12" ht="18.75" x14ac:dyDescent="0.25">
      <c r="A271" s="605" t="s">
        <v>254</v>
      </c>
      <c r="B271" s="1030" t="s">
        <v>255</v>
      </c>
      <c r="C271" s="1031"/>
      <c r="D271" s="855">
        <f>SUM(E271:K271)</f>
        <v>30666</v>
      </c>
      <c r="E271" s="854">
        <f t="shared" ref="E271:K271" si="40">SUM(E266:E270)</f>
        <v>30666</v>
      </c>
      <c r="F271" s="854">
        <f t="shared" si="40"/>
        <v>0</v>
      </c>
      <c r="G271" s="854">
        <f t="shared" si="40"/>
        <v>0</v>
      </c>
      <c r="H271" s="854">
        <f t="shared" si="40"/>
        <v>0</v>
      </c>
      <c r="I271" s="854">
        <f t="shared" si="40"/>
        <v>0</v>
      </c>
      <c r="J271" s="854">
        <f t="shared" si="40"/>
        <v>0</v>
      </c>
      <c r="K271" s="854">
        <f t="shared" si="40"/>
        <v>0</v>
      </c>
      <c r="L271" s="856">
        <f>SUM(E271:K271)-SUM(L266:L270)</f>
        <v>0</v>
      </c>
    </row>
    <row r="272" spans="1:12" x14ac:dyDescent="0.25">
      <c r="D272" s="162"/>
    </row>
    <row r="273" spans="1:12" ht="18.75" x14ac:dyDescent="0.3">
      <c r="B273" s="845" t="s">
        <v>246</v>
      </c>
      <c r="C273" s="1032" t="s">
        <v>634</v>
      </c>
      <c r="D273" s="1033"/>
      <c r="E273" s="848" t="s">
        <v>247</v>
      </c>
      <c r="F273" s="859"/>
      <c r="G273" s="859"/>
      <c r="H273" s="859"/>
      <c r="I273" s="860" t="s">
        <v>248</v>
      </c>
      <c r="J273" s="847">
        <f>+J264+1</f>
        <v>1176</v>
      </c>
      <c r="K273" s="848" t="s">
        <v>137</v>
      </c>
      <c r="L273" s="847">
        <v>221748</v>
      </c>
    </row>
    <row r="274" spans="1:12" x14ac:dyDescent="0.25">
      <c r="B274" s="849" t="s">
        <v>0</v>
      </c>
      <c r="C274" s="849" t="s">
        <v>249</v>
      </c>
      <c r="D274" s="849" t="s">
        <v>6</v>
      </c>
      <c r="E274" s="861" t="s">
        <v>635</v>
      </c>
      <c r="F274" s="849" t="s">
        <v>62</v>
      </c>
      <c r="G274" s="849" t="s">
        <v>63</v>
      </c>
      <c r="H274" s="849" t="s">
        <v>64</v>
      </c>
      <c r="I274" s="849" t="s">
        <v>251</v>
      </c>
      <c r="J274" s="849" t="s">
        <v>66</v>
      </c>
      <c r="K274" s="849" t="s">
        <v>68</v>
      </c>
      <c r="L274" s="849" t="s">
        <v>252</v>
      </c>
    </row>
    <row r="275" spans="1:12" x14ac:dyDescent="0.25">
      <c r="B275" s="862" t="s">
        <v>625</v>
      </c>
      <c r="C275" s="851" t="s">
        <v>590</v>
      </c>
      <c r="D275" s="852" t="s">
        <v>633</v>
      </c>
      <c r="E275" s="853">
        <v>100000</v>
      </c>
      <c r="F275" s="853" t="s">
        <v>253</v>
      </c>
      <c r="G275" s="853" t="s">
        <v>253</v>
      </c>
      <c r="H275" s="853" t="s">
        <v>253</v>
      </c>
      <c r="I275" s="853" t="s">
        <v>253</v>
      </c>
      <c r="J275" s="853" t="s">
        <v>253</v>
      </c>
      <c r="K275" s="853" t="s">
        <v>253</v>
      </c>
      <c r="L275" s="854">
        <f t="shared" ref="L275:L282" si="41">SUM(E275:K275)</f>
        <v>100000</v>
      </c>
    </row>
    <row r="276" spans="1:12" x14ac:dyDescent="0.25">
      <c r="B276" s="862" t="s">
        <v>626</v>
      </c>
      <c r="C276" s="851" t="s">
        <v>590</v>
      </c>
      <c r="D276" s="852" t="s">
        <v>633</v>
      </c>
      <c r="E276" s="853">
        <v>100000</v>
      </c>
      <c r="F276" s="853" t="s">
        <v>253</v>
      </c>
      <c r="G276" s="853" t="s">
        <v>253</v>
      </c>
      <c r="H276" s="853" t="s">
        <v>253</v>
      </c>
      <c r="I276" s="853" t="s">
        <v>253</v>
      </c>
      <c r="J276" s="853" t="s">
        <v>253</v>
      </c>
      <c r="K276" s="853" t="s">
        <v>253</v>
      </c>
      <c r="L276" s="854">
        <f t="shared" si="41"/>
        <v>100000</v>
      </c>
    </row>
    <row r="277" spans="1:12" x14ac:dyDescent="0.25">
      <c r="B277" s="862" t="s">
        <v>627</v>
      </c>
      <c r="C277" s="851" t="s">
        <v>590</v>
      </c>
      <c r="D277" s="852" t="s">
        <v>633</v>
      </c>
      <c r="E277" s="853">
        <v>100000</v>
      </c>
      <c r="F277" s="853" t="s">
        <v>253</v>
      </c>
      <c r="G277" s="853" t="s">
        <v>253</v>
      </c>
      <c r="H277" s="853" t="s">
        <v>253</v>
      </c>
      <c r="I277" s="853" t="s">
        <v>253</v>
      </c>
      <c r="J277" s="853" t="s">
        <v>253</v>
      </c>
      <c r="K277" s="853" t="s">
        <v>253</v>
      </c>
      <c r="L277" s="854">
        <f t="shared" si="41"/>
        <v>100000</v>
      </c>
    </row>
    <row r="278" spans="1:12" x14ac:dyDescent="0.25">
      <c r="B278" s="862" t="s">
        <v>628</v>
      </c>
      <c r="C278" s="851" t="s">
        <v>590</v>
      </c>
      <c r="D278" s="852" t="s">
        <v>633</v>
      </c>
      <c r="E278" s="853">
        <v>100000</v>
      </c>
      <c r="F278" s="853" t="s">
        <v>253</v>
      </c>
      <c r="G278" s="853" t="s">
        <v>253</v>
      </c>
      <c r="H278" s="853" t="s">
        <v>253</v>
      </c>
      <c r="I278" s="853" t="s">
        <v>253</v>
      </c>
      <c r="J278" s="853" t="s">
        <v>253</v>
      </c>
      <c r="K278" s="853" t="s">
        <v>253</v>
      </c>
      <c r="L278" s="854">
        <f t="shared" si="41"/>
        <v>100000</v>
      </c>
    </row>
    <row r="279" spans="1:12" x14ac:dyDescent="0.25">
      <c r="B279" s="862" t="s">
        <v>629</v>
      </c>
      <c r="C279" s="851" t="s">
        <v>590</v>
      </c>
      <c r="D279" s="852" t="s">
        <v>633</v>
      </c>
      <c r="E279" s="853">
        <v>100000</v>
      </c>
      <c r="F279" s="853" t="s">
        <v>253</v>
      </c>
      <c r="G279" s="853" t="s">
        <v>253</v>
      </c>
      <c r="H279" s="853" t="s">
        <v>253</v>
      </c>
      <c r="I279" s="853" t="s">
        <v>253</v>
      </c>
      <c r="J279" s="853" t="s">
        <v>253</v>
      </c>
      <c r="K279" s="853" t="s">
        <v>253</v>
      </c>
      <c r="L279" s="854">
        <f t="shared" si="41"/>
        <v>100000</v>
      </c>
    </row>
    <row r="280" spans="1:12" x14ac:dyDescent="0.25">
      <c r="B280" s="862" t="s">
        <v>630</v>
      </c>
      <c r="C280" s="851" t="s">
        <v>590</v>
      </c>
      <c r="D280" s="852" t="s">
        <v>633</v>
      </c>
      <c r="E280" s="853">
        <v>100000</v>
      </c>
      <c r="F280" s="853" t="s">
        <v>253</v>
      </c>
      <c r="G280" s="853" t="s">
        <v>253</v>
      </c>
      <c r="H280" s="853" t="s">
        <v>253</v>
      </c>
      <c r="I280" s="853" t="s">
        <v>253</v>
      </c>
      <c r="J280" s="853" t="s">
        <v>253</v>
      </c>
      <c r="K280" s="853" t="s">
        <v>253</v>
      </c>
      <c r="L280" s="854">
        <f t="shared" si="41"/>
        <v>100000</v>
      </c>
    </row>
    <row r="281" spans="1:12" x14ac:dyDescent="0.25">
      <c r="B281" s="862" t="s">
        <v>631</v>
      </c>
      <c r="C281" s="851" t="s">
        <v>590</v>
      </c>
      <c r="D281" s="852" t="s">
        <v>633</v>
      </c>
      <c r="E281" s="853">
        <v>100000</v>
      </c>
      <c r="F281" s="853" t="s">
        <v>253</v>
      </c>
      <c r="G281" s="853" t="s">
        <v>253</v>
      </c>
      <c r="H281" s="853" t="s">
        <v>253</v>
      </c>
      <c r="I281" s="853" t="s">
        <v>253</v>
      </c>
      <c r="J281" s="853" t="s">
        <v>253</v>
      </c>
      <c r="K281" s="853" t="s">
        <v>253</v>
      </c>
      <c r="L281" s="854">
        <f t="shared" si="41"/>
        <v>100000</v>
      </c>
    </row>
    <row r="282" spans="1:12" x14ac:dyDescent="0.25">
      <c r="B282" s="862" t="s">
        <v>632</v>
      </c>
      <c r="C282" s="851" t="s">
        <v>590</v>
      </c>
      <c r="D282" s="852" t="s">
        <v>633</v>
      </c>
      <c r="E282" s="853">
        <v>100000</v>
      </c>
      <c r="F282" s="853" t="s">
        <v>253</v>
      </c>
      <c r="G282" s="853" t="s">
        <v>253</v>
      </c>
      <c r="H282" s="853" t="s">
        <v>253</v>
      </c>
      <c r="I282" s="853" t="s">
        <v>253</v>
      </c>
      <c r="J282" s="853" t="s">
        <v>253</v>
      </c>
      <c r="K282" s="853" t="s">
        <v>253</v>
      </c>
      <c r="L282" s="854">
        <f t="shared" si="41"/>
        <v>100000</v>
      </c>
    </row>
    <row r="283" spans="1:12" ht="18.75" x14ac:dyDescent="0.25">
      <c r="A283" s="605" t="s">
        <v>254</v>
      </c>
      <c r="B283" s="1030" t="s">
        <v>255</v>
      </c>
      <c r="C283" s="1031"/>
      <c r="D283" s="855">
        <f>SUM(E283:K283)</f>
        <v>800000</v>
      </c>
      <c r="E283" s="854">
        <f t="shared" ref="E283:K283" si="42">SUM(E275:E282)</f>
        <v>800000</v>
      </c>
      <c r="F283" s="854">
        <f t="shared" si="42"/>
        <v>0</v>
      </c>
      <c r="G283" s="854">
        <f t="shared" si="42"/>
        <v>0</v>
      </c>
      <c r="H283" s="854">
        <f t="shared" si="42"/>
        <v>0</v>
      </c>
      <c r="I283" s="854">
        <f t="shared" si="42"/>
        <v>0</v>
      </c>
      <c r="J283" s="854">
        <f t="shared" si="42"/>
        <v>0</v>
      </c>
      <c r="K283" s="854">
        <f t="shared" si="42"/>
        <v>0</v>
      </c>
      <c r="L283" s="856">
        <f>SUM(E283:K283)-SUM(L275:L282)</f>
        <v>0</v>
      </c>
    </row>
    <row r="284" spans="1:12" ht="15.75" x14ac:dyDescent="0.25">
      <c r="D284" s="608">
        <f>+D271+D262+D252+D242+D233+D219+D208+D195+D283</f>
        <v>1496299.6</v>
      </c>
    </row>
    <row r="285" spans="1:12" ht="18.75" x14ac:dyDescent="0.3">
      <c r="B285" s="845" t="s">
        <v>246</v>
      </c>
      <c r="C285" s="1032" t="str">
        <f>+C405</f>
        <v>Patrico Bustos</v>
      </c>
      <c r="D285" s="1033"/>
      <c r="E285" s="1034" t="s">
        <v>637</v>
      </c>
      <c r="F285" s="1035"/>
      <c r="G285" s="1035"/>
      <c r="H285" s="1036"/>
      <c r="I285" s="846" t="s">
        <v>248</v>
      </c>
      <c r="J285" s="847">
        <f>+J273+1</f>
        <v>1177</v>
      </c>
      <c r="K285" s="848" t="s">
        <v>364</v>
      </c>
      <c r="L285" s="847">
        <v>221748</v>
      </c>
    </row>
    <row r="286" spans="1:12" x14ac:dyDescent="0.25">
      <c r="B286" s="849" t="s">
        <v>0</v>
      </c>
      <c r="C286" s="849" t="s">
        <v>249</v>
      </c>
      <c r="D286" s="849" t="s">
        <v>6</v>
      </c>
      <c r="E286" s="849" t="s">
        <v>250</v>
      </c>
      <c r="F286" s="849" t="s">
        <v>62</v>
      </c>
      <c r="G286" s="849" t="s">
        <v>63</v>
      </c>
      <c r="H286" s="849" t="s">
        <v>64</v>
      </c>
      <c r="I286" s="849" t="s">
        <v>251</v>
      </c>
      <c r="J286" s="849" t="s">
        <v>66</v>
      </c>
      <c r="K286" s="849" t="s">
        <v>68</v>
      </c>
      <c r="L286" s="849" t="s">
        <v>252</v>
      </c>
    </row>
    <row r="287" spans="1:12" x14ac:dyDescent="0.25">
      <c r="B287" s="850">
        <v>45533</v>
      </c>
      <c r="C287" s="852" t="s">
        <v>13</v>
      </c>
      <c r="D287" s="858" t="s">
        <v>15</v>
      </c>
      <c r="E287" s="853">
        <v>6083</v>
      </c>
      <c r="F287" s="853" t="s">
        <v>253</v>
      </c>
      <c r="G287" s="853" t="s">
        <v>253</v>
      </c>
      <c r="H287" s="853" t="s">
        <v>253</v>
      </c>
      <c r="I287" s="853" t="s">
        <v>253</v>
      </c>
      <c r="J287" s="853" t="s">
        <v>253</v>
      </c>
      <c r="K287" s="853" t="s">
        <v>253</v>
      </c>
      <c r="L287" s="854">
        <f t="shared" ref="L287:L296" si="43">SUM(E287:K287)</f>
        <v>6083</v>
      </c>
    </row>
    <row r="288" spans="1:12" x14ac:dyDescent="0.25">
      <c r="B288" s="850">
        <v>45538</v>
      </c>
      <c r="C288" s="852" t="s">
        <v>13</v>
      </c>
      <c r="D288" s="858" t="s">
        <v>15</v>
      </c>
      <c r="E288" s="853">
        <v>5250</v>
      </c>
      <c r="F288" s="853" t="s">
        <v>253</v>
      </c>
      <c r="G288" s="853" t="s">
        <v>253</v>
      </c>
      <c r="H288" s="853" t="s">
        <v>253</v>
      </c>
      <c r="I288" s="853" t="s">
        <v>253</v>
      </c>
      <c r="J288" s="853" t="s">
        <v>253</v>
      </c>
      <c r="K288" s="853" t="s">
        <v>253</v>
      </c>
      <c r="L288" s="854">
        <f t="shared" si="43"/>
        <v>5250</v>
      </c>
    </row>
    <row r="289" spans="1:12" x14ac:dyDescent="0.25">
      <c r="B289" s="850">
        <v>45539</v>
      </c>
      <c r="C289" s="852" t="s">
        <v>13</v>
      </c>
      <c r="D289" s="858" t="s">
        <v>15</v>
      </c>
      <c r="E289" s="853">
        <v>2500</v>
      </c>
      <c r="F289" s="853" t="s">
        <v>253</v>
      </c>
      <c r="G289" s="853" t="s">
        <v>253</v>
      </c>
      <c r="H289" s="853" t="s">
        <v>253</v>
      </c>
      <c r="I289" s="853" t="s">
        <v>253</v>
      </c>
      <c r="J289" s="853" t="s">
        <v>253</v>
      </c>
      <c r="K289" s="853" t="s">
        <v>253</v>
      </c>
      <c r="L289" s="854">
        <f t="shared" si="43"/>
        <v>2500</v>
      </c>
    </row>
    <row r="290" spans="1:12" x14ac:dyDescent="0.25">
      <c r="B290" s="850">
        <v>45561</v>
      </c>
      <c r="C290" s="852" t="s">
        <v>13</v>
      </c>
      <c r="D290" s="858" t="s">
        <v>15</v>
      </c>
      <c r="E290" s="853">
        <v>7083</v>
      </c>
      <c r="F290" s="853" t="s">
        <v>253</v>
      </c>
      <c r="G290" s="853" t="s">
        <v>253</v>
      </c>
      <c r="H290" s="853" t="s">
        <v>253</v>
      </c>
      <c r="I290" s="853" t="s">
        <v>253</v>
      </c>
      <c r="J290" s="853" t="s">
        <v>253</v>
      </c>
      <c r="K290" s="853" t="s">
        <v>253</v>
      </c>
      <c r="L290" s="854">
        <f t="shared" si="43"/>
        <v>7083</v>
      </c>
    </row>
    <row r="291" spans="1:12" x14ac:dyDescent="0.25">
      <c r="B291" s="850">
        <v>45566</v>
      </c>
      <c r="C291" s="852" t="s">
        <v>13</v>
      </c>
      <c r="D291" s="852" t="s">
        <v>18</v>
      </c>
      <c r="E291" s="853">
        <v>1250</v>
      </c>
      <c r="F291" s="853" t="s">
        <v>253</v>
      </c>
      <c r="G291" s="853" t="s">
        <v>253</v>
      </c>
      <c r="H291" s="853" t="s">
        <v>253</v>
      </c>
      <c r="I291" s="853" t="s">
        <v>253</v>
      </c>
      <c r="J291" s="853" t="s">
        <v>253</v>
      </c>
      <c r="K291" s="853" t="s">
        <v>253</v>
      </c>
      <c r="L291" s="854">
        <f>SUM(E291:K291)</f>
        <v>1250</v>
      </c>
    </row>
    <row r="292" spans="1:12" x14ac:dyDescent="0.25">
      <c r="B292" s="850">
        <v>45566</v>
      </c>
      <c r="C292" s="852" t="s">
        <v>13</v>
      </c>
      <c r="D292" s="852" t="s">
        <v>18</v>
      </c>
      <c r="E292" s="853">
        <v>5000</v>
      </c>
      <c r="F292" s="853" t="s">
        <v>253</v>
      </c>
      <c r="G292" s="853" t="s">
        <v>253</v>
      </c>
      <c r="H292" s="853" t="s">
        <v>253</v>
      </c>
      <c r="I292" s="853" t="s">
        <v>253</v>
      </c>
      <c r="J292" s="853" t="s">
        <v>253</v>
      </c>
      <c r="K292" s="853" t="s">
        <v>253</v>
      </c>
      <c r="L292" s="854">
        <f>SUM(E292:K292)</f>
        <v>5000</v>
      </c>
    </row>
    <row r="293" spans="1:12" x14ac:dyDescent="0.25">
      <c r="B293" s="850">
        <v>45568</v>
      </c>
      <c r="C293" s="852" t="s">
        <v>13</v>
      </c>
      <c r="D293" s="852" t="s">
        <v>18</v>
      </c>
      <c r="E293" s="853">
        <v>5417</v>
      </c>
      <c r="F293" s="853" t="s">
        <v>253</v>
      </c>
      <c r="G293" s="853" t="s">
        <v>253</v>
      </c>
      <c r="H293" s="853" t="s">
        <v>253</v>
      </c>
      <c r="I293" s="853" t="s">
        <v>253</v>
      </c>
      <c r="J293" s="853" t="s">
        <v>253</v>
      </c>
      <c r="K293" s="853" t="s">
        <v>253</v>
      </c>
      <c r="L293" s="854">
        <f>SUM(E293:K293)</f>
        <v>5417</v>
      </c>
    </row>
    <row r="294" spans="1:12" x14ac:dyDescent="0.25">
      <c r="B294" s="850">
        <v>45570</v>
      </c>
      <c r="C294" s="852" t="s">
        <v>13</v>
      </c>
      <c r="D294" s="852" t="s">
        <v>18</v>
      </c>
      <c r="E294" s="853">
        <v>5000</v>
      </c>
      <c r="F294" s="853" t="s">
        <v>253</v>
      </c>
      <c r="G294" s="853" t="s">
        <v>253</v>
      </c>
      <c r="H294" s="853" t="s">
        <v>253</v>
      </c>
      <c r="I294" s="853" t="s">
        <v>253</v>
      </c>
      <c r="J294" s="853" t="s">
        <v>253</v>
      </c>
      <c r="K294" s="853" t="s">
        <v>253</v>
      </c>
      <c r="L294" s="854">
        <f t="shared" si="43"/>
        <v>5000</v>
      </c>
    </row>
    <row r="295" spans="1:12" x14ac:dyDescent="0.25">
      <c r="B295" s="850">
        <v>45573</v>
      </c>
      <c r="C295" s="852" t="s">
        <v>13</v>
      </c>
      <c r="D295" s="852" t="s">
        <v>20</v>
      </c>
      <c r="E295" s="853">
        <v>60000</v>
      </c>
      <c r="F295" s="853" t="s">
        <v>253</v>
      </c>
      <c r="G295" s="853" t="s">
        <v>253</v>
      </c>
      <c r="H295" s="853" t="s">
        <v>253</v>
      </c>
      <c r="I295" s="853" t="s">
        <v>253</v>
      </c>
      <c r="J295" s="853" t="s">
        <v>253</v>
      </c>
      <c r="K295" s="853" t="s">
        <v>253</v>
      </c>
      <c r="L295" s="854">
        <f t="shared" si="43"/>
        <v>60000</v>
      </c>
    </row>
    <row r="296" spans="1:12" x14ac:dyDescent="0.25">
      <c r="B296" s="850"/>
      <c r="C296" s="851"/>
      <c r="D296" s="852"/>
      <c r="E296" s="853" t="s">
        <v>253</v>
      </c>
      <c r="F296" s="853" t="s">
        <v>253</v>
      </c>
      <c r="G296" s="853" t="s">
        <v>253</v>
      </c>
      <c r="H296" s="853" t="s">
        <v>253</v>
      </c>
      <c r="I296" s="853" t="s">
        <v>253</v>
      </c>
      <c r="J296" s="853" t="s">
        <v>253</v>
      </c>
      <c r="K296" s="853" t="s">
        <v>253</v>
      </c>
      <c r="L296" s="854">
        <f t="shared" si="43"/>
        <v>0</v>
      </c>
    </row>
    <row r="297" spans="1:12" ht="18.75" x14ac:dyDescent="0.25">
      <c r="A297" s="605" t="s">
        <v>254</v>
      </c>
      <c r="B297" s="1030" t="s">
        <v>255</v>
      </c>
      <c r="C297" s="1031"/>
      <c r="D297" s="855">
        <f>SUM(E297:K297)</f>
        <v>97583</v>
      </c>
      <c r="E297" s="854">
        <f t="shared" ref="E297:K297" si="44">SUM(E287:E296)</f>
        <v>97583</v>
      </c>
      <c r="F297" s="854">
        <f t="shared" si="44"/>
        <v>0</v>
      </c>
      <c r="G297" s="854">
        <f t="shared" si="44"/>
        <v>0</v>
      </c>
      <c r="H297" s="854">
        <f t="shared" si="44"/>
        <v>0</v>
      </c>
      <c r="I297" s="854">
        <f t="shared" si="44"/>
        <v>0</v>
      </c>
      <c r="J297" s="854">
        <f t="shared" si="44"/>
        <v>0</v>
      </c>
      <c r="K297" s="854">
        <f t="shared" si="44"/>
        <v>0</v>
      </c>
      <c r="L297" s="856">
        <f>SUM(E297:K297)-SUM(L287:L296)</f>
        <v>0</v>
      </c>
    </row>
    <row r="299" spans="1:12" ht="18.75" x14ac:dyDescent="0.3">
      <c r="B299" s="845" t="s">
        <v>246</v>
      </c>
      <c r="C299" s="1032" t="str">
        <f>+C417</f>
        <v>Richard Toloza</v>
      </c>
      <c r="D299" s="1033"/>
      <c r="E299" s="1034" t="s">
        <v>637</v>
      </c>
      <c r="F299" s="1035"/>
      <c r="G299" s="1035"/>
      <c r="H299" s="1036"/>
      <c r="I299" s="846" t="s">
        <v>248</v>
      </c>
      <c r="J299" s="847">
        <f>+J285+1</f>
        <v>1178</v>
      </c>
      <c r="K299" s="848" t="s">
        <v>364</v>
      </c>
      <c r="L299" s="847">
        <v>221748</v>
      </c>
    </row>
    <row r="300" spans="1:12" x14ac:dyDescent="0.25">
      <c r="B300" s="849" t="s">
        <v>0</v>
      </c>
      <c r="C300" s="849" t="s">
        <v>249</v>
      </c>
      <c r="D300" s="849" t="s">
        <v>6</v>
      </c>
      <c r="E300" s="849" t="s">
        <v>250</v>
      </c>
      <c r="F300" s="849" t="s">
        <v>62</v>
      </c>
      <c r="G300" s="849" t="s">
        <v>63</v>
      </c>
      <c r="H300" s="849" t="s">
        <v>64</v>
      </c>
      <c r="I300" s="849" t="s">
        <v>251</v>
      </c>
      <c r="J300" s="849" t="s">
        <v>66</v>
      </c>
      <c r="K300" s="849" t="s">
        <v>68</v>
      </c>
      <c r="L300" s="849" t="s">
        <v>252</v>
      </c>
    </row>
    <row r="301" spans="1:12" x14ac:dyDescent="0.25">
      <c r="B301" s="850">
        <v>45533</v>
      </c>
      <c r="C301" s="852" t="s">
        <v>13</v>
      </c>
      <c r="D301" s="858" t="s">
        <v>15</v>
      </c>
      <c r="E301" s="853">
        <v>6083</v>
      </c>
      <c r="F301" s="853" t="s">
        <v>253</v>
      </c>
      <c r="G301" s="853" t="s">
        <v>253</v>
      </c>
      <c r="H301" s="853" t="s">
        <v>253</v>
      </c>
      <c r="I301" s="853" t="s">
        <v>253</v>
      </c>
      <c r="J301" s="853" t="s">
        <v>253</v>
      </c>
      <c r="K301" s="853" t="s">
        <v>253</v>
      </c>
      <c r="L301" s="854">
        <f>SUM(E301:K301)</f>
        <v>6083</v>
      </c>
    </row>
    <row r="302" spans="1:12" x14ac:dyDescent="0.25">
      <c r="B302" s="850">
        <v>45538</v>
      </c>
      <c r="C302" s="852" t="s">
        <v>13</v>
      </c>
      <c r="D302" s="858" t="s">
        <v>15</v>
      </c>
      <c r="E302" s="853">
        <v>5250</v>
      </c>
      <c r="F302" s="853" t="s">
        <v>253</v>
      </c>
      <c r="G302" s="853" t="s">
        <v>253</v>
      </c>
      <c r="H302" s="853" t="s">
        <v>253</v>
      </c>
      <c r="I302" s="853" t="s">
        <v>253</v>
      </c>
      <c r="J302" s="853" t="s">
        <v>253</v>
      </c>
      <c r="K302" s="853" t="s">
        <v>253</v>
      </c>
      <c r="L302" s="854">
        <f>SUM(E302:K302)</f>
        <v>5250</v>
      </c>
    </row>
    <row r="303" spans="1:12" x14ac:dyDescent="0.25">
      <c r="B303" s="850">
        <v>45539</v>
      </c>
      <c r="C303" s="852" t="s">
        <v>13</v>
      </c>
      <c r="D303" s="858" t="s">
        <v>15</v>
      </c>
      <c r="E303" s="853">
        <v>2500</v>
      </c>
      <c r="F303" s="853" t="s">
        <v>253</v>
      </c>
      <c r="G303" s="853" t="s">
        <v>253</v>
      </c>
      <c r="H303" s="853" t="s">
        <v>253</v>
      </c>
      <c r="I303" s="853" t="s">
        <v>253</v>
      </c>
      <c r="J303" s="853" t="s">
        <v>253</v>
      </c>
      <c r="K303" s="853" t="s">
        <v>253</v>
      </c>
      <c r="L303" s="854">
        <f>SUM(E303:K303)</f>
        <v>2500</v>
      </c>
    </row>
    <row r="304" spans="1:12" x14ac:dyDescent="0.25">
      <c r="B304" s="850">
        <v>45541</v>
      </c>
      <c r="C304" s="852" t="s">
        <v>13</v>
      </c>
      <c r="D304" s="852" t="s">
        <v>18</v>
      </c>
      <c r="E304" s="853">
        <v>2500</v>
      </c>
      <c r="F304" s="853" t="s">
        <v>253</v>
      </c>
      <c r="G304" s="853" t="s">
        <v>253</v>
      </c>
      <c r="H304" s="853" t="s">
        <v>253</v>
      </c>
      <c r="I304" s="853" t="s">
        <v>253</v>
      </c>
      <c r="J304" s="853" t="s">
        <v>253</v>
      </c>
      <c r="K304" s="853" t="s">
        <v>253</v>
      </c>
      <c r="L304" s="854">
        <f t="shared" ref="L304:L311" si="45">SUM(E304:K304)</f>
        <v>2500</v>
      </c>
    </row>
    <row r="305" spans="1:12" x14ac:dyDescent="0.25">
      <c r="B305" s="850">
        <v>45561</v>
      </c>
      <c r="C305" s="852" t="s">
        <v>13</v>
      </c>
      <c r="D305" s="858" t="s">
        <v>15</v>
      </c>
      <c r="E305" s="853">
        <v>7083</v>
      </c>
      <c r="F305" s="853" t="s">
        <v>253</v>
      </c>
      <c r="G305" s="853" t="s">
        <v>253</v>
      </c>
      <c r="H305" s="853" t="s">
        <v>253</v>
      </c>
      <c r="I305" s="853" t="s">
        <v>253</v>
      </c>
      <c r="J305" s="853" t="s">
        <v>253</v>
      </c>
      <c r="K305" s="853" t="s">
        <v>253</v>
      </c>
      <c r="L305" s="854">
        <f t="shared" si="45"/>
        <v>7083</v>
      </c>
    </row>
    <row r="306" spans="1:12" x14ac:dyDescent="0.25">
      <c r="B306" s="850">
        <v>45566</v>
      </c>
      <c r="C306" s="852" t="s">
        <v>13</v>
      </c>
      <c r="D306" s="852" t="s">
        <v>18</v>
      </c>
      <c r="E306" s="853">
        <v>1250</v>
      </c>
      <c r="F306" s="853" t="s">
        <v>253</v>
      </c>
      <c r="G306" s="853" t="s">
        <v>253</v>
      </c>
      <c r="H306" s="853" t="s">
        <v>253</v>
      </c>
      <c r="I306" s="853" t="s">
        <v>253</v>
      </c>
      <c r="J306" s="853" t="s">
        <v>253</v>
      </c>
      <c r="K306" s="853" t="s">
        <v>253</v>
      </c>
      <c r="L306" s="854">
        <f t="shared" si="45"/>
        <v>1250</v>
      </c>
    </row>
    <row r="307" spans="1:12" x14ac:dyDescent="0.25">
      <c r="B307" s="850">
        <v>45566</v>
      </c>
      <c r="C307" s="852" t="s">
        <v>13</v>
      </c>
      <c r="D307" s="852" t="s">
        <v>18</v>
      </c>
      <c r="E307" s="853">
        <v>5000</v>
      </c>
      <c r="F307" s="853" t="s">
        <v>253</v>
      </c>
      <c r="G307" s="853" t="s">
        <v>253</v>
      </c>
      <c r="H307" s="853" t="s">
        <v>253</v>
      </c>
      <c r="I307" s="853" t="s">
        <v>253</v>
      </c>
      <c r="J307" s="853" t="s">
        <v>253</v>
      </c>
      <c r="K307" s="853" t="s">
        <v>253</v>
      </c>
      <c r="L307" s="854">
        <f t="shared" si="45"/>
        <v>5000</v>
      </c>
    </row>
    <row r="308" spans="1:12" x14ac:dyDescent="0.25">
      <c r="B308" s="850">
        <v>45568</v>
      </c>
      <c r="C308" s="852" t="s">
        <v>13</v>
      </c>
      <c r="D308" s="852" t="s">
        <v>18</v>
      </c>
      <c r="E308" s="853">
        <v>5417</v>
      </c>
      <c r="F308" s="853" t="s">
        <v>253</v>
      </c>
      <c r="G308" s="853" t="s">
        <v>253</v>
      </c>
      <c r="H308" s="853" t="s">
        <v>253</v>
      </c>
      <c r="I308" s="853" t="s">
        <v>253</v>
      </c>
      <c r="J308" s="853" t="s">
        <v>253</v>
      </c>
      <c r="K308" s="853" t="s">
        <v>253</v>
      </c>
      <c r="L308" s="854">
        <f t="shared" si="45"/>
        <v>5417</v>
      </c>
    </row>
    <row r="309" spans="1:12" x14ac:dyDescent="0.25">
      <c r="B309" s="850">
        <v>45570</v>
      </c>
      <c r="C309" s="852" t="s">
        <v>13</v>
      </c>
      <c r="D309" s="852" t="s">
        <v>18</v>
      </c>
      <c r="E309" s="853">
        <v>5000</v>
      </c>
      <c r="F309" s="853" t="s">
        <v>253</v>
      </c>
      <c r="G309" s="853" t="s">
        <v>253</v>
      </c>
      <c r="H309" s="853" t="s">
        <v>253</v>
      </c>
      <c r="I309" s="853" t="s">
        <v>253</v>
      </c>
      <c r="J309" s="853" t="s">
        <v>253</v>
      </c>
      <c r="K309" s="853" t="s">
        <v>253</v>
      </c>
      <c r="L309" s="854">
        <f t="shared" si="45"/>
        <v>5000</v>
      </c>
    </row>
    <row r="310" spans="1:12" x14ac:dyDescent="0.25">
      <c r="B310" s="850"/>
      <c r="C310" s="851" t="s">
        <v>124</v>
      </c>
      <c r="D310" s="852" t="s">
        <v>694</v>
      </c>
      <c r="E310" s="853">
        <v>40000</v>
      </c>
      <c r="F310" s="853" t="s">
        <v>253</v>
      </c>
      <c r="G310" s="853" t="s">
        <v>253</v>
      </c>
      <c r="H310" s="853" t="s">
        <v>253</v>
      </c>
      <c r="I310" s="853" t="s">
        <v>253</v>
      </c>
      <c r="J310" s="853" t="s">
        <v>253</v>
      </c>
      <c r="K310" s="853" t="s">
        <v>253</v>
      </c>
      <c r="L310" s="854">
        <f t="shared" si="45"/>
        <v>40000</v>
      </c>
    </row>
    <row r="311" spans="1:12" x14ac:dyDescent="0.25">
      <c r="B311" s="850"/>
      <c r="C311" s="851"/>
      <c r="D311" s="852" t="s">
        <v>68</v>
      </c>
      <c r="E311" s="853" t="s">
        <v>253</v>
      </c>
      <c r="F311" s="853" t="s">
        <v>253</v>
      </c>
      <c r="G311" s="853" t="s">
        <v>253</v>
      </c>
      <c r="H311" s="853" t="s">
        <v>253</v>
      </c>
      <c r="I311" s="853" t="s">
        <v>253</v>
      </c>
      <c r="J311" s="853" t="s">
        <v>253</v>
      </c>
      <c r="K311" s="853">
        <v>92770</v>
      </c>
      <c r="L311" s="854">
        <f t="shared" si="45"/>
        <v>92770</v>
      </c>
    </row>
    <row r="312" spans="1:12" ht="18.75" x14ac:dyDescent="0.25">
      <c r="A312" s="605" t="s">
        <v>254</v>
      </c>
      <c r="B312" s="1030" t="s">
        <v>255</v>
      </c>
      <c r="C312" s="1031"/>
      <c r="D312" s="855">
        <f>SUM(E312:K312)</f>
        <v>172853</v>
      </c>
      <c r="E312" s="854">
        <f>SUM(E301:E311)</f>
        <v>80083</v>
      </c>
      <c r="F312" s="854">
        <f t="shared" ref="F312:K312" si="46">SUM(F301:F311)</f>
        <v>0</v>
      </c>
      <c r="G312" s="854">
        <f t="shared" si="46"/>
        <v>0</v>
      </c>
      <c r="H312" s="854">
        <f t="shared" si="46"/>
        <v>0</v>
      </c>
      <c r="I312" s="854">
        <f t="shared" si="46"/>
        <v>0</v>
      </c>
      <c r="J312" s="854">
        <f t="shared" si="46"/>
        <v>0</v>
      </c>
      <c r="K312" s="854">
        <f t="shared" si="46"/>
        <v>92770</v>
      </c>
      <c r="L312" s="856">
        <f>SUM(E312:K312)-SUM(L301:L311)</f>
        <v>0</v>
      </c>
    </row>
    <row r="314" spans="1:12" ht="18.75" x14ac:dyDescent="0.3">
      <c r="B314" s="845" t="s">
        <v>246</v>
      </c>
      <c r="C314" s="1032" t="str">
        <f>+C429</f>
        <v>Christian Torres</v>
      </c>
      <c r="D314" s="1033"/>
      <c r="E314" s="1034" t="s">
        <v>637</v>
      </c>
      <c r="F314" s="1035"/>
      <c r="G314" s="1035"/>
      <c r="H314" s="1036"/>
      <c r="I314" s="846" t="s">
        <v>248</v>
      </c>
      <c r="J314" s="847">
        <f>+J299+1</f>
        <v>1179</v>
      </c>
      <c r="K314" s="848" t="s">
        <v>364</v>
      </c>
      <c r="L314" s="847">
        <v>221748</v>
      </c>
    </row>
    <row r="315" spans="1:12" x14ac:dyDescent="0.25">
      <c r="B315" s="849" t="s">
        <v>0</v>
      </c>
      <c r="C315" s="849" t="s">
        <v>249</v>
      </c>
      <c r="D315" s="849" t="s">
        <v>6</v>
      </c>
      <c r="E315" s="849" t="s">
        <v>250</v>
      </c>
      <c r="F315" s="849" t="s">
        <v>62</v>
      </c>
      <c r="G315" s="849" t="s">
        <v>63</v>
      </c>
      <c r="H315" s="849" t="s">
        <v>64</v>
      </c>
      <c r="I315" s="849" t="s">
        <v>251</v>
      </c>
      <c r="J315" s="849" t="s">
        <v>66</v>
      </c>
      <c r="K315" s="849" t="s">
        <v>68</v>
      </c>
      <c r="L315" s="849" t="s">
        <v>252</v>
      </c>
    </row>
    <row r="316" spans="1:12" x14ac:dyDescent="0.25">
      <c r="B316" s="850">
        <v>45533</v>
      </c>
      <c r="C316" s="852" t="s">
        <v>13</v>
      </c>
      <c r="D316" s="858" t="s">
        <v>15</v>
      </c>
      <c r="E316" s="853">
        <v>6083</v>
      </c>
      <c r="F316" s="853" t="s">
        <v>253</v>
      </c>
      <c r="G316" s="853" t="s">
        <v>253</v>
      </c>
      <c r="H316" s="853" t="s">
        <v>253</v>
      </c>
      <c r="I316" s="853" t="s">
        <v>253</v>
      </c>
      <c r="J316" s="853" t="s">
        <v>253</v>
      </c>
      <c r="K316" s="853" t="s">
        <v>253</v>
      </c>
      <c r="L316" s="854">
        <f t="shared" ref="L316:L325" si="47">SUM(E316:K316)</f>
        <v>6083</v>
      </c>
    </row>
    <row r="317" spans="1:12" x14ac:dyDescent="0.25">
      <c r="B317" s="850">
        <v>45538</v>
      </c>
      <c r="C317" s="852" t="s">
        <v>13</v>
      </c>
      <c r="D317" s="858" t="s">
        <v>15</v>
      </c>
      <c r="E317" s="853">
        <v>5250</v>
      </c>
      <c r="F317" s="853" t="s">
        <v>253</v>
      </c>
      <c r="G317" s="853" t="s">
        <v>253</v>
      </c>
      <c r="H317" s="853" t="s">
        <v>253</v>
      </c>
      <c r="I317" s="853" t="s">
        <v>253</v>
      </c>
      <c r="J317" s="853" t="s">
        <v>253</v>
      </c>
      <c r="K317" s="853" t="s">
        <v>253</v>
      </c>
      <c r="L317" s="854">
        <f>SUM(E317:K317)</f>
        <v>5250</v>
      </c>
    </row>
    <row r="318" spans="1:12" x14ac:dyDescent="0.25">
      <c r="B318" s="850">
        <v>45539</v>
      </c>
      <c r="C318" s="852" t="s">
        <v>13</v>
      </c>
      <c r="D318" s="858" t="s">
        <v>15</v>
      </c>
      <c r="E318" s="853">
        <v>2500</v>
      </c>
      <c r="F318" s="853" t="s">
        <v>253</v>
      </c>
      <c r="G318" s="853" t="s">
        <v>253</v>
      </c>
      <c r="H318" s="853" t="s">
        <v>253</v>
      </c>
      <c r="I318" s="853" t="s">
        <v>253</v>
      </c>
      <c r="J318" s="853" t="s">
        <v>253</v>
      </c>
      <c r="K318" s="853" t="s">
        <v>253</v>
      </c>
      <c r="L318" s="854">
        <f>SUM(E318:K318)</f>
        <v>2500</v>
      </c>
    </row>
    <row r="319" spans="1:12" x14ac:dyDescent="0.25">
      <c r="B319" s="850">
        <v>45561</v>
      </c>
      <c r="C319" s="852" t="s">
        <v>13</v>
      </c>
      <c r="D319" s="858" t="s">
        <v>15</v>
      </c>
      <c r="E319" s="853">
        <v>7083</v>
      </c>
      <c r="F319" s="853" t="s">
        <v>253</v>
      </c>
      <c r="G319" s="853" t="s">
        <v>253</v>
      </c>
      <c r="H319" s="853" t="s">
        <v>253</v>
      </c>
      <c r="I319" s="853" t="s">
        <v>253</v>
      </c>
      <c r="J319" s="853" t="s">
        <v>253</v>
      </c>
      <c r="K319" s="853" t="s">
        <v>253</v>
      </c>
      <c r="L319" s="854">
        <f t="shared" si="47"/>
        <v>7083</v>
      </c>
    </row>
    <row r="320" spans="1:12" x14ac:dyDescent="0.25">
      <c r="B320" s="850">
        <v>45566</v>
      </c>
      <c r="C320" s="852" t="s">
        <v>13</v>
      </c>
      <c r="D320" s="852" t="s">
        <v>18</v>
      </c>
      <c r="E320" s="853">
        <v>1250</v>
      </c>
      <c r="F320" s="853" t="s">
        <v>253</v>
      </c>
      <c r="G320" s="853" t="s">
        <v>253</v>
      </c>
      <c r="H320" s="853" t="s">
        <v>253</v>
      </c>
      <c r="I320" s="853" t="s">
        <v>253</v>
      </c>
      <c r="J320" s="853" t="s">
        <v>253</v>
      </c>
      <c r="K320" s="853" t="s">
        <v>253</v>
      </c>
      <c r="L320" s="854">
        <f t="shared" si="47"/>
        <v>1250</v>
      </c>
    </row>
    <row r="321" spans="1:12" x14ac:dyDescent="0.25">
      <c r="B321" s="850">
        <v>45566</v>
      </c>
      <c r="C321" s="852" t="s">
        <v>13</v>
      </c>
      <c r="D321" s="852" t="s">
        <v>18</v>
      </c>
      <c r="E321" s="853">
        <v>5000</v>
      </c>
      <c r="F321" s="853" t="s">
        <v>253</v>
      </c>
      <c r="G321" s="853" t="s">
        <v>253</v>
      </c>
      <c r="H321" s="853" t="s">
        <v>253</v>
      </c>
      <c r="I321" s="853" t="s">
        <v>253</v>
      </c>
      <c r="J321" s="853" t="s">
        <v>253</v>
      </c>
      <c r="K321" s="853" t="s">
        <v>253</v>
      </c>
      <c r="L321" s="854">
        <f t="shared" si="47"/>
        <v>5000</v>
      </c>
    </row>
    <row r="322" spans="1:12" x14ac:dyDescent="0.25">
      <c r="B322" s="850">
        <v>45568</v>
      </c>
      <c r="C322" s="852" t="s">
        <v>13</v>
      </c>
      <c r="D322" s="852" t="s">
        <v>18</v>
      </c>
      <c r="E322" s="853">
        <v>5417</v>
      </c>
      <c r="F322" s="853" t="s">
        <v>253</v>
      </c>
      <c r="G322" s="853" t="s">
        <v>253</v>
      </c>
      <c r="H322" s="853" t="s">
        <v>253</v>
      </c>
      <c r="I322" s="853" t="s">
        <v>253</v>
      </c>
      <c r="J322" s="853" t="s">
        <v>253</v>
      </c>
      <c r="K322" s="853" t="s">
        <v>253</v>
      </c>
      <c r="L322" s="854">
        <f t="shared" si="47"/>
        <v>5417</v>
      </c>
    </row>
    <row r="323" spans="1:12" x14ac:dyDescent="0.25">
      <c r="B323" s="850">
        <v>45570</v>
      </c>
      <c r="C323" s="852" t="s">
        <v>13</v>
      </c>
      <c r="D323" s="852" t="s">
        <v>18</v>
      </c>
      <c r="E323" s="853">
        <v>5000</v>
      </c>
      <c r="F323" s="853" t="s">
        <v>253</v>
      </c>
      <c r="G323" s="853" t="s">
        <v>253</v>
      </c>
      <c r="H323" s="853" t="s">
        <v>253</v>
      </c>
      <c r="I323" s="853" t="s">
        <v>253</v>
      </c>
      <c r="J323" s="853" t="s">
        <v>253</v>
      </c>
      <c r="K323" s="853" t="s">
        <v>253</v>
      </c>
      <c r="L323" s="854">
        <f t="shared" si="47"/>
        <v>5000</v>
      </c>
    </row>
    <row r="324" spans="1:12" x14ac:dyDescent="0.25">
      <c r="B324" s="850"/>
      <c r="C324" s="851"/>
      <c r="D324" s="852"/>
      <c r="E324" s="853" t="s">
        <v>253</v>
      </c>
      <c r="F324" s="853" t="s">
        <v>253</v>
      </c>
      <c r="G324" s="853" t="s">
        <v>253</v>
      </c>
      <c r="H324" s="853" t="s">
        <v>253</v>
      </c>
      <c r="I324" s="853" t="s">
        <v>253</v>
      </c>
      <c r="J324" s="853" t="s">
        <v>253</v>
      </c>
      <c r="K324" s="853" t="s">
        <v>253</v>
      </c>
      <c r="L324" s="854">
        <f t="shared" si="47"/>
        <v>0</v>
      </c>
    </row>
    <row r="325" spans="1:12" x14ac:dyDescent="0.25">
      <c r="B325" s="850"/>
      <c r="C325" s="851"/>
      <c r="D325" s="852"/>
      <c r="E325" s="853" t="s">
        <v>253</v>
      </c>
      <c r="F325" s="853" t="s">
        <v>253</v>
      </c>
      <c r="G325" s="853" t="s">
        <v>253</v>
      </c>
      <c r="H325" s="853" t="s">
        <v>253</v>
      </c>
      <c r="I325" s="853" t="s">
        <v>253</v>
      </c>
      <c r="J325" s="853" t="s">
        <v>253</v>
      </c>
      <c r="K325" s="853" t="s">
        <v>253</v>
      </c>
      <c r="L325" s="854">
        <f t="shared" si="47"/>
        <v>0</v>
      </c>
    </row>
    <row r="326" spans="1:12" ht="18.75" x14ac:dyDescent="0.25">
      <c r="A326" s="605" t="s">
        <v>254</v>
      </c>
      <c r="B326" s="1030" t="s">
        <v>255</v>
      </c>
      <c r="C326" s="1031"/>
      <c r="D326" s="855">
        <f>SUM(E326:K326)</f>
        <v>37583</v>
      </c>
      <c r="E326" s="854">
        <f t="shared" ref="E326:K326" si="48">SUM(E316:E325)</f>
        <v>37583</v>
      </c>
      <c r="F326" s="854">
        <f t="shared" si="48"/>
        <v>0</v>
      </c>
      <c r="G326" s="854">
        <f t="shared" si="48"/>
        <v>0</v>
      </c>
      <c r="H326" s="854">
        <f t="shared" si="48"/>
        <v>0</v>
      </c>
      <c r="I326" s="854">
        <f t="shared" si="48"/>
        <v>0</v>
      </c>
      <c r="J326" s="854">
        <f t="shared" si="48"/>
        <v>0</v>
      </c>
      <c r="K326" s="854">
        <f t="shared" si="48"/>
        <v>0</v>
      </c>
      <c r="L326" s="856">
        <f>SUM(E326:K326)-SUM(L316:L325)</f>
        <v>0</v>
      </c>
    </row>
    <row r="328" spans="1:12" ht="18.75" x14ac:dyDescent="0.3">
      <c r="B328" s="845" t="s">
        <v>246</v>
      </c>
      <c r="C328" s="1032" t="str">
        <f>+C441</f>
        <v>Alejandra Becerra</v>
      </c>
      <c r="D328" s="1033"/>
      <c r="E328" s="1034" t="s">
        <v>637</v>
      </c>
      <c r="F328" s="1035"/>
      <c r="G328" s="1035"/>
      <c r="H328" s="1036"/>
      <c r="I328" s="846" t="s">
        <v>248</v>
      </c>
      <c r="J328" s="847">
        <f>+J314+1</f>
        <v>1180</v>
      </c>
      <c r="K328" s="848" t="s">
        <v>364</v>
      </c>
      <c r="L328" s="847">
        <v>221748</v>
      </c>
    </row>
    <row r="329" spans="1:12" x14ac:dyDescent="0.25">
      <c r="B329" s="849" t="s">
        <v>0</v>
      </c>
      <c r="C329" s="849" t="s">
        <v>249</v>
      </c>
      <c r="D329" s="849" t="s">
        <v>6</v>
      </c>
      <c r="E329" s="849" t="s">
        <v>250</v>
      </c>
      <c r="F329" s="849" t="s">
        <v>62</v>
      </c>
      <c r="G329" s="849" t="s">
        <v>63</v>
      </c>
      <c r="H329" s="849" t="s">
        <v>64</v>
      </c>
      <c r="I329" s="849" t="s">
        <v>251</v>
      </c>
      <c r="J329" s="849" t="s">
        <v>66</v>
      </c>
      <c r="K329" s="849" t="s">
        <v>68</v>
      </c>
      <c r="L329" s="849" t="s">
        <v>252</v>
      </c>
    </row>
    <row r="330" spans="1:12" x14ac:dyDescent="0.25">
      <c r="B330" s="850">
        <v>45533</v>
      </c>
      <c r="C330" s="852" t="s">
        <v>13</v>
      </c>
      <c r="D330" s="858" t="s">
        <v>15</v>
      </c>
      <c r="E330" s="853">
        <v>6083</v>
      </c>
      <c r="F330" s="853" t="s">
        <v>253</v>
      </c>
      <c r="G330" s="853" t="s">
        <v>253</v>
      </c>
      <c r="H330" s="853" t="s">
        <v>253</v>
      </c>
      <c r="I330" s="853" t="s">
        <v>253</v>
      </c>
      <c r="J330" s="853" t="s">
        <v>253</v>
      </c>
      <c r="K330" s="853" t="s">
        <v>253</v>
      </c>
      <c r="L330" s="854">
        <f t="shared" ref="L330:L339" si="49">SUM(E330:K330)</f>
        <v>6083</v>
      </c>
    </row>
    <row r="331" spans="1:12" x14ac:dyDescent="0.25">
      <c r="B331" s="850">
        <v>45538</v>
      </c>
      <c r="C331" s="852" t="s">
        <v>13</v>
      </c>
      <c r="D331" s="858" t="s">
        <v>15</v>
      </c>
      <c r="E331" s="853">
        <v>5250</v>
      </c>
      <c r="F331" s="853" t="s">
        <v>253</v>
      </c>
      <c r="G331" s="853" t="s">
        <v>253</v>
      </c>
      <c r="H331" s="853" t="s">
        <v>253</v>
      </c>
      <c r="I331" s="853" t="s">
        <v>253</v>
      </c>
      <c r="J331" s="853" t="s">
        <v>253</v>
      </c>
      <c r="K331" s="853" t="s">
        <v>253</v>
      </c>
      <c r="L331" s="854">
        <f>SUM(E331:K331)</f>
        <v>5250</v>
      </c>
    </row>
    <row r="332" spans="1:12" x14ac:dyDescent="0.25">
      <c r="B332" s="850">
        <v>45539</v>
      </c>
      <c r="C332" s="852" t="s">
        <v>13</v>
      </c>
      <c r="D332" s="858" t="s">
        <v>15</v>
      </c>
      <c r="E332" s="853">
        <v>2500</v>
      </c>
      <c r="F332" s="853" t="s">
        <v>253</v>
      </c>
      <c r="G332" s="853" t="s">
        <v>253</v>
      </c>
      <c r="H332" s="853" t="s">
        <v>253</v>
      </c>
      <c r="I332" s="853" t="s">
        <v>253</v>
      </c>
      <c r="J332" s="853" t="s">
        <v>253</v>
      </c>
      <c r="K332" s="853" t="s">
        <v>253</v>
      </c>
      <c r="L332" s="854">
        <f>SUM(E332:K332)</f>
        <v>2500</v>
      </c>
    </row>
    <row r="333" spans="1:12" x14ac:dyDescent="0.25">
      <c r="B333" s="850">
        <v>45541</v>
      </c>
      <c r="C333" s="852" t="s">
        <v>13</v>
      </c>
      <c r="D333" s="852" t="s">
        <v>18</v>
      </c>
      <c r="E333" s="853">
        <v>2500</v>
      </c>
      <c r="F333" s="853" t="s">
        <v>253</v>
      </c>
      <c r="G333" s="853" t="s">
        <v>253</v>
      </c>
      <c r="H333" s="853" t="s">
        <v>253</v>
      </c>
      <c r="I333" s="853" t="s">
        <v>253</v>
      </c>
      <c r="J333" s="853" t="s">
        <v>253</v>
      </c>
      <c r="K333" s="853" t="s">
        <v>253</v>
      </c>
      <c r="L333" s="854">
        <f>SUM(E333:K333)</f>
        <v>2500</v>
      </c>
    </row>
    <row r="334" spans="1:12" x14ac:dyDescent="0.25">
      <c r="B334" s="850">
        <v>45561</v>
      </c>
      <c r="C334" s="852" t="s">
        <v>13</v>
      </c>
      <c r="D334" s="858" t="s">
        <v>15</v>
      </c>
      <c r="E334" s="853">
        <v>7083</v>
      </c>
      <c r="F334" s="853" t="s">
        <v>253</v>
      </c>
      <c r="G334" s="853" t="s">
        <v>253</v>
      </c>
      <c r="H334" s="853" t="s">
        <v>253</v>
      </c>
      <c r="I334" s="853" t="s">
        <v>253</v>
      </c>
      <c r="J334" s="853" t="s">
        <v>253</v>
      </c>
      <c r="K334" s="853" t="s">
        <v>253</v>
      </c>
      <c r="L334" s="854">
        <f t="shared" si="49"/>
        <v>7083</v>
      </c>
    </row>
    <row r="335" spans="1:12" x14ac:dyDescent="0.25">
      <c r="B335" s="850">
        <v>45566</v>
      </c>
      <c r="C335" s="852" t="s">
        <v>13</v>
      </c>
      <c r="D335" s="852" t="s">
        <v>18</v>
      </c>
      <c r="E335" s="853">
        <v>1250</v>
      </c>
      <c r="F335" s="853" t="s">
        <v>253</v>
      </c>
      <c r="G335" s="853" t="s">
        <v>253</v>
      </c>
      <c r="H335" s="853" t="s">
        <v>253</v>
      </c>
      <c r="I335" s="853" t="s">
        <v>253</v>
      </c>
      <c r="J335" s="853" t="s">
        <v>253</v>
      </c>
      <c r="K335" s="853" t="s">
        <v>253</v>
      </c>
      <c r="L335" s="854">
        <f t="shared" si="49"/>
        <v>1250</v>
      </c>
    </row>
    <row r="336" spans="1:12" x14ac:dyDescent="0.25">
      <c r="B336" s="850">
        <v>45566</v>
      </c>
      <c r="C336" s="852" t="s">
        <v>13</v>
      </c>
      <c r="D336" s="852" t="s">
        <v>18</v>
      </c>
      <c r="E336" s="853">
        <v>5000</v>
      </c>
      <c r="F336" s="853" t="s">
        <v>253</v>
      </c>
      <c r="G336" s="853" t="s">
        <v>253</v>
      </c>
      <c r="H336" s="853" t="s">
        <v>253</v>
      </c>
      <c r="I336" s="853" t="s">
        <v>253</v>
      </c>
      <c r="J336" s="853" t="s">
        <v>253</v>
      </c>
      <c r="K336" s="853" t="s">
        <v>253</v>
      </c>
      <c r="L336" s="854">
        <f t="shared" si="49"/>
        <v>5000</v>
      </c>
    </row>
    <row r="337" spans="1:12" x14ac:dyDescent="0.25">
      <c r="B337" s="850">
        <v>45570</v>
      </c>
      <c r="C337" s="852" t="s">
        <v>13</v>
      </c>
      <c r="D337" s="852" t="s">
        <v>18</v>
      </c>
      <c r="E337" s="853">
        <v>5000</v>
      </c>
      <c r="F337" s="853" t="s">
        <v>253</v>
      </c>
      <c r="G337" s="853" t="s">
        <v>253</v>
      </c>
      <c r="H337" s="853" t="s">
        <v>253</v>
      </c>
      <c r="I337" s="853" t="s">
        <v>253</v>
      </c>
      <c r="J337" s="853" t="s">
        <v>253</v>
      </c>
      <c r="K337" s="853" t="s">
        <v>253</v>
      </c>
      <c r="L337" s="854">
        <f t="shared" si="49"/>
        <v>5000</v>
      </c>
    </row>
    <row r="338" spans="1:12" x14ac:dyDescent="0.25">
      <c r="B338" s="850"/>
      <c r="C338" s="851"/>
      <c r="D338" s="852"/>
      <c r="E338" s="853" t="s">
        <v>253</v>
      </c>
      <c r="F338" s="853" t="s">
        <v>253</v>
      </c>
      <c r="G338" s="853" t="s">
        <v>253</v>
      </c>
      <c r="H338" s="853" t="s">
        <v>253</v>
      </c>
      <c r="I338" s="853" t="s">
        <v>253</v>
      </c>
      <c r="J338" s="853" t="s">
        <v>253</v>
      </c>
      <c r="K338" s="853" t="s">
        <v>253</v>
      </c>
      <c r="L338" s="854">
        <f t="shared" si="49"/>
        <v>0</v>
      </c>
    </row>
    <row r="339" spans="1:12" x14ac:dyDescent="0.25">
      <c r="B339" s="850"/>
      <c r="C339" s="851"/>
      <c r="D339" s="852"/>
      <c r="E339" s="853" t="s">
        <v>253</v>
      </c>
      <c r="F339" s="853" t="s">
        <v>253</v>
      </c>
      <c r="G339" s="853" t="s">
        <v>253</v>
      </c>
      <c r="H339" s="853" t="s">
        <v>253</v>
      </c>
      <c r="I339" s="853" t="s">
        <v>253</v>
      </c>
      <c r="J339" s="853" t="s">
        <v>253</v>
      </c>
      <c r="K339" s="853" t="s">
        <v>253</v>
      </c>
      <c r="L339" s="854">
        <f t="shared" si="49"/>
        <v>0</v>
      </c>
    </row>
    <row r="340" spans="1:12" ht="18.75" x14ac:dyDescent="0.25">
      <c r="A340" s="605" t="s">
        <v>254</v>
      </c>
      <c r="B340" s="1030" t="s">
        <v>255</v>
      </c>
      <c r="C340" s="1031"/>
      <c r="D340" s="855">
        <f>SUM(E340:K340)</f>
        <v>34666</v>
      </c>
      <c r="E340" s="854">
        <f t="shared" ref="E340:K340" si="50">SUM(E330:E339)</f>
        <v>34666</v>
      </c>
      <c r="F340" s="854">
        <f t="shared" si="50"/>
        <v>0</v>
      </c>
      <c r="G340" s="854">
        <f t="shared" si="50"/>
        <v>0</v>
      </c>
      <c r="H340" s="854">
        <f t="shared" si="50"/>
        <v>0</v>
      </c>
      <c r="I340" s="854">
        <f t="shared" si="50"/>
        <v>0</v>
      </c>
      <c r="J340" s="854">
        <f t="shared" si="50"/>
        <v>0</v>
      </c>
      <c r="K340" s="854">
        <f t="shared" si="50"/>
        <v>0</v>
      </c>
      <c r="L340" s="856">
        <f>SUM(E340:K340)-SUM(L330:L339)</f>
        <v>0</v>
      </c>
    </row>
    <row r="342" spans="1:12" ht="18.75" x14ac:dyDescent="0.3">
      <c r="B342" s="845" t="s">
        <v>246</v>
      </c>
      <c r="C342" s="1032" t="str">
        <f>+C453</f>
        <v>Andrea Diaz</v>
      </c>
      <c r="D342" s="1033"/>
      <c r="E342" s="1034" t="s">
        <v>637</v>
      </c>
      <c r="F342" s="1035"/>
      <c r="G342" s="1035"/>
      <c r="H342" s="1036"/>
      <c r="I342" s="846" t="s">
        <v>248</v>
      </c>
      <c r="J342" s="847">
        <f>+J328+1</f>
        <v>1181</v>
      </c>
      <c r="K342" s="848" t="s">
        <v>364</v>
      </c>
      <c r="L342" s="847">
        <v>221748</v>
      </c>
    </row>
    <row r="343" spans="1:12" x14ac:dyDescent="0.25">
      <c r="B343" s="849" t="s">
        <v>0</v>
      </c>
      <c r="C343" s="849" t="s">
        <v>249</v>
      </c>
      <c r="D343" s="849" t="s">
        <v>6</v>
      </c>
      <c r="E343" s="849" t="s">
        <v>250</v>
      </c>
      <c r="F343" s="849" t="s">
        <v>62</v>
      </c>
      <c r="G343" s="849" t="s">
        <v>63</v>
      </c>
      <c r="H343" s="849" t="s">
        <v>64</v>
      </c>
      <c r="I343" s="849" t="s">
        <v>251</v>
      </c>
      <c r="J343" s="849" t="s">
        <v>66</v>
      </c>
      <c r="K343" s="849" t="s">
        <v>68</v>
      </c>
      <c r="L343" s="849" t="s">
        <v>252</v>
      </c>
    </row>
    <row r="344" spans="1:12" x14ac:dyDescent="0.25">
      <c r="B344" s="850">
        <v>45533</v>
      </c>
      <c r="C344" s="852" t="s">
        <v>13</v>
      </c>
      <c r="D344" s="858" t="s">
        <v>15</v>
      </c>
      <c r="E344" s="853">
        <v>6083</v>
      </c>
      <c r="F344" s="853" t="s">
        <v>253</v>
      </c>
      <c r="G344" s="853" t="s">
        <v>253</v>
      </c>
      <c r="H344" s="853" t="s">
        <v>253</v>
      </c>
      <c r="I344" s="853" t="s">
        <v>253</v>
      </c>
      <c r="J344" s="853" t="s">
        <v>253</v>
      </c>
      <c r="K344" s="853" t="s">
        <v>253</v>
      </c>
      <c r="L344" s="854">
        <f t="shared" ref="L344:L352" si="51">SUM(E344:K344)</f>
        <v>6083</v>
      </c>
    </row>
    <row r="345" spans="1:12" x14ac:dyDescent="0.25">
      <c r="B345" s="850">
        <v>45538</v>
      </c>
      <c r="C345" s="852" t="s">
        <v>13</v>
      </c>
      <c r="D345" s="858" t="s">
        <v>15</v>
      </c>
      <c r="E345" s="853">
        <v>5250</v>
      </c>
      <c r="F345" s="853" t="s">
        <v>253</v>
      </c>
      <c r="G345" s="853" t="s">
        <v>253</v>
      </c>
      <c r="H345" s="853" t="s">
        <v>253</v>
      </c>
      <c r="I345" s="853" t="s">
        <v>253</v>
      </c>
      <c r="J345" s="853" t="s">
        <v>253</v>
      </c>
      <c r="K345" s="853" t="s">
        <v>253</v>
      </c>
      <c r="L345" s="854">
        <f>SUM(E345:K345)</f>
        <v>5250</v>
      </c>
    </row>
    <row r="346" spans="1:12" x14ac:dyDescent="0.25">
      <c r="B346" s="850">
        <v>45539</v>
      </c>
      <c r="C346" s="852" t="s">
        <v>13</v>
      </c>
      <c r="D346" s="858" t="s">
        <v>15</v>
      </c>
      <c r="E346" s="853">
        <v>2500</v>
      </c>
      <c r="F346" s="853" t="s">
        <v>253</v>
      </c>
      <c r="G346" s="853" t="s">
        <v>253</v>
      </c>
      <c r="H346" s="853" t="s">
        <v>253</v>
      </c>
      <c r="I346" s="853" t="s">
        <v>253</v>
      </c>
      <c r="J346" s="853" t="s">
        <v>253</v>
      </c>
      <c r="K346" s="853" t="s">
        <v>253</v>
      </c>
      <c r="L346" s="854">
        <f>SUM(E346:K346)</f>
        <v>2500</v>
      </c>
    </row>
    <row r="347" spans="1:12" x14ac:dyDescent="0.25">
      <c r="B347" s="850">
        <v>45541</v>
      </c>
      <c r="C347" s="852" t="s">
        <v>13</v>
      </c>
      <c r="D347" s="852" t="s">
        <v>18</v>
      </c>
      <c r="E347" s="853">
        <v>2500</v>
      </c>
      <c r="F347" s="853" t="s">
        <v>253</v>
      </c>
      <c r="G347" s="853" t="s">
        <v>253</v>
      </c>
      <c r="H347" s="853" t="s">
        <v>253</v>
      </c>
      <c r="I347" s="853" t="s">
        <v>253</v>
      </c>
      <c r="J347" s="853" t="s">
        <v>253</v>
      </c>
      <c r="K347" s="853" t="s">
        <v>253</v>
      </c>
      <c r="L347" s="854">
        <f>SUM(E347:K347)</f>
        <v>2500</v>
      </c>
    </row>
    <row r="348" spans="1:12" x14ac:dyDescent="0.25">
      <c r="B348" s="850">
        <v>45561</v>
      </c>
      <c r="C348" s="852" t="s">
        <v>13</v>
      </c>
      <c r="D348" s="858" t="s">
        <v>15</v>
      </c>
      <c r="E348" s="853">
        <v>7083</v>
      </c>
      <c r="F348" s="853" t="s">
        <v>253</v>
      </c>
      <c r="G348" s="853" t="s">
        <v>253</v>
      </c>
      <c r="H348" s="853" t="s">
        <v>253</v>
      </c>
      <c r="I348" s="853" t="s">
        <v>253</v>
      </c>
      <c r="J348" s="853" t="s">
        <v>253</v>
      </c>
      <c r="K348" s="853" t="s">
        <v>253</v>
      </c>
      <c r="L348" s="854">
        <f t="shared" si="51"/>
        <v>7083</v>
      </c>
    </row>
    <row r="349" spans="1:12" x14ac:dyDescent="0.25">
      <c r="B349" s="850">
        <v>45568</v>
      </c>
      <c r="C349" s="852" t="s">
        <v>13</v>
      </c>
      <c r="D349" s="852" t="s">
        <v>18</v>
      </c>
      <c r="E349" s="853">
        <v>5417</v>
      </c>
      <c r="F349" s="853" t="s">
        <v>253</v>
      </c>
      <c r="G349" s="853" t="s">
        <v>253</v>
      </c>
      <c r="H349" s="853" t="s">
        <v>253</v>
      </c>
      <c r="I349" s="853" t="s">
        <v>253</v>
      </c>
      <c r="J349" s="853" t="s">
        <v>253</v>
      </c>
      <c r="K349" s="853" t="s">
        <v>253</v>
      </c>
      <c r="L349" s="854">
        <f t="shared" si="51"/>
        <v>5417</v>
      </c>
    </row>
    <row r="350" spans="1:12" x14ac:dyDescent="0.25">
      <c r="B350" s="850">
        <v>45570</v>
      </c>
      <c r="C350" s="852" t="s">
        <v>13</v>
      </c>
      <c r="D350" s="852" t="s">
        <v>18</v>
      </c>
      <c r="E350" s="853">
        <v>5000</v>
      </c>
      <c r="F350" s="853" t="s">
        <v>253</v>
      </c>
      <c r="G350" s="853" t="s">
        <v>253</v>
      </c>
      <c r="H350" s="853" t="s">
        <v>253</v>
      </c>
      <c r="I350" s="853" t="s">
        <v>253</v>
      </c>
      <c r="J350" s="853" t="s">
        <v>253</v>
      </c>
      <c r="K350" s="853" t="s">
        <v>253</v>
      </c>
      <c r="L350" s="854">
        <f t="shared" si="51"/>
        <v>5000</v>
      </c>
    </row>
    <row r="351" spans="1:12" x14ac:dyDescent="0.25">
      <c r="B351" s="850"/>
      <c r="C351" s="851"/>
      <c r="D351" s="852"/>
      <c r="E351" s="853" t="s">
        <v>253</v>
      </c>
      <c r="F351" s="853" t="s">
        <v>253</v>
      </c>
      <c r="G351" s="853" t="s">
        <v>253</v>
      </c>
      <c r="H351" s="853" t="s">
        <v>253</v>
      </c>
      <c r="I351" s="853" t="s">
        <v>253</v>
      </c>
      <c r="J351" s="853" t="s">
        <v>253</v>
      </c>
      <c r="K351" s="853" t="s">
        <v>253</v>
      </c>
      <c r="L351" s="854">
        <f t="shared" si="51"/>
        <v>0</v>
      </c>
    </row>
    <row r="352" spans="1:12" x14ac:dyDescent="0.25">
      <c r="B352" s="850"/>
      <c r="C352" s="851"/>
      <c r="D352" s="852"/>
      <c r="E352" s="853" t="s">
        <v>253</v>
      </c>
      <c r="F352" s="853" t="s">
        <v>253</v>
      </c>
      <c r="G352" s="853" t="s">
        <v>253</v>
      </c>
      <c r="H352" s="853" t="s">
        <v>253</v>
      </c>
      <c r="I352" s="853" t="s">
        <v>253</v>
      </c>
      <c r="J352" s="853" t="s">
        <v>253</v>
      </c>
      <c r="K352" s="853" t="s">
        <v>253</v>
      </c>
      <c r="L352" s="854">
        <f t="shared" si="51"/>
        <v>0</v>
      </c>
    </row>
    <row r="353" spans="1:12" ht="18.75" x14ac:dyDescent="0.25">
      <c r="A353" s="605" t="s">
        <v>254</v>
      </c>
      <c r="B353" s="1030" t="s">
        <v>255</v>
      </c>
      <c r="C353" s="1031"/>
      <c r="D353" s="855">
        <f>SUM(E353:K353)</f>
        <v>33833</v>
      </c>
      <c r="E353" s="854">
        <f t="shared" ref="E353:K353" si="52">SUM(E344:E352)</f>
        <v>33833</v>
      </c>
      <c r="F353" s="854">
        <f t="shared" si="52"/>
        <v>0</v>
      </c>
      <c r="G353" s="854">
        <f t="shared" si="52"/>
        <v>0</v>
      </c>
      <c r="H353" s="854">
        <f t="shared" si="52"/>
        <v>0</v>
      </c>
      <c r="I353" s="854">
        <f t="shared" si="52"/>
        <v>0</v>
      </c>
      <c r="J353" s="854">
        <f t="shared" si="52"/>
        <v>0</v>
      </c>
      <c r="K353" s="854">
        <f t="shared" si="52"/>
        <v>0</v>
      </c>
      <c r="L353" s="856">
        <f>SUM(E353:K353)-SUM(L344:L352)</f>
        <v>0</v>
      </c>
    </row>
    <row r="355" spans="1:12" ht="18.75" x14ac:dyDescent="0.3">
      <c r="B355" s="845" t="s">
        <v>246</v>
      </c>
      <c r="C355" s="1032" t="str">
        <f>+C465</f>
        <v>Felipe Salazar</v>
      </c>
      <c r="D355" s="1033"/>
      <c r="E355" s="1034" t="s">
        <v>637</v>
      </c>
      <c r="F355" s="1035"/>
      <c r="G355" s="1035"/>
      <c r="H355" s="1036"/>
      <c r="I355" s="846" t="s">
        <v>248</v>
      </c>
      <c r="J355" s="847">
        <f>+J342+1</f>
        <v>1182</v>
      </c>
      <c r="K355" s="848" t="s">
        <v>364</v>
      </c>
      <c r="L355" s="847">
        <v>221748</v>
      </c>
    </row>
    <row r="356" spans="1:12" x14ac:dyDescent="0.25">
      <c r="B356" s="849" t="s">
        <v>0</v>
      </c>
      <c r="C356" s="849" t="s">
        <v>249</v>
      </c>
      <c r="D356" s="849" t="s">
        <v>6</v>
      </c>
      <c r="E356" s="849" t="s">
        <v>250</v>
      </c>
      <c r="F356" s="849" t="s">
        <v>62</v>
      </c>
      <c r="G356" s="849" t="s">
        <v>63</v>
      </c>
      <c r="H356" s="849" t="s">
        <v>64</v>
      </c>
      <c r="I356" s="849" t="s">
        <v>251</v>
      </c>
      <c r="J356" s="849" t="s">
        <v>66</v>
      </c>
      <c r="K356" s="849" t="s">
        <v>68</v>
      </c>
      <c r="L356" s="849" t="s">
        <v>252</v>
      </c>
    </row>
    <row r="357" spans="1:12" x14ac:dyDescent="0.25">
      <c r="B357" s="850">
        <v>45533</v>
      </c>
      <c r="C357" s="852" t="s">
        <v>13</v>
      </c>
      <c r="D357" s="858" t="s">
        <v>15</v>
      </c>
      <c r="E357" s="853">
        <v>6083</v>
      </c>
      <c r="F357" s="853" t="s">
        <v>253</v>
      </c>
      <c r="G357" s="853" t="s">
        <v>253</v>
      </c>
      <c r="H357" s="853" t="s">
        <v>253</v>
      </c>
      <c r="I357" s="853" t="s">
        <v>253</v>
      </c>
      <c r="J357" s="853" t="s">
        <v>253</v>
      </c>
      <c r="K357" s="853" t="s">
        <v>253</v>
      </c>
      <c r="L357" s="854">
        <f t="shared" ref="L357:L367" si="53">SUM(E357:K357)</f>
        <v>6083</v>
      </c>
    </row>
    <row r="358" spans="1:12" x14ac:dyDescent="0.25">
      <c r="B358" s="850">
        <v>45538</v>
      </c>
      <c r="C358" s="852" t="s">
        <v>13</v>
      </c>
      <c r="D358" s="858" t="s">
        <v>15</v>
      </c>
      <c r="E358" s="853">
        <v>5250</v>
      </c>
      <c r="F358" s="853" t="s">
        <v>253</v>
      </c>
      <c r="G358" s="853" t="s">
        <v>253</v>
      </c>
      <c r="H358" s="853" t="s">
        <v>253</v>
      </c>
      <c r="I358" s="853" t="s">
        <v>253</v>
      </c>
      <c r="J358" s="853" t="s">
        <v>253</v>
      </c>
      <c r="K358" s="853" t="s">
        <v>253</v>
      </c>
      <c r="L358" s="854">
        <f>SUM(E358:K358)</f>
        <v>5250</v>
      </c>
    </row>
    <row r="359" spans="1:12" x14ac:dyDescent="0.25">
      <c r="B359" s="850">
        <v>45539</v>
      </c>
      <c r="C359" s="852" t="s">
        <v>13</v>
      </c>
      <c r="D359" s="858" t="s">
        <v>15</v>
      </c>
      <c r="E359" s="853">
        <v>2500</v>
      </c>
      <c r="F359" s="853" t="s">
        <v>253</v>
      </c>
      <c r="G359" s="853" t="s">
        <v>253</v>
      </c>
      <c r="H359" s="853" t="s">
        <v>253</v>
      </c>
      <c r="I359" s="853" t="s">
        <v>253</v>
      </c>
      <c r="J359" s="853" t="s">
        <v>253</v>
      </c>
      <c r="K359" s="853" t="s">
        <v>253</v>
      </c>
      <c r="L359" s="854">
        <f>SUM(E359:K359)</f>
        <v>2500</v>
      </c>
    </row>
    <row r="360" spans="1:12" x14ac:dyDescent="0.25">
      <c r="B360" s="850">
        <v>45541</v>
      </c>
      <c r="C360" s="852" t="s">
        <v>13</v>
      </c>
      <c r="D360" s="852" t="s">
        <v>18</v>
      </c>
      <c r="E360" s="853">
        <v>2500</v>
      </c>
      <c r="F360" s="853" t="s">
        <v>253</v>
      </c>
      <c r="G360" s="853" t="s">
        <v>253</v>
      </c>
      <c r="H360" s="853" t="s">
        <v>253</v>
      </c>
      <c r="I360" s="853" t="s">
        <v>253</v>
      </c>
      <c r="J360" s="853" t="s">
        <v>253</v>
      </c>
      <c r="K360" s="853" t="s">
        <v>253</v>
      </c>
      <c r="L360" s="854">
        <f>SUM(E360:K360)</f>
        <v>2500</v>
      </c>
    </row>
    <row r="361" spans="1:12" x14ac:dyDescent="0.25">
      <c r="B361" s="850">
        <v>45561</v>
      </c>
      <c r="C361" s="852" t="s">
        <v>13</v>
      </c>
      <c r="D361" s="858" t="s">
        <v>15</v>
      </c>
      <c r="E361" s="853">
        <v>7083</v>
      </c>
      <c r="F361" s="853" t="s">
        <v>253</v>
      </c>
      <c r="G361" s="853" t="s">
        <v>253</v>
      </c>
      <c r="H361" s="853" t="s">
        <v>253</v>
      </c>
      <c r="I361" s="853" t="s">
        <v>253</v>
      </c>
      <c r="J361" s="853" t="s">
        <v>253</v>
      </c>
      <c r="K361" s="853" t="s">
        <v>253</v>
      </c>
      <c r="L361" s="854">
        <f t="shared" si="53"/>
        <v>7083</v>
      </c>
    </row>
    <row r="362" spans="1:12" x14ac:dyDescent="0.25">
      <c r="B362" s="850">
        <v>45566</v>
      </c>
      <c r="C362" s="852" t="s">
        <v>13</v>
      </c>
      <c r="D362" s="852" t="s">
        <v>18</v>
      </c>
      <c r="E362" s="853">
        <v>1250</v>
      </c>
      <c r="F362" s="853" t="s">
        <v>253</v>
      </c>
      <c r="G362" s="853" t="s">
        <v>253</v>
      </c>
      <c r="H362" s="853" t="s">
        <v>253</v>
      </c>
      <c r="I362" s="853" t="s">
        <v>253</v>
      </c>
      <c r="J362" s="853" t="s">
        <v>253</v>
      </c>
      <c r="K362" s="853" t="s">
        <v>253</v>
      </c>
      <c r="L362" s="854">
        <f t="shared" si="53"/>
        <v>1250</v>
      </c>
    </row>
    <row r="363" spans="1:12" x14ac:dyDescent="0.25">
      <c r="B363" s="850">
        <v>45566</v>
      </c>
      <c r="C363" s="852" t="s">
        <v>13</v>
      </c>
      <c r="D363" s="852" t="s">
        <v>18</v>
      </c>
      <c r="E363" s="853">
        <v>5000</v>
      </c>
      <c r="F363" s="853" t="s">
        <v>253</v>
      </c>
      <c r="G363" s="853" t="s">
        <v>253</v>
      </c>
      <c r="H363" s="853" t="s">
        <v>253</v>
      </c>
      <c r="I363" s="853" t="s">
        <v>253</v>
      </c>
      <c r="J363" s="853" t="s">
        <v>253</v>
      </c>
      <c r="K363" s="853" t="s">
        <v>253</v>
      </c>
      <c r="L363" s="854">
        <f t="shared" si="53"/>
        <v>5000</v>
      </c>
    </row>
    <row r="364" spans="1:12" x14ac:dyDescent="0.25">
      <c r="B364" s="850">
        <v>45568</v>
      </c>
      <c r="C364" s="852" t="s">
        <v>13</v>
      </c>
      <c r="D364" s="852" t="s">
        <v>18</v>
      </c>
      <c r="E364" s="853">
        <v>5417</v>
      </c>
      <c r="F364" s="853" t="s">
        <v>253</v>
      </c>
      <c r="G364" s="853" t="s">
        <v>253</v>
      </c>
      <c r="H364" s="853" t="s">
        <v>253</v>
      </c>
      <c r="I364" s="853" t="s">
        <v>253</v>
      </c>
      <c r="J364" s="853" t="s">
        <v>253</v>
      </c>
      <c r="K364" s="853" t="s">
        <v>253</v>
      </c>
      <c r="L364" s="854">
        <f t="shared" si="53"/>
        <v>5417</v>
      </c>
    </row>
    <row r="365" spans="1:12" x14ac:dyDescent="0.25">
      <c r="B365" s="850">
        <v>45570</v>
      </c>
      <c r="C365" s="852" t="s">
        <v>13</v>
      </c>
      <c r="D365" s="852" t="s">
        <v>18</v>
      </c>
      <c r="E365" s="853">
        <v>5000</v>
      </c>
      <c r="F365" s="853" t="s">
        <v>253</v>
      </c>
      <c r="G365" s="853" t="s">
        <v>253</v>
      </c>
      <c r="H365" s="853" t="s">
        <v>253</v>
      </c>
      <c r="I365" s="853" t="s">
        <v>253</v>
      </c>
      <c r="J365" s="853" t="s">
        <v>253</v>
      </c>
      <c r="K365" s="853" t="s">
        <v>253</v>
      </c>
      <c r="L365" s="854">
        <f t="shared" si="53"/>
        <v>5000</v>
      </c>
    </row>
    <row r="366" spans="1:12" x14ac:dyDescent="0.25">
      <c r="B366" s="850"/>
      <c r="C366" s="851"/>
      <c r="D366" s="852" t="s">
        <v>695</v>
      </c>
      <c r="E366" s="853" t="s">
        <v>253</v>
      </c>
      <c r="F366" s="853" t="s">
        <v>253</v>
      </c>
      <c r="G366" s="853" t="s">
        <v>253</v>
      </c>
      <c r="H366" s="853" t="s">
        <v>253</v>
      </c>
      <c r="I366" s="853" t="s">
        <v>253</v>
      </c>
      <c r="J366" s="853" t="s">
        <v>253</v>
      </c>
      <c r="K366" s="853">
        <v>13968</v>
      </c>
      <c r="L366" s="854">
        <f t="shared" si="53"/>
        <v>13968</v>
      </c>
    </row>
    <row r="367" spans="1:12" x14ac:dyDescent="0.25">
      <c r="B367" s="850"/>
      <c r="C367" s="851"/>
      <c r="D367" s="852"/>
      <c r="E367" s="853" t="s">
        <v>253</v>
      </c>
      <c r="F367" s="853" t="s">
        <v>253</v>
      </c>
      <c r="G367" s="853" t="s">
        <v>253</v>
      </c>
      <c r="H367" s="853" t="s">
        <v>253</v>
      </c>
      <c r="I367" s="853" t="s">
        <v>253</v>
      </c>
      <c r="J367" s="853" t="s">
        <v>253</v>
      </c>
      <c r="K367" s="853" t="s">
        <v>253</v>
      </c>
      <c r="L367" s="854">
        <f t="shared" si="53"/>
        <v>0</v>
      </c>
    </row>
    <row r="368" spans="1:12" ht="18.75" x14ac:dyDescent="0.25">
      <c r="A368" s="605" t="s">
        <v>254</v>
      </c>
      <c r="B368" s="1030" t="s">
        <v>255</v>
      </c>
      <c r="C368" s="1031"/>
      <c r="D368" s="855">
        <f>SUM(E368:K368)</f>
        <v>54051</v>
      </c>
      <c r="E368" s="854">
        <f t="shared" ref="E368:K368" si="54">SUM(E357:E367)</f>
        <v>40083</v>
      </c>
      <c r="F368" s="854">
        <f t="shared" si="54"/>
        <v>0</v>
      </c>
      <c r="G368" s="854">
        <f t="shared" si="54"/>
        <v>0</v>
      </c>
      <c r="H368" s="854">
        <f t="shared" si="54"/>
        <v>0</v>
      </c>
      <c r="I368" s="854">
        <f t="shared" si="54"/>
        <v>0</v>
      </c>
      <c r="J368" s="854">
        <f t="shared" si="54"/>
        <v>0</v>
      </c>
      <c r="K368" s="854">
        <f t="shared" si="54"/>
        <v>13968</v>
      </c>
      <c r="L368" s="856">
        <f>SUM(E368:K368)-SUM(L357:L367)</f>
        <v>0</v>
      </c>
    </row>
    <row r="370" spans="1:12" ht="18.75" x14ac:dyDescent="0.3">
      <c r="B370" s="845" t="s">
        <v>246</v>
      </c>
      <c r="C370" s="1032" t="str">
        <f>+C477</f>
        <v>Claudia Villagran</v>
      </c>
      <c r="D370" s="1033"/>
      <c r="E370" s="1034" t="s">
        <v>637</v>
      </c>
      <c r="F370" s="1035"/>
      <c r="G370" s="1035"/>
      <c r="H370" s="1036"/>
      <c r="I370" s="846" t="s">
        <v>248</v>
      </c>
      <c r="J370" s="847">
        <f>+J355+1</f>
        <v>1183</v>
      </c>
      <c r="K370" s="848" t="s">
        <v>364</v>
      </c>
      <c r="L370" s="847">
        <v>221748</v>
      </c>
    </row>
    <row r="371" spans="1:12" x14ac:dyDescent="0.25">
      <c r="B371" s="849" t="s">
        <v>0</v>
      </c>
      <c r="C371" s="849" t="s">
        <v>249</v>
      </c>
      <c r="D371" s="849" t="s">
        <v>6</v>
      </c>
      <c r="E371" s="849" t="s">
        <v>250</v>
      </c>
      <c r="F371" s="849" t="s">
        <v>62</v>
      </c>
      <c r="G371" s="849" t="s">
        <v>63</v>
      </c>
      <c r="H371" s="849" t="s">
        <v>64</v>
      </c>
      <c r="I371" s="849" t="s">
        <v>251</v>
      </c>
      <c r="J371" s="849" t="s">
        <v>66</v>
      </c>
      <c r="K371" s="849" t="s">
        <v>68</v>
      </c>
      <c r="L371" s="849" t="s">
        <v>252</v>
      </c>
    </row>
    <row r="372" spans="1:12" x14ac:dyDescent="0.25">
      <c r="B372" s="850">
        <v>45533</v>
      </c>
      <c r="C372" s="852" t="s">
        <v>13</v>
      </c>
      <c r="D372" s="858" t="s">
        <v>15</v>
      </c>
      <c r="E372" s="853">
        <v>6083</v>
      </c>
      <c r="F372" s="853" t="s">
        <v>253</v>
      </c>
      <c r="G372" s="853" t="s">
        <v>253</v>
      </c>
      <c r="H372" s="853" t="s">
        <v>253</v>
      </c>
      <c r="I372" s="853" t="s">
        <v>253</v>
      </c>
      <c r="J372" s="853" t="s">
        <v>253</v>
      </c>
      <c r="K372" s="853" t="s">
        <v>253</v>
      </c>
      <c r="L372" s="854">
        <f t="shared" ref="L372:L381" si="55">SUM(E372:K372)</f>
        <v>6083</v>
      </c>
    </row>
    <row r="373" spans="1:12" x14ac:dyDescent="0.25">
      <c r="B373" s="850">
        <v>45538</v>
      </c>
      <c r="C373" s="852" t="s">
        <v>13</v>
      </c>
      <c r="D373" s="858" t="s">
        <v>15</v>
      </c>
      <c r="E373" s="853">
        <v>5250</v>
      </c>
      <c r="F373" s="853" t="s">
        <v>253</v>
      </c>
      <c r="G373" s="853" t="s">
        <v>253</v>
      </c>
      <c r="H373" s="853" t="s">
        <v>253</v>
      </c>
      <c r="I373" s="853" t="s">
        <v>253</v>
      </c>
      <c r="J373" s="853" t="s">
        <v>253</v>
      </c>
      <c r="K373" s="853" t="s">
        <v>253</v>
      </c>
      <c r="L373" s="854">
        <f>SUM(E373:K373)</f>
        <v>5250</v>
      </c>
    </row>
    <row r="374" spans="1:12" x14ac:dyDescent="0.25">
      <c r="B374" s="850">
        <v>45539</v>
      </c>
      <c r="C374" s="852" t="s">
        <v>13</v>
      </c>
      <c r="D374" s="858" t="s">
        <v>15</v>
      </c>
      <c r="E374" s="853">
        <v>2500</v>
      </c>
      <c r="F374" s="853" t="s">
        <v>253</v>
      </c>
      <c r="G374" s="853" t="s">
        <v>253</v>
      </c>
      <c r="H374" s="853" t="s">
        <v>253</v>
      </c>
      <c r="I374" s="853" t="s">
        <v>253</v>
      </c>
      <c r="J374" s="853" t="s">
        <v>253</v>
      </c>
      <c r="K374" s="853" t="s">
        <v>253</v>
      </c>
      <c r="L374" s="854">
        <f>SUM(E374:K374)</f>
        <v>2500</v>
      </c>
    </row>
    <row r="375" spans="1:12" x14ac:dyDescent="0.25">
      <c r="B375" s="850">
        <v>45541</v>
      </c>
      <c r="C375" s="852" t="s">
        <v>13</v>
      </c>
      <c r="D375" s="852" t="s">
        <v>18</v>
      </c>
      <c r="E375" s="853">
        <v>2500</v>
      </c>
      <c r="F375" s="853" t="s">
        <v>253</v>
      </c>
      <c r="G375" s="853" t="s">
        <v>253</v>
      </c>
      <c r="H375" s="853" t="s">
        <v>253</v>
      </c>
      <c r="I375" s="853" t="s">
        <v>253</v>
      </c>
      <c r="J375" s="853" t="s">
        <v>253</v>
      </c>
      <c r="K375" s="853" t="s">
        <v>253</v>
      </c>
      <c r="L375" s="854">
        <f>SUM(E375:K375)</f>
        <v>2500</v>
      </c>
    </row>
    <row r="376" spans="1:12" x14ac:dyDescent="0.25">
      <c r="B376" s="850">
        <v>45561</v>
      </c>
      <c r="C376" s="852" t="s">
        <v>13</v>
      </c>
      <c r="D376" s="858" t="s">
        <v>15</v>
      </c>
      <c r="E376" s="853">
        <v>7083</v>
      </c>
      <c r="F376" s="853" t="s">
        <v>253</v>
      </c>
      <c r="G376" s="853" t="s">
        <v>253</v>
      </c>
      <c r="H376" s="853" t="s">
        <v>253</v>
      </c>
      <c r="I376" s="853" t="s">
        <v>253</v>
      </c>
      <c r="J376" s="853" t="s">
        <v>253</v>
      </c>
      <c r="K376" s="853" t="s">
        <v>253</v>
      </c>
      <c r="L376" s="854">
        <f t="shared" si="55"/>
        <v>7083</v>
      </c>
    </row>
    <row r="377" spans="1:12" x14ac:dyDescent="0.25">
      <c r="B377" s="850">
        <v>45566</v>
      </c>
      <c r="C377" s="852" t="s">
        <v>13</v>
      </c>
      <c r="D377" s="852" t="s">
        <v>18</v>
      </c>
      <c r="E377" s="853">
        <v>1250</v>
      </c>
      <c r="F377" s="853" t="s">
        <v>253</v>
      </c>
      <c r="G377" s="853" t="s">
        <v>253</v>
      </c>
      <c r="H377" s="853" t="s">
        <v>253</v>
      </c>
      <c r="I377" s="853" t="s">
        <v>253</v>
      </c>
      <c r="J377" s="853" t="s">
        <v>253</v>
      </c>
      <c r="K377" s="853" t="s">
        <v>253</v>
      </c>
      <c r="L377" s="854">
        <f t="shared" si="55"/>
        <v>1250</v>
      </c>
    </row>
    <row r="378" spans="1:12" x14ac:dyDescent="0.25">
      <c r="B378" s="850">
        <v>45568</v>
      </c>
      <c r="C378" s="852" t="s">
        <v>13</v>
      </c>
      <c r="D378" s="852" t="s">
        <v>18</v>
      </c>
      <c r="E378" s="853">
        <v>5417</v>
      </c>
      <c r="F378" s="853" t="s">
        <v>253</v>
      </c>
      <c r="G378" s="853" t="s">
        <v>253</v>
      </c>
      <c r="H378" s="853" t="s">
        <v>253</v>
      </c>
      <c r="I378" s="853" t="s">
        <v>253</v>
      </c>
      <c r="J378" s="853" t="s">
        <v>253</v>
      </c>
      <c r="K378" s="853" t="s">
        <v>253</v>
      </c>
      <c r="L378" s="854">
        <f t="shared" si="55"/>
        <v>5417</v>
      </c>
    </row>
    <row r="379" spans="1:12" x14ac:dyDescent="0.25">
      <c r="B379" s="850">
        <v>45570</v>
      </c>
      <c r="C379" s="852" t="s">
        <v>13</v>
      </c>
      <c r="D379" s="852" t="s">
        <v>18</v>
      </c>
      <c r="E379" s="853">
        <v>5000</v>
      </c>
      <c r="F379" s="853" t="s">
        <v>253</v>
      </c>
      <c r="G379" s="853" t="s">
        <v>253</v>
      </c>
      <c r="H379" s="853" t="s">
        <v>253</v>
      </c>
      <c r="I379" s="853" t="s">
        <v>253</v>
      </c>
      <c r="J379" s="853" t="s">
        <v>253</v>
      </c>
      <c r="K379" s="853" t="s">
        <v>253</v>
      </c>
      <c r="L379" s="854">
        <f t="shared" si="55"/>
        <v>5000</v>
      </c>
    </row>
    <row r="380" spans="1:12" x14ac:dyDescent="0.25">
      <c r="B380" s="850"/>
      <c r="C380" s="851"/>
      <c r="D380" s="852"/>
      <c r="E380" s="853" t="s">
        <v>253</v>
      </c>
      <c r="F380" s="853" t="s">
        <v>253</v>
      </c>
      <c r="G380" s="853" t="s">
        <v>253</v>
      </c>
      <c r="H380" s="853" t="s">
        <v>253</v>
      </c>
      <c r="I380" s="853" t="s">
        <v>253</v>
      </c>
      <c r="J380" s="853" t="s">
        <v>253</v>
      </c>
      <c r="K380" s="853" t="s">
        <v>253</v>
      </c>
      <c r="L380" s="854">
        <f t="shared" si="55"/>
        <v>0</v>
      </c>
    </row>
    <row r="381" spans="1:12" x14ac:dyDescent="0.25">
      <c r="B381" s="850"/>
      <c r="C381" s="851"/>
      <c r="D381" s="852"/>
      <c r="E381" s="853" t="s">
        <v>253</v>
      </c>
      <c r="F381" s="853" t="s">
        <v>253</v>
      </c>
      <c r="G381" s="853" t="s">
        <v>253</v>
      </c>
      <c r="H381" s="853" t="s">
        <v>253</v>
      </c>
      <c r="I381" s="853" t="s">
        <v>253</v>
      </c>
      <c r="J381" s="853" t="s">
        <v>253</v>
      </c>
      <c r="K381" s="853" t="s">
        <v>253</v>
      </c>
      <c r="L381" s="854">
        <f t="shared" si="55"/>
        <v>0</v>
      </c>
    </row>
    <row r="382" spans="1:12" ht="18.75" x14ac:dyDescent="0.25">
      <c r="A382" s="605" t="s">
        <v>254</v>
      </c>
      <c r="B382" s="1030" t="s">
        <v>255</v>
      </c>
      <c r="C382" s="1031"/>
      <c r="D382" s="855">
        <f>SUM(E382:K382)</f>
        <v>35083</v>
      </c>
      <c r="E382" s="854">
        <f t="shared" ref="E382:K382" si="56">SUM(E372:E381)</f>
        <v>35083</v>
      </c>
      <c r="F382" s="854">
        <f t="shared" si="56"/>
        <v>0</v>
      </c>
      <c r="G382" s="854">
        <f t="shared" si="56"/>
        <v>0</v>
      </c>
      <c r="H382" s="854">
        <f t="shared" si="56"/>
        <v>0</v>
      </c>
      <c r="I382" s="854">
        <f t="shared" si="56"/>
        <v>0</v>
      </c>
      <c r="J382" s="854">
        <f t="shared" si="56"/>
        <v>0</v>
      </c>
      <c r="K382" s="854">
        <f t="shared" si="56"/>
        <v>0</v>
      </c>
      <c r="L382" s="856">
        <f>SUM(E382:K382)-SUM(L372:L381)</f>
        <v>0</v>
      </c>
    </row>
    <row r="384" spans="1:12" ht="18.75" x14ac:dyDescent="0.3">
      <c r="B384" s="845" t="s">
        <v>246</v>
      </c>
      <c r="C384" s="1032" t="str">
        <f>+C489</f>
        <v>Eugenia Ortiz</v>
      </c>
      <c r="D384" s="1033"/>
      <c r="E384" s="1034" t="s">
        <v>637</v>
      </c>
      <c r="F384" s="1035"/>
      <c r="G384" s="1035"/>
      <c r="H384" s="1036"/>
      <c r="I384" s="846" t="s">
        <v>248</v>
      </c>
      <c r="J384" s="847">
        <f>+J370+1</f>
        <v>1184</v>
      </c>
      <c r="K384" s="848" t="s">
        <v>364</v>
      </c>
      <c r="L384" s="847">
        <v>221748</v>
      </c>
    </row>
    <row r="385" spans="1:12" x14ac:dyDescent="0.25">
      <c r="B385" s="849" t="s">
        <v>0</v>
      </c>
      <c r="C385" s="849" t="s">
        <v>249</v>
      </c>
      <c r="D385" s="849" t="s">
        <v>6</v>
      </c>
      <c r="E385" s="849" t="s">
        <v>250</v>
      </c>
      <c r="F385" s="849" t="s">
        <v>62</v>
      </c>
      <c r="G385" s="849" t="s">
        <v>63</v>
      </c>
      <c r="H385" s="849" t="s">
        <v>64</v>
      </c>
      <c r="I385" s="849" t="s">
        <v>251</v>
      </c>
      <c r="J385" s="849" t="s">
        <v>66</v>
      </c>
      <c r="K385" s="849" t="s">
        <v>68</v>
      </c>
      <c r="L385" s="849" t="s">
        <v>252</v>
      </c>
    </row>
    <row r="386" spans="1:12" x14ac:dyDescent="0.25">
      <c r="B386" s="850">
        <v>45533</v>
      </c>
      <c r="C386" s="852" t="s">
        <v>13</v>
      </c>
      <c r="D386" s="858" t="s">
        <v>15</v>
      </c>
      <c r="E386" s="853">
        <v>6083</v>
      </c>
      <c r="F386" s="853" t="s">
        <v>253</v>
      </c>
      <c r="G386" s="853" t="s">
        <v>253</v>
      </c>
      <c r="H386" s="853" t="s">
        <v>253</v>
      </c>
      <c r="I386" s="853" t="s">
        <v>253</v>
      </c>
      <c r="J386" s="853" t="s">
        <v>253</v>
      </c>
      <c r="K386" s="853" t="s">
        <v>253</v>
      </c>
      <c r="L386" s="854">
        <f t="shared" ref="L386:L394" si="57">SUM(E386:K386)</f>
        <v>6083</v>
      </c>
    </row>
    <row r="387" spans="1:12" x14ac:dyDescent="0.25">
      <c r="B387" s="850">
        <v>45538</v>
      </c>
      <c r="C387" s="852" t="s">
        <v>13</v>
      </c>
      <c r="D387" s="858" t="s">
        <v>15</v>
      </c>
      <c r="E387" s="853">
        <v>5250</v>
      </c>
      <c r="F387" s="853" t="s">
        <v>253</v>
      </c>
      <c r="G387" s="853" t="s">
        <v>253</v>
      </c>
      <c r="H387" s="853" t="s">
        <v>253</v>
      </c>
      <c r="I387" s="853" t="s">
        <v>253</v>
      </c>
      <c r="J387" s="853" t="s">
        <v>253</v>
      </c>
      <c r="K387" s="853" t="s">
        <v>253</v>
      </c>
      <c r="L387" s="854">
        <f>SUM(E387:K387)</f>
        <v>5250</v>
      </c>
    </row>
    <row r="388" spans="1:12" x14ac:dyDescent="0.25">
      <c r="B388" s="850">
        <v>45539</v>
      </c>
      <c r="C388" s="852" t="s">
        <v>13</v>
      </c>
      <c r="D388" s="858" t="s">
        <v>15</v>
      </c>
      <c r="E388" s="853">
        <v>2500</v>
      </c>
      <c r="F388" s="853" t="s">
        <v>253</v>
      </c>
      <c r="G388" s="853" t="s">
        <v>253</v>
      </c>
      <c r="H388" s="853" t="s">
        <v>253</v>
      </c>
      <c r="I388" s="853" t="s">
        <v>253</v>
      </c>
      <c r="J388" s="853" t="s">
        <v>253</v>
      </c>
      <c r="K388" s="853" t="s">
        <v>253</v>
      </c>
      <c r="L388" s="854">
        <f>SUM(E388:K388)</f>
        <v>2500</v>
      </c>
    </row>
    <row r="389" spans="1:12" x14ac:dyDescent="0.25">
      <c r="B389" s="850">
        <v>45541</v>
      </c>
      <c r="C389" s="852" t="s">
        <v>13</v>
      </c>
      <c r="D389" s="852" t="s">
        <v>18</v>
      </c>
      <c r="E389" s="853">
        <v>2500</v>
      </c>
      <c r="F389" s="853" t="s">
        <v>253</v>
      </c>
      <c r="G389" s="853" t="s">
        <v>253</v>
      </c>
      <c r="H389" s="853" t="s">
        <v>253</v>
      </c>
      <c r="I389" s="853" t="s">
        <v>253</v>
      </c>
      <c r="J389" s="853" t="s">
        <v>253</v>
      </c>
      <c r="K389" s="853" t="s">
        <v>253</v>
      </c>
      <c r="L389" s="854">
        <f>SUM(E389:K389)</f>
        <v>2500</v>
      </c>
    </row>
    <row r="390" spans="1:12" x14ac:dyDescent="0.25">
      <c r="B390" s="850">
        <v>45561</v>
      </c>
      <c r="C390" s="852" t="s">
        <v>13</v>
      </c>
      <c r="D390" s="858" t="s">
        <v>15</v>
      </c>
      <c r="E390" s="853">
        <v>7083</v>
      </c>
      <c r="F390" s="853" t="s">
        <v>253</v>
      </c>
      <c r="G390" s="853" t="s">
        <v>253</v>
      </c>
      <c r="H390" s="853" t="s">
        <v>253</v>
      </c>
      <c r="I390" s="853" t="s">
        <v>253</v>
      </c>
      <c r="J390" s="853" t="s">
        <v>253</v>
      </c>
      <c r="K390" s="853" t="s">
        <v>253</v>
      </c>
      <c r="L390" s="854">
        <f t="shared" si="57"/>
        <v>7083</v>
      </c>
    </row>
    <row r="391" spans="1:12" x14ac:dyDescent="0.25">
      <c r="B391" s="850">
        <v>45568</v>
      </c>
      <c r="C391" s="852" t="s">
        <v>13</v>
      </c>
      <c r="D391" s="852" t="s">
        <v>18</v>
      </c>
      <c r="E391" s="853">
        <v>5417</v>
      </c>
      <c r="F391" s="853" t="s">
        <v>253</v>
      </c>
      <c r="G391" s="853" t="s">
        <v>253</v>
      </c>
      <c r="H391" s="853" t="s">
        <v>253</v>
      </c>
      <c r="I391" s="853" t="s">
        <v>253</v>
      </c>
      <c r="J391" s="853" t="s">
        <v>253</v>
      </c>
      <c r="K391" s="853" t="s">
        <v>253</v>
      </c>
      <c r="L391" s="854">
        <f t="shared" si="57"/>
        <v>5417</v>
      </c>
    </row>
    <row r="392" spans="1:12" x14ac:dyDescent="0.25">
      <c r="B392" s="850">
        <v>45570</v>
      </c>
      <c r="C392" s="852" t="s">
        <v>13</v>
      </c>
      <c r="D392" s="852" t="s">
        <v>18</v>
      </c>
      <c r="E392" s="853">
        <v>5000</v>
      </c>
      <c r="F392" s="853" t="s">
        <v>253</v>
      </c>
      <c r="G392" s="853" t="s">
        <v>253</v>
      </c>
      <c r="H392" s="853" t="s">
        <v>253</v>
      </c>
      <c r="I392" s="853" t="s">
        <v>253</v>
      </c>
      <c r="J392" s="853" t="s">
        <v>253</v>
      </c>
      <c r="K392" s="853" t="s">
        <v>253</v>
      </c>
      <c r="L392" s="854">
        <f t="shared" si="57"/>
        <v>5000</v>
      </c>
    </row>
    <row r="393" spans="1:12" x14ac:dyDescent="0.25">
      <c r="B393" s="850"/>
      <c r="C393" s="851"/>
      <c r="D393" s="852"/>
      <c r="E393" s="853" t="s">
        <v>253</v>
      </c>
      <c r="F393" s="853" t="s">
        <v>253</v>
      </c>
      <c r="G393" s="853" t="s">
        <v>253</v>
      </c>
      <c r="H393" s="853" t="s">
        <v>253</v>
      </c>
      <c r="I393" s="853" t="s">
        <v>253</v>
      </c>
      <c r="J393" s="853" t="s">
        <v>253</v>
      </c>
      <c r="K393" s="853" t="s">
        <v>253</v>
      </c>
      <c r="L393" s="854">
        <f t="shared" si="57"/>
        <v>0</v>
      </c>
    </row>
    <row r="394" spans="1:12" x14ac:dyDescent="0.25">
      <c r="B394" s="850"/>
      <c r="C394" s="851"/>
      <c r="D394" s="852"/>
      <c r="E394" s="853" t="s">
        <v>253</v>
      </c>
      <c r="F394" s="853" t="s">
        <v>253</v>
      </c>
      <c r="G394" s="853" t="s">
        <v>253</v>
      </c>
      <c r="H394" s="853" t="s">
        <v>253</v>
      </c>
      <c r="I394" s="853" t="s">
        <v>253</v>
      </c>
      <c r="J394" s="853" t="s">
        <v>253</v>
      </c>
      <c r="K394" s="853" t="s">
        <v>253</v>
      </c>
      <c r="L394" s="854">
        <f t="shared" si="57"/>
        <v>0</v>
      </c>
    </row>
    <row r="395" spans="1:12" ht="18.75" x14ac:dyDescent="0.25">
      <c r="A395" s="605" t="s">
        <v>254</v>
      </c>
      <c r="B395" s="1030" t="s">
        <v>255</v>
      </c>
      <c r="C395" s="1031"/>
      <c r="D395" s="855">
        <f>SUM(E395:K395)</f>
        <v>33833</v>
      </c>
      <c r="E395" s="854">
        <f t="shared" ref="E395:K395" si="58">SUM(E386:E394)</f>
        <v>33833</v>
      </c>
      <c r="F395" s="854">
        <f t="shared" si="58"/>
        <v>0</v>
      </c>
      <c r="G395" s="854">
        <f t="shared" si="58"/>
        <v>0</v>
      </c>
      <c r="H395" s="854">
        <f t="shared" si="58"/>
        <v>0</v>
      </c>
      <c r="I395" s="854">
        <f t="shared" si="58"/>
        <v>0</v>
      </c>
      <c r="J395" s="854">
        <f t="shared" si="58"/>
        <v>0</v>
      </c>
      <c r="K395" s="854">
        <f t="shared" si="58"/>
        <v>0</v>
      </c>
      <c r="L395" s="856">
        <f>SUM(E395:K395)-SUM(L386:L394)</f>
        <v>0</v>
      </c>
    </row>
    <row r="397" spans="1:12" ht="18.75" x14ac:dyDescent="0.3">
      <c r="B397" s="845" t="s">
        <v>246</v>
      </c>
      <c r="C397" s="1032" t="s">
        <v>696</v>
      </c>
      <c r="D397" s="1033"/>
      <c r="E397" s="1034" t="s">
        <v>637</v>
      </c>
      <c r="F397" s="1035"/>
      <c r="G397" s="1035"/>
      <c r="H397" s="1036"/>
      <c r="I397" s="846" t="s">
        <v>248</v>
      </c>
      <c r="J397" s="847">
        <f>+J384+1</f>
        <v>1185</v>
      </c>
      <c r="K397" s="848" t="s">
        <v>364</v>
      </c>
      <c r="L397" s="847">
        <v>221748</v>
      </c>
    </row>
    <row r="398" spans="1:12" x14ac:dyDescent="0.25">
      <c r="B398" s="849" t="s">
        <v>0</v>
      </c>
      <c r="C398" s="849" t="s">
        <v>249</v>
      </c>
      <c r="D398" s="849" t="s">
        <v>6</v>
      </c>
      <c r="E398" s="849" t="s">
        <v>250</v>
      </c>
      <c r="F398" s="849" t="s">
        <v>62</v>
      </c>
      <c r="G398" s="849" t="s">
        <v>63</v>
      </c>
      <c r="H398" s="849" t="s">
        <v>64</v>
      </c>
      <c r="I398" s="849" t="s">
        <v>251</v>
      </c>
      <c r="J398" s="849" t="s">
        <v>66</v>
      </c>
      <c r="K398" s="849" t="s">
        <v>68</v>
      </c>
      <c r="L398" s="849" t="s">
        <v>252</v>
      </c>
    </row>
    <row r="399" spans="1:12" x14ac:dyDescent="0.25">
      <c r="B399" s="850"/>
      <c r="C399" s="852"/>
      <c r="D399" s="858" t="s">
        <v>697</v>
      </c>
      <c r="E399" s="853">
        <v>66500</v>
      </c>
      <c r="F399" s="853" t="s">
        <v>253</v>
      </c>
      <c r="G399" s="853" t="s">
        <v>253</v>
      </c>
      <c r="H399" s="853" t="s">
        <v>253</v>
      </c>
      <c r="I399" s="853" t="s">
        <v>253</v>
      </c>
      <c r="J399" s="853" t="s">
        <v>253</v>
      </c>
      <c r="K399" s="853" t="s">
        <v>253</v>
      </c>
      <c r="L399" s="854">
        <f>SUM(E399:K399)</f>
        <v>66500</v>
      </c>
    </row>
    <row r="400" spans="1:12" x14ac:dyDescent="0.25">
      <c r="B400" s="850"/>
      <c r="C400" s="852"/>
      <c r="D400" s="858" t="s">
        <v>698</v>
      </c>
      <c r="E400" s="853">
        <v>125000</v>
      </c>
      <c r="F400" s="853" t="s">
        <v>253</v>
      </c>
      <c r="G400" s="853" t="s">
        <v>253</v>
      </c>
      <c r="H400" s="853" t="s">
        <v>253</v>
      </c>
      <c r="I400" s="853" t="s">
        <v>253</v>
      </c>
      <c r="J400" s="853" t="s">
        <v>253</v>
      </c>
      <c r="K400" s="853" t="s">
        <v>253</v>
      </c>
      <c r="L400" s="854">
        <f>SUM(E400:K400)</f>
        <v>125000</v>
      </c>
    </row>
    <row r="401" spans="1:12" x14ac:dyDescent="0.25">
      <c r="B401" s="850"/>
      <c r="C401" s="852"/>
      <c r="D401" s="858" t="s">
        <v>699</v>
      </c>
      <c r="E401" s="853">
        <v>200000</v>
      </c>
      <c r="F401" s="853" t="s">
        <v>253</v>
      </c>
      <c r="G401" s="853" t="s">
        <v>253</v>
      </c>
      <c r="H401" s="853" t="s">
        <v>253</v>
      </c>
      <c r="I401" s="853" t="s">
        <v>253</v>
      </c>
      <c r="J401" s="853" t="s">
        <v>253</v>
      </c>
      <c r="K401" s="853" t="s">
        <v>253</v>
      </c>
      <c r="L401" s="854">
        <f>SUM(E401:K401)</f>
        <v>200000</v>
      </c>
    </row>
    <row r="402" spans="1:12" x14ac:dyDescent="0.25">
      <c r="B402" s="850"/>
      <c r="C402" s="851"/>
      <c r="D402" s="852"/>
      <c r="E402" s="853" t="s">
        <v>253</v>
      </c>
      <c r="F402" s="853" t="s">
        <v>253</v>
      </c>
      <c r="G402" s="853" t="s">
        <v>253</v>
      </c>
      <c r="H402" s="853" t="s">
        <v>253</v>
      </c>
      <c r="I402" s="853" t="s">
        <v>253</v>
      </c>
      <c r="J402" s="853" t="s">
        <v>253</v>
      </c>
      <c r="K402" s="853" t="s">
        <v>253</v>
      </c>
      <c r="L402" s="854">
        <f>SUM(E402:K402)</f>
        <v>0</v>
      </c>
    </row>
    <row r="403" spans="1:12" ht="18.75" x14ac:dyDescent="0.25">
      <c r="A403" s="605" t="s">
        <v>254</v>
      </c>
      <c r="B403" s="1030" t="s">
        <v>255</v>
      </c>
      <c r="C403" s="1031"/>
      <c r="D403" s="855">
        <f>SUM(E403:K403)</f>
        <v>391500</v>
      </c>
      <c r="E403" s="854">
        <f t="shared" ref="E403:K403" si="59">SUM(E399:E402)</f>
        <v>391500</v>
      </c>
      <c r="F403" s="854">
        <f t="shared" si="59"/>
        <v>0</v>
      </c>
      <c r="G403" s="854">
        <f t="shared" si="59"/>
        <v>0</v>
      </c>
      <c r="H403" s="854">
        <f t="shared" si="59"/>
        <v>0</v>
      </c>
      <c r="I403" s="854">
        <f t="shared" si="59"/>
        <v>0</v>
      </c>
      <c r="J403" s="854">
        <f t="shared" si="59"/>
        <v>0</v>
      </c>
      <c r="K403" s="854">
        <f t="shared" si="59"/>
        <v>0</v>
      </c>
      <c r="L403" s="856">
        <f>SUM(E403:K403)-SUM(L399:L402)</f>
        <v>0</v>
      </c>
    </row>
    <row r="404" spans="1:12" ht="15.75" x14ac:dyDescent="0.25">
      <c r="D404" s="608">
        <f>+D403+D395+D382+D368+D353+D340+D326+D312+D297</f>
        <v>890985</v>
      </c>
    </row>
    <row r="405" spans="1:12" ht="18.75" x14ac:dyDescent="0.3">
      <c r="B405" s="845" t="s">
        <v>246</v>
      </c>
      <c r="C405" s="1032" t="s">
        <v>691</v>
      </c>
      <c r="D405" s="1033"/>
      <c r="E405" s="1034" t="s">
        <v>637</v>
      </c>
      <c r="F405" s="1035"/>
      <c r="G405" s="1035"/>
      <c r="H405" s="1036"/>
      <c r="I405" s="846" t="s">
        <v>248</v>
      </c>
      <c r="J405" s="847">
        <f>+J397+1</f>
        <v>1186</v>
      </c>
      <c r="K405" s="848" t="s">
        <v>364</v>
      </c>
      <c r="L405" s="847">
        <v>221749</v>
      </c>
    </row>
    <row r="406" spans="1:12" x14ac:dyDescent="0.25">
      <c r="B406" s="849" t="s">
        <v>0</v>
      </c>
      <c r="C406" s="849" t="s">
        <v>249</v>
      </c>
      <c r="D406" s="849" t="s">
        <v>6</v>
      </c>
      <c r="E406" s="849" t="s">
        <v>250</v>
      </c>
      <c r="F406" s="849" t="s">
        <v>62</v>
      </c>
      <c r="G406" s="849" t="s">
        <v>63</v>
      </c>
      <c r="H406" s="849" t="s">
        <v>64</v>
      </c>
      <c r="I406" s="849" t="s">
        <v>251</v>
      </c>
      <c r="J406" s="849" t="s">
        <v>66</v>
      </c>
      <c r="K406" s="849" t="s">
        <v>68</v>
      </c>
      <c r="L406" s="849" t="s">
        <v>252</v>
      </c>
    </row>
    <row r="407" spans="1:12" x14ac:dyDescent="0.25">
      <c r="B407" s="850">
        <v>45589</v>
      </c>
      <c r="C407" s="851" t="s">
        <v>13</v>
      </c>
      <c r="D407" s="852" t="s">
        <v>18</v>
      </c>
      <c r="E407" s="853">
        <v>4792</v>
      </c>
      <c r="F407" s="853" t="s">
        <v>253</v>
      </c>
      <c r="G407" s="853" t="s">
        <v>253</v>
      </c>
      <c r="H407" s="853" t="s">
        <v>253</v>
      </c>
      <c r="I407" s="853" t="s">
        <v>253</v>
      </c>
      <c r="J407" s="853" t="s">
        <v>253</v>
      </c>
      <c r="K407" s="853" t="s">
        <v>253</v>
      </c>
      <c r="L407" s="854">
        <f t="shared" ref="L407:L414" si="60">SUM(E407:K407)</f>
        <v>4792</v>
      </c>
    </row>
    <row r="408" spans="1:12" x14ac:dyDescent="0.25">
      <c r="B408" s="850">
        <v>45594</v>
      </c>
      <c r="C408" s="851" t="s">
        <v>13</v>
      </c>
      <c r="D408" s="852" t="s">
        <v>14</v>
      </c>
      <c r="E408" s="853">
        <v>0</v>
      </c>
      <c r="F408" s="853" t="s">
        <v>253</v>
      </c>
      <c r="G408" s="853" t="s">
        <v>253</v>
      </c>
      <c r="H408" s="853" t="s">
        <v>253</v>
      </c>
      <c r="I408" s="853" t="s">
        <v>253</v>
      </c>
      <c r="J408" s="853" t="s">
        <v>253</v>
      </c>
      <c r="K408" s="853" t="s">
        <v>253</v>
      </c>
      <c r="L408" s="854">
        <f t="shared" si="60"/>
        <v>0</v>
      </c>
    </row>
    <row r="409" spans="1:12" x14ac:dyDescent="0.25">
      <c r="B409" s="850">
        <v>45594</v>
      </c>
      <c r="C409" s="851" t="s">
        <v>13</v>
      </c>
      <c r="D409" s="852" t="s">
        <v>18</v>
      </c>
      <c r="E409" s="853">
        <v>2000</v>
      </c>
      <c r="F409" s="853" t="s">
        <v>253</v>
      </c>
      <c r="G409" s="853" t="s">
        <v>253</v>
      </c>
      <c r="H409" s="853" t="s">
        <v>253</v>
      </c>
      <c r="I409" s="853" t="s">
        <v>253</v>
      </c>
      <c r="J409" s="853" t="s">
        <v>253</v>
      </c>
      <c r="K409" s="853" t="s">
        <v>253</v>
      </c>
      <c r="L409" s="854">
        <f t="shared" si="60"/>
        <v>2000</v>
      </c>
    </row>
    <row r="410" spans="1:12" x14ac:dyDescent="0.25">
      <c r="B410" s="850">
        <v>45603</v>
      </c>
      <c r="C410" s="851" t="s">
        <v>13</v>
      </c>
      <c r="D410" s="852" t="s">
        <v>15</v>
      </c>
      <c r="E410" s="853">
        <v>4667</v>
      </c>
      <c r="F410" s="853" t="s">
        <v>253</v>
      </c>
      <c r="G410" s="853" t="s">
        <v>253</v>
      </c>
      <c r="H410" s="853" t="s">
        <v>253</v>
      </c>
      <c r="I410" s="853" t="s">
        <v>253</v>
      </c>
      <c r="J410" s="853" t="s">
        <v>253</v>
      </c>
      <c r="K410" s="853" t="s">
        <v>253</v>
      </c>
      <c r="L410" s="854">
        <f t="shared" si="60"/>
        <v>4667</v>
      </c>
    </row>
    <row r="411" spans="1:12" x14ac:dyDescent="0.25">
      <c r="B411" s="850">
        <v>45629</v>
      </c>
      <c r="C411" s="851" t="s">
        <v>13</v>
      </c>
      <c r="D411" s="852" t="s">
        <v>15</v>
      </c>
      <c r="E411" s="853">
        <v>8125</v>
      </c>
      <c r="F411" s="853" t="s">
        <v>253</v>
      </c>
      <c r="G411" s="853" t="s">
        <v>253</v>
      </c>
      <c r="H411" s="853" t="s">
        <v>253</v>
      </c>
      <c r="I411" s="853" t="s">
        <v>253</v>
      </c>
      <c r="J411" s="853" t="s">
        <v>253</v>
      </c>
      <c r="K411" s="853" t="s">
        <v>253</v>
      </c>
      <c r="L411" s="854">
        <f t="shared" si="60"/>
        <v>8125</v>
      </c>
    </row>
    <row r="412" spans="1:12" x14ac:dyDescent="0.25">
      <c r="B412" s="850"/>
      <c r="C412" s="851"/>
      <c r="D412" s="852"/>
      <c r="E412" s="853" t="s">
        <v>253</v>
      </c>
      <c r="F412" s="853" t="s">
        <v>253</v>
      </c>
      <c r="G412" s="853" t="s">
        <v>253</v>
      </c>
      <c r="H412" s="853" t="s">
        <v>253</v>
      </c>
      <c r="I412" s="853" t="s">
        <v>253</v>
      </c>
      <c r="J412" s="853" t="s">
        <v>253</v>
      </c>
      <c r="K412" s="853" t="s">
        <v>253</v>
      </c>
      <c r="L412" s="854">
        <f t="shared" si="60"/>
        <v>0</v>
      </c>
    </row>
    <row r="413" spans="1:12" x14ac:dyDescent="0.25">
      <c r="B413" s="850"/>
      <c r="C413" s="851"/>
      <c r="D413" s="852"/>
      <c r="E413" s="853" t="s">
        <v>253</v>
      </c>
      <c r="F413" s="853" t="s">
        <v>253</v>
      </c>
      <c r="G413" s="853" t="s">
        <v>253</v>
      </c>
      <c r="H413" s="853" t="s">
        <v>253</v>
      </c>
      <c r="I413" s="853" t="s">
        <v>253</v>
      </c>
      <c r="J413" s="853" t="s">
        <v>253</v>
      </c>
      <c r="K413" s="853" t="s">
        <v>253</v>
      </c>
      <c r="L413" s="854">
        <f t="shared" si="60"/>
        <v>0</v>
      </c>
    </row>
    <row r="414" spans="1:12" x14ac:dyDescent="0.25">
      <c r="B414" s="850"/>
      <c r="C414" s="851"/>
      <c r="D414" s="852"/>
      <c r="E414" s="853" t="s">
        <v>253</v>
      </c>
      <c r="F414" s="853" t="s">
        <v>253</v>
      </c>
      <c r="G414" s="853" t="s">
        <v>253</v>
      </c>
      <c r="H414" s="853" t="s">
        <v>253</v>
      </c>
      <c r="I414" s="853" t="s">
        <v>253</v>
      </c>
      <c r="J414" s="853" t="s">
        <v>253</v>
      </c>
      <c r="K414" s="853" t="s">
        <v>253</v>
      </c>
      <c r="L414" s="854">
        <f t="shared" si="60"/>
        <v>0</v>
      </c>
    </row>
    <row r="415" spans="1:12" ht="18.75" x14ac:dyDescent="0.25">
      <c r="A415" s="605" t="s">
        <v>254</v>
      </c>
      <c r="B415" s="1030" t="s">
        <v>255</v>
      </c>
      <c r="C415" s="1031"/>
      <c r="D415" s="855">
        <f>SUM(E415:K415)</f>
        <v>19584</v>
      </c>
      <c r="E415" s="854">
        <f t="shared" ref="E415:K415" si="61">SUM(E407:E414)</f>
        <v>19584</v>
      </c>
      <c r="F415" s="854">
        <f t="shared" si="61"/>
        <v>0</v>
      </c>
      <c r="G415" s="854">
        <f t="shared" si="61"/>
        <v>0</v>
      </c>
      <c r="H415" s="854">
        <f t="shared" si="61"/>
        <v>0</v>
      </c>
      <c r="I415" s="854">
        <f t="shared" si="61"/>
        <v>0</v>
      </c>
      <c r="J415" s="854">
        <f t="shared" si="61"/>
        <v>0</v>
      </c>
      <c r="K415" s="854">
        <f t="shared" si="61"/>
        <v>0</v>
      </c>
      <c r="L415" s="856">
        <f>SUM(E415:K415)-SUM(L407:L414)</f>
        <v>0</v>
      </c>
    </row>
    <row r="417" spans="1:14" ht="18.75" x14ac:dyDescent="0.3">
      <c r="B417" s="845" t="s">
        <v>246</v>
      </c>
      <c r="C417" s="1032" t="s">
        <v>128</v>
      </c>
      <c r="D417" s="1033"/>
      <c r="E417" s="1034" t="s">
        <v>637</v>
      </c>
      <c r="F417" s="1035"/>
      <c r="G417" s="1035"/>
      <c r="H417" s="1036"/>
      <c r="I417" s="846" t="s">
        <v>248</v>
      </c>
      <c r="J417" s="847">
        <f>+J405+1</f>
        <v>1187</v>
      </c>
      <c r="K417" s="848" t="s">
        <v>364</v>
      </c>
      <c r="L417" s="847">
        <v>221749</v>
      </c>
    </row>
    <row r="418" spans="1:14" x14ac:dyDescent="0.25">
      <c r="B418" s="849" t="s">
        <v>0</v>
      </c>
      <c r="C418" s="849" t="s">
        <v>249</v>
      </c>
      <c r="D418" s="849" t="s">
        <v>6</v>
      </c>
      <c r="E418" s="849" t="s">
        <v>250</v>
      </c>
      <c r="F418" s="849" t="s">
        <v>62</v>
      </c>
      <c r="G418" s="849" t="s">
        <v>63</v>
      </c>
      <c r="H418" s="849" t="s">
        <v>64</v>
      </c>
      <c r="I418" s="849" t="s">
        <v>251</v>
      </c>
      <c r="J418" s="849" t="s">
        <v>66</v>
      </c>
      <c r="K418" s="849" t="s">
        <v>68</v>
      </c>
      <c r="L418" s="849" t="s">
        <v>252</v>
      </c>
    </row>
    <row r="419" spans="1:14" x14ac:dyDescent="0.25">
      <c r="B419" s="850">
        <v>45589</v>
      </c>
      <c r="C419" s="851" t="s">
        <v>13</v>
      </c>
      <c r="D419" s="852" t="s">
        <v>18</v>
      </c>
      <c r="E419" s="853">
        <v>4792</v>
      </c>
      <c r="F419" s="853" t="s">
        <v>253</v>
      </c>
      <c r="G419" s="853" t="s">
        <v>253</v>
      </c>
      <c r="H419" s="853" t="s">
        <v>253</v>
      </c>
      <c r="I419" s="853" t="s">
        <v>253</v>
      </c>
      <c r="J419" s="853" t="s">
        <v>253</v>
      </c>
      <c r="K419" s="853" t="s">
        <v>253</v>
      </c>
      <c r="L419" s="854">
        <f t="shared" ref="L419:L426" si="62">SUM(E419:K419)</f>
        <v>4792</v>
      </c>
    </row>
    <row r="420" spans="1:14" x14ac:dyDescent="0.25">
      <c r="B420" s="850">
        <v>45594</v>
      </c>
      <c r="C420" s="851" t="s">
        <v>13</v>
      </c>
      <c r="D420" s="852" t="s">
        <v>14</v>
      </c>
      <c r="E420" s="853" t="s">
        <v>253</v>
      </c>
      <c r="F420" s="853" t="s">
        <v>253</v>
      </c>
      <c r="G420" s="853" t="s">
        <v>253</v>
      </c>
      <c r="H420" s="853" t="s">
        <v>253</v>
      </c>
      <c r="I420" s="853" t="s">
        <v>253</v>
      </c>
      <c r="J420" s="853" t="s">
        <v>253</v>
      </c>
      <c r="K420" s="853" t="s">
        <v>253</v>
      </c>
      <c r="L420" s="854">
        <f t="shared" si="62"/>
        <v>0</v>
      </c>
    </row>
    <row r="421" spans="1:14" x14ac:dyDescent="0.25">
      <c r="B421" s="850">
        <v>45594</v>
      </c>
      <c r="C421" s="851" t="s">
        <v>13</v>
      </c>
      <c r="D421" s="852" t="s">
        <v>18</v>
      </c>
      <c r="E421" s="853">
        <v>2000</v>
      </c>
      <c r="F421" s="853" t="s">
        <v>253</v>
      </c>
      <c r="G421" s="853" t="s">
        <v>253</v>
      </c>
      <c r="H421" s="853" t="s">
        <v>253</v>
      </c>
      <c r="I421" s="853" t="s">
        <v>253</v>
      </c>
      <c r="J421" s="853" t="s">
        <v>253</v>
      </c>
      <c r="K421" s="853" t="s">
        <v>253</v>
      </c>
      <c r="L421" s="854">
        <f t="shared" si="62"/>
        <v>2000</v>
      </c>
    </row>
    <row r="422" spans="1:14" x14ac:dyDescent="0.25">
      <c r="B422" s="850">
        <v>45603</v>
      </c>
      <c r="C422" s="851" t="s">
        <v>13</v>
      </c>
      <c r="D422" s="852" t="s">
        <v>15</v>
      </c>
      <c r="E422" s="853">
        <v>4667</v>
      </c>
      <c r="F422" s="853" t="s">
        <v>253</v>
      </c>
      <c r="G422" s="853" t="s">
        <v>253</v>
      </c>
      <c r="H422" s="853" t="s">
        <v>253</v>
      </c>
      <c r="I422" s="853" t="s">
        <v>253</v>
      </c>
      <c r="J422" s="853" t="s">
        <v>253</v>
      </c>
      <c r="K422" s="853" t="s">
        <v>253</v>
      </c>
      <c r="L422" s="854">
        <f t="shared" si="62"/>
        <v>4667</v>
      </c>
    </row>
    <row r="423" spans="1:14" x14ac:dyDescent="0.25">
      <c r="B423" s="850">
        <v>45618</v>
      </c>
      <c r="C423" s="851" t="s">
        <v>13</v>
      </c>
      <c r="D423" s="852" t="s">
        <v>15</v>
      </c>
      <c r="E423" s="853">
        <v>5000</v>
      </c>
      <c r="F423" s="853" t="s">
        <v>253</v>
      </c>
      <c r="G423" s="853" t="s">
        <v>253</v>
      </c>
      <c r="H423" s="853" t="s">
        <v>253</v>
      </c>
      <c r="I423" s="853" t="s">
        <v>253</v>
      </c>
      <c r="J423" s="853" t="s">
        <v>253</v>
      </c>
      <c r="K423" s="853" t="s">
        <v>253</v>
      </c>
      <c r="L423" s="854">
        <f t="shared" si="62"/>
        <v>5000</v>
      </c>
    </row>
    <row r="424" spans="1:14" x14ac:dyDescent="0.25">
      <c r="B424" s="850">
        <v>45621</v>
      </c>
      <c r="C424" s="851" t="s">
        <v>16</v>
      </c>
      <c r="D424" s="852" t="s">
        <v>17</v>
      </c>
      <c r="E424" s="853">
        <v>20000</v>
      </c>
      <c r="F424" s="853">
        <v>81900</v>
      </c>
      <c r="G424" s="853">
        <v>37460</v>
      </c>
      <c r="H424" s="853" t="s">
        <v>253</v>
      </c>
      <c r="I424" s="853" t="s">
        <v>253</v>
      </c>
      <c r="J424" s="853" t="s">
        <v>253</v>
      </c>
      <c r="K424" s="853" t="s">
        <v>253</v>
      </c>
      <c r="L424" s="854">
        <f t="shared" si="62"/>
        <v>139360</v>
      </c>
    </row>
    <row r="425" spans="1:14" x14ac:dyDescent="0.25">
      <c r="B425" s="850">
        <v>45536</v>
      </c>
      <c r="C425" s="851" t="s">
        <v>124</v>
      </c>
      <c r="D425" s="852" t="s">
        <v>692</v>
      </c>
      <c r="E425" s="853">
        <v>20000</v>
      </c>
      <c r="F425" s="853" t="s">
        <v>253</v>
      </c>
      <c r="G425" s="853" t="s">
        <v>253</v>
      </c>
      <c r="H425" s="853" t="s">
        <v>253</v>
      </c>
      <c r="I425" s="853" t="s">
        <v>253</v>
      </c>
      <c r="J425" s="853" t="s">
        <v>253</v>
      </c>
      <c r="K425" s="853" t="s">
        <v>253</v>
      </c>
      <c r="L425" s="854">
        <f t="shared" si="62"/>
        <v>20000</v>
      </c>
    </row>
    <row r="426" spans="1:14" x14ac:dyDescent="0.25">
      <c r="B426" s="850"/>
      <c r="C426" s="851"/>
      <c r="D426" s="852"/>
      <c r="E426" s="853" t="s">
        <v>253</v>
      </c>
      <c r="F426" s="853" t="s">
        <v>253</v>
      </c>
      <c r="G426" s="853" t="s">
        <v>253</v>
      </c>
      <c r="H426" s="853" t="s">
        <v>253</v>
      </c>
      <c r="I426" s="853" t="s">
        <v>253</v>
      </c>
      <c r="J426" s="853" t="s">
        <v>253</v>
      </c>
      <c r="K426" s="853" t="s">
        <v>253</v>
      </c>
      <c r="L426" s="854">
        <f t="shared" si="62"/>
        <v>0</v>
      </c>
    </row>
    <row r="427" spans="1:14" ht="18.75" x14ac:dyDescent="0.25">
      <c r="A427" s="605" t="s">
        <v>254</v>
      </c>
      <c r="B427" s="1030" t="s">
        <v>255</v>
      </c>
      <c r="C427" s="1031"/>
      <c r="D427" s="855">
        <f>SUM(E427:K427)</f>
        <v>175819</v>
      </c>
      <c r="E427" s="854">
        <f t="shared" ref="E427:K427" si="63">SUM(E419:E426)</f>
        <v>56459</v>
      </c>
      <c r="F427" s="854">
        <f t="shared" si="63"/>
        <v>81900</v>
      </c>
      <c r="G427" s="854">
        <f t="shared" si="63"/>
        <v>37460</v>
      </c>
      <c r="H427" s="854">
        <f t="shared" si="63"/>
        <v>0</v>
      </c>
      <c r="I427" s="854">
        <f t="shared" si="63"/>
        <v>0</v>
      </c>
      <c r="J427" s="854">
        <f t="shared" si="63"/>
        <v>0</v>
      </c>
      <c r="K427" s="854">
        <f t="shared" si="63"/>
        <v>0</v>
      </c>
      <c r="L427" s="856">
        <f>SUM(E427:K427)-SUM(L419:L426)</f>
        <v>0</v>
      </c>
    </row>
    <row r="429" spans="1:14" ht="18.75" x14ac:dyDescent="0.3">
      <c r="B429" s="845" t="s">
        <v>246</v>
      </c>
      <c r="C429" s="1032" t="s">
        <v>129</v>
      </c>
      <c r="D429" s="1033"/>
      <c r="E429" s="1034" t="s">
        <v>637</v>
      </c>
      <c r="F429" s="1035"/>
      <c r="G429" s="1035"/>
      <c r="H429" s="1036"/>
      <c r="I429" s="846" t="s">
        <v>248</v>
      </c>
      <c r="J429" s="847">
        <f>+J417+1</f>
        <v>1188</v>
      </c>
      <c r="K429" s="848" t="s">
        <v>364</v>
      </c>
      <c r="L429" s="847">
        <v>221749</v>
      </c>
      <c r="N429" s="884">
        <v>3300</v>
      </c>
    </row>
    <row r="430" spans="1:14" x14ac:dyDescent="0.25">
      <c r="B430" s="849" t="s">
        <v>0</v>
      </c>
      <c r="C430" s="849" t="s">
        <v>249</v>
      </c>
      <c r="D430" s="849" t="s">
        <v>6</v>
      </c>
      <c r="E430" s="849" t="s">
        <v>250</v>
      </c>
      <c r="F430" s="849" t="s">
        <v>62</v>
      </c>
      <c r="G430" s="849" t="s">
        <v>63</v>
      </c>
      <c r="H430" s="849" t="s">
        <v>64</v>
      </c>
      <c r="I430" s="849" t="s">
        <v>251</v>
      </c>
      <c r="J430" s="849" t="s">
        <v>66</v>
      </c>
      <c r="K430" s="849" t="s">
        <v>68</v>
      </c>
      <c r="L430" s="849" t="s">
        <v>252</v>
      </c>
      <c r="N430" s="884">
        <v>17600</v>
      </c>
    </row>
    <row r="431" spans="1:14" x14ac:dyDescent="0.25">
      <c r="B431" s="850">
        <v>45589</v>
      </c>
      <c r="C431" s="851" t="s">
        <v>13</v>
      </c>
      <c r="D431" s="852" t="s">
        <v>18</v>
      </c>
      <c r="E431" s="853">
        <v>4792</v>
      </c>
      <c r="F431" s="853" t="s">
        <v>253</v>
      </c>
      <c r="G431" s="853" t="s">
        <v>253</v>
      </c>
      <c r="H431" s="853" t="s">
        <v>253</v>
      </c>
      <c r="I431" s="853" t="s">
        <v>253</v>
      </c>
      <c r="J431" s="853" t="s">
        <v>253</v>
      </c>
      <c r="K431" s="853" t="s">
        <v>253</v>
      </c>
      <c r="L431" s="854">
        <f t="shared" ref="L431:L438" si="64">SUM(E431:K431)</f>
        <v>4792</v>
      </c>
      <c r="N431" s="884">
        <v>5000</v>
      </c>
    </row>
    <row r="432" spans="1:14" x14ac:dyDescent="0.25">
      <c r="B432" s="850">
        <v>45594</v>
      </c>
      <c r="C432" s="851" t="s">
        <v>13</v>
      </c>
      <c r="D432" s="852" t="s">
        <v>14</v>
      </c>
      <c r="E432" s="853" t="s">
        <v>253</v>
      </c>
      <c r="F432" s="853" t="s">
        <v>253</v>
      </c>
      <c r="G432" s="853" t="s">
        <v>253</v>
      </c>
      <c r="H432" s="853" t="s">
        <v>253</v>
      </c>
      <c r="I432" s="853" t="s">
        <v>253</v>
      </c>
      <c r="J432" s="853" t="s">
        <v>253</v>
      </c>
      <c r="K432" s="853" t="s">
        <v>253</v>
      </c>
      <c r="L432" s="854">
        <f t="shared" si="64"/>
        <v>0</v>
      </c>
      <c r="N432" s="884">
        <v>6500</v>
      </c>
    </row>
    <row r="433" spans="1:16" x14ac:dyDescent="0.25">
      <c r="B433" s="850">
        <v>45594</v>
      </c>
      <c r="C433" s="851" t="s">
        <v>13</v>
      </c>
      <c r="D433" s="852" t="s">
        <v>18</v>
      </c>
      <c r="E433" s="853">
        <v>2000</v>
      </c>
      <c r="F433" s="853" t="s">
        <v>253</v>
      </c>
      <c r="G433" s="853" t="s">
        <v>253</v>
      </c>
      <c r="H433" s="853" t="s">
        <v>253</v>
      </c>
      <c r="I433" s="853" t="s">
        <v>253</v>
      </c>
      <c r="J433" s="853" t="s">
        <v>253</v>
      </c>
      <c r="K433" s="853" t="s">
        <v>253</v>
      </c>
      <c r="L433" s="854">
        <f t="shared" si="64"/>
        <v>2000</v>
      </c>
      <c r="N433" s="884">
        <f>+E431</f>
        <v>4792</v>
      </c>
    </row>
    <row r="434" spans="1:16" x14ac:dyDescent="0.25">
      <c r="B434" s="850">
        <v>45603</v>
      </c>
      <c r="C434" s="851" t="s">
        <v>13</v>
      </c>
      <c r="D434" s="852" t="s">
        <v>15</v>
      </c>
      <c r="E434" s="853">
        <v>4667</v>
      </c>
      <c r="F434" s="853" t="s">
        <v>253</v>
      </c>
      <c r="G434" s="853" t="s">
        <v>253</v>
      </c>
      <c r="H434" s="853" t="s">
        <v>253</v>
      </c>
      <c r="I434" s="853" t="s">
        <v>253</v>
      </c>
      <c r="J434" s="853" t="s">
        <v>253</v>
      </c>
      <c r="K434" s="853" t="s">
        <v>253</v>
      </c>
      <c r="L434" s="854">
        <f t="shared" si="64"/>
        <v>4667</v>
      </c>
      <c r="N434" s="702">
        <f>+E433</f>
        <v>2000</v>
      </c>
    </row>
    <row r="435" spans="1:16" x14ac:dyDescent="0.25">
      <c r="B435" s="850">
        <v>45618</v>
      </c>
      <c r="C435" s="851" t="s">
        <v>13</v>
      </c>
      <c r="D435" s="852" t="s">
        <v>15</v>
      </c>
      <c r="E435" s="853">
        <v>5000</v>
      </c>
      <c r="F435" s="853" t="s">
        <v>253</v>
      </c>
      <c r="G435" s="853" t="s">
        <v>253</v>
      </c>
      <c r="H435" s="853" t="s">
        <v>253</v>
      </c>
      <c r="I435" s="853" t="s">
        <v>253</v>
      </c>
      <c r="J435" s="853" t="s">
        <v>253</v>
      </c>
      <c r="K435" s="853" t="s">
        <v>253</v>
      </c>
      <c r="L435" s="854">
        <f t="shared" si="64"/>
        <v>5000</v>
      </c>
      <c r="N435" s="702">
        <f>+E434</f>
        <v>4667</v>
      </c>
    </row>
    <row r="436" spans="1:16" x14ac:dyDescent="0.25">
      <c r="B436" s="850">
        <v>45621</v>
      </c>
      <c r="C436" s="851" t="s">
        <v>16</v>
      </c>
      <c r="D436" s="852" t="s">
        <v>17</v>
      </c>
      <c r="E436" s="853">
        <v>20000</v>
      </c>
      <c r="F436" s="853">
        <v>11500</v>
      </c>
      <c r="G436" s="853">
        <v>17800</v>
      </c>
      <c r="H436" s="853">
        <v>3000</v>
      </c>
      <c r="I436" s="853">
        <v>5100</v>
      </c>
      <c r="J436" s="853" t="s">
        <v>253</v>
      </c>
      <c r="K436" s="853"/>
      <c r="L436" s="854">
        <f t="shared" si="64"/>
        <v>57400</v>
      </c>
      <c r="N436" s="702">
        <f>+E435</f>
        <v>5000</v>
      </c>
    </row>
    <row r="437" spans="1:16" x14ac:dyDescent="0.25">
      <c r="B437" s="850">
        <v>45629</v>
      </c>
      <c r="C437" s="851" t="s">
        <v>13</v>
      </c>
      <c r="D437" s="852" t="s">
        <v>15</v>
      </c>
      <c r="E437" s="853">
        <v>8125</v>
      </c>
      <c r="F437" s="853" t="s">
        <v>253</v>
      </c>
      <c r="G437" s="853" t="s">
        <v>253</v>
      </c>
      <c r="H437" s="853" t="s">
        <v>253</v>
      </c>
      <c r="I437" s="853" t="s">
        <v>253</v>
      </c>
      <c r="J437" s="853" t="s">
        <v>253</v>
      </c>
      <c r="K437" s="853" t="s">
        <v>253</v>
      </c>
      <c r="L437" s="854">
        <f t="shared" si="64"/>
        <v>8125</v>
      </c>
      <c r="N437" s="702">
        <v>20000</v>
      </c>
    </row>
    <row r="438" spans="1:16" x14ac:dyDescent="0.25">
      <c r="B438" s="850"/>
      <c r="C438" s="851"/>
      <c r="D438" s="852"/>
      <c r="E438" s="853" t="s">
        <v>253</v>
      </c>
      <c r="F438" s="853" t="s">
        <v>253</v>
      </c>
      <c r="G438" s="853" t="s">
        <v>253</v>
      </c>
      <c r="H438" s="853" t="s">
        <v>253</v>
      </c>
      <c r="I438" s="853" t="s">
        <v>253</v>
      </c>
      <c r="J438" s="853" t="s">
        <v>253</v>
      </c>
      <c r="K438" s="853" t="s">
        <v>253</v>
      </c>
      <c r="L438" s="854">
        <f t="shared" si="64"/>
        <v>0</v>
      </c>
      <c r="N438" s="702">
        <f>+E437</f>
        <v>8125</v>
      </c>
    </row>
    <row r="439" spans="1:16" ht="18.75" x14ac:dyDescent="0.25">
      <c r="A439" s="605" t="s">
        <v>254</v>
      </c>
      <c r="B439" s="1030" t="s">
        <v>255</v>
      </c>
      <c r="C439" s="1031"/>
      <c r="D439" s="855">
        <f>SUM(E439:K439)</f>
        <v>81984</v>
      </c>
      <c r="E439" s="854">
        <f t="shared" ref="E439:K439" si="65">SUM(E431:E438)</f>
        <v>44584</v>
      </c>
      <c r="F439" s="854">
        <f t="shared" si="65"/>
        <v>11500</v>
      </c>
      <c r="G439" s="854">
        <f t="shared" si="65"/>
        <v>17800</v>
      </c>
      <c r="H439" s="854">
        <f t="shared" si="65"/>
        <v>3000</v>
      </c>
      <c r="I439" s="854">
        <f t="shared" si="65"/>
        <v>5100</v>
      </c>
      <c r="J439" s="854">
        <f t="shared" si="65"/>
        <v>0</v>
      </c>
      <c r="K439" s="854">
        <f t="shared" si="65"/>
        <v>0</v>
      </c>
      <c r="L439" s="856">
        <f>SUM(E439:K439)-SUM(L431:L438)</f>
        <v>0</v>
      </c>
      <c r="N439" s="95">
        <f>SUM(N429:N438)</f>
        <v>76984</v>
      </c>
      <c r="O439" s="883">
        <f>+D439-N439</f>
        <v>5000</v>
      </c>
      <c r="P439" s="95" t="s">
        <v>764</v>
      </c>
    </row>
    <row r="441" spans="1:16" ht="18.75" x14ac:dyDescent="0.3">
      <c r="B441" s="845" t="s">
        <v>246</v>
      </c>
      <c r="C441" s="1032" t="s">
        <v>232</v>
      </c>
      <c r="D441" s="1033"/>
      <c r="E441" s="1034" t="s">
        <v>637</v>
      </c>
      <c r="F441" s="1035"/>
      <c r="G441" s="1035"/>
      <c r="H441" s="1036"/>
      <c r="I441" s="846" t="s">
        <v>248</v>
      </c>
      <c r="J441" s="847">
        <f>+J429+1</f>
        <v>1189</v>
      </c>
      <c r="K441" s="848" t="s">
        <v>364</v>
      </c>
      <c r="L441" s="847">
        <v>221749</v>
      </c>
    </row>
    <row r="442" spans="1:16" x14ac:dyDescent="0.25">
      <c r="B442" s="849" t="s">
        <v>0</v>
      </c>
      <c r="C442" s="849" t="s">
        <v>249</v>
      </c>
      <c r="D442" s="849" t="s">
        <v>6</v>
      </c>
      <c r="E442" s="849" t="s">
        <v>250</v>
      </c>
      <c r="F442" s="849" t="s">
        <v>62</v>
      </c>
      <c r="G442" s="849" t="s">
        <v>63</v>
      </c>
      <c r="H442" s="849" t="s">
        <v>64</v>
      </c>
      <c r="I442" s="849" t="s">
        <v>251</v>
      </c>
      <c r="J442" s="849" t="s">
        <v>66</v>
      </c>
      <c r="K442" s="849" t="s">
        <v>68</v>
      </c>
      <c r="L442" s="849" t="s">
        <v>252</v>
      </c>
    </row>
    <row r="443" spans="1:16" x14ac:dyDescent="0.25">
      <c r="B443" s="850">
        <v>45589</v>
      </c>
      <c r="C443" s="851" t="s">
        <v>13</v>
      </c>
      <c r="D443" s="852" t="s">
        <v>18</v>
      </c>
      <c r="E443" s="853">
        <v>4792</v>
      </c>
      <c r="F443" s="853" t="s">
        <v>253</v>
      </c>
      <c r="G443" s="853" t="s">
        <v>253</v>
      </c>
      <c r="H443" s="853" t="s">
        <v>253</v>
      </c>
      <c r="I443" s="853" t="s">
        <v>253</v>
      </c>
      <c r="J443" s="853" t="s">
        <v>253</v>
      </c>
      <c r="K443" s="853" t="s">
        <v>253</v>
      </c>
      <c r="L443" s="854">
        <f t="shared" ref="L443:L450" si="66">SUM(E443:K443)</f>
        <v>4792</v>
      </c>
    </row>
    <row r="444" spans="1:16" x14ac:dyDescent="0.25">
      <c r="B444" s="850">
        <v>45594</v>
      </c>
      <c r="C444" s="851" t="s">
        <v>13</v>
      </c>
      <c r="D444" s="852" t="s">
        <v>14</v>
      </c>
      <c r="E444" s="853" t="s">
        <v>253</v>
      </c>
      <c r="F444" s="853" t="s">
        <v>253</v>
      </c>
      <c r="G444" s="853" t="s">
        <v>253</v>
      </c>
      <c r="H444" s="853" t="s">
        <v>253</v>
      </c>
      <c r="I444" s="853" t="s">
        <v>253</v>
      </c>
      <c r="J444" s="853" t="s">
        <v>253</v>
      </c>
      <c r="K444" s="853" t="s">
        <v>253</v>
      </c>
      <c r="L444" s="854">
        <f t="shared" si="66"/>
        <v>0</v>
      </c>
    </row>
    <row r="445" spans="1:16" x14ac:dyDescent="0.25">
      <c r="B445" s="850">
        <v>45594</v>
      </c>
      <c r="C445" s="851" t="s">
        <v>13</v>
      </c>
      <c r="D445" s="852" t="s">
        <v>18</v>
      </c>
      <c r="E445" s="853">
        <v>2000</v>
      </c>
      <c r="F445" s="853" t="s">
        <v>253</v>
      </c>
      <c r="G445" s="853" t="s">
        <v>253</v>
      </c>
      <c r="H445" s="853" t="s">
        <v>253</v>
      </c>
      <c r="I445" s="853" t="s">
        <v>253</v>
      </c>
      <c r="J445" s="853" t="s">
        <v>253</v>
      </c>
      <c r="K445" s="853" t="s">
        <v>253</v>
      </c>
      <c r="L445" s="854">
        <f t="shared" si="66"/>
        <v>2000</v>
      </c>
    </row>
    <row r="446" spans="1:16" x14ac:dyDescent="0.25">
      <c r="B446" s="850">
        <v>45603</v>
      </c>
      <c r="C446" s="851" t="s">
        <v>13</v>
      </c>
      <c r="D446" s="852" t="s">
        <v>15</v>
      </c>
      <c r="E446" s="853">
        <v>4667</v>
      </c>
      <c r="F446" s="853" t="s">
        <v>253</v>
      </c>
      <c r="G446" s="853" t="s">
        <v>253</v>
      </c>
      <c r="H446" s="853" t="s">
        <v>253</v>
      </c>
      <c r="I446" s="853" t="s">
        <v>253</v>
      </c>
      <c r="J446" s="853" t="s">
        <v>253</v>
      </c>
      <c r="K446" s="853" t="s">
        <v>253</v>
      </c>
      <c r="L446" s="854">
        <f t="shared" si="66"/>
        <v>4667</v>
      </c>
    </row>
    <row r="447" spans="1:16" x14ac:dyDescent="0.25">
      <c r="B447" s="850">
        <v>45629</v>
      </c>
      <c r="C447" s="851" t="s">
        <v>13</v>
      </c>
      <c r="D447" s="852" t="s">
        <v>15</v>
      </c>
      <c r="E447" s="853">
        <v>8125</v>
      </c>
      <c r="F447" s="853" t="s">
        <v>253</v>
      </c>
      <c r="G447" s="853" t="s">
        <v>253</v>
      </c>
      <c r="H447" s="853" t="s">
        <v>253</v>
      </c>
      <c r="I447" s="853" t="s">
        <v>253</v>
      </c>
      <c r="J447" s="853" t="s">
        <v>253</v>
      </c>
      <c r="K447" s="853" t="s">
        <v>253</v>
      </c>
      <c r="L447" s="854">
        <f t="shared" si="66"/>
        <v>8125</v>
      </c>
    </row>
    <row r="448" spans="1:16" x14ac:dyDescent="0.25">
      <c r="B448" s="850"/>
      <c r="C448" s="851"/>
      <c r="D448" s="852"/>
      <c r="E448" s="853" t="s">
        <v>253</v>
      </c>
      <c r="F448" s="853" t="s">
        <v>253</v>
      </c>
      <c r="G448" s="853" t="s">
        <v>253</v>
      </c>
      <c r="H448" s="853" t="s">
        <v>253</v>
      </c>
      <c r="I448" s="853" t="s">
        <v>253</v>
      </c>
      <c r="J448" s="853" t="s">
        <v>253</v>
      </c>
      <c r="K448" s="853" t="s">
        <v>253</v>
      </c>
      <c r="L448" s="854">
        <f t="shared" si="66"/>
        <v>0</v>
      </c>
    </row>
    <row r="449" spans="1:14" x14ac:dyDescent="0.25">
      <c r="B449" s="850"/>
      <c r="C449" s="851"/>
      <c r="D449" s="852"/>
      <c r="E449" s="853" t="s">
        <v>253</v>
      </c>
      <c r="F449" s="853" t="s">
        <v>253</v>
      </c>
      <c r="G449" s="853" t="s">
        <v>253</v>
      </c>
      <c r="H449" s="853" t="s">
        <v>253</v>
      </c>
      <c r="I449" s="853" t="s">
        <v>253</v>
      </c>
      <c r="J449" s="853" t="s">
        <v>253</v>
      </c>
      <c r="K449" s="853" t="s">
        <v>253</v>
      </c>
      <c r="L449" s="854">
        <f t="shared" si="66"/>
        <v>0</v>
      </c>
    </row>
    <row r="450" spans="1:14" x14ac:dyDescent="0.25">
      <c r="B450" s="850"/>
      <c r="C450" s="851"/>
      <c r="D450" s="852"/>
      <c r="E450" s="853" t="s">
        <v>253</v>
      </c>
      <c r="F450" s="853" t="s">
        <v>253</v>
      </c>
      <c r="G450" s="853" t="s">
        <v>253</v>
      </c>
      <c r="H450" s="853" t="s">
        <v>253</v>
      </c>
      <c r="I450" s="853" t="s">
        <v>253</v>
      </c>
      <c r="J450" s="853" t="s">
        <v>253</v>
      </c>
      <c r="K450" s="853" t="s">
        <v>253</v>
      </c>
      <c r="L450" s="854">
        <f t="shared" si="66"/>
        <v>0</v>
      </c>
    </row>
    <row r="451" spans="1:14" ht="18.75" x14ac:dyDescent="0.25">
      <c r="A451" s="605" t="s">
        <v>254</v>
      </c>
      <c r="B451" s="1030" t="s">
        <v>255</v>
      </c>
      <c r="C451" s="1031"/>
      <c r="D451" s="855">
        <f>SUM(E451:K451)</f>
        <v>19584</v>
      </c>
      <c r="E451" s="854">
        <f t="shared" ref="E451:K451" si="67">SUM(E443:E450)</f>
        <v>19584</v>
      </c>
      <c r="F451" s="854">
        <f t="shared" si="67"/>
        <v>0</v>
      </c>
      <c r="G451" s="854">
        <f t="shared" si="67"/>
        <v>0</v>
      </c>
      <c r="H451" s="854">
        <f t="shared" si="67"/>
        <v>0</v>
      </c>
      <c r="I451" s="854">
        <f t="shared" si="67"/>
        <v>0</v>
      </c>
      <c r="J451" s="854">
        <f t="shared" si="67"/>
        <v>0</v>
      </c>
      <c r="K451" s="854">
        <f t="shared" si="67"/>
        <v>0</v>
      </c>
      <c r="L451" s="856">
        <f>SUM(E451:K451)-SUM(L443:L450)</f>
        <v>0</v>
      </c>
    </row>
    <row r="453" spans="1:14" ht="18.75" x14ac:dyDescent="0.3">
      <c r="B453" s="845" t="s">
        <v>246</v>
      </c>
      <c r="C453" s="1032" t="s">
        <v>131</v>
      </c>
      <c r="D453" s="1033"/>
      <c r="E453" s="1034" t="s">
        <v>637</v>
      </c>
      <c r="F453" s="1035"/>
      <c r="G453" s="1035"/>
      <c r="H453" s="1036"/>
      <c r="I453" s="846" t="s">
        <v>248</v>
      </c>
      <c r="J453" s="847">
        <f>+J441+1</f>
        <v>1190</v>
      </c>
      <c r="K453" s="848" t="s">
        <v>364</v>
      </c>
      <c r="L453" s="847">
        <v>221749</v>
      </c>
    </row>
    <row r="454" spans="1:14" x14ac:dyDescent="0.25">
      <c r="B454" s="849" t="s">
        <v>0</v>
      </c>
      <c r="C454" s="849" t="s">
        <v>249</v>
      </c>
      <c r="D454" s="849" t="s">
        <v>6</v>
      </c>
      <c r="E454" s="849" t="s">
        <v>250</v>
      </c>
      <c r="F454" s="849" t="s">
        <v>62</v>
      </c>
      <c r="G454" s="849" t="s">
        <v>63</v>
      </c>
      <c r="H454" s="849" t="s">
        <v>64</v>
      </c>
      <c r="I454" s="849" t="s">
        <v>251</v>
      </c>
      <c r="J454" s="849" t="s">
        <v>66</v>
      </c>
      <c r="K454" s="849" t="s">
        <v>68</v>
      </c>
      <c r="L454" s="849" t="s">
        <v>252</v>
      </c>
    </row>
    <row r="455" spans="1:14" x14ac:dyDescent="0.25">
      <c r="B455" s="850">
        <v>45589</v>
      </c>
      <c r="C455" s="851" t="s">
        <v>13</v>
      </c>
      <c r="D455" s="852" t="s">
        <v>18</v>
      </c>
      <c r="E455" s="853">
        <v>4792</v>
      </c>
      <c r="F455" s="853" t="s">
        <v>253</v>
      </c>
      <c r="G455" s="853" t="s">
        <v>253</v>
      </c>
      <c r="H455" s="853" t="s">
        <v>253</v>
      </c>
      <c r="I455" s="853" t="s">
        <v>253</v>
      </c>
      <c r="J455" s="853" t="s">
        <v>253</v>
      </c>
      <c r="K455" s="853" t="s">
        <v>253</v>
      </c>
      <c r="L455" s="854">
        <f t="shared" ref="L455:L462" si="68">SUM(E455:K455)</f>
        <v>4792</v>
      </c>
    </row>
    <row r="456" spans="1:14" x14ac:dyDescent="0.25">
      <c r="B456" s="850">
        <v>45594</v>
      </c>
      <c r="C456" s="851" t="s">
        <v>13</v>
      </c>
      <c r="D456" s="852" t="s">
        <v>14</v>
      </c>
      <c r="E456" s="853" t="s">
        <v>253</v>
      </c>
      <c r="F456" s="853" t="s">
        <v>253</v>
      </c>
      <c r="G456" s="853" t="s">
        <v>253</v>
      </c>
      <c r="H456" s="853" t="s">
        <v>253</v>
      </c>
      <c r="I456" s="853" t="s">
        <v>253</v>
      </c>
      <c r="J456" s="853" t="s">
        <v>253</v>
      </c>
      <c r="K456" s="853" t="s">
        <v>253</v>
      </c>
      <c r="L456" s="854">
        <f t="shared" si="68"/>
        <v>0</v>
      </c>
    </row>
    <row r="457" spans="1:14" x14ac:dyDescent="0.25">
      <c r="B457" s="850">
        <v>45594</v>
      </c>
      <c r="C457" s="851" t="s">
        <v>13</v>
      </c>
      <c r="D457" s="852" t="s">
        <v>18</v>
      </c>
      <c r="E457" s="853">
        <v>2000</v>
      </c>
      <c r="F457" s="853" t="s">
        <v>253</v>
      </c>
      <c r="G457" s="853" t="s">
        <v>253</v>
      </c>
      <c r="H457" s="853" t="s">
        <v>253</v>
      </c>
      <c r="I457" s="853" t="s">
        <v>253</v>
      </c>
      <c r="J457" s="853" t="s">
        <v>253</v>
      </c>
      <c r="K457" s="853" t="s">
        <v>253</v>
      </c>
      <c r="L457" s="854">
        <f t="shared" si="68"/>
        <v>2000</v>
      </c>
    </row>
    <row r="458" spans="1:14" x14ac:dyDescent="0.25">
      <c r="B458" s="850">
        <v>45603</v>
      </c>
      <c r="C458" s="851" t="s">
        <v>13</v>
      </c>
      <c r="D458" s="852" t="s">
        <v>15</v>
      </c>
      <c r="E458" s="853">
        <v>4667</v>
      </c>
      <c r="F458" s="853" t="s">
        <v>253</v>
      </c>
      <c r="G458" s="853" t="s">
        <v>253</v>
      </c>
      <c r="H458" s="853" t="s">
        <v>253</v>
      </c>
      <c r="I458" s="853" t="s">
        <v>253</v>
      </c>
      <c r="J458" s="853" t="s">
        <v>253</v>
      </c>
      <c r="K458" s="853" t="s">
        <v>253</v>
      </c>
      <c r="L458" s="854">
        <f t="shared" si="68"/>
        <v>4667</v>
      </c>
    </row>
    <row r="459" spans="1:14" x14ac:dyDescent="0.25">
      <c r="B459" s="850"/>
      <c r="C459" s="851"/>
      <c r="D459" s="852"/>
      <c r="E459" s="853" t="s">
        <v>253</v>
      </c>
      <c r="F459" s="853" t="s">
        <v>253</v>
      </c>
      <c r="G459" s="853" t="s">
        <v>253</v>
      </c>
      <c r="H459" s="853" t="s">
        <v>253</v>
      </c>
      <c r="I459" s="853" t="s">
        <v>253</v>
      </c>
      <c r="J459" s="853" t="s">
        <v>253</v>
      </c>
      <c r="K459" s="853" t="s">
        <v>253</v>
      </c>
      <c r="L459" s="854">
        <f t="shared" si="68"/>
        <v>0</v>
      </c>
    </row>
    <row r="460" spans="1:14" x14ac:dyDescent="0.25">
      <c r="B460" s="850"/>
      <c r="C460" s="851"/>
      <c r="D460" s="852"/>
      <c r="E460" s="853" t="s">
        <v>253</v>
      </c>
      <c r="F460" s="853" t="s">
        <v>253</v>
      </c>
      <c r="G460" s="853" t="s">
        <v>253</v>
      </c>
      <c r="H460" s="853" t="s">
        <v>253</v>
      </c>
      <c r="I460" s="853" t="s">
        <v>253</v>
      </c>
      <c r="J460" s="853" t="s">
        <v>253</v>
      </c>
      <c r="K460" s="853" t="s">
        <v>253</v>
      </c>
      <c r="L460" s="854">
        <f t="shared" si="68"/>
        <v>0</v>
      </c>
    </row>
    <row r="461" spans="1:14" x14ac:dyDescent="0.25">
      <c r="B461" s="850"/>
      <c r="C461" s="851"/>
      <c r="D461" s="852"/>
      <c r="E461" s="853" t="s">
        <v>253</v>
      </c>
      <c r="F461" s="853" t="s">
        <v>253</v>
      </c>
      <c r="G461" s="853" t="s">
        <v>253</v>
      </c>
      <c r="H461" s="853" t="s">
        <v>253</v>
      </c>
      <c r="I461" s="853" t="s">
        <v>253</v>
      </c>
      <c r="J461" s="853" t="s">
        <v>253</v>
      </c>
      <c r="K461" s="853" t="s">
        <v>253</v>
      </c>
      <c r="L461" s="854">
        <f t="shared" si="68"/>
        <v>0</v>
      </c>
    </row>
    <row r="462" spans="1:14" x14ac:dyDescent="0.25">
      <c r="B462" s="850"/>
      <c r="C462" s="851"/>
      <c r="D462" s="852"/>
      <c r="E462" s="853" t="s">
        <v>253</v>
      </c>
      <c r="F462" s="853" t="s">
        <v>253</v>
      </c>
      <c r="G462" s="853" t="s">
        <v>253</v>
      </c>
      <c r="H462" s="853" t="s">
        <v>253</v>
      </c>
      <c r="I462" s="853" t="s">
        <v>253</v>
      </c>
      <c r="J462" s="853" t="s">
        <v>253</v>
      </c>
      <c r="K462" s="853" t="s">
        <v>253</v>
      </c>
      <c r="L462" s="854">
        <f t="shared" si="68"/>
        <v>0</v>
      </c>
    </row>
    <row r="463" spans="1:14" ht="18.75" x14ac:dyDescent="0.25">
      <c r="A463" s="605" t="s">
        <v>254</v>
      </c>
      <c r="B463" s="1030" t="s">
        <v>255</v>
      </c>
      <c r="C463" s="1031"/>
      <c r="D463" s="855">
        <f>SUM(E463:K463)</f>
        <v>11459</v>
      </c>
      <c r="E463" s="854">
        <f t="shared" ref="E463:K463" si="69">SUM(E455:E462)</f>
        <v>11459</v>
      </c>
      <c r="F463" s="854">
        <f t="shared" si="69"/>
        <v>0</v>
      </c>
      <c r="G463" s="854">
        <f t="shared" si="69"/>
        <v>0</v>
      </c>
      <c r="H463" s="854">
        <f t="shared" si="69"/>
        <v>0</v>
      </c>
      <c r="I463" s="854">
        <f t="shared" si="69"/>
        <v>0</v>
      </c>
      <c r="J463" s="854">
        <f t="shared" si="69"/>
        <v>0</v>
      </c>
      <c r="K463" s="854">
        <f t="shared" si="69"/>
        <v>0</v>
      </c>
      <c r="L463" s="856">
        <f>SUM(E463:K463)-SUM(L455:L462)</f>
        <v>0</v>
      </c>
      <c r="N463" s="884">
        <f>+K474</f>
        <v>14498</v>
      </c>
    </row>
    <row r="464" spans="1:14" x14ac:dyDescent="0.25">
      <c r="N464" s="884">
        <f>+E467+E469+E470+E471+E472+E473</f>
        <v>44584</v>
      </c>
    </row>
    <row r="465" spans="1:14" ht="18.75" x14ac:dyDescent="0.3">
      <c r="B465" s="845" t="s">
        <v>246</v>
      </c>
      <c r="C465" s="1032" t="s">
        <v>176</v>
      </c>
      <c r="D465" s="1033"/>
      <c r="E465" s="1034" t="s">
        <v>637</v>
      </c>
      <c r="F465" s="1035"/>
      <c r="G465" s="1035"/>
      <c r="H465" s="1036"/>
      <c r="I465" s="846" t="s">
        <v>248</v>
      </c>
      <c r="J465" s="847">
        <f>+J453+1</f>
        <v>1191</v>
      </c>
      <c r="K465" s="848" t="s">
        <v>364</v>
      </c>
      <c r="L465" s="847">
        <v>221749</v>
      </c>
      <c r="N465" s="884">
        <v>5780</v>
      </c>
    </row>
    <row r="466" spans="1:14" x14ac:dyDescent="0.25">
      <c r="B466" s="849" t="s">
        <v>0</v>
      </c>
      <c r="C466" s="849" t="s">
        <v>249</v>
      </c>
      <c r="D466" s="849" t="s">
        <v>6</v>
      </c>
      <c r="E466" s="849" t="s">
        <v>250</v>
      </c>
      <c r="F466" s="849" t="s">
        <v>62</v>
      </c>
      <c r="G466" s="849" t="s">
        <v>63</v>
      </c>
      <c r="H466" s="849" t="s">
        <v>64</v>
      </c>
      <c r="I466" s="849" t="s">
        <v>251</v>
      </c>
      <c r="J466" s="849" t="s">
        <v>66</v>
      </c>
      <c r="K466" s="849" t="s">
        <v>68</v>
      </c>
      <c r="L466" s="849" t="s">
        <v>252</v>
      </c>
      <c r="N466" s="884">
        <v>19800</v>
      </c>
    </row>
    <row r="467" spans="1:14" x14ac:dyDescent="0.25">
      <c r="B467" s="850">
        <v>45589</v>
      </c>
      <c r="C467" s="851" t="s">
        <v>13</v>
      </c>
      <c r="D467" s="852" t="s">
        <v>18</v>
      </c>
      <c r="E467" s="853">
        <v>4792</v>
      </c>
      <c r="F467" s="853" t="s">
        <v>253</v>
      </c>
      <c r="G467" s="853" t="s">
        <v>253</v>
      </c>
      <c r="H467" s="853" t="s">
        <v>253</v>
      </c>
      <c r="I467" s="853" t="s">
        <v>253</v>
      </c>
      <c r="J467" s="853" t="s">
        <v>253</v>
      </c>
      <c r="K467" s="853" t="s">
        <v>253</v>
      </c>
      <c r="L467" s="854">
        <f t="shared" ref="L467:L474" si="70">SUM(E467:K467)</f>
        <v>4792</v>
      </c>
      <c r="N467" s="884">
        <v>1700</v>
      </c>
    </row>
    <row r="468" spans="1:14" x14ac:dyDescent="0.25">
      <c r="B468" s="850">
        <v>45594</v>
      </c>
      <c r="C468" s="851" t="s">
        <v>13</v>
      </c>
      <c r="D468" s="852" t="s">
        <v>14</v>
      </c>
      <c r="E468" s="853" t="s">
        <v>253</v>
      </c>
      <c r="F468" s="853" t="s">
        <v>253</v>
      </c>
      <c r="G468" s="853" t="s">
        <v>253</v>
      </c>
      <c r="H468" s="853" t="s">
        <v>253</v>
      </c>
      <c r="I468" s="853" t="s">
        <v>253</v>
      </c>
      <c r="J468" s="853" t="s">
        <v>253</v>
      </c>
      <c r="K468" s="853" t="s">
        <v>253</v>
      </c>
      <c r="L468" s="854">
        <f t="shared" si="70"/>
        <v>0</v>
      </c>
      <c r="N468" s="884">
        <v>9400</v>
      </c>
    </row>
    <row r="469" spans="1:14" x14ac:dyDescent="0.25">
      <c r="B469" s="850">
        <v>45594</v>
      </c>
      <c r="C469" s="851" t="s">
        <v>13</v>
      </c>
      <c r="D469" s="852" t="s">
        <v>18</v>
      </c>
      <c r="E469" s="853">
        <v>2000</v>
      </c>
      <c r="F469" s="853" t="s">
        <v>253</v>
      </c>
      <c r="G469" s="853" t="s">
        <v>253</v>
      </c>
      <c r="H469" s="853" t="s">
        <v>253</v>
      </c>
      <c r="I469" s="853" t="s">
        <v>253</v>
      </c>
      <c r="J469" s="853" t="s">
        <v>253</v>
      </c>
      <c r="K469" s="853" t="s">
        <v>253</v>
      </c>
      <c r="L469" s="854">
        <f t="shared" si="70"/>
        <v>2000</v>
      </c>
      <c r="N469" s="884">
        <v>600</v>
      </c>
    </row>
    <row r="470" spans="1:14" x14ac:dyDescent="0.25">
      <c r="B470" s="850">
        <v>45603</v>
      </c>
      <c r="C470" s="851" t="s">
        <v>13</v>
      </c>
      <c r="D470" s="852" t="s">
        <v>15</v>
      </c>
      <c r="E470" s="853">
        <v>4667</v>
      </c>
      <c r="F470" s="853" t="s">
        <v>253</v>
      </c>
      <c r="G470" s="853" t="s">
        <v>253</v>
      </c>
      <c r="H470" s="853" t="s">
        <v>253</v>
      </c>
      <c r="I470" s="853" t="s">
        <v>253</v>
      </c>
      <c r="J470" s="853" t="s">
        <v>253</v>
      </c>
      <c r="K470" s="853" t="s">
        <v>253</v>
      </c>
      <c r="L470" s="854">
        <f t="shared" si="70"/>
        <v>4667</v>
      </c>
      <c r="N470" s="884">
        <v>500</v>
      </c>
    </row>
    <row r="471" spans="1:14" x14ac:dyDescent="0.25">
      <c r="B471" s="850">
        <v>45618</v>
      </c>
      <c r="C471" s="851" t="s">
        <v>13</v>
      </c>
      <c r="D471" s="852" t="s">
        <v>15</v>
      </c>
      <c r="E471" s="853">
        <v>5000</v>
      </c>
      <c r="F471" s="853" t="s">
        <v>253</v>
      </c>
      <c r="G471" s="853" t="s">
        <v>253</v>
      </c>
      <c r="H471" s="853" t="s">
        <v>253</v>
      </c>
      <c r="I471" s="853" t="s">
        <v>253</v>
      </c>
      <c r="J471" s="853" t="s">
        <v>253</v>
      </c>
      <c r="K471" s="853" t="s">
        <v>253</v>
      </c>
      <c r="L471" s="854">
        <f t="shared" si="70"/>
        <v>5000</v>
      </c>
      <c r="N471" s="884">
        <v>500</v>
      </c>
    </row>
    <row r="472" spans="1:14" x14ac:dyDescent="0.25">
      <c r="B472" s="850">
        <v>45621</v>
      </c>
      <c r="C472" s="851" t="s">
        <v>16</v>
      </c>
      <c r="D472" s="852" t="s">
        <v>17</v>
      </c>
      <c r="E472" s="853">
        <v>20000</v>
      </c>
      <c r="F472" s="853" t="s">
        <v>253</v>
      </c>
      <c r="G472" s="853">
        <v>37300</v>
      </c>
      <c r="H472" s="853" t="s">
        <v>253</v>
      </c>
      <c r="I472" s="853">
        <v>8104</v>
      </c>
      <c r="J472" s="853" t="s">
        <v>253</v>
      </c>
      <c r="K472" s="853" t="s">
        <v>253</v>
      </c>
      <c r="L472" s="854">
        <f t="shared" si="70"/>
        <v>65404</v>
      </c>
      <c r="N472" s="884">
        <v>4700</v>
      </c>
    </row>
    <row r="473" spans="1:14" x14ac:dyDescent="0.25">
      <c r="B473" s="850">
        <v>45629</v>
      </c>
      <c r="C473" s="851" t="s">
        <v>13</v>
      </c>
      <c r="D473" s="852" t="s">
        <v>15</v>
      </c>
      <c r="E473" s="853">
        <v>8125</v>
      </c>
      <c r="F473" s="853" t="s">
        <v>253</v>
      </c>
      <c r="G473" s="853" t="s">
        <v>253</v>
      </c>
      <c r="H473" s="853" t="s">
        <v>253</v>
      </c>
      <c r="I473" s="853" t="s">
        <v>253</v>
      </c>
      <c r="J473" s="853" t="s">
        <v>253</v>
      </c>
      <c r="K473" s="853" t="s">
        <v>253</v>
      </c>
      <c r="L473" s="854">
        <f t="shared" si="70"/>
        <v>8125</v>
      </c>
      <c r="N473" s="884">
        <v>600</v>
      </c>
    </row>
    <row r="474" spans="1:14" x14ac:dyDescent="0.25">
      <c r="B474" s="850">
        <v>45536</v>
      </c>
      <c r="C474" s="851" t="s">
        <v>354</v>
      </c>
      <c r="D474" s="852" t="s">
        <v>616</v>
      </c>
      <c r="E474" s="853" t="s">
        <v>253</v>
      </c>
      <c r="F474" s="853" t="s">
        <v>253</v>
      </c>
      <c r="G474" s="853" t="s">
        <v>253</v>
      </c>
      <c r="H474" s="853" t="s">
        <v>253</v>
      </c>
      <c r="I474" s="853" t="s">
        <v>253</v>
      </c>
      <c r="J474" s="853" t="s">
        <v>253</v>
      </c>
      <c r="K474" s="853">
        <v>14498</v>
      </c>
      <c r="L474" s="854">
        <f t="shared" si="70"/>
        <v>14498</v>
      </c>
      <c r="N474" s="884">
        <v>2324</v>
      </c>
    </row>
    <row r="475" spans="1:14" ht="18.75" x14ac:dyDescent="0.25">
      <c r="A475" s="605" t="s">
        <v>254</v>
      </c>
      <c r="B475" s="1030" t="s">
        <v>255</v>
      </c>
      <c r="C475" s="1031"/>
      <c r="D475" s="855">
        <f>SUM(E475:K475)</f>
        <v>104486</v>
      </c>
      <c r="E475" s="854">
        <f t="shared" ref="E475:K475" si="71">SUM(E467:E474)</f>
        <v>44584</v>
      </c>
      <c r="F475" s="854">
        <f t="shared" si="71"/>
        <v>0</v>
      </c>
      <c r="G475" s="854">
        <f t="shared" si="71"/>
        <v>37300</v>
      </c>
      <c r="H475" s="854">
        <f t="shared" si="71"/>
        <v>0</v>
      </c>
      <c r="I475" s="854">
        <f t="shared" si="71"/>
        <v>8104</v>
      </c>
      <c r="J475" s="854">
        <f t="shared" si="71"/>
        <v>0</v>
      </c>
      <c r="K475" s="854">
        <f t="shared" si="71"/>
        <v>14498</v>
      </c>
      <c r="L475" s="856">
        <f>SUM(E475:K475)-SUM(L467:L474)</f>
        <v>0</v>
      </c>
      <c r="N475" s="884">
        <f>SUM(N463:N474)</f>
        <v>104986</v>
      </c>
    </row>
    <row r="477" spans="1:14" ht="18.75" x14ac:dyDescent="0.3">
      <c r="B477" s="845" t="s">
        <v>246</v>
      </c>
      <c r="C477" s="1032" t="s">
        <v>132</v>
      </c>
      <c r="D477" s="1033"/>
      <c r="E477" s="1034" t="s">
        <v>637</v>
      </c>
      <c r="F477" s="1035"/>
      <c r="G477" s="1035"/>
      <c r="H477" s="1036"/>
      <c r="I477" s="846" t="s">
        <v>248</v>
      </c>
      <c r="J477" s="847">
        <f>+J465+1</f>
        <v>1192</v>
      </c>
      <c r="K477" s="848" t="s">
        <v>364</v>
      </c>
      <c r="L477" s="847">
        <v>221749</v>
      </c>
    </row>
    <row r="478" spans="1:14" x14ac:dyDescent="0.25">
      <c r="B478" s="849" t="s">
        <v>0</v>
      </c>
      <c r="C478" s="849" t="s">
        <v>249</v>
      </c>
      <c r="D478" s="849" t="s">
        <v>6</v>
      </c>
      <c r="E478" s="849" t="s">
        <v>250</v>
      </c>
      <c r="F478" s="849" t="s">
        <v>62</v>
      </c>
      <c r="G478" s="849" t="s">
        <v>63</v>
      </c>
      <c r="H478" s="849" t="s">
        <v>64</v>
      </c>
      <c r="I478" s="849" t="s">
        <v>251</v>
      </c>
      <c r="J478" s="849" t="s">
        <v>66</v>
      </c>
      <c r="K478" s="849" t="s">
        <v>68</v>
      </c>
      <c r="L478" s="849" t="s">
        <v>252</v>
      </c>
    </row>
    <row r="479" spans="1:14" x14ac:dyDescent="0.25">
      <c r="B479" s="850">
        <v>45594</v>
      </c>
      <c r="C479" s="851" t="s">
        <v>13</v>
      </c>
      <c r="D479" s="852" t="s">
        <v>14</v>
      </c>
      <c r="E479" s="853" t="s">
        <v>253</v>
      </c>
      <c r="F479" s="853" t="s">
        <v>253</v>
      </c>
      <c r="G479" s="853" t="s">
        <v>253</v>
      </c>
      <c r="H479" s="853" t="s">
        <v>253</v>
      </c>
      <c r="I479" s="853" t="s">
        <v>253</v>
      </c>
      <c r="J479" s="853" t="s">
        <v>253</v>
      </c>
      <c r="K479" s="853" t="s">
        <v>253</v>
      </c>
      <c r="L479" s="854">
        <f t="shared" ref="L479:L486" si="72">SUM(E479:K479)</f>
        <v>0</v>
      </c>
    </row>
    <row r="480" spans="1:14" x14ac:dyDescent="0.25">
      <c r="B480" s="850">
        <v>45594</v>
      </c>
      <c r="C480" s="851" t="s">
        <v>13</v>
      </c>
      <c r="D480" s="852" t="s">
        <v>18</v>
      </c>
      <c r="E480" s="853">
        <v>2000</v>
      </c>
      <c r="F480" s="853" t="s">
        <v>253</v>
      </c>
      <c r="G480" s="853" t="s">
        <v>253</v>
      </c>
      <c r="H480" s="853" t="s">
        <v>253</v>
      </c>
      <c r="I480" s="853" t="s">
        <v>253</v>
      </c>
      <c r="J480" s="853" t="s">
        <v>253</v>
      </c>
      <c r="K480" s="853" t="s">
        <v>253</v>
      </c>
      <c r="L480" s="854">
        <f t="shared" si="72"/>
        <v>2000</v>
      </c>
    </row>
    <row r="481" spans="1:12" x14ac:dyDescent="0.25">
      <c r="B481" s="850">
        <v>45603</v>
      </c>
      <c r="C481" s="851" t="s">
        <v>13</v>
      </c>
      <c r="D481" s="852" t="s">
        <v>15</v>
      </c>
      <c r="E481" s="853">
        <v>4667</v>
      </c>
      <c r="F481" s="853" t="s">
        <v>253</v>
      </c>
      <c r="G481" s="853" t="s">
        <v>253</v>
      </c>
      <c r="H481" s="853" t="s">
        <v>253</v>
      </c>
      <c r="I481" s="853" t="s">
        <v>253</v>
      </c>
      <c r="J481" s="853" t="s">
        <v>253</v>
      </c>
      <c r="K481" s="853" t="s">
        <v>253</v>
      </c>
      <c r="L481" s="854">
        <f t="shared" si="72"/>
        <v>4667</v>
      </c>
    </row>
    <row r="482" spans="1:12" x14ac:dyDescent="0.25">
      <c r="B482" s="850">
        <v>45629</v>
      </c>
      <c r="C482" s="851" t="s">
        <v>13</v>
      </c>
      <c r="D482" s="852" t="s">
        <v>15</v>
      </c>
      <c r="E482" s="853">
        <v>8125</v>
      </c>
      <c r="F482" s="853" t="s">
        <v>253</v>
      </c>
      <c r="G482" s="853" t="s">
        <v>253</v>
      </c>
      <c r="H482" s="853" t="s">
        <v>253</v>
      </c>
      <c r="I482" s="853" t="s">
        <v>253</v>
      </c>
      <c r="J482" s="853" t="s">
        <v>253</v>
      </c>
      <c r="K482" s="853" t="s">
        <v>253</v>
      </c>
      <c r="L482" s="854">
        <f t="shared" si="72"/>
        <v>8125</v>
      </c>
    </row>
    <row r="483" spans="1:12" x14ac:dyDescent="0.25">
      <c r="B483" s="850"/>
      <c r="C483" s="851"/>
      <c r="D483" s="852"/>
      <c r="E483" s="853" t="s">
        <v>253</v>
      </c>
      <c r="F483" s="853" t="s">
        <v>253</v>
      </c>
      <c r="G483" s="853" t="s">
        <v>253</v>
      </c>
      <c r="H483" s="853" t="s">
        <v>253</v>
      </c>
      <c r="I483" s="853" t="s">
        <v>253</v>
      </c>
      <c r="J483" s="853" t="s">
        <v>253</v>
      </c>
      <c r="K483" s="853" t="s">
        <v>253</v>
      </c>
      <c r="L483" s="854">
        <f t="shared" si="72"/>
        <v>0</v>
      </c>
    </row>
    <row r="484" spans="1:12" x14ac:dyDescent="0.25">
      <c r="B484" s="850"/>
      <c r="C484" s="851"/>
      <c r="D484" s="852"/>
      <c r="E484" s="853" t="s">
        <v>253</v>
      </c>
      <c r="F484" s="853" t="s">
        <v>253</v>
      </c>
      <c r="G484" s="853" t="s">
        <v>253</v>
      </c>
      <c r="H484" s="853" t="s">
        <v>253</v>
      </c>
      <c r="I484" s="853" t="s">
        <v>253</v>
      </c>
      <c r="J484" s="853" t="s">
        <v>253</v>
      </c>
      <c r="K484" s="853" t="s">
        <v>253</v>
      </c>
      <c r="L484" s="854">
        <f t="shared" si="72"/>
        <v>0</v>
      </c>
    </row>
    <row r="485" spans="1:12" x14ac:dyDescent="0.25">
      <c r="B485" s="850"/>
      <c r="C485" s="851"/>
      <c r="D485" s="852"/>
      <c r="E485" s="853" t="s">
        <v>253</v>
      </c>
      <c r="F485" s="853" t="s">
        <v>253</v>
      </c>
      <c r="G485" s="853" t="s">
        <v>253</v>
      </c>
      <c r="H485" s="853" t="s">
        <v>253</v>
      </c>
      <c r="I485" s="853" t="s">
        <v>253</v>
      </c>
      <c r="J485" s="853" t="s">
        <v>253</v>
      </c>
      <c r="K485" s="853" t="s">
        <v>253</v>
      </c>
      <c r="L485" s="854">
        <f t="shared" si="72"/>
        <v>0</v>
      </c>
    </row>
    <row r="486" spans="1:12" x14ac:dyDescent="0.25">
      <c r="B486" s="850"/>
      <c r="C486" s="851"/>
      <c r="D486" s="852"/>
      <c r="E486" s="853" t="s">
        <v>253</v>
      </c>
      <c r="F486" s="853" t="s">
        <v>253</v>
      </c>
      <c r="G486" s="853" t="s">
        <v>253</v>
      </c>
      <c r="H486" s="853" t="s">
        <v>253</v>
      </c>
      <c r="I486" s="853" t="s">
        <v>253</v>
      </c>
      <c r="J486" s="853" t="s">
        <v>253</v>
      </c>
      <c r="K486" s="853" t="s">
        <v>253</v>
      </c>
      <c r="L486" s="854">
        <f t="shared" si="72"/>
        <v>0</v>
      </c>
    </row>
    <row r="487" spans="1:12" ht="18.75" x14ac:dyDescent="0.25">
      <c r="A487" s="605" t="s">
        <v>254</v>
      </c>
      <c r="B487" s="1030" t="s">
        <v>255</v>
      </c>
      <c r="C487" s="1031"/>
      <c r="D487" s="855">
        <f>SUM(E487:K487)</f>
        <v>14792</v>
      </c>
      <c r="E487" s="854">
        <f t="shared" ref="E487:K487" si="73">SUM(E479:E486)</f>
        <v>14792</v>
      </c>
      <c r="F487" s="854">
        <f t="shared" si="73"/>
        <v>0</v>
      </c>
      <c r="G487" s="854">
        <f t="shared" si="73"/>
        <v>0</v>
      </c>
      <c r="H487" s="854">
        <f t="shared" si="73"/>
        <v>0</v>
      </c>
      <c r="I487" s="854">
        <f t="shared" si="73"/>
        <v>0</v>
      </c>
      <c r="J487" s="854">
        <f t="shared" si="73"/>
        <v>0</v>
      </c>
      <c r="K487" s="854">
        <f t="shared" si="73"/>
        <v>0</v>
      </c>
      <c r="L487" s="856">
        <f>SUM(E487:K487)-SUM(L479:L486)</f>
        <v>0</v>
      </c>
    </row>
    <row r="489" spans="1:12" ht="18.75" x14ac:dyDescent="0.3">
      <c r="B489" s="845" t="s">
        <v>246</v>
      </c>
      <c r="C489" s="1032" t="s">
        <v>599</v>
      </c>
      <c r="D489" s="1033"/>
      <c r="E489" s="1034" t="s">
        <v>637</v>
      </c>
      <c r="F489" s="1035"/>
      <c r="G489" s="1035"/>
      <c r="H489" s="1036"/>
      <c r="I489" s="846" t="s">
        <v>248</v>
      </c>
      <c r="J489" s="847">
        <f>+J477+1</f>
        <v>1193</v>
      </c>
      <c r="K489" s="848" t="s">
        <v>364</v>
      </c>
      <c r="L489" s="847">
        <v>221749</v>
      </c>
    </row>
    <row r="490" spans="1:12" x14ac:dyDescent="0.25">
      <c r="B490" s="849" t="s">
        <v>0</v>
      </c>
      <c r="C490" s="849" t="s">
        <v>249</v>
      </c>
      <c r="D490" s="849" t="s">
        <v>6</v>
      </c>
      <c r="E490" s="849" t="s">
        <v>250</v>
      </c>
      <c r="F490" s="849" t="s">
        <v>62</v>
      </c>
      <c r="G490" s="849" t="s">
        <v>63</v>
      </c>
      <c r="H490" s="849" t="s">
        <v>64</v>
      </c>
      <c r="I490" s="849" t="s">
        <v>251</v>
      </c>
      <c r="J490" s="849" t="s">
        <v>66</v>
      </c>
      <c r="K490" s="849" t="s">
        <v>68</v>
      </c>
      <c r="L490" s="849" t="s">
        <v>252</v>
      </c>
    </row>
    <row r="491" spans="1:12" x14ac:dyDescent="0.25">
      <c r="B491" s="850">
        <v>45589</v>
      </c>
      <c r="C491" s="851" t="s">
        <v>13</v>
      </c>
      <c r="D491" s="852" t="s">
        <v>18</v>
      </c>
      <c r="E491" s="853">
        <v>4792</v>
      </c>
      <c r="F491" s="853" t="s">
        <v>253</v>
      </c>
      <c r="G491" s="853" t="s">
        <v>253</v>
      </c>
      <c r="H491" s="853" t="s">
        <v>253</v>
      </c>
      <c r="I491" s="853" t="s">
        <v>253</v>
      </c>
      <c r="J491" s="853" t="s">
        <v>253</v>
      </c>
      <c r="K491" s="853" t="s">
        <v>253</v>
      </c>
      <c r="L491" s="854">
        <f t="shared" ref="L491:L498" si="74">SUM(E491:K491)</f>
        <v>4792</v>
      </c>
    </row>
    <row r="492" spans="1:12" x14ac:dyDescent="0.25">
      <c r="B492" s="850">
        <v>45594</v>
      </c>
      <c r="C492" s="851" t="s">
        <v>13</v>
      </c>
      <c r="D492" s="852" t="s">
        <v>14</v>
      </c>
      <c r="E492" s="853" t="s">
        <v>253</v>
      </c>
      <c r="F492" s="853" t="s">
        <v>253</v>
      </c>
      <c r="G492" s="853" t="s">
        <v>253</v>
      </c>
      <c r="H492" s="853" t="s">
        <v>253</v>
      </c>
      <c r="I492" s="853" t="s">
        <v>253</v>
      </c>
      <c r="J492" s="853" t="s">
        <v>253</v>
      </c>
      <c r="K492" s="853" t="s">
        <v>253</v>
      </c>
      <c r="L492" s="854">
        <f t="shared" si="74"/>
        <v>0</v>
      </c>
    </row>
    <row r="493" spans="1:12" x14ac:dyDescent="0.25">
      <c r="B493" s="850">
        <v>45594</v>
      </c>
      <c r="C493" s="851" t="s">
        <v>13</v>
      </c>
      <c r="D493" s="852" t="s">
        <v>18</v>
      </c>
      <c r="E493" s="853">
        <v>2000</v>
      </c>
      <c r="F493" s="853" t="s">
        <v>253</v>
      </c>
      <c r="G493" s="853" t="s">
        <v>253</v>
      </c>
      <c r="H493" s="853" t="s">
        <v>253</v>
      </c>
      <c r="I493" s="853" t="s">
        <v>253</v>
      </c>
      <c r="J493" s="853" t="s">
        <v>253</v>
      </c>
      <c r="K493" s="853" t="s">
        <v>253</v>
      </c>
      <c r="L493" s="854">
        <f t="shared" si="74"/>
        <v>2000</v>
      </c>
    </row>
    <row r="494" spans="1:12" x14ac:dyDescent="0.25">
      <c r="B494" s="850">
        <v>45603</v>
      </c>
      <c r="C494" s="851" t="s">
        <v>13</v>
      </c>
      <c r="D494" s="852" t="s">
        <v>15</v>
      </c>
      <c r="E494" s="853">
        <v>4667</v>
      </c>
      <c r="F494" s="853" t="s">
        <v>253</v>
      </c>
      <c r="G494" s="853" t="s">
        <v>253</v>
      </c>
      <c r="H494" s="853" t="s">
        <v>253</v>
      </c>
      <c r="I494" s="853" t="s">
        <v>253</v>
      </c>
      <c r="J494" s="853" t="s">
        <v>253</v>
      </c>
      <c r="K494" s="853" t="s">
        <v>253</v>
      </c>
      <c r="L494" s="854">
        <f t="shared" si="74"/>
        <v>4667</v>
      </c>
    </row>
    <row r="495" spans="1:12" x14ac:dyDescent="0.25">
      <c r="B495" s="850">
        <v>45618</v>
      </c>
      <c r="C495" s="851" t="s">
        <v>13</v>
      </c>
      <c r="D495" s="852" t="s">
        <v>15</v>
      </c>
      <c r="E495" s="853">
        <v>5000</v>
      </c>
      <c r="F495" s="853" t="s">
        <v>253</v>
      </c>
      <c r="G495" s="853" t="s">
        <v>253</v>
      </c>
      <c r="H495" s="853" t="s">
        <v>253</v>
      </c>
      <c r="I495" s="853" t="s">
        <v>253</v>
      </c>
      <c r="J495" s="853" t="s">
        <v>253</v>
      </c>
      <c r="K495" s="853" t="s">
        <v>253</v>
      </c>
      <c r="L495" s="854">
        <f t="shared" si="74"/>
        <v>5000</v>
      </c>
    </row>
    <row r="496" spans="1:12" x14ac:dyDescent="0.25">
      <c r="B496" s="850">
        <v>45621</v>
      </c>
      <c r="C496" s="851" t="s">
        <v>16</v>
      </c>
      <c r="D496" s="852" t="s">
        <v>17</v>
      </c>
      <c r="E496" s="853">
        <v>0</v>
      </c>
      <c r="F496" s="853">
        <v>3600</v>
      </c>
      <c r="G496" s="853">
        <v>11550</v>
      </c>
      <c r="H496" s="853" t="s">
        <v>253</v>
      </c>
      <c r="I496" s="853" t="s">
        <v>253</v>
      </c>
      <c r="J496" s="853" t="s">
        <v>253</v>
      </c>
      <c r="K496" s="853" t="s">
        <v>253</v>
      </c>
      <c r="L496" s="854">
        <f t="shared" si="74"/>
        <v>15150</v>
      </c>
    </row>
    <row r="497" spans="1:12" x14ac:dyDescent="0.25">
      <c r="B497" s="850">
        <v>45629</v>
      </c>
      <c r="C497" s="851" t="s">
        <v>13</v>
      </c>
      <c r="D497" s="852" t="s">
        <v>15</v>
      </c>
      <c r="E497" s="853">
        <v>8125</v>
      </c>
      <c r="F497" s="853" t="s">
        <v>253</v>
      </c>
      <c r="G497" s="853" t="s">
        <v>253</v>
      </c>
      <c r="H497" s="853" t="s">
        <v>253</v>
      </c>
      <c r="I497" s="853" t="s">
        <v>253</v>
      </c>
      <c r="J497" s="853" t="s">
        <v>253</v>
      </c>
      <c r="K497" s="853" t="s">
        <v>253</v>
      </c>
      <c r="L497" s="854">
        <f t="shared" si="74"/>
        <v>8125</v>
      </c>
    </row>
    <row r="498" spans="1:12" x14ac:dyDescent="0.25">
      <c r="B498" s="850"/>
      <c r="C498" s="851"/>
      <c r="D498" s="852"/>
      <c r="E498" s="853" t="s">
        <v>253</v>
      </c>
      <c r="F498" s="853" t="s">
        <v>253</v>
      </c>
      <c r="G498" s="853" t="s">
        <v>253</v>
      </c>
      <c r="H498" s="853" t="s">
        <v>253</v>
      </c>
      <c r="I498" s="853" t="s">
        <v>253</v>
      </c>
      <c r="J498" s="853" t="s">
        <v>253</v>
      </c>
      <c r="K498" s="853" t="s">
        <v>253</v>
      </c>
      <c r="L498" s="854">
        <f t="shared" si="74"/>
        <v>0</v>
      </c>
    </row>
    <row r="499" spans="1:12" ht="18.75" x14ac:dyDescent="0.25">
      <c r="A499" s="605" t="s">
        <v>254</v>
      </c>
      <c r="B499" s="1030" t="s">
        <v>255</v>
      </c>
      <c r="C499" s="1031"/>
      <c r="D499" s="855">
        <f>SUM(E499:K499)</f>
        <v>39734</v>
      </c>
      <c r="E499" s="854">
        <f t="shared" ref="E499:K499" si="75">SUM(E491:E498)</f>
        <v>24584</v>
      </c>
      <c r="F499" s="854">
        <f t="shared" si="75"/>
        <v>3600</v>
      </c>
      <c r="G499" s="854">
        <f t="shared" si="75"/>
        <v>11550</v>
      </c>
      <c r="H499" s="854">
        <f t="shared" si="75"/>
        <v>0</v>
      </c>
      <c r="I499" s="854">
        <f t="shared" si="75"/>
        <v>0</v>
      </c>
      <c r="J499" s="854">
        <f t="shared" si="75"/>
        <v>0</v>
      </c>
      <c r="K499" s="854">
        <f t="shared" si="75"/>
        <v>0</v>
      </c>
      <c r="L499" s="856">
        <f>SUM(E499:K499)-SUM(L491:L498)</f>
        <v>0</v>
      </c>
    </row>
    <row r="501" spans="1:12" ht="18.75" x14ac:dyDescent="0.3">
      <c r="B501" s="845" t="s">
        <v>246</v>
      </c>
      <c r="C501" s="1032" t="s">
        <v>700</v>
      </c>
      <c r="D501" s="1033"/>
      <c r="E501" s="1034" t="s">
        <v>637</v>
      </c>
      <c r="F501" s="1035"/>
      <c r="G501" s="1035"/>
      <c r="H501" s="1036"/>
      <c r="I501" s="846" t="s">
        <v>248</v>
      </c>
      <c r="J501" s="847">
        <f>+J489+1</f>
        <v>1194</v>
      </c>
      <c r="K501" s="848" t="s">
        <v>364</v>
      </c>
      <c r="L501" s="847">
        <v>221749</v>
      </c>
    </row>
    <row r="502" spans="1:12" x14ac:dyDescent="0.25">
      <c r="B502" s="849" t="s">
        <v>0</v>
      </c>
      <c r="C502" s="849" t="s">
        <v>249</v>
      </c>
      <c r="D502" s="849" t="s">
        <v>6</v>
      </c>
      <c r="E502" s="849" t="s">
        <v>250</v>
      </c>
      <c r="F502" s="849" t="s">
        <v>62</v>
      </c>
      <c r="G502" s="849" t="s">
        <v>63</v>
      </c>
      <c r="H502" s="849" t="s">
        <v>64</v>
      </c>
      <c r="I502" s="849" t="s">
        <v>251</v>
      </c>
      <c r="J502" s="849" t="s">
        <v>66</v>
      </c>
      <c r="K502" s="849" t="s">
        <v>68</v>
      </c>
      <c r="L502" s="849" t="s">
        <v>252</v>
      </c>
    </row>
    <row r="503" spans="1:12" x14ac:dyDescent="0.25">
      <c r="B503" s="850">
        <v>45627</v>
      </c>
      <c r="C503" s="851" t="s">
        <v>143</v>
      </c>
      <c r="D503" s="852" t="s">
        <v>693</v>
      </c>
      <c r="E503" s="853">
        <v>150000</v>
      </c>
      <c r="F503" s="853" t="s">
        <v>253</v>
      </c>
      <c r="G503" s="853" t="s">
        <v>253</v>
      </c>
      <c r="H503" s="853" t="s">
        <v>253</v>
      </c>
      <c r="I503" s="853" t="s">
        <v>253</v>
      </c>
      <c r="J503" s="853" t="s">
        <v>253</v>
      </c>
      <c r="K503" s="853" t="s">
        <v>253</v>
      </c>
      <c r="L503" s="854">
        <f>SUM(E503:K503)</f>
        <v>150000</v>
      </c>
    </row>
    <row r="504" spans="1:12" x14ac:dyDescent="0.25">
      <c r="B504" s="850"/>
      <c r="C504" s="851"/>
      <c r="D504" s="852"/>
      <c r="E504" s="853" t="s">
        <v>253</v>
      </c>
      <c r="F504" s="853" t="s">
        <v>253</v>
      </c>
      <c r="G504" s="853" t="s">
        <v>253</v>
      </c>
      <c r="H504" s="853" t="s">
        <v>253</v>
      </c>
      <c r="I504" s="853" t="s">
        <v>253</v>
      </c>
      <c r="J504" s="853" t="s">
        <v>253</v>
      </c>
      <c r="K504" s="853" t="s">
        <v>253</v>
      </c>
      <c r="L504" s="854">
        <f>SUM(E504:K504)</f>
        <v>0</v>
      </c>
    </row>
    <row r="505" spans="1:12" ht="18.75" x14ac:dyDescent="0.25">
      <c r="A505" s="605" t="s">
        <v>254</v>
      </c>
      <c r="B505" s="1030" t="s">
        <v>255</v>
      </c>
      <c r="C505" s="1031"/>
      <c r="D505" s="855">
        <f>SUM(E505:K505)</f>
        <v>150000</v>
      </c>
      <c r="E505" s="854">
        <f t="shared" ref="E505:K505" si="76">SUM(E503:E504)</f>
        <v>150000</v>
      </c>
      <c r="F505" s="854">
        <f t="shared" si="76"/>
        <v>0</v>
      </c>
      <c r="G505" s="854">
        <f t="shared" si="76"/>
        <v>0</v>
      </c>
      <c r="H505" s="854">
        <f t="shared" si="76"/>
        <v>0</v>
      </c>
      <c r="I505" s="854">
        <f t="shared" si="76"/>
        <v>0</v>
      </c>
      <c r="J505" s="854">
        <f t="shared" si="76"/>
        <v>0</v>
      </c>
      <c r="K505" s="854">
        <f t="shared" si="76"/>
        <v>0</v>
      </c>
      <c r="L505" s="856">
        <f>SUM(E505:K505)-SUM(L503:L504)</f>
        <v>0</v>
      </c>
    </row>
    <row r="506" spans="1:12" ht="15.75" x14ac:dyDescent="0.25">
      <c r="D506" s="608">
        <f>+D499+D487+D475+D463+D451+D439+D427+D415+D505</f>
        <v>617442</v>
      </c>
    </row>
    <row r="507" spans="1:12" ht="18.75" x14ac:dyDescent="0.3">
      <c r="B507" s="845" t="s">
        <v>246</v>
      </c>
      <c r="C507" s="1032" t="s">
        <v>127</v>
      </c>
      <c r="D507" s="1033"/>
      <c r="E507" s="1034" t="s">
        <v>637</v>
      </c>
      <c r="F507" s="1035"/>
      <c r="G507" s="1035"/>
      <c r="H507" s="1036"/>
      <c r="I507" s="846" t="s">
        <v>248</v>
      </c>
      <c r="J507" s="847">
        <f>+J501+1</f>
        <v>1195</v>
      </c>
      <c r="K507" s="848" t="s">
        <v>364</v>
      </c>
      <c r="L507" s="847">
        <v>221750</v>
      </c>
    </row>
    <row r="508" spans="1:12" x14ac:dyDescent="0.25">
      <c r="B508" s="849" t="s">
        <v>0</v>
      </c>
      <c r="C508" s="849" t="s">
        <v>249</v>
      </c>
      <c r="D508" s="849" t="s">
        <v>6</v>
      </c>
      <c r="E508" s="849" t="s">
        <v>250</v>
      </c>
      <c r="F508" s="849" t="s">
        <v>62</v>
      </c>
      <c r="G508" s="849" t="s">
        <v>63</v>
      </c>
      <c r="H508" s="849" t="s">
        <v>64</v>
      </c>
      <c r="I508" s="849" t="s">
        <v>251</v>
      </c>
      <c r="J508" s="849" t="s">
        <v>66</v>
      </c>
      <c r="K508" s="849" t="s">
        <v>68</v>
      </c>
      <c r="L508" s="849" t="s">
        <v>252</v>
      </c>
    </row>
    <row r="509" spans="1:12" x14ac:dyDescent="0.25">
      <c r="B509" s="850">
        <v>45637</v>
      </c>
      <c r="C509" s="851" t="s">
        <v>354</v>
      </c>
      <c r="D509" s="852" t="s">
        <v>17</v>
      </c>
      <c r="E509" s="853">
        <v>20000</v>
      </c>
      <c r="F509" s="853">
        <v>10000</v>
      </c>
      <c r="G509" s="853" t="s">
        <v>253</v>
      </c>
      <c r="H509" s="853" t="s">
        <v>253</v>
      </c>
      <c r="I509" s="853" t="s">
        <v>253</v>
      </c>
      <c r="J509" s="853" t="s">
        <v>253</v>
      </c>
      <c r="K509" s="853" t="s">
        <v>253</v>
      </c>
      <c r="L509" s="854">
        <f t="shared" ref="L509:L516" si="77">SUM(E509:K509)</f>
        <v>30000</v>
      </c>
    </row>
    <row r="510" spans="1:12" x14ac:dyDescent="0.25">
      <c r="B510" s="850">
        <v>45638</v>
      </c>
      <c r="C510" s="851" t="s">
        <v>13</v>
      </c>
      <c r="D510" s="852" t="s">
        <v>18</v>
      </c>
      <c r="E510" s="885" t="s">
        <v>253</v>
      </c>
      <c r="F510" s="853" t="s">
        <v>253</v>
      </c>
      <c r="G510" s="853" t="s">
        <v>253</v>
      </c>
      <c r="H510" s="853" t="s">
        <v>253</v>
      </c>
      <c r="I510" s="853" t="s">
        <v>253</v>
      </c>
      <c r="J510" s="853" t="s">
        <v>253</v>
      </c>
      <c r="K510" s="853" t="s">
        <v>253</v>
      </c>
      <c r="L510" s="854">
        <f t="shared" si="77"/>
        <v>0</v>
      </c>
    </row>
    <row r="511" spans="1:12" x14ac:dyDescent="0.25">
      <c r="B511" s="850">
        <v>45638</v>
      </c>
      <c r="C511" s="851" t="s">
        <v>13</v>
      </c>
      <c r="D511" s="852" t="s">
        <v>18</v>
      </c>
      <c r="E511" s="885" t="s">
        <v>253</v>
      </c>
      <c r="F511" s="853" t="s">
        <v>253</v>
      </c>
      <c r="G511" s="853" t="s">
        <v>253</v>
      </c>
      <c r="H511" s="853" t="s">
        <v>253</v>
      </c>
      <c r="I511" s="853" t="s">
        <v>253</v>
      </c>
      <c r="J511" s="853" t="s">
        <v>253</v>
      </c>
      <c r="K511" s="853" t="s">
        <v>253</v>
      </c>
      <c r="L511" s="854">
        <f t="shared" si="77"/>
        <v>0</v>
      </c>
    </row>
    <row r="512" spans="1:12" x14ac:dyDescent="0.25">
      <c r="B512" s="850"/>
      <c r="C512" s="851"/>
      <c r="D512" s="852"/>
      <c r="E512" s="853" t="s">
        <v>253</v>
      </c>
      <c r="F512" s="853" t="s">
        <v>253</v>
      </c>
      <c r="G512" s="853" t="s">
        <v>253</v>
      </c>
      <c r="H512" s="853" t="s">
        <v>253</v>
      </c>
      <c r="I512" s="853" t="s">
        <v>253</v>
      </c>
      <c r="J512" s="853" t="s">
        <v>253</v>
      </c>
      <c r="K512" s="853" t="s">
        <v>253</v>
      </c>
      <c r="L512" s="854">
        <f t="shared" si="77"/>
        <v>0</v>
      </c>
    </row>
    <row r="513" spans="1:12" x14ac:dyDescent="0.25">
      <c r="B513" s="850"/>
      <c r="C513" s="851"/>
      <c r="D513" s="852"/>
      <c r="E513" s="853" t="s">
        <v>253</v>
      </c>
      <c r="F513" s="853" t="s">
        <v>253</v>
      </c>
      <c r="G513" s="853" t="s">
        <v>253</v>
      </c>
      <c r="H513" s="853" t="s">
        <v>253</v>
      </c>
      <c r="I513" s="853" t="s">
        <v>253</v>
      </c>
      <c r="J513" s="853" t="s">
        <v>253</v>
      </c>
      <c r="K513" s="853" t="s">
        <v>253</v>
      </c>
      <c r="L513" s="854">
        <f t="shared" si="77"/>
        <v>0</v>
      </c>
    </row>
    <row r="514" spans="1:12" x14ac:dyDescent="0.25">
      <c r="B514" s="850"/>
      <c r="C514" s="851"/>
      <c r="D514" s="852"/>
      <c r="E514" s="853" t="s">
        <v>253</v>
      </c>
      <c r="F514" s="853" t="s">
        <v>253</v>
      </c>
      <c r="G514" s="853" t="s">
        <v>253</v>
      </c>
      <c r="H514" s="853" t="s">
        <v>253</v>
      </c>
      <c r="I514" s="853" t="s">
        <v>253</v>
      </c>
      <c r="J514" s="853" t="s">
        <v>253</v>
      </c>
      <c r="K514" s="853" t="s">
        <v>253</v>
      </c>
      <c r="L514" s="854">
        <f t="shared" si="77"/>
        <v>0</v>
      </c>
    </row>
    <row r="515" spans="1:12" x14ac:dyDescent="0.25">
      <c r="B515" s="850"/>
      <c r="C515" s="851"/>
      <c r="D515" s="852"/>
      <c r="E515" s="853" t="s">
        <v>253</v>
      </c>
      <c r="F515" s="853" t="s">
        <v>253</v>
      </c>
      <c r="G515" s="853" t="s">
        <v>253</v>
      </c>
      <c r="H515" s="853" t="s">
        <v>253</v>
      </c>
      <c r="I515" s="853" t="s">
        <v>253</v>
      </c>
      <c r="J515" s="853" t="s">
        <v>253</v>
      </c>
      <c r="K515" s="853" t="s">
        <v>253</v>
      </c>
      <c r="L515" s="854">
        <f t="shared" si="77"/>
        <v>0</v>
      </c>
    </row>
    <row r="516" spans="1:12" x14ac:dyDescent="0.25">
      <c r="B516" s="850"/>
      <c r="C516" s="851"/>
      <c r="D516" s="852"/>
      <c r="E516" s="853" t="s">
        <v>253</v>
      </c>
      <c r="F516" s="853" t="s">
        <v>253</v>
      </c>
      <c r="G516" s="853" t="s">
        <v>253</v>
      </c>
      <c r="H516" s="853" t="s">
        <v>253</v>
      </c>
      <c r="I516" s="853" t="s">
        <v>253</v>
      </c>
      <c r="J516" s="853" t="s">
        <v>253</v>
      </c>
      <c r="K516" s="853" t="s">
        <v>253</v>
      </c>
      <c r="L516" s="854">
        <f t="shared" si="77"/>
        <v>0</v>
      </c>
    </row>
    <row r="517" spans="1:12" ht="18.75" x14ac:dyDescent="0.25">
      <c r="A517" s="605" t="s">
        <v>254</v>
      </c>
      <c r="B517" s="1030" t="s">
        <v>255</v>
      </c>
      <c r="C517" s="1031"/>
      <c r="D517" s="855">
        <f>SUM(E517:K517)</f>
        <v>30000</v>
      </c>
      <c r="E517" s="854">
        <f t="shared" ref="E517:K517" si="78">SUM(E509:E516)</f>
        <v>20000</v>
      </c>
      <c r="F517" s="854">
        <f t="shared" si="78"/>
        <v>10000</v>
      </c>
      <c r="G517" s="854">
        <f t="shared" si="78"/>
        <v>0</v>
      </c>
      <c r="H517" s="854">
        <f t="shared" si="78"/>
        <v>0</v>
      </c>
      <c r="I517" s="854">
        <f t="shared" si="78"/>
        <v>0</v>
      </c>
      <c r="J517" s="854">
        <f t="shared" si="78"/>
        <v>0</v>
      </c>
      <c r="K517" s="854">
        <f t="shared" si="78"/>
        <v>0</v>
      </c>
      <c r="L517" s="856">
        <f>SUM(E517:K517)-SUM(L509:L516)</f>
        <v>0</v>
      </c>
    </row>
    <row r="519" spans="1:12" ht="18.75" x14ac:dyDescent="0.3">
      <c r="B519" s="845" t="s">
        <v>246</v>
      </c>
      <c r="C519" s="1032" t="s">
        <v>128</v>
      </c>
      <c r="D519" s="1033"/>
      <c r="E519" s="1034" t="s">
        <v>637</v>
      </c>
      <c r="F519" s="1035"/>
      <c r="G519" s="1035"/>
      <c r="H519" s="1036"/>
      <c r="I519" s="846" t="s">
        <v>248</v>
      </c>
      <c r="J519" s="847">
        <f>+J507+1</f>
        <v>1196</v>
      </c>
      <c r="K519" s="848" t="s">
        <v>364</v>
      </c>
      <c r="L519" s="847">
        <v>221750</v>
      </c>
    </row>
    <row r="520" spans="1:12" x14ac:dyDescent="0.25">
      <c r="B520" s="849" t="s">
        <v>0</v>
      </c>
      <c r="C520" s="849" t="s">
        <v>249</v>
      </c>
      <c r="D520" s="849" t="s">
        <v>6</v>
      </c>
      <c r="E520" s="849" t="s">
        <v>250</v>
      </c>
      <c r="F520" s="849" t="s">
        <v>62</v>
      </c>
      <c r="G520" s="849" t="s">
        <v>63</v>
      </c>
      <c r="H520" s="849" t="s">
        <v>64</v>
      </c>
      <c r="I520" s="849" t="s">
        <v>251</v>
      </c>
      <c r="J520" s="849" t="s">
        <v>66</v>
      </c>
      <c r="K520" s="849" t="s">
        <v>68</v>
      </c>
      <c r="L520" s="849" t="s">
        <v>252</v>
      </c>
    </row>
    <row r="521" spans="1:12" x14ac:dyDescent="0.25">
      <c r="B521" s="850">
        <v>45637</v>
      </c>
      <c r="C521" s="851" t="s">
        <v>354</v>
      </c>
      <c r="D521" s="852" t="s">
        <v>17</v>
      </c>
      <c r="E521" s="853">
        <v>20000</v>
      </c>
      <c r="F521" s="853" t="s">
        <v>253</v>
      </c>
      <c r="G521" s="853" t="s">
        <v>253</v>
      </c>
      <c r="H521" s="853" t="s">
        <v>253</v>
      </c>
      <c r="I521" s="853" t="s">
        <v>253</v>
      </c>
      <c r="J521" s="853" t="s">
        <v>253</v>
      </c>
      <c r="K521" s="853">
        <v>52562</v>
      </c>
      <c r="L521" s="854">
        <f t="shared" ref="L521:L528" si="79">SUM(E521:K521)</f>
        <v>72562</v>
      </c>
    </row>
    <row r="522" spans="1:12" x14ac:dyDescent="0.25">
      <c r="B522" s="850">
        <v>45638</v>
      </c>
      <c r="C522" s="851" t="s">
        <v>13</v>
      </c>
      <c r="D522" s="852" t="s">
        <v>18</v>
      </c>
      <c r="E522" s="853">
        <v>2375</v>
      </c>
      <c r="F522" s="853" t="s">
        <v>253</v>
      </c>
      <c r="G522" s="853" t="s">
        <v>253</v>
      </c>
      <c r="H522" s="853" t="s">
        <v>253</v>
      </c>
      <c r="I522" s="853" t="s">
        <v>253</v>
      </c>
      <c r="J522" s="853" t="s">
        <v>253</v>
      </c>
      <c r="K522" s="853" t="s">
        <v>253</v>
      </c>
      <c r="L522" s="854">
        <f t="shared" si="79"/>
        <v>2375</v>
      </c>
    </row>
    <row r="523" spans="1:12" x14ac:dyDescent="0.25">
      <c r="B523" s="850">
        <v>45638</v>
      </c>
      <c r="C523" s="851" t="s">
        <v>13</v>
      </c>
      <c r="D523" s="852" t="s">
        <v>18</v>
      </c>
      <c r="E523" s="853">
        <v>1167</v>
      </c>
      <c r="F523" s="853" t="s">
        <v>253</v>
      </c>
      <c r="G523" s="853" t="s">
        <v>253</v>
      </c>
      <c r="H523" s="853" t="s">
        <v>253</v>
      </c>
      <c r="I523" s="853" t="s">
        <v>253</v>
      </c>
      <c r="J523" s="853" t="s">
        <v>253</v>
      </c>
      <c r="K523" s="853" t="s">
        <v>253</v>
      </c>
      <c r="L523" s="854">
        <f t="shared" si="79"/>
        <v>1167</v>
      </c>
    </row>
    <row r="524" spans="1:12" x14ac:dyDescent="0.25">
      <c r="B524" s="850"/>
      <c r="C524" s="851"/>
      <c r="D524" s="852"/>
      <c r="E524" s="853" t="s">
        <v>253</v>
      </c>
      <c r="F524" s="853" t="s">
        <v>253</v>
      </c>
      <c r="G524" s="853" t="s">
        <v>253</v>
      </c>
      <c r="H524" s="853" t="s">
        <v>253</v>
      </c>
      <c r="I524" s="853" t="s">
        <v>253</v>
      </c>
      <c r="J524" s="853" t="s">
        <v>253</v>
      </c>
      <c r="K524" s="853" t="s">
        <v>253</v>
      </c>
      <c r="L524" s="854">
        <f t="shared" si="79"/>
        <v>0</v>
      </c>
    </row>
    <row r="525" spans="1:12" x14ac:dyDescent="0.25">
      <c r="B525" s="850"/>
      <c r="C525" s="851"/>
      <c r="D525" s="852"/>
      <c r="E525" s="853" t="s">
        <v>253</v>
      </c>
      <c r="F525" s="853" t="s">
        <v>253</v>
      </c>
      <c r="G525" s="853" t="s">
        <v>253</v>
      </c>
      <c r="H525" s="853" t="s">
        <v>253</v>
      </c>
      <c r="I525" s="853" t="s">
        <v>253</v>
      </c>
      <c r="J525" s="853" t="s">
        <v>253</v>
      </c>
      <c r="K525" s="853" t="s">
        <v>253</v>
      </c>
      <c r="L525" s="854">
        <f t="shared" si="79"/>
        <v>0</v>
      </c>
    </row>
    <row r="526" spans="1:12" x14ac:dyDescent="0.25">
      <c r="B526" s="850"/>
      <c r="C526" s="851"/>
      <c r="D526" s="852"/>
      <c r="E526" s="853" t="s">
        <v>253</v>
      </c>
      <c r="F526" s="853" t="s">
        <v>253</v>
      </c>
      <c r="G526" s="853" t="s">
        <v>253</v>
      </c>
      <c r="H526" s="853" t="s">
        <v>253</v>
      </c>
      <c r="I526" s="853" t="s">
        <v>253</v>
      </c>
      <c r="J526" s="853" t="s">
        <v>253</v>
      </c>
      <c r="K526" s="853" t="s">
        <v>253</v>
      </c>
      <c r="L526" s="854">
        <f t="shared" si="79"/>
        <v>0</v>
      </c>
    </row>
    <row r="527" spans="1:12" x14ac:dyDescent="0.25">
      <c r="B527" s="850"/>
      <c r="C527" s="851"/>
      <c r="D527" s="852"/>
      <c r="E527" s="853" t="s">
        <v>253</v>
      </c>
      <c r="F527" s="853" t="s">
        <v>253</v>
      </c>
      <c r="G527" s="853" t="s">
        <v>253</v>
      </c>
      <c r="H527" s="853" t="s">
        <v>253</v>
      </c>
      <c r="I527" s="853" t="s">
        <v>253</v>
      </c>
      <c r="J527" s="853" t="s">
        <v>253</v>
      </c>
      <c r="K527" s="853" t="s">
        <v>253</v>
      </c>
      <c r="L527" s="854">
        <f t="shared" si="79"/>
        <v>0</v>
      </c>
    </row>
    <row r="528" spans="1:12" x14ac:dyDescent="0.25">
      <c r="B528" s="850"/>
      <c r="C528" s="851"/>
      <c r="D528" s="852"/>
      <c r="E528" s="853" t="s">
        <v>253</v>
      </c>
      <c r="F528" s="853" t="s">
        <v>253</v>
      </c>
      <c r="G528" s="853" t="s">
        <v>253</v>
      </c>
      <c r="H528" s="853" t="s">
        <v>253</v>
      </c>
      <c r="I528" s="853" t="s">
        <v>253</v>
      </c>
      <c r="J528" s="853" t="s">
        <v>253</v>
      </c>
      <c r="K528" s="853" t="s">
        <v>253</v>
      </c>
      <c r="L528" s="854">
        <f t="shared" si="79"/>
        <v>0</v>
      </c>
    </row>
    <row r="529" spans="1:12" ht="18.75" x14ac:dyDescent="0.25">
      <c r="A529" s="605" t="s">
        <v>254</v>
      </c>
      <c r="B529" s="1030" t="s">
        <v>255</v>
      </c>
      <c r="C529" s="1031"/>
      <c r="D529" s="855">
        <f>SUM(E529:K529)</f>
        <v>76104</v>
      </c>
      <c r="E529" s="854">
        <f t="shared" ref="E529:K529" si="80">SUM(E521:E528)</f>
        <v>23542</v>
      </c>
      <c r="F529" s="854">
        <f t="shared" si="80"/>
        <v>0</v>
      </c>
      <c r="G529" s="854">
        <f t="shared" si="80"/>
        <v>0</v>
      </c>
      <c r="H529" s="854">
        <f t="shared" si="80"/>
        <v>0</v>
      </c>
      <c r="I529" s="854">
        <f t="shared" si="80"/>
        <v>0</v>
      </c>
      <c r="J529" s="854">
        <f t="shared" si="80"/>
        <v>0</v>
      </c>
      <c r="K529" s="854">
        <f t="shared" si="80"/>
        <v>52562</v>
      </c>
      <c r="L529" s="856">
        <f>SUM(E529:K529)-SUM(L521:L528)</f>
        <v>0</v>
      </c>
    </row>
    <row r="531" spans="1:12" ht="18.75" x14ac:dyDescent="0.3">
      <c r="B531" s="845" t="s">
        <v>246</v>
      </c>
      <c r="C531" s="1032" t="s">
        <v>129</v>
      </c>
      <c r="D531" s="1033"/>
      <c r="E531" s="1034" t="s">
        <v>637</v>
      </c>
      <c r="F531" s="1035"/>
      <c r="G531" s="1035"/>
      <c r="H531" s="1036"/>
      <c r="I531" s="846" t="s">
        <v>248</v>
      </c>
      <c r="J531" s="847">
        <f>+J519+1</f>
        <v>1197</v>
      </c>
      <c r="K531" s="848" t="s">
        <v>364</v>
      </c>
      <c r="L531" s="847">
        <v>221750</v>
      </c>
    </row>
    <row r="532" spans="1:12" x14ac:dyDescent="0.25">
      <c r="B532" s="849" t="s">
        <v>0</v>
      </c>
      <c r="C532" s="849" t="s">
        <v>249</v>
      </c>
      <c r="D532" s="849" t="s">
        <v>6</v>
      </c>
      <c r="E532" s="849" t="s">
        <v>250</v>
      </c>
      <c r="F532" s="849" t="s">
        <v>62</v>
      </c>
      <c r="G532" s="849" t="s">
        <v>63</v>
      </c>
      <c r="H532" s="849" t="s">
        <v>64</v>
      </c>
      <c r="I532" s="849" t="s">
        <v>251</v>
      </c>
      <c r="J532" s="849" t="s">
        <v>66</v>
      </c>
      <c r="K532" s="849" t="s">
        <v>68</v>
      </c>
      <c r="L532" s="849" t="s">
        <v>252</v>
      </c>
    </row>
    <row r="533" spans="1:12" x14ac:dyDescent="0.25">
      <c r="B533" s="850">
        <v>45638</v>
      </c>
      <c r="C533" s="851" t="s">
        <v>13</v>
      </c>
      <c r="D533" s="852" t="s">
        <v>18</v>
      </c>
      <c r="E533" s="853">
        <v>2375</v>
      </c>
      <c r="F533" s="853" t="s">
        <v>253</v>
      </c>
      <c r="G533" s="853" t="s">
        <v>253</v>
      </c>
      <c r="H533" s="853" t="s">
        <v>253</v>
      </c>
      <c r="I533" s="853" t="s">
        <v>253</v>
      </c>
      <c r="J533" s="853" t="s">
        <v>253</v>
      </c>
      <c r="K533" s="853" t="s">
        <v>253</v>
      </c>
      <c r="L533" s="854">
        <f t="shared" ref="L533:L540" si="81">SUM(E533:K533)</f>
        <v>2375</v>
      </c>
    </row>
    <row r="534" spans="1:12" x14ac:dyDescent="0.25">
      <c r="B534" s="850">
        <v>45638</v>
      </c>
      <c r="C534" s="851" t="s">
        <v>13</v>
      </c>
      <c r="D534" s="852" t="s">
        <v>18</v>
      </c>
      <c r="E534" s="853">
        <v>1167</v>
      </c>
      <c r="F534" s="853" t="s">
        <v>253</v>
      </c>
      <c r="G534" s="853" t="s">
        <v>253</v>
      </c>
      <c r="H534" s="853" t="s">
        <v>253</v>
      </c>
      <c r="I534" s="853" t="s">
        <v>253</v>
      </c>
      <c r="J534" s="853" t="s">
        <v>253</v>
      </c>
      <c r="K534" s="853" t="s">
        <v>253</v>
      </c>
      <c r="L534" s="854">
        <f t="shared" si="81"/>
        <v>1167</v>
      </c>
    </row>
    <row r="535" spans="1:12" x14ac:dyDescent="0.25">
      <c r="B535" s="850"/>
      <c r="C535" s="851"/>
      <c r="D535" s="852"/>
      <c r="E535" s="853" t="s">
        <v>253</v>
      </c>
      <c r="F535" s="853" t="s">
        <v>253</v>
      </c>
      <c r="G535" s="853" t="s">
        <v>253</v>
      </c>
      <c r="H535" s="853" t="s">
        <v>253</v>
      </c>
      <c r="I535" s="853" t="s">
        <v>253</v>
      </c>
      <c r="J535" s="853" t="s">
        <v>253</v>
      </c>
      <c r="K535" s="853" t="s">
        <v>253</v>
      </c>
      <c r="L535" s="854">
        <f t="shared" si="81"/>
        <v>0</v>
      </c>
    </row>
    <row r="536" spans="1:12" x14ac:dyDescent="0.25">
      <c r="B536" s="850"/>
      <c r="C536" s="851"/>
      <c r="D536" s="852"/>
      <c r="E536" s="853" t="s">
        <v>253</v>
      </c>
      <c r="F536" s="853" t="s">
        <v>253</v>
      </c>
      <c r="G536" s="853" t="s">
        <v>253</v>
      </c>
      <c r="H536" s="853" t="s">
        <v>253</v>
      </c>
      <c r="I536" s="853" t="s">
        <v>253</v>
      </c>
      <c r="J536" s="853" t="s">
        <v>253</v>
      </c>
      <c r="K536" s="853" t="s">
        <v>253</v>
      </c>
      <c r="L536" s="854">
        <f t="shared" si="81"/>
        <v>0</v>
      </c>
    </row>
    <row r="537" spans="1:12" x14ac:dyDescent="0.25">
      <c r="B537" s="850"/>
      <c r="C537" s="851"/>
      <c r="D537" s="852"/>
      <c r="E537" s="853" t="s">
        <v>253</v>
      </c>
      <c r="F537" s="853" t="s">
        <v>253</v>
      </c>
      <c r="G537" s="853" t="s">
        <v>253</v>
      </c>
      <c r="H537" s="853" t="s">
        <v>253</v>
      </c>
      <c r="I537" s="853" t="s">
        <v>253</v>
      </c>
      <c r="J537" s="853" t="s">
        <v>253</v>
      </c>
      <c r="K537" s="853" t="s">
        <v>253</v>
      </c>
      <c r="L537" s="854">
        <f t="shared" si="81"/>
        <v>0</v>
      </c>
    </row>
    <row r="538" spans="1:12" x14ac:dyDescent="0.25">
      <c r="B538" s="850"/>
      <c r="C538" s="851"/>
      <c r="D538" s="852"/>
      <c r="E538" s="853" t="s">
        <v>253</v>
      </c>
      <c r="F538" s="853" t="s">
        <v>253</v>
      </c>
      <c r="G538" s="853" t="s">
        <v>253</v>
      </c>
      <c r="H538" s="853" t="s">
        <v>253</v>
      </c>
      <c r="I538" s="853" t="s">
        <v>253</v>
      </c>
      <c r="J538" s="853" t="s">
        <v>253</v>
      </c>
      <c r="K538" s="853" t="s">
        <v>253</v>
      </c>
      <c r="L538" s="854">
        <f t="shared" si="81"/>
        <v>0</v>
      </c>
    </row>
    <row r="539" spans="1:12" x14ac:dyDescent="0.25">
      <c r="B539" s="850"/>
      <c r="C539" s="851"/>
      <c r="D539" s="852"/>
      <c r="E539" s="853" t="s">
        <v>253</v>
      </c>
      <c r="F539" s="853" t="s">
        <v>253</v>
      </c>
      <c r="G539" s="853" t="s">
        <v>253</v>
      </c>
      <c r="H539" s="853" t="s">
        <v>253</v>
      </c>
      <c r="I539" s="853" t="s">
        <v>253</v>
      </c>
      <c r="J539" s="853" t="s">
        <v>253</v>
      </c>
      <c r="K539" s="853" t="s">
        <v>253</v>
      </c>
      <c r="L539" s="854">
        <f t="shared" si="81"/>
        <v>0</v>
      </c>
    </row>
    <row r="540" spans="1:12" x14ac:dyDescent="0.25">
      <c r="B540" s="850"/>
      <c r="C540" s="851"/>
      <c r="D540" s="852"/>
      <c r="E540" s="853" t="s">
        <v>253</v>
      </c>
      <c r="F540" s="853" t="s">
        <v>253</v>
      </c>
      <c r="G540" s="853" t="s">
        <v>253</v>
      </c>
      <c r="H540" s="853" t="s">
        <v>253</v>
      </c>
      <c r="I540" s="853" t="s">
        <v>253</v>
      </c>
      <c r="J540" s="853" t="s">
        <v>253</v>
      </c>
      <c r="K540" s="853" t="s">
        <v>253</v>
      </c>
      <c r="L540" s="854">
        <f t="shared" si="81"/>
        <v>0</v>
      </c>
    </row>
    <row r="541" spans="1:12" ht="18.75" x14ac:dyDescent="0.25">
      <c r="A541" s="605" t="s">
        <v>254</v>
      </c>
      <c r="B541" s="1030" t="s">
        <v>255</v>
      </c>
      <c r="C541" s="1031"/>
      <c r="D541" s="855">
        <f>SUM(E541:K541)</f>
        <v>3542</v>
      </c>
      <c r="E541" s="854">
        <f t="shared" ref="E541:K541" si="82">SUM(E533:E540)</f>
        <v>3542</v>
      </c>
      <c r="F541" s="854">
        <f t="shared" si="82"/>
        <v>0</v>
      </c>
      <c r="G541" s="854">
        <f t="shared" si="82"/>
        <v>0</v>
      </c>
      <c r="H541" s="854">
        <f t="shared" si="82"/>
        <v>0</v>
      </c>
      <c r="I541" s="854">
        <f t="shared" si="82"/>
        <v>0</v>
      </c>
      <c r="J541" s="854">
        <f t="shared" si="82"/>
        <v>0</v>
      </c>
      <c r="K541" s="854">
        <f t="shared" si="82"/>
        <v>0</v>
      </c>
      <c r="L541" s="856">
        <f>SUM(E541:K541)-SUM(L533:L540)</f>
        <v>0</v>
      </c>
    </row>
    <row r="543" spans="1:12" ht="18.75" x14ac:dyDescent="0.3">
      <c r="B543" s="845" t="s">
        <v>246</v>
      </c>
      <c r="C543" s="1032" t="s">
        <v>232</v>
      </c>
      <c r="D543" s="1033"/>
      <c r="E543" s="1034" t="s">
        <v>637</v>
      </c>
      <c r="F543" s="1035"/>
      <c r="G543" s="1035"/>
      <c r="H543" s="1036"/>
      <c r="I543" s="846" t="s">
        <v>248</v>
      </c>
      <c r="J543" s="847">
        <f>+J531+1</f>
        <v>1198</v>
      </c>
      <c r="K543" s="848" t="s">
        <v>364</v>
      </c>
      <c r="L543" s="847">
        <v>221750</v>
      </c>
    </row>
    <row r="544" spans="1:12" x14ac:dyDescent="0.25">
      <c r="B544" s="849" t="s">
        <v>0</v>
      </c>
      <c r="C544" s="849" t="s">
        <v>249</v>
      </c>
      <c r="D544" s="849" t="s">
        <v>6</v>
      </c>
      <c r="E544" s="849" t="s">
        <v>250</v>
      </c>
      <c r="F544" s="849" t="s">
        <v>62</v>
      </c>
      <c r="G544" s="849" t="s">
        <v>63</v>
      </c>
      <c r="H544" s="849" t="s">
        <v>64</v>
      </c>
      <c r="I544" s="849" t="s">
        <v>251</v>
      </c>
      <c r="J544" s="849" t="s">
        <v>66</v>
      </c>
      <c r="K544" s="849" t="s">
        <v>68</v>
      </c>
      <c r="L544" s="849" t="s">
        <v>252</v>
      </c>
    </row>
    <row r="545" spans="1:12" x14ac:dyDescent="0.25">
      <c r="B545" s="850">
        <v>45637</v>
      </c>
      <c r="C545" s="851" t="s">
        <v>354</v>
      </c>
      <c r="D545" s="852" t="s">
        <v>17</v>
      </c>
      <c r="E545" s="853">
        <v>20000</v>
      </c>
      <c r="F545" s="853" t="s">
        <v>253</v>
      </c>
      <c r="G545" s="853" t="s">
        <v>253</v>
      </c>
      <c r="H545" s="853" t="s">
        <v>253</v>
      </c>
      <c r="I545" s="853" t="s">
        <v>253</v>
      </c>
      <c r="J545" s="853" t="s">
        <v>253</v>
      </c>
      <c r="K545" s="853" t="s">
        <v>253</v>
      </c>
      <c r="L545" s="854">
        <f t="shared" ref="L545:L552" si="83">SUM(E545:K545)</f>
        <v>20000</v>
      </c>
    </row>
    <row r="546" spans="1:12" x14ac:dyDescent="0.25">
      <c r="B546" s="850">
        <v>45638</v>
      </c>
      <c r="C546" s="851" t="s">
        <v>13</v>
      </c>
      <c r="D546" s="852" t="s">
        <v>18</v>
      </c>
      <c r="E546" s="853">
        <v>2375</v>
      </c>
      <c r="F546" s="853" t="s">
        <v>253</v>
      </c>
      <c r="G546" s="853" t="s">
        <v>253</v>
      </c>
      <c r="H546" s="853" t="s">
        <v>253</v>
      </c>
      <c r="I546" s="853" t="s">
        <v>253</v>
      </c>
      <c r="J546" s="853" t="s">
        <v>253</v>
      </c>
      <c r="K546" s="853" t="s">
        <v>253</v>
      </c>
      <c r="L546" s="854">
        <f t="shared" si="83"/>
        <v>2375</v>
      </c>
    </row>
    <row r="547" spans="1:12" x14ac:dyDescent="0.25">
      <c r="B547" s="850">
        <v>45638</v>
      </c>
      <c r="C547" s="851" t="s">
        <v>13</v>
      </c>
      <c r="D547" s="852" t="s">
        <v>18</v>
      </c>
      <c r="E547" s="853">
        <v>1167</v>
      </c>
      <c r="F547" s="853" t="s">
        <v>253</v>
      </c>
      <c r="G547" s="853" t="s">
        <v>253</v>
      </c>
      <c r="H547" s="853" t="s">
        <v>253</v>
      </c>
      <c r="I547" s="853" t="s">
        <v>253</v>
      </c>
      <c r="J547" s="853" t="s">
        <v>253</v>
      </c>
      <c r="K547" s="853" t="s">
        <v>253</v>
      </c>
      <c r="L547" s="854">
        <f t="shared" si="83"/>
        <v>1167</v>
      </c>
    </row>
    <row r="548" spans="1:12" x14ac:dyDescent="0.25">
      <c r="B548" s="850"/>
      <c r="C548" s="851"/>
      <c r="D548" s="852"/>
      <c r="E548" s="853" t="s">
        <v>253</v>
      </c>
      <c r="F548" s="853" t="s">
        <v>253</v>
      </c>
      <c r="G548" s="853" t="s">
        <v>253</v>
      </c>
      <c r="H548" s="853" t="s">
        <v>253</v>
      </c>
      <c r="I548" s="853" t="s">
        <v>253</v>
      </c>
      <c r="J548" s="853" t="s">
        <v>253</v>
      </c>
      <c r="K548" s="853" t="s">
        <v>253</v>
      </c>
      <c r="L548" s="854">
        <f t="shared" si="83"/>
        <v>0</v>
      </c>
    </row>
    <row r="549" spans="1:12" x14ac:dyDescent="0.25">
      <c r="B549" s="850"/>
      <c r="C549" s="851"/>
      <c r="D549" s="852"/>
      <c r="E549" s="853" t="s">
        <v>253</v>
      </c>
      <c r="F549" s="853" t="s">
        <v>253</v>
      </c>
      <c r="G549" s="853" t="s">
        <v>253</v>
      </c>
      <c r="H549" s="853" t="s">
        <v>253</v>
      </c>
      <c r="I549" s="853" t="s">
        <v>253</v>
      </c>
      <c r="J549" s="853" t="s">
        <v>253</v>
      </c>
      <c r="K549" s="853" t="s">
        <v>253</v>
      </c>
      <c r="L549" s="854">
        <f t="shared" si="83"/>
        <v>0</v>
      </c>
    </row>
    <row r="550" spans="1:12" x14ac:dyDescent="0.25">
      <c r="B550" s="850"/>
      <c r="C550" s="851"/>
      <c r="D550" s="852"/>
      <c r="E550" s="853" t="s">
        <v>253</v>
      </c>
      <c r="F550" s="853" t="s">
        <v>253</v>
      </c>
      <c r="G550" s="853" t="s">
        <v>253</v>
      </c>
      <c r="H550" s="853" t="s">
        <v>253</v>
      </c>
      <c r="I550" s="853" t="s">
        <v>253</v>
      </c>
      <c r="J550" s="853" t="s">
        <v>253</v>
      </c>
      <c r="K550" s="853" t="s">
        <v>253</v>
      </c>
      <c r="L550" s="854">
        <f t="shared" si="83"/>
        <v>0</v>
      </c>
    </row>
    <row r="551" spans="1:12" x14ac:dyDescent="0.25">
      <c r="B551" s="850"/>
      <c r="C551" s="851"/>
      <c r="D551" s="852"/>
      <c r="E551" s="853" t="s">
        <v>253</v>
      </c>
      <c r="F551" s="853" t="s">
        <v>253</v>
      </c>
      <c r="G551" s="853" t="s">
        <v>253</v>
      </c>
      <c r="H551" s="853" t="s">
        <v>253</v>
      </c>
      <c r="I551" s="853" t="s">
        <v>253</v>
      </c>
      <c r="J551" s="853" t="s">
        <v>253</v>
      </c>
      <c r="K551" s="853" t="s">
        <v>253</v>
      </c>
      <c r="L551" s="854">
        <f t="shared" si="83"/>
        <v>0</v>
      </c>
    </row>
    <row r="552" spans="1:12" x14ac:dyDescent="0.25">
      <c r="B552" s="850"/>
      <c r="C552" s="851"/>
      <c r="D552" s="852"/>
      <c r="E552" s="853" t="s">
        <v>253</v>
      </c>
      <c r="F552" s="853" t="s">
        <v>253</v>
      </c>
      <c r="G552" s="853" t="s">
        <v>253</v>
      </c>
      <c r="H552" s="853" t="s">
        <v>253</v>
      </c>
      <c r="I552" s="853" t="s">
        <v>253</v>
      </c>
      <c r="J552" s="853" t="s">
        <v>253</v>
      </c>
      <c r="K552" s="853" t="s">
        <v>253</v>
      </c>
      <c r="L552" s="854">
        <f t="shared" si="83"/>
        <v>0</v>
      </c>
    </row>
    <row r="553" spans="1:12" ht="18.75" x14ac:dyDescent="0.25">
      <c r="A553" s="605" t="s">
        <v>254</v>
      </c>
      <c r="B553" s="1030" t="s">
        <v>255</v>
      </c>
      <c r="C553" s="1031"/>
      <c r="D553" s="855">
        <f>SUM(E553:K553)</f>
        <v>23542</v>
      </c>
      <c r="E553" s="854">
        <f t="shared" ref="E553:K553" si="84">SUM(E545:E552)</f>
        <v>23542</v>
      </c>
      <c r="F553" s="854">
        <f t="shared" si="84"/>
        <v>0</v>
      </c>
      <c r="G553" s="854">
        <f t="shared" si="84"/>
        <v>0</v>
      </c>
      <c r="H553" s="854">
        <f t="shared" si="84"/>
        <v>0</v>
      </c>
      <c r="I553" s="854">
        <f t="shared" si="84"/>
        <v>0</v>
      </c>
      <c r="J553" s="854">
        <f t="shared" si="84"/>
        <v>0</v>
      </c>
      <c r="K553" s="854">
        <f t="shared" si="84"/>
        <v>0</v>
      </c>
      <c r="L553" s="856">
        <f>SUM(E553:K553)-SUM(L545:L552)</f>
        <v>0</v>
      </c>
    </row>
    <row r="555" spans="1:12" ht="18.75" x14ac:dyDescent="0.3">
      <c r="B555" s="845" t="s">
        <v>246</v>
      </c>
      <c r="C555" s="1032" t="s">
        <v>131</v>
      </c>
      <c r="D555" s="1033"/>
      <c r="E555" s="1034" t="s">
        <v>637</v>
      </c>
      <c r="F555" s="1035"/>
      <c r="G555" s="1035"/>
      <c r="H555" s="1036"/>
      <c r="I555" s="846" t="s">
        <v>248</v>
      </c>
      <c r="J555" s="847">
        <f>+J543+1</f>
        <v>1199</v>
      </c>
      <c r="K555" s="848" t="s">
        <v>364</v>
      </c>
      <c r="L555" s="847">
        <v>221750</v>
      </c>
    </row>
    <row r="556" spans="1:12" x14ac:dyDescent="0.25">
      <c r="B556" s="849" t="s">
        <v>0</v>
      </c>
      <c r="C556" s="849" t="s">
        <v>249</v>
      </c>
      <c r="D556" s="849" t="s">
        <v>6</v>
      </c>
      <c r="E556" s="849" t="s">
        <v>250</v>
      </c>
      <c r="F556" s="849" t="s">
        <v>62</v>
      </c>
      <c r="G556" s="849" t="s">
        <v>63</v>
      </c>
      <c r="H556" s="849" t="s">
        <v>64</v>
      </c>
      <c r="I556" s="849" t="s">
        <v>251</v>
      </c>
      <c r="J556" s="849" t="s">
        <v>66</v>
      </c>
      <c r="K556" s="849" t="s">
        <v>68</v>
      </c>
      <c r="L556" s="849" t="s">
        <v>252</v>
      </c>
    </row>
    <row r="557" spans="1:12" x14ac:dyDescent="0.25">
      <c r="B557" s="850">
        <v>45638</v>
      </c>
      <c r="C557" s="851" t="s">
        <v>13</v>
      </c>
      <c r="D557" s="852" t="s">
        <v>18</v>
      </c>
      <c r="E557" s="853">
        <v>2375</v>
      </c>
      <c r="F557" s="853" t="s">
        <v>253</v>
      </c>
      <c r="G557" s="853" t="s">
        <v>253</v>
      </c>
      <c r="H557" s="853" t="s">
        <v>253</v>
      </c>
      <c r="I557" s="853" t="s">
        <v>253</v>
      </c>
      <c r="J557" s="853" t="s">
        <v>253</v>
      </c>
      <c r="K557" s="853" t="s">
        <v>253</v>
      </c>
      <c r="L557" s="854">
        <f t="shared" ref="L557:L564" si="85">SUM(E557:K557)</f>
        <v>2375</v>
      </c>
    </row>
    <row r="558" spans="1:12" x14ac:dyDescent="0.25">
      <c r="B558" s="850">
        <v>45638</v>
      </c>
      <c r="C558" s="851" t="s">
        <v>13</v>
      </c>
      <c r="D558" s="852" t="s">
        <v>18</v>
      </c>
      <c r="E558" s="853">
        <v>1167</v>
      </c>
      <c r="F558" s="853" t="s">
        <v>253</v>
      </c>
      <c r="G558" s="853" t="s">
        <v>253</v>
      </c>
      <c r="H558" s="853" t="s">
        <v>253</v>
      </c>
      <c r="I558" s="853" t="s">
        <v>253</v>
      </c>
      <c r="J558" s="853" t="s">
        <v>253</v>
      </c>
      <c r="K558" s="853" t="s">
        <v>253</v>
      </c>
      <c r="L558" s="854">
        <f t="shared" si="85"/>
        <v>1167</v>
      </c>
    </row>
    <row r="559" spans="1:12" x14ac:dyDescent="0.25">
      <c r="B559" s="850"/>
      <c r="C559" s="851"/>
      <c r="D559" s="852"/>
      <c r="E559" s="853" t="s">
        <v>253</v>
      </c>
      <c r="F559" s="853" t="s">
        <v>253</v>
      </c>
      <c r="G559" s="853" t="s">
        <v>253</v>
      </c>
      <c r="H559" s="853" t="s">
        <v>253</v>
      </c>
      <c r="I559" s="853" t="s">
        <v>253</v>
      </c>
      <c r="J559" s="853" t="s">
        <v>253</v>
      </c>
      <c r="K559" s="853" t="s">
        <v>253</v>
      </c>
      <c r="L559" s="854">
        <f t="shared" si="85"/>
        <v>0</v>
      </c>
    </row>
    <row r="560" spans="1:12" x14ac:dyDescent="0.25">
      <c r="B560" s="850"/>
      <c r="C560" s="851"/>
      <c r="D560" s="852"/>
      <c r="E560" s="853" t="s">
        <v>253</v>
      </c>
      <c r="F560" s="853" t="s">
        <v>253</v>
      </c>
      <c r="G560" s="853" t="s">
        <v>253</v>
      </c>
      <c r="H560" s="853" t="s">
        <v>253</v>
      </c>
      <c r="I560" s="853" t="s">
        <v>253</v>
      </c>
      <c r="J560" s="853" t="s">
        <v>253</v>
      </c>
      <c r="K560" s="853" t="s">
        <v>253</v>
      </c>
      <c r="L560" s="854">
        <f t="shared" si="85"/>
        <v>0</v>
      </c>
    </row>
    <row r="561" spans="1:12" x14ac:dyDescent="0.25">
      <c r="B561" s="850"/>
      <c r="C561" s="851"/>
      <c r="D561" s="852"/>
      <c r="E561" s="853" t="s">
        <v>253</v>
      </c>
      <c r="F561" s="853" t="s">
        <v>253</v>
      </c>
      <c r="G561" s="853" t="s">
        <v>253</v>
      </c>
      <c r="H561" s="853" t="s">
        <v>253</v>
      </c>
      <c r="I561" s="853" t="s">
        <v>253</v>
      </c>
      <c r="J561" s="853" t="s">
        <v>253</v>
      </c>
      <c r="K561" s="853" t="s">
        <v>253</v>
      </c>
      <c r="L561" s="854">
        <f t="shared" si="85"/>
        <v>0</v>
      </c>
    </row>
    <row r="562" spans="1:12" x14ac:dyDescent="0.25">
      <c r="B562" s="850"/>
      <c r="C562" s="851"/>
      <c r="D562" s="852"/>
      <c r="E562" s="853" t="s">
        <v>253</v>
      </c>
      <c r="F562" s="853" t="s">
        <v>253</v>
      </c>
      <c r="G562" s="853" t="s">
        <v>253</v>
      </c>
      <c r="H562" s="853" t="s">
        <v>253</v>
      </c>
      <c r="I562" s="853" t="s">
        <v>253</v>
      </c>
      <c r="J562" s="853" t="s">
        <v>253</v>
      </c>
      <c r="K562" s="853" t="s">
        <v>253</v>
      </c>
      <c r="L562" s="854">
        <f t="shared" si="85"/>
        <v>0</v>
      </c>
    </row>
    <row r="563" spans="1:12" x14ac:dyDescent="0.25">
      <c r="B563" s="850"/>
      <c r="C563" s="851"/>
      <c r="D563" s="852"/>
      <c r="E563" s="853" t="s">
        <v>253</v>
      </c>
      <c r="F563" s="853" t="s">
        <v>253</v>
      </c>
      <c r="G563" s="853" t="s">
        <v>253</v>
      </c>
      <c r="H563" s="853" t="s">
        <v>253</v>
      </c>
      <c r="I563" s="853" t="s">
        <v>253</v>
      </c>
      <c r="J563" s="853" t="s">
        <v>253</v>
      </c>
      <c r="K563" s="853" t="s">
        <v>253</v>
      </c>
      <c r="L563" s="854">
        <f t="shared" si="85"/>
        <v>0</v>
      </c>
    </row>
    <row r="564" spans="1:12" x14ac:dyDescent="0.25">
      <c r="B564" s="850"/>
      <c r="C564" s="851"/>
      <c r="D564" s="852"/>
      <c r="E564" s="853" t="s">
        <v>253</v>
      </c>
      <c r="F564" s="853" t="s">
        <v>253</v>
      </c>
      <c r="G564" s="853" t="s">
        <v>253</v>
      </c>
      <c r="H564" s="853" t="s">
        <v>253</v>
      </c>
      <c r="I564" s="853" t="s">
        <v>253</v>
      </c>
      <c r="J564" s="853" t="s">
        <v>253</v>
      </c>
      <c r="K564" s="853" t="s">
        <v>253</v>
      </c>
      <c r="L564" s="854">
        <f t="shared" si="85"/>
        <v>0</v>
      </c>
    </row>
    <row r="565" spans="1:12" ht="18.75" x14ac:dyDescent="0.25">
      <c r="A565" s="605" t="s">
        <v>254</v>
      </c>
      <c r="B565" s="1030" t="s">
        <v>255</v>
      </c>
      <c r="C565" s="1031"/>
      <c r="D565" s="855">
        <f>SUM(E565:K565)</f>
        <v>3542</v>
      </c>
      <c r="E565" s="854">
        <f t="shared" ref="E565:K565" si="86">SUM(E557:E564)</f>
        <v>3542</v>
      </c>
      <c r="F565" s="854">
        <f t="shared" si="86"/>
        <v>0</v>
      </c>
      <c r="G565" s="854">
        <f t="shared" si="86"/>
        <v>0</v>
      </c>
      <c r="H565" s="854">
        <f t="shared" si="86"/>
        <v>0</v>
      </c>
      <c r="I565" s="854">
        <f t="shared" si="86"/>
        <v>0</v>
      </c>
      <c r="J565" s="854">
        <f t="shared" si="86"/>
        <v>0</v>
      </c>
      <c r="K565" s="854">
        <f t="shared" si="86"/>
        <v>0</v>
      </c>
      <c r="L565" s="856">
        <f>SUM(E565:K565)-SUM(L557:L564)</f>
        <v>0</v>
      </c>
    </row>
    <row r="567" spans="1:12" ht="18.75" x14ac:dyDescent="0.3">
      <c r="B567" s="845" t="s">
        <v>246</v>
      </c>
      <c r="C567" s="1032" t="s">
        <v>176</v>
      </c>
      <c r="D567" s="1033"/>
      <c r="E567" s="1034" t="s">
        <v>637</v>
      </c>
      <c r="F567" s="1035"/>
      <c r="G567" s="1035"/>
      <c r="H567" s="1036"/>
      <c r="I567" s="846" t="s">
        <v>248</v>
      </c>
      <c r="J567" s="847">
        <f>+J555+1</f>
        <v>1200</v>
      </c>
      <c r="K567" s="848" t="s">
        <v>364</v>
      </c>
      <c r="L567" s="847">
        <v>221750</v>
      </c>
    </row>
    <row r="568" spans="1:12" x14ac:dyDescent="0.25">
      <c r="B568" s="849" t="s">
        <v>0</v>
      </c>
      <c r="C568" s="849" t="s">
        <v>249</v>
      </c>
      <c r="D568" s="849" t="s">
        <v>6</v>
      </c>
      <c r="E568" s="849" t="s">
        <v>250</v>
      </c>
      <c r="F568" s="849" t="s">
        <v>62</v>
      </c>
      <c r="G568" s="849" t="s">
        <v>63</v>
      </c>
      <c r="H568" s="849" t="s">
        <v>64</v>
      </c>
      <c r="I568" s="849" t="s">
        <v>251</v>
      </c>
      <c r="J568" s="849" t="s">
        <v>66</v>
      </c>
      <c r="K568" s="849" t="s">
        <v>68</v>
      </c>
      <c r="L568" s="849" t="s">
        <v>252</v>
      </c>
    </row>
    <row r="569" spans="1:12" x14ac:dyDescent="0.25">
      <c r="B569" s="850">
        <v>45638</v>
      </c>
      <c r="C569" s="851" t="s">
        <v>13</v>
      </c>
      <c r="D569" s="852" t="s">
        <v>18</v>
      </c>
      <c r="E569" s="853">
        <v>2375</v>
      </c>
      <c r="F569" s="853" t="s">
        <v>253</v>
      </c>
      <c r="G569" s="853" t="s">
        <v>253</v>
      </c>
      <c r="H569" s="853" t="s">
        <v>253</v>
      </c>
      <c r="I569" s="853" t="s">
        <v>253</v>
      </c>
      <c r="J569" s="853" t="s">
        <v>253</v>
      </c>
      <c r="K569" s="853" t="s">
        <v>253</v>
      </c>
      <c r="L569" s="854">
        <f t="shared" ref="L569:L576" si="87">SUM(E569:K569)</f>
        <v>2375</v>
      </c>
    </row>
    <row r="570" spans="1:12" x14ac:dyDescent="0.25">
      <c r="B570" s="850">
        <v>45638</v>
      </c>
      <c r="C570" s="851" t="s">
        <v>13</v>
      </c>
      <c r="D570" s="852" t="s">
        <v>18</v>
      </c>
      <c r="E570" s="853">
        <v>1167</v>
      </c>
      <c r="F570" s="853" t="s">
        <v>253</v>
      </c>
      <c r="G570" s="853" t="s">
        <v>253</v>
      </c>
      <c r="H570" s="853" t="s">
        <v>253</v>
      </c>
      <c r="I570" s="853" t="s">
        <v>253</v>
      </c>
      <c r="J570" s="853" t="s">
        <v>253</v>
      </c>
      <c r="K570" s="853" t="s">
        <v>253</v>
      </c>
      <c r="L570" s="854">
        <f t="shared" si="87"/>
        <v>1167</v>
      </c>
    </row>
    <row r="571" spans="1:12" x14ac:dyDescent="0.25">
      <c r="B571" s="850"/>
      <c r="C571" s="851"/>
      <c r="D571" s="852" t="s">
        <v>695</v>
      </c>
      <c r="E571" s="853" t="s">
        <v>253</v>
      </c>
      <c r="F571" s="853" t="s">
        <v>253</v>
      </c>
      <c r="G571" s="853" t="s">
        <v>253</v>
      </c>
      <c r="H571" s="853" t="s">
        <v>253</v>
      </c>
      <c r="I571" s="853" t="s">
        <v>253</v>
      </c>
      <c r="J571" s="853" t="s">
        <v>253</v>
      </c>
      <c r="K571" s="853">
        <v>14721</v>
      </c>
      <c r="L571" s="854">
        <f t="shared" si="87"/>
        <v>14721</v>
      </c>
    </row>
    <row r="572" spans="1:12" x14ac:dyDescent="0.25">
      <c r="B572" s="850"/>
      <c r="C572" s="851"/>
      <c r="D572" s="852"/>
      <c r="E572" s="853" t="s">
        <v>253</v>
      </c>
      <c r="F572" s="853" t="s">
        <v>253</v>
      </c>
      <c r="G572" s="853" t="s">
        <v>253</v>
      </c>
      <c r="H572" s="853" t="s">
        <v>253</v>
      </c>
      <c r="I572" s="853" t="s">
        <v>253</v>
      </c>
      <c r="J572" s="853" t="s">
        <v>253</v>
      </c>
      <c r="K572" s="853" t="s">
        <v>253</v>
      </c>
      <c r="L572" s="854">
        <f t="shared" si="87"/>
        <v>0</v>
      </c>
    </row>
    <row r="573" spans="1:12" x14ac:dyDescent="0.25">
      <c r="B573" s="850"/>
      <c r="C573" s="851"/>
      <c r="D573" s="852"/>
      <c r="E573" s="853" t="s">
        <v>253</v>
      </c>
      <c r="F573" s="853" t="s">
        <v>253</v>
      </c>
      <c r="G573" s="853" t="s">
        <v>253</v>
      </c>
      <c r="H573" s="853" t="s">
        <v>253</v>
      </c>
      <c r="I573" s="853" t="s">
        <v>253</v>
      </c>
      <c r="J573" s="853" t="s">
        <v>253</v>
      </c>
      <c r="K573" s="853" t="s">
        <v>253</v>
      </c>
      <c r="L573" s="854">
        <f t="shared" si="87"/>
        <v>0</v>
      </c>
    </row>
    <row r="574" spans="1:12" x14ac:dyDescent="0.25">
      <c r="B574" s="850"/>
      <c r="C574" s="851"/>
      <c r="D574" s="852"/>
      <c r="E574" s="853" t="s">
        <v>253</v>
      </c>
      <c r="F574" s="853" t="s">
        <v>253</v>
      </c>
      <c r="G574" s="853" t="s">
        <v>253</v>
      </c>
      <c r="H574" s="853" t="s">
        <v>253</v>
      </c>
      <c r="I574" s="853" t="s">
        <v>253</v>
      </c>
      <c r="J574" s="853" t="s">
        <v>253</v>
      </c>
      <c r="K574" s="853" t="s">
        <v>253</v>
      </c>
      <c r="L574" s="854">
        <f t="shared" si="87"/>
        <v>0</v>
      </c>
    </row>
    <row r="575" spans="1:12" x14ac:dyDescent="0.25">
      <c r="B575" s="850"/>
      <c r="C575" s="851"/>
      <c r="D575" s="852"/>
      <c r="E575" s="853" t="s">
        <v>253</v>
      </c>
      <c r="F575" s="853" t="s">
        <v>253</v>
      </c>
      <c r="G575" s="853" t="s">
        <v>253</v>
      </c>
      <c r="H575" s="853" t="s">
        <v>253</v>
      </c>
      <c r="I575" s="853" t="s">
        <v>253</v>
      </c>
      <c r="J575" s="853" t="s">
        <v>253</v>
      </c>
      <c r="K575" s="853" t="s">
        <v>253</v>
      </c>
      <c r="L575" s="854">
        <f t="shared" si="87"/>
        <v>0</v>
      </c>
    </row>
    <row r="576" spans="1:12" x14ac:dyDescent="0.25">
      <c r="B576" s="850"/>
      <c r="C576" s="851"/>
      <c r="D576" s="852"/>
      <c r="E576" s="853" t="s">
        <v>253</v>
      </c>
      <c r="F576" s="853" t="s">
        <v>253</v>
      </c>
      <c r="G576" s="853" t="s">
        <v>253</v>
      </c>
      <c r="H576" s="853" t="s">
        <v>253</v>
      </c>
      <c r="I576" s="853" t="s">
        <v>253</v>
      </c>
      <c r="J576" s="853" t="s">
        <v>253</v>
      </c>
      <c r="K576" s="853" t="s">
        <v>253</v>
      </c>
      <c r="L576" s="854">
        <f t="shared" si="87"/>
        <v>0</v>
      </c>
    </row>
    <row r="577" spans="1:12" ht="18.75" x14ac:dyDescent="0.25">
      <c r="A577" s="605" t="s">
        <v>254</v>
      </c>
      <c r="B577" s="1030" t="s">
        <v>255</v>
      </c>
      <c r="C577" s="1031"/>
      <c r="D577" s="855">
        <f>SUM(E577:K577)</f>
        <v>18263</v>
      </c>
      <c r="E577" s="854">
        <f t="shared" ref="E577:K577" si="88">SUM(E569:E576)</f>
        <v>3542</v>
      </c>
      <c r="F577" s="854">
        <f t="shared" si="88"/>
        <v>0</v>
      </c>
      <c r="G577" s="854">
        <f t="shared" si="88"/>
        <v>0</v>
      </c>
      <c r="H577" s="854">
        <f t="shared" si="88"/>
        <v>0</v>
      </c>
      <c r="I577" s="854">
        <f t="shared" si="88"/>
        <v>0</v>
      </c>
      <c r="J577" s="854">
        <f t="shared" si="88"/>
        <v>0</v>
      </c>
      <c r="K577" s="854">
        <f t="shared" si="88"/>
        <v>14721</v>
      </c>
      <c r="L577" s="856">
        <f>SUM(E577:K577)-SUM(L569:L576)</f>
        <v>0</v>
      </c>
    </row>
    <row r="579" spans="1:12" ht="18.75" x14ac:dyDescent="0.3">
      <c r="B579" s="845" t="s">
        <v>246</v>
      </c>
      <c r="C579" s="1032" t="s">
        <v>132</v>
      </c>
      <c r="D579" s="1033"/>
      <c r="E579" s="1034" t="s">
        <v>637</v>
      </c>
      <c r="F579" s="1035"/>
      <c r="G579" s="1035"/>
      <c r="H579" s="1036"/>
      <c r="I579" s="846" t="s">
        <v>248</v>
      </c>
      <c r="J579" s="847">
        <f>+J567+1</f>
        <v>1201</v>
      </c>
      <c r="K579" s="848" t="s">
        <v>364</v>
      </c>
      <c r="L579" s="847">
        <v>221750</v>
      </c>
    </row>
    <row r="580" spans="1:12" x14ac:dyDescent="0.25">
      <c r="B580" s="849" t="s">
        <v>0</v>
      </c>
      <c r="C580" s="849" t="s">
        <v>249</v>
      </c>
      <c r="D580" s="849" t="s">
        <v>6</v>
      </c>
      <c r="E580" s="849" t="s">
        <v>250</v>
      </c>
      <c r="F580" s="849" t="s">
        <v>62</v>
      </c>
      <c r="G580" s="849" t="s">
        <v>63</v>
      </c>
      <c r="H580" s="849" t="s">
        <v>64</v>
      </c>
      <c r="I580" s="849" t="s">
        <v>251</v>
      </c>
      <c r="J580" s="849" t="s">
        <v>66</v>
      </c>
      <c r="K580" s="849" t="s">
        <v>68</v>
      </c>
      <c r="L580" s="849" t="s">
        <v>252</v>
      </c>
    </row>
    <row r="581" spans="1:12" x14ac:dyDescent="0.25">
      <c r="B581" s="850">
        <v>45638</v>
      </c>
      <c r="C581" s="851" t="s">
        <v>13</v>
      </c>
      <c r="D581" s="852" t="s">
        <v>18</v>
      </c>
      <c r="E581" s="853">
        <v>2375</v>
      </c>
      <c r="F581" s="853" t="s">
        <v>253</v>
      </c>
      <c r="G581" s="853" t="s">
        <v>253</v>
      </c>
      <c r="H581" s="853" t="s">
        <v>253</v>
      </c>
      <c r="I581" s="853" t="s">
        <v>253</v>
      </c>
      <c r="J581" s="853" t="s">
        <v>253</v>
      </c>
      <c r="K581" s="853" t="s">
        <v>253</v>
      </c>
      <c r="L581" s="854">
        <f t="shared" ref="L581:L588" si="89">SUM(E581:K581)</f>
        <v>2375</v>
      </c>
    </row>
    <row r="582" spans="1:12" x14ac:dyDescent="0.25">
      <c r="B582" s="850">
        <v>45638</v>
      </c>
      <c r="C582" s="851" t="s">
        <v>13</v>
      </c>
      <c r="D582" s="852" t="s">
        <v>18</v>
      </c>
      <c r="E582" s="853">
        <v>1167</v>
      </c>
      <c r="F582" s="853" t="s">
        <v>253</v>
      </c>
      <c r="G582" s="853" t="s">
        <v>253</v>
      </c>
      <c r="H582" s="853" t="s">
        <v>253</v>
      </c>
      <c r="I582" s="853" t="s">
        <v>253</v>
      </c>
      <c r="J582" s="853" t="s">
        <v>253</v>
      </c>
      <c r="K582" s="853" t="s">
        <v>253</v>
      </c>
      <c r="L582" s="854">
        <f t="shared" si="89"/>
        <v>1167</v>
      </c>
    </row>
    <row r="583" spans="1:12" x14ac:dyDescent="0.25">
      <c r="B583" s="850"/>
      <c r="C583" s="851"/>
      <c r="D583" s="852"/>
      <c r="E583" s="853" t="s">
        <v>253</v>
      </c>
      <c r="F583" s="853" t="s">
        <v>253</v>
      </c>
      <c r="G583" s="853" t="s">
        <v>253</v>
      </c>
      <c r="H583" s="853" t="s">
        <v>253</v>
      </c>
      <c r="I583" s="853" t="s">
        <v>253</v>
      </c>
      <c r="J583" s="853" t="s">
        <v>253</v>
      </c>
      <c r="K583" s="853" t="s">
        <v>253</v>
      </c>
      <c r="L583" s="854">
        <f t="shared" si="89"/>
        <v>0</v>
      </c>
    </row>
    <row r="584" spans="1:12" x14ac:dyDescent="0.25">
      <c r="B584" s="850"/>
      <c r="C584" s="851"/>
      <c r="D584" s="852"/>
      <c r="E584" s="853" t="s">
        <v>253</v>
      </c>
      <c r="F584" s="853" t="s">
        <v>253</v>
      </c>
      <c r="G584" s="853" t="s">
        <v>253</v>
      </c>
      <c r="H584" s="853" t="s">
        <v>253</v>
      </c>
      <c r="I584" s="853" t="s">
        <v>253</v>
      </c>
      <c r="J584" s="853" t="s">
        <v>253</v>
      </c>
      <c r="K584" s="853" t="s">
        <v>253</v>
      </c>
      <c r="L584" s="854">
        <f t="shared" si="89"/>
        <v>0</v>
      </c>
    </row>
    <row r="585" spans="1:12" x14ac:dyDescent="0.25">
      <c r="B585" s="850"/>
      <c r="C585" s="851"/>
      <c r="D585" s="852"/>
      <c r="E585" s="853" t="s">
        <v>253</v>
      </c>
      <c r="F585" s="853" t="s">
        <v>253</v>
      </c>
      <c r="G585" s="853" t="s">
        <v>253</v>
      </c>
      <c r="H585" s="853" t="s">
        <v>253</v>
      </c>
      <c r="I585" s="853" t="s">
        <v>253</v>
      </c>
      <c r="J585" s="853" t="s">
        <v>253</v>
      </c>
      <c r="K585" s="853" t="s">
        <v>253</v>
      </c>
      <c r="L585" s="854">
        <f t="shared" si="89"/>
        <v>0</v>
      </c>
    </row>
    <row r="586" spans="1:12" x14ac:dyDescent="0.25">
      <c r="B586" s="850"/>
      <c r="C586" s="851"/>
      <c r="D586" s="852"/>
      <c r="E586" s="853" t="s">
        <v>253</v>
      </c>
      <c r="F586" s="853" t="s">
        <v>253</v>
      </c>
      <c r="G586" s="853" t="s">
        <v>253</v>
      </c>
      <c r="H586" s="853" t="s">
        <v>253</v>
      </c>
      <c r="I586" s="853" t="s">
        <v>253</v>
      </c>
      <c r="J586" s="853" t="s">
        <v>253</v>
      </c>
      <c r="K586" s="853" t="s">
        <v>253</v>
      </c>
      <c r="L586" s="854">
        <f t="shared" si="89"/>
        <v>0</v>
      </c>
    </row>
    <row r="587" spans="1:12" x14ac:dyDescent="0.25">
      <c r="B587" s="850"/>
      <c r="C587" s="851"/>
      <c r="D587" s="852"/>
      <c r="E587" s="853" t="s">
        <v>253</v>
      </c>
      <c r="F587" s="853" t="s">
        <v>253</v>
      </c>
      <c r="G587" s="853" t="s">
        <v>253</v>
      </c>
      <c r="H587" s="853" t="s">
        <v>253</v>
      </c>
      <c r="I587" s="853" t="s">
        <v>253</v>
      </c>
      <c r="J587" s="853" t="s">
        <v>253</v>
      </c>
      <c r="K587" s="853" t="s">
        <v>253</v>
      </c>
      <c r="L587" s="854">
        <f t="shared" si="89"/>
        <v>0</v>
      </c>
    </row>
    <row r="588" spans="1:12" x14ac:dyDescent="0.25">
      <c r="B588" s="850"/>
      <c r="C588" s="851"/>
      <c r="D588" s="852"/>
      <c r="E588" s="853" t="s">
        <v>253</v>
      </c>
      <c r="F588" s="853" t="s">
        <v>253</v>
      </c>
      <c r="G588" s="853" t="s">
        <v>253</v>
      </c>
      <c r="H588" s="853" t="s">
        <v>253</v>
      </c>
      <c r="I588" s="853" t="s">
        <v>253</v>
      </c>
      <c r="J588" s="853" t="s">
        <v>253</v>
      </c>
      <c r="K588" s="853" t="s">
        <v>253</v>
      </c>
      <c r="L588" s="854">
        <f t="shared" si="89"/>
        <v>0</v>
      </c>
    </row>
    <row r="589" spans="1:12" ht="18.75" x14ac:dyDescent="0.25">
      <c r="A589" s="605" t="s">
        <v>254</v>
      </c>
      <c r="B589" s="1030" t="s">
        <v>255</v>
      </c>
      <c r="C589" s="1031"/>
      <c r="D589" s="855">
        <f>SUM(E589:K589)</f>
        <v>3542</v>
      </c>
      <c r="E589" s="854">
        <f t="shared" ref="E589:K589" si="90">SUM(E581:E588)</f>
        <v>3542</v>
      </c>
      <c r="F589" s="854">
        <f t="shared" si="90"/>
        <v>0</v>
      </c>
      <c r="G589" s="854">
        <f t="shared" si="90"/>
        <v>0</v>
      </c>
      <c r="H589" s="854">
        <f t="shared" si="90"/>
        <v>0</v>
      </c>
      <c r="I589" s="854">
        <f t="shared" si="90"/>
        <v>0</v>
      </c>
      <c r="J589" s="854">
        <f t="shared" si="90"/>
        <v>0</v>
      </c>
      <c r="K589" s="854">
        <f t="shared" si="90"/>
        <v>0</v>
      </c>
      <c r="L589" s="856">
        <f>SUM(E589:K589)-SUM(L581:L588)</f>
        <v>0</v>
      </c>
    </row>
    <row r="591" spans="1:12" ht="18.75" x14ac:dyDescent="0.3">
      <c r="B591" s="845" t="s">
        <v>246</v>
      </c>
      <c r="C591" s="1032" t="s">
        <v>599</v>
      </c>
      <c r="D591" s="1033"/>
      <c r="E591" s="1034" t="s">
        <v>637</v>
      </c>
      <c r="F591" s="1035"/>
      <c r="G591" s="1035"/>
      <c r="H591" s="1036"/>
      <c r="I591" s="846" t="s">
        <v>248</v>
      </c>
      <c r="J591" s="847">
        <f>+J579+1</f>
        <v>1202</v>
      </c>
      <c r="K591" s="848" t="s">
        <v>364</v>
      </c>
      <c r="L591" s="847">
        <v>221750</v>
      </c>
    </row>
    <row r="592" spans="1:12" x14ac:dyDescent="0.25">
      <c r="B592" s="849" t="s">
        <v>0</v>
      </c>
      <c r="C592" s="849" t="s">
        <v>249</v>
      </c>
      <c r="D592" s="849" t="s">
        <v>6</v>
      </c>
      <c r="E592" s="849" t="s">
        <v>250</v>
      </c>
      <c r="F592" s="849" t="s">
        <v>62</v>
      </c>
      <c r="G592" s="849" t="s">
        <v>63</v>
      </c>
      <c r="H592" s="849" t="s">
        <v>64</v>
      </c>
      <c r="I592" s="849" t="s">
        <v>251</v>
      </c>
      <c r="J592" s="849" t="s">
        <v>66</v>
      </c>
      <c r="K592" s="849" t="s">
        <v>68</v>
      </c>
      <c r="L592" s="849" t="s">
        <v>252</v>
      </c>
    </row>
    <row r="593" spans="1:12" x14ac:dyDescent="0.25">
      <c r="B593" s="850">
        <v>45638</v>
      </c>
      <c r="C593" s="851" t="s">
        <v>13</v>
      </c>
      <c r="D593" s="852" t="s">
        <v>18</v>
      </c>
      <c r="E593" s="853">
        <v>2375</v>
      </c>
      <c r="F593" s="853" t="s">
        <v>253</v>
      </c>
      <c r="G593" s="853" t="s">
        <v>253</v>
      </c>
      <c r="H593" s="853" t="s">
        <v>253</v>
      </c>
      <c r="I593" s="853" t="s">
        <v>253</v>
      </c>
      <c r="J593" s="853" t="s">
        <v>253</v>
      </c>
      <c r="K593" s="853" t="s">
        <v>253</v>
      </c>
      <c r="L593" s="854">
        <f t="shared" ref="L593:L600" si="91">SUM(E593:K593)</f>
        <v>2375</v>
      </c>
    </row>
    <row r="594" spans="1:12" x14ac:dyDescent="0.25">
      <c r="B594" s="850">
        <v>45638</v>
      </c>
      <c r="C594" s="851" t="s">
        <v>13</v>
      </c>
      <c r="D594" s="852" t="s">
        <v>18</v>
      </c>
      <c r="E594" s="853">
        <v>1167</v>
      </c>
      <c r="F594" s="853" t="s">
        <v>253</v>
      </c>
      <c r="G594" s="853" t="s">
        <v>253</v>
      </c>
      <c r="H594" s="853" t="s">
        <v>253</v>
      </c>
      <c r="I594" s="853" t="s">
        <v>253</v>
      </c>
      <c r="J594" s="853" t="s">
        <v>253</v>
      </c>
      <c r="K594" s="853" t="s">
        <v>253</v>
      </c>
      <c r="L594" s="854">
        <f t="shared" si="91"/>
        <v>1167</v>
      </c>
    </row>
    <row r="595" spans="1:12" x14ac:dyDescent="0.25">
      <c r="B595" s="850"/>
      <c r="C595" s="851"/>
      <c r="D595" s="852"/>
      <c r="E595" s="853" t="s">
        <v>253</v>
      </c>
      <c r="F595" s="853" t="s">
        <v>253</v>
      </c>
      <c r="G595" s="853" t="s">
        <v>253</v>
      </c>
      <c r="H595" s="853" t="s">
        <v>253</v>
      </c>
      <c r="I595" s="853" t="s">
        <v>253</v>
      </c>
      <c r="J595" s="853" t="s">
        <v>253</v>
      </c>
      <c r="K595" s="853" t="s">
        <v>253</v>
      </c>
      <c r="L595" s="854">
        <f t="shared" si="91"/>
        <v>0</v>
      </c>
    </row>
    <row r="596" spans="1:12" x14ac:dyDescent="0.25">
      <c r="B596" s="850"/>
      <c r="C596" s="851"/>
      <c r="D596" s="852"/>
      <c r="E596" s="853" t="s">
        <v>253</v>
      </c>
      <c r="F596" s="853" t="s">
        <v>253</v>
      </c>
      <c r="G596" s="853" t="s">
        <v>253</v>
      </c>
      <c r="H596" s="853" t="s">
        <v>253</v>
      </c>
      <c r="I596" s="853" t="s">
        <v>253</v>
      </c>
      <c r="J596" s="853" t="s">
        <v>253</v>
      </c>
      <c r="K596" s="853" t="s">
        <v>253</v>
      </c>
      <c r="L596" s="854">
        <f t="shared" si="91"/>
        <v>0</v>
      </c>
    </row>
    <row r="597" spans="1:12" x14ac:dyDescent="0.25">
      <c r="B597" s="850"/>
      <c r="C597" s="851"/>
      <c r="D597" s="852"/>
      <c r="E597" s="853" t="s">
        <v>253</v>
      </c>
      <c r="F597" s="853" t="s">
        <v>253</v>
      </c>
      <c r="G597" s="853" t="s">
        <v>253</v>
      </c>
      <c r="H597" s="853" t="s">
        <v>253</v>
      </c>
      <c r="I597" s="853" t="s">
        <v>253</v>
      </c>
      <c r="J597" s="853" t="s">
        <v>253</v>
      </c>
      <c r="K597" s="853" t="s">
        <v>253</v>
      </c>
      <c r="L597" s="854">
        <f t="shared" si="91"/>
        <v>0</v>
      </c>
    </row>
    <row r="598" spans="1:12" x14ac:dyDescent="0.25">
      <c r="B598" s="850"/>
      <c r="C598" s="851"/>
      <c r="D598" s="852"/>
      <c r="E598" s="853" t="s">
        <v>253</v>
      </c>
      <c r="F598" s="853" t="s">
        <v>253</v>
      </c>
      <c r="G598" s="853" t="s">
        <v>253</v>
      </c>
      <c r="H598" s="853" t="s">
        <v>253</v>
      </c>
      <c r="I598" s="853" t="s">
        <v>253</v>
      </c>
      <c r="J598" s="853" t="s">
        <v>253</v>
      </c>
      <c r="K598" s="853" t="s">
        <v>253</v>
      </c>
      <c r="L598" s="854">
        <f t="shared" si="91"/>
        <v>0</v>
      </c>
    </row>
    <row r="599" spans="1:12" x14ac:dyDescent="0.25">
      <c r="B599" s="850"/>
      <c r="C599" s="851"/>
      <c r="D599" s="852"/>
      <c r="E599" s="853" t="s">
        <v>253</v>
      </c>
      <c r="F599" s="853" t="s">
        <v>253</v>
      </c>
      <c r="G599" s="853" t="s">
        <v>253</v>
      </c>
      <c r="H599" s="853" t="s">
        <v>253</v>
      </c>
      <c r="I599" s="853" t="s">
        <v>253</v>
      </c>
      <c r="J599" s="853" t="s">
        <v>253</v>
      </c>
      <c r="K599" s="853" t="s">
        <v>253</v>
      </c>
      <c r="L599" s="854">
        <f t="shared" si="91"/>
        <v>0</v>
      </c>
    </row>
    <row r="600" spans="1:12" x14ac:dyDescent="0.25">
      <c r="B600" s="850"/>
      <c r="C600" s="851"/>
      <c r="D600" s="852"/>
      <c r="E600" s="853" t="s">
        <v>253</v>
      </c>
      <c r="F600" s="853" t="s">
        <v>253</v>
      </c>
      <c r="G600" s="853" t="s">
        <v>253</v>
      </c>
      <c r="H600" s="853" t="s">
        <v>253</v>
      </c>
      <c r="I600" s="853" t="s">
        <v>253</v>
      </c>
      <c r="J600" s="853" t="s">
        <v>253</v>
      </c>
      <c r="K600" s="853" t="s">
        <v>253</v>
      </c>
      <c r="L600" s="854">
        <f t="shared" si="91"/>
        <v>0</v>
      </c>
    </row>
    <row r="601" spans="1:12" ht="18.75" x14ac:dyDescent="0.25">
      <c r="A601" s="605" t="s">
        <v>254</v>
      </c>
      <c r="B601" s="1030" t="s">
        <v>255</v>
      </c>
      <c r="C601" s="1031"/>
      <c r="D601" s="855">
        <f>SUM(E601:K601)</f>
        <v>3542</v>
      </c>
      <c r="E601" s="854">
        <f t="shared" ref="E601:K601" si="92">SUM(E593:E600)</f>
        <v>3542</v>
      </c>
      <c r="F601" s="854">
        <f t="shared" si="92"/>
        <v>0</v>
      </c>
      <c r="G601" s="854">
        <f t="shared" si="92"/>
        <v>0</v>
      </c>
      <c r="H601" s="854">
        <f t="shared" si="92"/>
        <v>0</v>
      </c>
      <c r="I601" s="854">
        <f t="shared" si="92"/>
        <v>0</v>
      </c>
      <c r="J601" s="854">
        <f t="shared" si="92"/>
        <v>0</v>
      </c>
      <c r="K601" s="854">
        <f t="shared" si="92"/>
        <v>0</v>
      </c>
      <c r="L601" s="856">
        <f>SUM(E601:K601)-SUM(L593:L600)</f>
        <v>0</v>
      </c>
    </row>
    <row r="602" spans="1:12" ht="15.75" x14ac:dyDescent="0.25">
      <c r="D602" s="608">
        <f>+D601+D589+D577+D565+D553+D541+D529+D517</f>
        <v>162077</v>
      </c>
    </row>
    <row r="603" spans="1:12" ht="15.75" x14ac:dyDescent="0.25">
      <c r="D603" s="776"/>
    </row>
    <row r="604" spans="1:12" ht="18.75" x14ac:dyDescent="0.3">
      <c r="B604" s="845" t="s">
        <v>246</v>
      </c>
      <c r="C604" s="1032" t="s">
        <v>127</v>
      </c>
      <c r="D604" s="1033"/>
      <c r="E604" s="1034" t="s">
        <v>637</v>
      </c>
      <c r="F604" s="1035"/>
      <c r="G604" s="1035"/>
      <c r="H604" s="1036"/>
      <c r="I604" s="846" t="s">
        <v>248</v>
      </c>
      <c r="J604" s="847">
        <f>+J591+1</f>
        <v>1203</v>
      </c>
      <c r="K604" s="848" t="s">
        <v>364</v>
      </c>
      <c r="L604" s="847">
        <v>221751</v>
      </c>
    </row>
    <row r="605" spans="1:12" x14ac:dyDescent="0.25">
      <c r="B605" s="849" t="s">
        <v>0</v>
      </c>
      <c r="C605" s="849" t="s">
        <v>249</v>
      </c>
      <c r="D605" s="849" t="s">
        <v>6</v>
      </c>
      <c r="E605" s="849" t="s">
        <v>250</v>
      </c>
      <c r="F605" s="849" t="s">
        <v>62</v>
      </c>
      <c r="G605" s="849" t="s">
        <v>63</v>
      </c>
      <c r="H605" s="849" t="s">
        <v>64</v>
      </c>
      <c r="I605" s="849" t="s">
        <v>251</v>
      </c>
      <c r="J605" s="849" t="s">
        <v>66</v>
      </c>
      <c r="K605" s="849" t="s">
        <v>68</v>
      </c>
      <c r="L605" s="849" t="s">
        <v>252</v>
      </c>
    </row>
    <row r="606" spans="1:12" x14ac:dyDescent="0.25">
      <c r="B606" s="850">
        <v>45653</v>
      </c>
      <c r="C606" s="851" t="s">
        <v>554</v>
      </c>
      <c r="D606" s="852" t="s">
        <v>18</v>
      </c>
      <c r="E606" s="853">
        <v>6833</v>
      </c>
      <c r="F606" s="853" t="s">
        <v>253</v>
      </c>
      <c r="G606" s="853" t="s">
        <v>253</v>
      </c>
      <c r="H606" s="853" t="s">
        <v>253</v>
      </c>
      <c r="I606" s="853" t="s">
        <v>253</v>
      </c>
      <c r="J606" s="853" t="s">
        <v>253</v>
      </c>
      <c r="K606" s="853" t="s">
        <v>253</v>
      </c>
      <c r="L606" s="854">
        <f t="shared" ref="L606:L613" si="93">SUM(E606:K606)</f>
        <v>6833</v>
      </c>
    </row>
    <row r="607" spans="1:12" x14ac:dyDescent="0.25">
      <c r="B607" s="850">
        <v>45701</v>
      </c>
      <c r="C607" s="851" t="s">
        <v>554</v>
      </c>
      <c r="D607" s="852" t="s">
        <v>18</v>
      </c>
      <c r="E607" s="853">
        <v>5000</v>
      </c>
      <c r="F607" s="853" t="s">
        <v>253</v>
      </c>
      <c r="G607" s="853" t="s">
        <v>253</v>
      </c>
      <c r="H607" s="853" t="s">
        <v>253</v>
      </c>
      <c r="I607" s="853" t="s">
        <v>253</v>
      </c>
      <c r="J607" s="853" t="s">
        <v>253</v>
      </c>
      <c r="K607" s="853" t="s">
        <v>253</v>
      </c>
      <c r="L607" s="854">
        <f t="shared" si="93"/>
        <v>5000</v>
      </c>
    </row>
    <row r="608" spans="1:12" x14ac:dyDescent="0.25">
      <c r="B608" s="850"/>
      <c r="C608" s="851"/>
      <c r="D608" s="852"/>
      <c r="E608" s="853" t="s">
        <v>253</v>
      </c>
      <c r="F608" s="853" t="s">
        <v>253</v>
      </c>
      <c r="G608" s="853" t="s">
        <v>253</v>
      </c>
      <c r="H608" s="853" t="s">
        <v>253</v>
      </c>
      <c r="I608" s="853" t="s">
        <v>253</v>
      </c>
      <c r="J608" s="853" t="s">
        <v>253</v>
      </c>
      <c r="K608" s="853" t="s">
        <v>253</v>
      </c>
      <c r="L608" s="854">
        <f t="shared" si="93"/>
        <v>0</v>
      </c>
    </row>
    <row r="609" spans="1:12" x14ac:dyDescent="0.25">
      <c r="B609" s="850"/>
      <c r="C609" s="851"/>
      <c r="D609" s="852"/>
      <c r="E609" s="853" t="s">
        <v>253</v>
      </c>
      <c r="F609" s="853" t="s">
        <v>253</v>
      </c>
      <c r="G609" s="853" t="s">
        <v>253</v>
      </c>
      <c r="H609" s="853" t="s">
        <v>253</v>
      </c>
      <c r="I609" s="853" t="s">
        <v>253</v>
      </c>
      <c r="J609" s="853" t="s">
        <v>253</v>
      </c>
      <c r="K609" s="853" t="s">
        <v>253</v>
      </c>
      <c r="L609" s="854">
        <f t="shared" si="93"/>
        <v>0</v>
      </c>
    </row>
    <row r="610" spans="1:12" x14ac:dyDescent="0.25">
      <c r="B610" s="850"/>
      <c r="C610" s="851"/>
      <c r="D610" s="852"/>
      <c r="E610" s="853" t="s">
        <v>253</v>
      </c>
      <c r="F610" s="853" t="s">
        <v>253</v>
      </c>
      <c r="G610" s="853" t="s">
        <v>253</v>
      </c>
      <c r="H610" s="853" t="s">
        <v>253</v>
      </c>
      <c r="I610" s="853" t="s">
        <v>253</v>
      </c>
      <c r="J610" s="853" t="s">
        <v>253</v>
      </c>
      <c r="K610" s="853" t="s">
        <v>253</v>
      </c>
      <c r="L610" s="854">
        <f t="shared" si="93"/>
        <v>0</v>
      </c>
    </row>
    <row r="611" spans="1:12" x14ac:dyDescent="0.25">
      <c r="B611" s="850"/>
      <c r="C611" s="851"/>
      <c r="D611" s="852"/>
      <c r="E611" s="853" t="s">
        <v>253</v>
      </c>
      <c r="F611" s="853" t="s">
        <v>253</v>
      </c>
      <c r="G611" s="853" t="s">
        <v>253</v>
      </c>
      <c r="H611" s="853" t="s">
        <v>253</v>
      </c>
      <c r="I611" s="853" t="s">
        <v>253</v>
      </c>
      <c r="J611" s="853" t="s">
        <v>253</v>
      </c>
      <c r="K611" s="853" t="s">
        <v>253</v>
      </c>
      <c r="L611" s="854">
        <f t="shared" si="93"/>
        <v>0</v>
      </c>
    </row>
    <row r="612" spans="1:12" x14ac:dyDescent="0.25">
      <c r="B612" s="850"/>
      <c r="C612" s="851"/>
      <c r="D612" s="852"/>
      <c r="E612" s="853" t="s">
        <v>253</v>
      </c>
      <c r="F612" s="853" t="s">
        <v>253</v>
      </c>
      <c r="G612" s="853" t="s">
        <v>253</v>
      </c>
      <c r="H612" s="853" t="s">
        <v>253</v>
      </c>
      <c r="I612" s="853" t="s">
        <v>253</v>
      </c>
      <c r="J612" s="853" t="s">
        <v>253</v>
      </c>
      <c r="K612" s="853" t="s">
        <v>253</v>
      </c>
      <c r="L612" s="854">
        <f t="shared" si="93"/>
        <v>0</v>
      </c>
    </row>
    <row r="613" spans="1:12" x14ac:dyDescent="0.25">
      <c r="B613" s="850"/>
      <c r="C613" s="851"/>
      <c r="D613" s="852"/>
      <c r="E613" s="853" t="s">
        <v>253</v>
      </c>
      <c r="F613" s="853" t="s">
        <v>253</v>
      </c>
      <c r="G613" s="853" t="s">
        <v>253</v>
      </c>
      <c r="H613" s="853" t="s">
        <v>253</v>
      </c>
      <c r="I613" s="853" t="s">
        <v>253</v>
      </c>
      <c r="J613" s="853" t="s">
        <v>253</v>
      </c>
      <c r="K613" s="853" t="s">
        <v>253</v>
      </c>
      <c r="L613" s="854">
        <f t="shared" si="93"/>
        <v>0</v>
      </c>
    </row>
    <row r="614" spans="1:12" ht="18.75" x14ac:dyDescent="0.25">
      <c r="A614" s="605" t="s">
        <v>254</v>
      </c>
      <c r="B614" s="1030" t="s">
        <v>255</v>
      </c>
      <c r="C614" s="1031"/>
      <c r="D614" s="855">
        <f>SUM(E614:K614)</f>
        <v>11833</v>
      </c>
      <c r="E614" s="854">
        <f t="shared" ref="E614:K614" si="94">SUM(E606:E613)</f>
        <v>11833</v>
      </c>
      <c r="F614" s="854">
        <f t="shared" si="94"/>
        <v>0</v>
      </c>
      <c r="G614" s="854">
        <f t="shared" si="94"/>
        <v>0</v>
      </c>
      <c r="H614" s="854">
        <f t="shared" si="94"/>
        <v>0</v>
      </c>
      <c r="I614" s="854">
        <f t="shared" si="94"/>
        <v>0</v>
      </c>
      <c r="J614" s="854">
        <f t="shared" si="94"/>
        <v>0</v>
      </c>
      <c r="K614" s="854">
        <f t="shared" si="94"/>
        <v>0</v>
      </c>
      <c r="L614" s="856">
        <f>SUM(E614:K614)-SUM(L606:L613)</f>
        <v>0</v>
      </c>
    </row>
    <row r="615" spans="1:12" ht="15.75" x14ac:dyDescent="0.25">
      <c r="D615" s="776"/>
    </row>
    <row r="616" spans="1:12" ht="18.75" x14ac:dyDescent="0.3">
      <c r="B616" s="845" t="s">
        <v>246</v>
      </c>
      <c r="C616" s="1032" t="s">
        <v>128</v>
      </c>
      <c r="D616" s="1033"/>
      <c r="E616" s="1034" t="s">
        <v>637</v>
      </c>
      <c r="F616" s="1035"/>
      <c r="G616" s="1035"/>
      <c r="H616" s="1036"/>
      <c r="I616" s="846" t="s">
        <v>248</v>
      </c>
      <c r="J616" s="847">
        <f>+J604+1</f>
        <v>1204</v>
      </c>
      <c r="K616" s="848" t="s">
        <v>364</v>
      </c>
      <c r="L616" s="847">
        <v>221751</v>
      </c>
    </row>
    <row r="617" spans="1:12" x14ac:dyDescent="0.25">
      <c r="B617" s="849" t="s">
        <v>0</v>
      </c>
      <c r="C617" s="849" t="s">
        <v>249</v>
      </c>
      <c r="D617" s="849" t="s">
        <v>6</v>
      </c>
      <c r="E617" s="849" t="s">
        <v>250</v>
      </c>
      <c r="F617" s="849" t="s">
        <v>62</v>
      </c>
      <c r="G617" s="849" t="s">
        <v>63</v>
      </c>
      <c r="H617" s="849" t="s">
        <v>64</v>
      </c>
      <c r="I617" s="849" t="s">
        <v>251</v>
      </c>
      <c r="J617" s="849" t="s">
        <v>66</v>
      </c>
      <c r="K617" s="849" t="s">
        <v>68</v>
      </c>
      <c r="L617" s="849" t="s">
        <v>252</v>
      </c>
    </row>
    <row r="618" spans="1:12" x14ac:dyDescent="0.25">
      <c r="B618" s="850">
        <v>45701</v>
      </c>
      <c r="C618" s="851" t="s">
        <v>554</v>
      </c>
      <c r="D618" s="852" t="s">
        <v>18</v>
      </c>
      <c r="E618" s="853">
        <v>5000</v>
      </c>
      <c r="F618" s="853" t="s">
        <v>253</v>
      </c>
      <c r="G618" s="853" t="s">
        <v>253</v>
      </c>
      <c r="H618" s="853" t="s">
        <v>253</v>
      </c>
      <c r="I618" s="853" t="s">
        <v>253</v>
      </c>
      <c r="J618" s="853" t="s">
        <v>253</v>
      </c>
      <c r="K618" s="853">
        <v>0</v>
      </c>
      <c r="L618" s="854">
        <f t="shared" ref="L618:L625" si="95">SUM(E618:K618)</f>
        <v>5000</v>
      </c>
    </row>
    <row r="619" spans="1:12" x14ac:dyDescent="0.25">
      <c r="B619" s="850"/>
      <c r="C619" s="851" t="s">
        <v>124</v>
      </c>
      <c r="D619" s="852" t="s">
        <v>749</v>
      </c>
      <c r="E619" s="853" t="s">
        <v>253</v>
      </c>
      <c r="F619" s="853" t="s">
        <v>253</v>
      </c>
      <c r="G619" s="853" t="s">
        <v>253</v>
      </c>
      <c r="H619" s="853" t="s">
        <v>253</v>
      </c>
      <c r="I619" s="853" t="s">
        <v>253</v>
      </c>
      <c r="J619" s="853" t="s">
        <v>253</v>
      </c>
      <c r="K619" s="853">
        <v>80000</v>
      </c>
      <c r="L619" s="854">
        <f t="shared" si="95"/>
        <v>80000</v>
      </c>
    </row>
    <row r="620" spans="1:12" x14ac:dyDescent="0.25">
      <c r="B620" s="850"/>
      <c r="C620" s="851"/>
      <c r="D620" s="852" t="s">
        <v>755</v>
      </c>
      <c r="E620" s="853" t="s">
        <v>253</v>
      </c>
      <c r="F620" s="853" t="s">
        <v>253</v>
      </c>
      <c r="G620" s="853" t="s">
        <v>253</v>
      </c>
      <c r="H620" s="853" t="s">
        <v>253</v>
      </c>
      <c r="I620" s="853" t="s">
        <v>253</v>
      </c>
      <c r="J620" s="853" t="s">
        <v>253</v>
      </c>
      <c r="K620" s="853">
        <v>162520</v>
      </c>
      <c r="L620" s="854">
        <f t="shared" si="95"/>
        <v>162520</v>
      </c>
    </row>
    <row r="621" spans="1:12" x14ac:dyDescent="0.25">
      <c r="B621" s="850"/>
      <c r="C621" s="851"/>
      <c r="D621" s="852"/>
      <c r="E621" s="853" t="s">
        <v>253</v>
      </c>
      <c r="F621" s="853" t="s">
        <v>253</v>
      </c>
      <c r="G621" s="853" t="s">
        <v>253</v>
      </c>
      <c r="H621" s="853" t="s">
        <v>253</v>
      </c>
      <c r="I621" s="853" t="s">
        <v>253</v>
      </c>
      <c r="J621" s="853" t="s">
        <v>253</v>
      </c>
      <c r="K621" s="853" t="s">
        <v>253</v>
      </c>
      <c r="L621" s="854">
        <f t="shared" si="95"/>
        <v>0</v>
      </c>
    </row>
    <row r="622" spans="1:12" x14ac:dyDescent="0.25">
      <c r="B622" s="850"/>
      <c r="C622" s="851"/>
      <c r="D622" s="852"/>
      <c r="E622" s="853" t="s">
        <v>253</v>
      </c>
      <c r="F622" s="853" t="s">
        <v>253</v>
      </c>
      <c r="G622" s="853" t="s">
        <v>253</v>
      </c>
      <c r="H622" s="853" t="s">
        <v>253</v>
      </c>
      <c r="I622" s="853" t="s">
        <v>253</v>
      </c>
      <c r="J622" s="853" t="s">
        <v>253</v>
      </c>
      <c r="K622" s="853" t="s">
        <v>253</v>
      </c>
      <c r="L622" s="854">
        <f t="shared" si="95"/>
        <v>0</v>
      </c>
    </row>
    <row r="623" spans="1:12" x14ac:dyDescent="0.25">
      <c r="B623" s="850"/>
      <c r="C623" s="851"/>
      <c r="D623" s="852"/>
      <c r="E623" s="853" t="s">
        <v>253</v>
      </c>
      <c r="F623" s="853" t="s">
        <v>253</v>
      </c>
      <c r="G623" s="853" t="s">
        <v>253</v>
      </c>
      <c r="H623" s="853" t="s">
        <v>253</v>
      </c>
      <c r="I623" s="853" t="s">
        <v>253</v>
      </c>
      <c r="J623" s="853" t="s">
        <v>253</v>
      </c>
      <c r="K623" s="853" t="s">
        <v>253</v>
      </c>
      <c r="L623" s="854">
        <f t="shared" si="95"/>
        <v>0</v>
      </c>
    </row>
    <row r="624" spans="1:12" x14ac:dyDescent="0.25">
      <c r="B624" s="850"/>
      <c r="C624" s="851"/>
      <c r="D624" s="852"/>
      <c r="E624" s="853" t="s">
        <v>253</v>
      </c>
      <c r="F624" s="853" t="s">
        <v>253</v>
      </c>
      <c r="G624" s="853" t="s">
        <v>253</v>
      </c>
      <c r="H624" s="853" t="s">
        <v>253</v>
      </c>
      <c r="I624" s="853" t="s">
        <v>253</v>
      </c>
      <c r="J624" s="853" t="s">
        <v>253</v>
      </c>
      <c r="K624" s="853" t="s">
        <v>253</v>
      </c>
      <c r="L624" s="854">
        <f t="shared" si="95"/>
        <v>0</v>
      </c>
    </row>
    <row r="625" spans="1:12" x14ac:dyDescent="0.25">
      <c r="B625" s="850"/>
      <c r="C625" s="851"/>
      <c r="D625" s="852"/>
      <c r="E625" s="853" t="s">
        <v>253</v>
      </c>
      <c r="F625" s="853" t="s">
        <v>253</v>
      </c>
      <c r="G625" s="853" t="s">
        <v>253</v>
      </c>
      <c r="H625" s="853" t="s">
        <v>253</v>
      </c>
      <c r="I625" s="853" t="s">
        <v>253</v>
      </c>
      <c r="J625" s="853" t="s">
        <v>253</v>
      </c>
      <c r="K625" s="853" t="s">
        <v>253</v>
      </c>
      <c r="L625" s="854">
        <f t="shared" si="95"/>
        <v>0</v>
      </c>
    </row>
    <row r="626" spans="1:12" ht="18.75" x14ac:dyDescent="0.25">
      <c r="A626" s="605" t="s">
        <v>254</v>
      </c>
      <c r="B626" s="1030" t="s">
        <v>255</v>
      </c>
      <c r="C626" s="1031"/>
      <c r="D626" s="855">
        <f>SUM(E626:K626)</f>
        <v>247520</v>
      </c>
      <c r="E626" s="854">
        <f t="shared" ref="E626:K626" si="96">SUM(E618:E625)</f>
        <v>5000</v>
      </c>
      <c r="F626" s="854">
        <f t="shared" si="96"/>
        <v>0</v>
      </c>
      <c r="G626" s="854">
        <f t="shared" si="96"/>
        <v>0</v>
      </c>
      <c r="H626" s="854">
        <f t="shared" si="96"/>
        <v>0</v>
      </c>
      <c r="I626" s="854">
        <f t="shared" si="96"/>
        <v>0</v>
      </c>
      <c r="J626" s="854">
        <f t="shared" si="96"/>
        <v>0</v>
      </c>
      <c r="K626" s="854">
        <f t="shared" si="96"/>
        <v>242520</v>
      </c>
      <c r="L626" s="856">
        <f>SUM(E626:K626)-SUM(L618:L625)</f>
        <v>0</v>
      </c>
    </row>
    <row r="627" spans="1:12" ht="15.75" x14ac:dyDescent="0.25">
      <c r="D627" s="776"/>
    </row>
    <row r="628" spans="1:12" ht="18.75" x14ac:dyDescent="0.3">
      <c r="B628" s="845" t="s">
        <v>246</v>
      </c>
      <c r="C628" s="1032" t="s">
        <v>232</v>
      </c>
      <c r="D628" s="1033"/>
      <c r="E628" s="1034" t="s">
        <v>637</v>
      </c>
      <c r="F628" s="1035"/>
      <c r="G628" s="1035"/>
      <c r="H628" s="1036"/>
      <c r="I628" s="846" t="s">
        <v>248</v>
      </c>
      <c r="J628" s="847">
        <f>+J616+1</f>
        <v>1205</v>
      </c>
      <c r="K628" s="848" t="s">
        <v>364</v>
      </c>
      <c r="L628" s="847">
        <v>221751</v>
      </c>
    </row>
    <row r="629" spans="1:12" x14ac:dyDescent="0.25">
      <c r="B629" s="849" t="s">
        <v>0</v>
      </c>
      <c r="C629" s="849" t="s">
        <v>249</v>
      </c>
      <c r="D629" s="849" t="s">
        <v>6</v>
      </c>
      <c r="E629" s="849" t="s">
        <v>250</v>
      </c>
      <c r="F629" s="849" t="s">
        <v>62</v>
      </c>
      <c r="G629" s="849" t="s">
        <v>63</v>
      </c>
      <c r="H629" s="849" t="s">
        <v>64</v>
      </c>
      <c r="I629" s="849" t="s">
        <v>251</v>
      </c>
      <c r="J629" s="849" t="s">
        <v>66</v>
      </c>
      <c r="K629" s="849" t="s">
        <v>68</v>
      </c>
      <c r="L629" s="849" t="s">
        <v>252</v>
      </c>
    </row>
    <row r="630" spans="1:12" x14ac:dyDescent="0.25">
      <c r="B630" s="850">
        <v>45653</v>
      </c>
      <c r="C630" s="851" t="s">
        <v>554</v>
      </c>
      <c r="D630" s="852" t="s">
        <v>18</v>
      </c>
      <c r="E630" s="853">
        <v>6833</v>
      </c>
      <c r="F630" s="853" t="s">
        <v>253</v>
      </c>
      <c r="G630" s="853" t="s">
        <v>253</v>
      </c>
      <c r="H630" s="853" t="s">
        <v>253</v>
      </c>
      <c r="I630" s="853" t="s">
        <v>253</v>
      </c>
      <c r="J630" s="853" t="s">
        <v>253</v>
      </c>
      <c r="K630" s="853" t="s">
        <v>253</v>
      </c>
      <c r="L630" s="854">
        <f t="shared" ref="L630:L637" si="97">SUM(E630:K630)</f>
        <v>6833</v>
      </c>
    </row>
    <row r="631" spans="1:12" x14ac:dyDescent="0.25">
      <c r="B631" s="850">
        <v>45701</v>
      </c>
      <c r="C631" s="851" t="s">
        <v>554</v>
      </c>
      <c r="D631" s="852" t="s">
        <v>18</v>
      </c>
      <c r="E631" s="853">
        <v>5000</v>
      </c>
      <c r="F631" s="853" t="s">
        <v>253</v>
      </c>
      <c r="G631" s="853" t="s">
        <v>253</v>
      </c>
      <c r="H631" s="853" t="s">
        <v>253</v>
      </c>
      <c r="I631" s="853" t="s">
        <v>253</v>
      </c>
      <c r="J631" s="853" t="s">
        <v>253</v>
      </c>
      <c r="K631" s="853" t="s">
        <v>253</v>
      </c>
      <c r="L631" s="854">
        <f t="shared" si="97"/>
        <v>5000</v>
      </c>
    </row>
    <row r="632" spans="1:12" x14ac:dyDescent="0.25">
      <c r="B632" s="850"/>
      <c r="C632" s="851"/>
      <c r="D632" s="852"/>
      <c r="E632" s="853" t="s">
        <v>253</v>
      </c>
      <c r="F632" s="853" t="s">
        <v>253</v>
      </c>
      <c r="G632" s="853" t="s">
        <v>253</v>
      </c>
      <c r="H632" s="853" t="s">
        <v>253</v>
      </c>
      <c r="I632" s="853" t="s">
        <v>253</v>
      </c>
      <c r="J632" s="853" t="s">
        <v>253</v>
      </c>
      <c r="K632" s="853" t="s">
        <v>253</v>
      </c>
      <c r="L632" s="854">
        <f t="shared" si="97"/>
        <v>0</v>
      </c>
    </row>
    <row r="633" spans="1:12" x14ac:dyDescent="0.25">
      <c r="B633" s="850"/>
      <c r="C633" s="851"/>
      <c r="D633" s="852"/>
      <c r="E633" s="853" t="s">
        <v>253</v>
      </c>
      <c r="F633" s="853" t="s">
        <v>253</v>
      </c>
      <c r="G633" s="853" t="s">
        <v>253</v>
      </c>
      <c r="H633" s="853" t="s">
        <v>253</v>
      </c>
      <c r="I633" s="853" t="s">
        <v>253</v>
      </c>
      <c r="J633" s="853" t="s">
        <v>253</v>
      </c>
      <c r="K633" s="853" t="s">
        <v>253</v>
      </c>
      <c r="L633" s="854">
        <f t="shared" si="97"/>
        <v>0</v>
      </c>
    </row>
    <row r="634" spans="1:12" x14ac:dyDescent="0.25">
      <c r="B634" s="850"/>
      <c r="C634" s="851"/>
      <c r="D634" s="852"/>
      <c r="E634" s="853" t="s">
        <v>253</v>
      </c>
      <c r="F634" s="853" t="s">
        <v>253</v>
      </c>
      <c r="G634" s="853" t="s">
        <v>253</v>
      </c>
      <c r="H634" s="853" t="s">
        <v>253</v>
      </c>
      <c r="I634" s="853" t="s">
        <v>253</v>
      </c>
      <c r="J634" s="853" t="s">
        <v>253</v>
      </c>
      <c r="K634" s="853" t="s">
        <v>253</v>
      </c>
      <c r="L634" s="854">
        <f t="shared" si="97"/>
        <v>0</v>
      </c>
    </row>
    <row r="635" spans="1:12" x14ac:dyDescent="0.25">
      <c r="B635" s="850"/>
      <c r="C635" s="851"/>
      <c r="D635" s="852"/>
      <c r="E635" s="853" t="s">
        <v>253</v>
      </c>
      <c r="F635" s="853" t="s">
        <v>253</v>
      </c>
      <c r="G635" s="853" t="s">
        <v>253</v>
      </c>
      <c r="H635" s="853" t="s">
        <v>253</v>
      </c>
      <c r="I635" s="853" t="s">
        <v>253</v>
      </c>
      <c r="J635" s="853" t="s">
        <v>253</v>
      </c>
      <c r="K635" s="853" t="s">
        <v>253</v>
      </c>
      <c r="L635" s="854">
        <f t="shared" si="97"/>
        <v>0</v>
      </c>
    </row>
    <row r="636" spans="1:12" x14ac:dyDescent="0.25">
      <c r="B636" s="850"/>
      <c r="C636" s="851"/>
      <c r="D636" s="852"/>
      <c r="E636" s="853" t="s">
        <v>253</v>
      </c>
      <c r="F636" s="853" t="s">
        <v>253</v>
      </c>
      <c r="G636" s="853" t="s">
        <v>253</v>
      </c>
      <c r="H636" s="853" t="s">
        <v>253</v>
      </c>
      <c r="I636" s="853" t="s">
        <v>253</v>
      </c>
      <c r="J636" s="853" t="s">
        <v>253</v>
      </c>
      <c r="K636" s="853" t="s">
        <v>253</v>
      </c>
      <c r="L636" s="854">
        <f t="shared" si="97"/>
        <v>0</v>
      </c>
    </row>
    <row r="637" spans="1:12" x14ac:dyDescent="0.25">
      <c r="B637" s="850"/>
      <c r="C637" s="851"/>
      <c r="D637" s="852"/>
      <c r="E637" s="853" t="s">
        <v>253</v>
      </c>
      <c r="F637" s="853" t="s">
        <v>253</v>
      </c>
      <c r="G637" s="853" t="s">
        <v>253</v>
      </c>
      <c r="H637" s="853" t="s">
        <v>253</v>
      </c>
      <c r="I637" s="853" t="s">
        <v>253</v>
      </c>
      <c r="J637" s="853" t="s">
        <v>253</v>
      </c>
      <c r="K637" s="853" t="s">
        <v>253</v>
      </c>
      <c r="L637" s="854">
        <f t="shared" si="97"/>
        <v>0</v>
      </c>
    </row>
    <row r="638" spans="1:12" ht="18.75" x14ac:dyDescent="0.25">
      <c r="A638" s="605" t="s">
        <v>254</v>
      </c>
      <c r="B638" s="1030" t="s">
        <v>255</v>
      </c>
      <c r="C638" s="1031"/>
      <c r="D638" s="855">
        <f>SUM(E638:K638)</f>
        <v>11833</v>
      </c>
      <c r="E638" s="854">
        <f t="shared" ref="E638:K638" si="98">SUM(E630:E637)</f>
        <v>11833</v>
      </c>
      <c r="F638" s="854">
        <f t="shared" si="98"/>
        <v>0</v>
      </c>
      <c r="G638" s="854">
        <f t="shared" si="98"/>
        <v>0</v>
      </c>
      <c r="H638" s="854">
        <f t="shared" si="98"/>
        <v>0</v>
      </c>
      <c r="I638" s="854">
        <f t="shared" si="98"/>
        <v>0</v>
      </c>
      <c r="J638" s="854">
        <f t="shared" si="98"/>
        <v>0</v>
      </c>
      <c r="K638" s="854">
        <f t="shared" si="98"/>
        <v>0</v>
      </c>
      <c r="L638" s="856">
        <f>SUM(E638:K638)-SUM(L630:L637)</f>
        <v>0</v>
      </c>
    </row>
    <row r="639" spans="1:12" ht="15.75" x14ac:dyDescent="0.25">
      <c r="D639" s="776"/>
    </row>
    <row r="640" spans="1:12" ht="18.75" x14ac:dyDescent="0.3">
      <c r="B640" s="845" t="s">
        <v>246</v>
      </c>
      <c r="C640" s="1032" t="s">
        <v>176</v>
      </c>
      <c r="D640" s="1033"/>
      <c r="E640" s="1034" t="s">
        <v>637</v>
      </c>
      <c r="F640" s="1035"/>
      <c r="G640" s="1035"/>
      <c r="H640" s="1036"/>
      <c r="I640" s="846" t="s">
        <v>248</v>
      </c>
      <c r="J640" s="847">
        <f>+J628+1</f>
        <v>1206</v>
      </c>
      <c r="K640" s="848" t="s">
        <v>364</v>
      </c>
      <c r="L640" s="847">
        <v>221751</v>
      </c>
    </row>
    <row r="641" spans="1:12" x14ac:dyDescent="0.25">
      <c r="B641" s="849" t="s">
        <v>0</v>
      </c>
      <c r="C641" s="849" t="s">
        <v>249</v>
      </c>
      <c r="D641" s="849" t="s">
        <v>6</v>
      </c>
      <c r="E641" s="849" t="s">
        <v>250</v>
      </c>
      <c r="F641" s="849" t="s">
        <v>62</v>
      </c>
      <c r="G641" s="849" t="s">
        <v>63</v>
      </c>
      <c r="H641" s="849" t="s">
        <v>64</v>
      </c>
      <c r="I641" s="849" t="s">
        <v>251</v>
      </c>
      <c r="J641" s="849" t="s">
        <v>66</v>
      </c>
      <c r="K641" s="849" t="s">
        <v>68</v>
      </c>
      <c r="L641" s="849" t="s">
        <v>252</v>
      </c>
    </row>
    <row r="642" spans="1:12" x14ac:dyDescent="0.25">
      <c r="B642" s="850">
        <v>45653</v>
      </c>
      <c r="C642" s="851" t="s">
        <v>554</v>
      </c>
      <c r="D642" s="852" t="s">
        <v>18</v>
      </c>
      <c r="E642" s="853">
        <v>6833</v>
      </c>
      <c r="F642" s="853" t="s">
        <v>253</v>
      </c>
      <c r="G642" s="853" t="s">
        <v>253</v>
      </c>
      <c r="H642" s="853" t="s">
        <v>253</v>
      </c>
      <c r="I642" s="853" t="s">
        <v>253</v>
      </c>
      <c r="J642" s="853" t="s">
        <v>253</v>
      </c>
      <c r="K642" s="853" t="s">
        <v>253</v>
      </c>
      <c r="L642" s="854">
        <f t="shared" ref="L642:L649" si="99">SUM(E642:K642)</f>
        <v>6833</v>
      </c>
    </row>
    <row r="643" spans="1:12" x14ac:dyDescent="0.25">
      <c r="B643" s="850">
        <v>45701</v>
      </c>
      <c r="C643" s="851" t="s">
        <v>554</v>
      </c>
      <c r="D643" s="852" t="s">
        <v>18</v>
      </c>
      <c r="E643" s="853">
        <v>5000</v>
      </c>
      <c r="F643" s="853" t="s">
        <v>253</v>
      </c>
      <c r="G643" s="853" t="s">
        <v>253</v>
      </c>
      <c r="H643" s="853" t="s">
        <v>253</v>
      </c>
      <c r="I643" s="853" t="s">
        <v>253</v>
      </c>
      <c r="J643" s="853" t="s">
        <v>253</v>
      </c>
      <c r="K643" s="853" t="s">
        <v>253</v>
      </c>
      <c r="L643" s="854">
        <f t="shared" si="99"/>
        <v>5000</v>
      </c>
    </row>
    <row r="644" spans="1:12" x14ac:dyDescent="0.25">
      <c r="B644" s="850"/>
      <c r="C644" s="851" t="s">
        <v>554</v>
      </c>
      <c r="D644" s="852" t="s">
        <v>750</v>
      </c>
      <c r="E644" s="853" t="s">
        <v>253</v>
      </c>
      <c r="F644" s="853" t="s">
        <v>253</v>
      </c>
      <c r="G644" s="853" t="s">
        <v>253</v>
      </c>
      <c r="H644" s="853" t="s">
        <v>253</v>
      </c>
      <c r="I644" s="853" t="s">
        <v>253</v>
      </c>
      <c r="J644" s="853" t="s">
        <v>253</v>
      </c>
      <c r="K644" s="853">
        <v>29419</v>
      </c>
      <c r="L644" s="854">
        <f t="shared" si="99"/>
        <v>29419</v>
      </c>
    </row>
    <row r="645" spans="1:12" x14ac:dyDescent="0.25">
      <c r="B645" s="850"/>
      <c r="C645" s="851"/>
      <c r="D645" s="852"/>
      <c r="E645" s="853" t="s">
        <v>253</v>
      </c>
      <c r="F645" s="853" t="s">
        <v>253</v>
      </c>
      <c r="G645" s="853" t="s">
        <v>253</v>
      </c>
      <c r="H645" s="853" t="s">
        <v>253</v>
      </c>
      <c r="I645" s="853" t="s">
        <v>253</v>
      </c>
      <c r="J645" s="853" t="s">
        <v>253</v>
      </c>
      <c r="K645" s="853" t="s">
        <v>253</v>
      </c>
      <c r="L645" s="854">
        <f t="shared" si="99"/>
        <v>0</v>
      </c>
    </row>
    <row r="646" spans="1:12" x14ac:dyDescent="0.25">
      <c r="B646" s="850"/>
      <c r="C646" s="851"/>
      <c r="D646" s="852"/>
      <c r="E646" s="853" t="s">
        <v>253</v>
      </c>
      <c r="F646" s="853" t="s">
        <v>253</v>
      </c>
      <c r="G646" s="853" t="s">
        <v>253</v>
      </c>
      <c r="H646" s="853" t="s">
        <v>253</v>
      </c>
      <c r="I646" s="853" t="s">
        <v>253</v>
      </c>
      <c r="J646" s="853" t="s">
        <v>253</v>
      </c>
      <c r="K646" s="853" t="s">
        <v>253</v>
      </c>
      <c r="L646" s="854">
        <f t="shared" si="99"/>
        <v>0</v>
      </c>
    </row>
    <row r="647" spans="1:12" x14ac:dyDescent="0.25">
      <c r="B647" s="850"/>
      <c r="C647" s="851"/>
      <c r="D647" s="852"/>
      <c r="E647" s="853" t="s">
        <v>253</v>
      </c>
      <c r="F647" s="853" t="s">
        <v>253</v>
      </c>
      <c r="G647" s="853" t="s">
        <v>253</v>
      </c>
      <c r="H647" s="853" t="s">
        <v>253</v>
      </c>
      <c r="I647" s="853" t="s">
        <v>253</v>
      </c>
      <c r="J647" s="853" t="s">
        <v>253</v>
      </c>
      <c r="K647" s="853" t="s">
        <v>253</v>
      </c>
      <c r="L647" s="854">
        <f t="shared" si="99"/>
        <v>0</v>
      </c>
    </row>
    <row r="648" spans="1:12" x14ac:dyDescent="0.25">
      <c r="B648" s="850"/>
      <c r="C648" s="851"/>
      <c r="D648" s="852"/>
      <c r="E648" s="853" t="s">
        <v>253</v>
      </c>
      <c r="F648" s="853" t="s">
        <v>253</v>
      </c>
      <c r="G648" s="853" t="s">
        <v>253</v>
      </c>
      <c r="H648" s="853" t="s">
        <v>253</v>
      </c>
      <c r="I648" s="853" t="s">
        <v>253</v>
      </c>
      <c r="J648" s="853" t="s">
        <v>253</v>
      </c>
      <c r="K648" s="853" t="s">
        <v>253</v>
      </c>
      <c r="L648" s="854">
        <f t="shared" si="99"/>
        <v>0</v>
      </c>
    </row>
    <row r="649" spans="1:12" x14ac:dyDescent="0.25">
      <c r="B649" s="850"/>
      <c r="C649" s="851"/>
      <c r="D649" s="852"/>
      <c r="E649" s="853" t="s">
        <v>253</v>
      </c>
      <c r="F649" s="853" t="s">
        <v>253</v>
      </c>
      <c r="G649" s="853" t="s">
        <v>253</v>
      </c>
      <c r="H649" s="853" t="s">
        <v>253</v>
      </c>
      <c r="I649" s="853" t="s">
        <v>253</v>
      </c>
      <c r="J649" s="853" t="s">
        <v>253</v>
      </c>
      <c r="K649" s="853" t="s">
        <v>253</v>
      </c>
      <c r="L649" s="854">
        <f t="shared" si="99"/>
        <v>0</v>
      </c>
    </row>
    <row r="650" spans="1:12" ht="18.75" x14ac:dyDescent="0.25">
      <c r="A650" s="605" t="s">
        <v>254</v>
      </c>
      <c r="B650" s="1030" t="s">
        <v>255</v>
      </c>
      <c r="C650" s="1031"/>
      <c r="D650" s="855">
        <f>SUM(E650:K650)</f>
        <v>41252</v>
      </c>
      <c r="E650" s="854">
        <f t="shared" ref="E650:K650" si="100">SUM(E642:E649)</f>
        <v>11833</v>
      </c>
      <c r="F650" s="854">
        <f t="shared" si="100"/>
        <v>0</v>
      </c>
      <c r="G650" s="854">
        <f t="shared" si="100"/>
        <v>0</v>
      </c>
      <c r="H650" s="854">
        <f t="shared" si="100"/>
        <v>0</v>
      </c>
      <c r="I650" s="854">
        <f t="shared" si="100"/>
        <v>0</v>
      </c>
      <c r="J650" s="854">
        <f t="shared" si="100"/>
        <v>0</v>
      </c>
      <c r="K650" s="854">
        <f t="shared" si="100"/>
        <v>29419</v>
      </c>
      <c r="L650" s="856">
        <f>SUM(E650:K650)-SUM(L642:L649)</f>
        <v>0</v>
      </c>
    </row>
    <row r="651" spans="1:12" ht="15.75" x14ac:dyDescent="0.25">
      <c r="D651" s="776"/>
    </row>
    <row r="652" spans="1:12" ht="18.75" x14ac:dyDescent="0.3">
      <c r="B652" s="845" t="s">
        <v>246</v>
      </c>
      <c r="C652" s="1032" t="s">
        <v>132</v>
      </c>
      <c r="D652" s="1033"/>
      <c r="E652" s="1034" t="s">
        <v>637</v>
      </c>
      <c r="F652" s="1035"/>
      <c r="G652" s="1035"/>
      <c r="H652" s="1036"/>
      <c r="I652" s="846" t="s">
        <v>248</v>
      </c>
      <c r="J652" s="847">
        <f>+J640+1</f>
        <v>1207</v>
      </c>
      <c r="K652" s="848" t="s">
        <v>364</v>
      </c>
      <c r="L652" s="847">
        <v>221751</v>
      </c>
    </row>
    <row r="653" spans="1:12" x14ac:dyDescent="0.25">
      <c r="B653" s="849" t="s">
        <v>0</v>
      </c>
      <c r="C653" s="849" t="s">
        <v>249</v>
      </c>
      <c r="D653" s="849" t="s">
        <v>6</v>
      </c>
      <c r="E653" s="849" t="s">
        <v>250</v>
      </c>
      <c r="F653" s="849" t="s">
        <v>62</v>
      </c>
      <c r="G653" s="849" t="s">
        <v>63</v>
      </c>
      <c r="H653" s="849" t="s">
        <v>64</v>
      </c>
      <c r="I653" s="849" t="s">
        <v>251</v>
      </c>
      <c r="J653" s="849" t="s">
        <v>66</v>
      </c>
      <c r="K653" s="849" t="s">
        <v>68</v>
      </c>
      <c r="L653" s="849" t="s">
        <v>252</v>
      </c>
    </row>
    <row r="654" spans="1:12" x14ac:dyDescent="0.25">
      <c r="B654" s="850">
        <v>45653</v>
      </c>
      <c r="C654" s="851" t="s">
        <v>554</v>
      </c>
      <c r="D654" s="852" t="s">
        <v>18</v>
      </c>
      <c r="E654" s="853">
        <v>6833</v>
      </c>
      <c r="F654" s="853" t="s">
        <v>253</v>
      </c>
      <c r="G654" s="853" t="s">
        <v>253</v>
      </c>
      <c r="H654" s="853" t="s">
        <v>253</v>
      </c>
      <c r="I654" s="853" t="s">
        <v>253</v>
      </c>
      <c r="J654" s="853" t="s">
        <v>253</v>
      </c>
      <c r="K654" s="853" t="s">
        <v>253</v>
      </c>
      <c r="L654" s="854">
        <f t="shared" ref="L654:L661" si="101">SUM(E654:K654)</f>
        <v>6833</v>
      </c>
    </row>
    <row r="655" spans="1:12" x14ac:dyDescent="0.25">
      <c r="B655" s="850">
        <v>45701</v>
      </c>
      <c r="C655" s="851" t="s">
        <v>554</v>
      </c>
      <c r="D655" s="852" t="s">
        <v>18</v>
      </c>
      <c r="E655" s="853">
        <v>5000</v>
      </c>
      <c r="F655" s="853" t="s">
        <v>253</v>
      </c>
      <c r="G655" s="853" t="s">
        <v>253</v>
      </c>
      <c r="H655" s="853" t="s">
        <v>253</v>
      </c>
      <c r="I655" s="853" t="s">
        <v>253</v>
      </c>
      <c r="J655" s="853" t="s">
        <v>253</v>
      </c>
      <c r="K655" s="853" t="s">
        <v>253</v>
      </c>
      <c r="L655" s="854">
        <f t="shared" si="101"/>
        <v>5000</v>
      </c>
    </row>
    <row r="656" spans="1:12" x14ac:dyDescent="0.25">
      <c r="B656" s="850"/>
      <c r="C656" s="851"/>
      <c r="D656" s="852" t="s">
        <v>751</v>
      </c>
      <c r="E656" s="853" t="s">
        <v>253</v>
      </c>
      <c r="F656" s="853" t="s">
        <v>253</v>
      </c>
      <c r="G656" s="853" t="s">
        <v>253</v>
      </c>
      <c r="H656" s="853" t="s">
        <v>253</v>
      </c>
      <c r="I656" s="853" t="s">
        <v>253</v>
      </c>
      <c r="J656" s="853" t="s">
        <v>253</v>
      </c>
      <c r="K656" s="853">
        <v>5934</v>
      </c>
      <c r="L656" s="854">
        <f t="shared" si="101"/>
        <v>5934</v>
      </c>
    </row>
    <row r="657" spans="1:12" x14ac:dyDescent="0.25">
      <c r="B657" s="850"/>
      <c r="C657" s="851"/>
      <c r="D657" s="852"/>
      <c r="E657" s="853" t="s">
        <v>253</v>
      </c>
      <c r="F657" s="853" t="s">
        <v>253</v>
      </c>
      <c r="G657" s="853" t="s">
        <v>253</v>
      </c>
      <c r="H657" s="853" t="s">
        <v>253</v>
      </c>
      <c r="I657" s="853" t="s">
        <v>253</v>
      </c>
      <c r="J657" s="853" t="s">
        <v>253</v>
      </c>
      <c r="K657" s="853" t="s">
        <v>253</v>
      </c>
      <c r="L657" s="854">
        <f t="shared" si="101"/>
        <v>0</v>
      </c>
    </row>
    <row r="658" spans="1:12" x14ac:dyDescent="0.25">
      <c r="B658" s="850"/>
      <c r="C658" s="851"/>
      <c r="D658" s="852"/>
      <c r="E658" s="853" t="s">
        <v>253</v>
      </c>
      <c r="F658" s="853" t="s">
        <v>253</v>
      </c>
      <c r="G658" s="853" t="s">
        <v>253</v>
      </c>
      <c r="H658" s="853" t="s">
        <v>253</v>
      </c>
      <c r="I658" s="853" t="s">
        <v>253</v>
      </c>
      <c r="J658" s="853" t="s">
        <v>253</v>
      </c>
      <c r="K658" s="853" t="s">
        <v>253</v>
      </c>
      <c r="L658" s="854">
        <f t="shared" si="101"/>
        <v>0</v>
      </c>
    </row>
    <row r="659" spans="1:12" x14ac:dyDescent="0.25">
      <c r="B659" s="850"/>
      <c r="C659" s="851"/>
      <c r="D659" s="852"/>
      <c r="E659" s="853" t="s">
        <v>253</v>
      </c>
      <c r="F659" s="853" t="s">
        <v>253</v>
      </c>
      <c r="G659" s="853" t="s">
        <v>253</v>
      </c>
      <c r="H659" s="853" t="s">
        <v>253</v>
      </c>
      <c r="I659" s="853" t="s">
        <v>253</v>
      </c>
      <c r="J659" s="853" t="s">
        <v>253</v>
      </c>
      <c r="K659" s="853" t="s">
        <v>253</v>
      </c>
      <c r="L659" s="854">
        <f t="shared" si="101"/>
        <v>0</v>
      </c>
    </row>
    <row r="660" spans="1:12" x14ac:dyDescent="0.25">
      <c r="B660" s="850"/>
      <c r="C660" s="851"/>
      <c r="D660" s="852"/>
      <c r="E660" s="853" t="s">
        <v>253</v>
      </c>
      <c r="F660" s="853" t="s">
        <v>253</v>
      </c>
      <c r="G660" s="853" t="s">
        <v>253</v>
      </c>
      <c r="H660" s="853" t="s">
        <v>253</v>
      </c>
      <c r="I660" s="853" t="s">
        <v>253</v>
      </c>
      <c r="J660" s="853" t="s">
        <v>253</v>
      </c>
      <c r="K660" s="853" t="s">
        <v>253</v>
      </c>
      <c r="L660" s="854">
        <f t="shared" si="101"/>
        <v>0</v>
      </c>
    </row>
    <row r="661" spans="1:12" x14ac:dyDescent="0.25">
      <c r="B661" s="850"/>
      <c r="C661" s="851"/>
      <c r="D661" s="852"/>
      <c r="E661" s="853" t="s">
        <v>253</v>
      </c>
      <c r="F661" s="853" t="s">
        <v>253</v>
      </c>
      <c r="G661" s="853" t="s">
        <v>253</v>
      </c>
      <c r="H661" s="853" t="s">
        <v>253</v>
      </c>
      <c r="I661" s="853" t="s">
        <v>253</v>
      </c>
      <c r="J661" s="853" t="s">
        <v>253</v>
      </c>
      <c r="K661" s="853" t="s">
        <v>253</v>
      </c>
      <c r="L661" s="854">
        <f t="shared" si="101"/>
        <v>0</v>
      </c>
    </row>
    <row r="662" spans="1:12" ht="18.75" x14ac:dyDescent="0.25">
      <c r="A662" s="605" t="s">
        <v>254</v>
      </c>
      <c r="B662" s="1030" t="s">
        <v>255</v>
      </c>
      <c r="C662" s="1031"/>
      <c r="D662" s="855">
        <f>SUM(E662:K662)</f>
        <v>17767</v>
      </c>
      <c r="E662" s="854">
        <f t="shared" ref="E662:K662" si="102">SUM(E654:E661)</f>
        <v>11833</v>
      </c>
      <c r="F662" s="854">
        <f t="shared" si="102"/>
        <v>0</v>
      </c>
      <c r="G662" s="854">
        <f t="shared" si="102"/>
        <v>0</v>
      </c>
      <c r="H662" s="854">
        <f t="shared" si="102"/>
        <v>0</v>
      </c>
      <c r="I662" s="854">
        <f t="shared" si="102"/>
        <v>0</v>
      </c>
      <c r="J662" s="854">
        <f t="shared" si="102"/>
        <v>0</v>
      </c>
      <c r="K662" s="854">
        <f t="shared" si="102"/>
        <v>5934</v>
      </c>
      <c r="L662" s="856">
        <f>SUM(E662:K662)-SUM(L654:L661)</f>
        <v>0</v>
      </c>
    </row>
    <row r="663" spans="1:12" ht="15.75" x14ac:dyDescent="0.25">
      <c r="D663" s="776"/>
    </row>
    <row r="664" spans="1:12" ht="18.75" x14ac:dyDescent="0.3">
      <c r="B664" s="845" t="s">
        <v>246</v>
      </c>
      <c r="C664" s="1032" t="s">
        <v>599</v>
      </c>
      <c r="D664" s="1033"/>
      <c r="E664" s="1034" t="s">
        <v>637</v>
      </c>
      <c r="F664" s="1035"/>
      <c r="G664" s="1035"/>
      <c r="H664" s="1036"/>
      <c r="I664" s="846" t="s">
        <v>248</v>
      </c>
      <c r="J664" s="847">
        <f>+J652+1</f>
        <v>1208</v>
      </c>
      <c r="K664" s="848" t="s">
        <v>364</v>
      </c>
      <c r="L664" s="847">
        <v>221751</v>
      </c>
    </row>
    <row r="665" spans="1:12" x14ac:dyDescent="0.25">
      <c r="B665" s="849" t="s">
        <v>0</v>
      </c>
      <c r="C665" s="849" t="s">
        <v>249</v>
      </c>
      <c r="D665" s="849" t="s">
        <v>6</v>
      </c>
      <c r="E665" s="849" t="s">
        <v>250</v>
      </c>
      <c r="F665" s="849" t="s">
        <v>62</v>
      </c>
      <c r="G665" s="849" t="s">
        <v>63</v>
      </c>
      <c r="H665" s="849" t="s">
        <v>64</v>
      </c>
      <c r="I665" s="849" t="s">
        <v>251</v>
      </c>
      <c r="J665" s="849" t="s">
        <v>66</v>
      </c>
      <c r="K665" s="849" t="s">
        <v>68</v>
      </c>
      <c r="L665" s="849" t="s">
        <v>252</v>
      </c>
    </row>
    <row r="666" spans="1:12" x14ac:dyDescent="0.25">
      <c r="B666" s="850">
        <v>45653</v>
      </c>
      <c r="C666" s="851" t="s">
        <v>554</v>
      </c>
      <c r="D666" s="852" t="s">
        <v>18</v>
      </c>
      <c r="E666" s="853">
        <v>6833</v>
      </c>
      <c r="F666" s="853" t="s">
        <v>253</v>
      </c>
      <c r="G666" s="853" t="s">
        <v>253</v>
      </c>
      <c r="H666" s="853" t="s">
        <v>253</v>
      </c>
      <c r="I666" s="853" t="s">
        <v>253</v>
      </c>
      <c r="J666" s="853" t="s">
        <v>253</v>
      </c>
      <c r="K666" s="853" t="s">
        <v>253</v>
      </c>
      <c r="L666" s="854">
        <f t="shared" ref="L666:L673" si="103">SUM(E666:K666)</f>
        <v>6833</v>
      </c>
    </row>
    <row r="667" spans="1:12" x14ac:dyDescent="0.25">
      <c r="B667" s="850">
        <v>45701</v>
      </c>
      <c r="C667" s="851" t="s">
        <v>554</v>
      </c>
      <c r="D667" s="852" t="s">
        <v>18</v>
      </c>
      <c r="E667" s="853">
        <v>5000</v>
      </c>
      <c r="F667" s="853" t="s">
        <v>253</v>
      </c>
      <c r="G667" s="853" t="s">
        <v>253</v>
      </c>
      <c r="H667" s="853" t="s">
        <v>253</v>
      </c>
      <c r="I667" s="853" t="s">
        <v>253</v>
      </c>
      <c r="J667" s="853" t="s">
        <v>253</v>
      </c>
      <c r="K667" s="853" t="s">
        <v>253</v>
      </c>
      <c r="L667" s="854">
        <f t="shared" si="103"/>
        <v>5000</v>
      </c>
    </row>
    <row r="668" spans="1:12" x14ac:dyDescent="0.25">
      <c r="B668" s="850"/>
      <c r="C668" s="851"/>
      <c r="D668" s="852" t="s">
        <v>752</v>
      </c>
      <c r="E668" s="853" t="s">
        <v>253</v>
      </c>
      <c r="F668" s="853" t="s">
        <v>253</v>
      </c>
      <c r="G668" s="853" t="s">
        <v>253</v>
      </c>
      <c r="H668" s="853" t="s">
        <v>253</v>
      </c>
      <c r="I668" s="853" t="s">
        <v>253</v>
      </c>
      <c r="J668" s="853" t="s">
        <v>253</v>
      </c>
      <c r="K668" s="853">
        <v>14000</v>
      </c>
      <c r="L668" s="854">
        <f t="shared" si="103"/>
        <v>14000</v>
      </c>
    </row>
    <row r="669" spans="1:12" x14ac:dyDescent="0.25">
      <c r="B669" s="850"/>
      <c r="C669" s="851"/>
      <c r="D669" s="852"/>
      <c r="E669" s="853" t="s">
        <v>253</v>
      </c>
      <c r="F669" s="853" t="s">
        <v>253</v>
      </c>
      <c r="G669" s="853" t="s">
        <v>253</v>
      </c>
      <c r="H669" s="853" t="s">
        <v>253</v>
      </c>
      <c r="I669" s="853" t="s">
        <v>253</v>
      </c>
      <c r="J669" s="853" t="s">
        <v>253</v>
      </c>
      <c r="K669" s="853" t="s">
        <v>253</v>
      </c>
      <c r="L669" s="854">
        <f t="shared" si="103"/>
        <v>0</v>
      </c>
    </row>
    <row r="670" spans="1:12" x14ac:dyDescent="0.25">
      <c r="B670" s="850"/>
      <c r="C670" s="851"/>
      <c r="D670" s="852"/>
      <c r="E670" s="853" t="s">
        <v>253</v>
      </c>
      <c r="F670" s="853" t="s">
        <v>253</v>
      </c>
      <c r="G670" s="853" t="s">
        <v>253</v>
      </c>
      <c r="H670" s="853" t="s">
        <v>253</v>
      </c>
      <c r="I670" s="853" t="s">
        <v>253</v>
      </c>
      <c r="J670" s="853" t="s">
        <v>253</v>
      </c>
      <c r="K670" s="853" t="s">
        <v>253</v>
      </c>
      <c r="L670" s="854">
        <f t="shared" si="103"/>
        <v>0</v>
      </c>
    </row>
    <row r="671" spans="1:12" x14ac:dyDescent="0.25">
      <c r="B671" s="850"/>
      <c r="C671" s="851"/>
      <c r="D671" s="852"/>
      <c r="E671" s="853" t="s">
        <v>253</v>
      </c>
      <c r="F671" s="853" t="s">
        <v>253</v>
      </c>
      <c r="G671" s="853" t="s">
        <v>253</v>
      </c>
      <c r="H671" s="853" t="s">
        <v>253</v>
      </c>
      <c r="I671" s="853" t="s">
        <v>253</v>
      </c>
      <c r="J671" s="853" t="s">
        <v>253</v>
      </c>
      <c r="K671" s="853" t="s">
        <v>253</v>
      </c>
      <c r="L671" s="854">
        <f t="shared" si="103"/>
        <v>0</v>
      </c>
    </row>
    <row r="672" spans="1:12" x14ac:dyDescent="0.25">
      <c r="B672" s="850"/>
      <c r="C672" s="851"/>
      <c r="D672" s="852"/>
      <c r="E672" s="853" t="s">
        <v>253</v>
      </c>
      <c r="F672" s="853" t="s">
        <v>253</v>
      </c>
      <c r="G672" s="853" t="s">
        <v>253</v>
      </c>
      <c r="H672" s="853" t="s">
        <v>253</v>
      </c>
      <c r="I672" s="853" t="s">
        <v>253</v>
      </c>
      <c r="J672" s="853" t="s">
        <v>253</v>
      </c>
      <c r="K672" s="853" t="s">
        <v>253</v>
      </c>
      <c r="L672" s="854">
        <f t="shared" si="103"/>
        <v>0</v>
      </c>
    </row>
    <row r="673" spans="1:14" x14ac:dyDescent="0.25">
      <c r="B673" s="850"/>
      <c r="C673" s="851"/>
      <c r="D673" s="852"/>
      <c r="E673" s="853" t="s">
        <v>253</v>
      </c>
      <c r="F673" s="853" t="s">
        <v>253</v>
      </c>
      <c r="G673" s="853" t="s">
        <v>253</v>
      </c>
      <c r="H673" s="853" t="s">
        <v>253</v>
      </c>
      <c r="I673" s="853" t="s">
        <v>253</v>
      </c>
      <c r="J673" s="853" t="s">
        <v>253</v>
      </c>
      <c r="K673" s="853" t="s">
        <v>253</v>
      </c>
      <c r="L673" s="854">
        <f t="shared" si="103"/>
        <v>0</v>
      </c>
    </row>
    <row r="674" spans="1:14" ht="18.75" x14ac:dyDescent="0.25">
      <c r="A674" s="605" t="s">
        <v>254</v>
      </c>
      <c r="B674" s="1030" t="s">
        <v>255</v>
      </c>
      <c r="C674" s="1031"/>
      <c r="D674" s="855">
        <f>SUM(E674:K674)</f>
        <v>25833</v>
      </c>
      <c r="E674" s="854">
        <f t="shared" ref="E674:K674" si="104">SUM(E666:E673)</f>
        <v>11833</v>
      </c>
      <c r="F674" s="854">
        <f t="shared" si="104"/>
        <v>0</v>
      </c>
      <c r="G674" s="854">
        <f t="shared" si="104"/>
        <v>0</v>
      </c>
      <c r="H674" s="854">
        <f t="shared" si="104"/>
        <v>0</v>
      </c>
      <c r="I674" s="854">
        <f t="shared" si="104"/>
        <v>0</v>
      </c>
      <c r="J674" s="854">
        <f t="shared" si="104"/>
        <v>0</v>
      </c>
      <c r="K674" s="854">
        <f t="shared" si="104"/>
        <v>14000</v>
      </c>
      <c r="L674" s="856">
        <f>SUM(E674:K674)-SUM(L666:L673)</f>
        <v>0</v>
      </c>
    </row>
    <row r="675" spans="1:14" ht="15.75" x14ac:dyDescent="0.25">
      <c r="D675" s="776"/>
    </row>
    <row r="676" spans="1:14" ht="18.75" x14ac:dyDescent="0.3">
      <c r="B676" s="845" t="s">
        <v>246</v>
      </c>
      <c r="C676" s="1032" t="s">
        <v>753</v>
      </c>
      <c r="D676" s="1033"/>
      <c r="E676" s="1034" t="s">
        <v>637</v>
      </c>
      <c r="F676" s="1035"/>
      <c r="G676" s="1035"/>
      <c r="H676" s="1036"/>
      <c r="I676" s="846" t="s">
        <v>248</v>
      </c>
      <c r="J676" s="847">
        <f>+J664+1</f>
        <v>1209</v>
      </c>
      <c r="K676" s="848" t="s">
        <v>364</v>
      </c>
      <c r="L676" s="847">
        <v>221751</v>
      </c>
    </row>
    <row r="677" spans="1:14" x14ac:dyDescent="0.25">
      <c r="B677" s="849" t="s">
        <v>0</v>
      </c>
      <c r="C677" s="849" t="s">
        <v>249</v>
      </c>
      <c r="D677" s="849" t="s">
        <v>6</v>
      </c>
      <c r="E677" s="849" t="s">
        <v>250</v>
      </c>
      <c r="F677" s="849" t="s">
        <v>62</v>
      </c>
      <c r="G677" s="849" t="s">
        <v>63</v>
      </c>
      <c r="H677" s="849" t="s">
        <v>64</v>
      </c>
      <c r="I677" s="849" t="s">
        <v>251</v>
      </c>
      <c r="J677" s="849" t="s">
        <v>66</v>
      </c>
      <c r="K677" s="849" t="s">
        <v>68</v>
      </c>
      <c r="L677" s="849" t="s">
        <v>252</v>
      </c>
    </row>
    <row r="678" spans="1:14" x14ac:dyDescent="0.25">
      <c r="B678" s="850">
        <v>45658</v>
      </c>
      <c r="C678" s="851" t="s">
        <v>143</v>
      </c>
      <c r="D678" s="852" t="s">
        <v>754</v>
      </c>
      <c r="E678" s="853">
        <v>0</v>
      </c>
      <c r="F678" s="853" t="s">
        <v>253</v>
      </c>
      <c r="G678" s="853" t="s">
        <v>253</v>
      </c>
      <c r="H678" s="853" t="s">
        <v>253</v>
      </c>
      <c r="I678" s="853" t="s">
        <v>253</v>
      </c>
      <c r="J678" s="853" t="s">
        <v>253</v>
      </c>
      <c r="K678" s="853">
        <v>150000</v>
      </c>
      <c r="L678" s="854">
        <f t="shared" ref="L678:L685" si="105">SUM(E678:K678)</f>
        <v>150000</v>
      </c>
    </row>
    <row r="679" spans="1:14" x14ac:dyDescent="0.25">
      <c r="B679" s="850">
        <v>45689</v>
      </c>
      <c r="C679" s="851" t="s">
        <v>143</v>
      </c>
      <c r="D679" s="852" t="s">
        <v>754</v>
      </c>
      <c r="E679" s="853">
        <v>0</v>
      </c>
      <c r="F679" s="853" t="s">
        <v>253</v>
      </c>
      <c r="G679" s="853" t="s">
        <v>253</v>
      </c>
      <c r="H679" s="853" t="s">
        <v>253</v>
      </c>
      <c r="I679" s="853" t="s">
        <v>253</v>
      </c>
      <c r="J679" s="853" t="s">
        <v>253</v>
      </c>
      <c r="K679" s="853">
        <v>150000</v>
      </c>
      <c r="L679" s="854">
        <f t="shared" si="105"/>
        <v>150000</v>
      </c>
    </row>
    <row r="680" spans="1:14" x14ac:dyDescent="0.25">
      <c r="B680" s="850">
        <v>45717</v>
      </c>
      <c r="C680" s="851" t="s">
        <v>143</v>
      </c>
      <c r="D680" s="852" t="s">
        <v>754</v>
      </c>
      <c r="E680" s="853">
        <v>0</v>
      </c>
      <c r="F680" s="853" t="s">
        <v>253</v>
      </c>
      <c r="G680" s="853" t="s">
        <v>253</v>
      </c>
      <c r="H680" s="853" t="s">
        <v>253</v>
      </c>
      <c r="I680" s="853" t="s">
        <v>253</v>
      </c>
      <c r="J680" s="853" t="s">
        <v>253</v>
      </c>
      <c r="K680" s="853">
        <v>150000</v>
      </c>
      <c r="L680" s="854">
        <f t="shared" si="105"/>
        <v>150000</v>
      </c>
    </row>
    <row r="681" spans="1:14" x14ac:dyDescent="0.25">
      <c r="B681" s="850"/>
      <c r="C681" s="851" t="s">
        <v>444</v>
      </c>
      <c r="D681" s="852" t="s">
        <v>755</v>
      </c>
      <c r="E681" s="853" t="s">
        <v>253</v>
      </c>
      <c r="F681" s="853" t="s">
        <v>253</v>
      </c>
      <c r="G681" s="853" t="s">
        <v>253</v>
      </c>
      <c r="H681" s="853" t="s">
        <v>253</v>
      </c>
      <c r="I681" s="853" t="s">
        <v>253</v>
      </c>
      <c r="J681" s="853" t="s">
        <v>253</v>
      </c>
      <c r="K681" s="853">
        <v>52400</v>
      </c>
      <c r="L681" s="854">
        <f t="shared" si="105"/>
        <v>52400</v>
      </c>
    </row>
    <row r="682" spans="1:14" x14ac:dyDescent="0.25">
      <c r="B682" s="850"/>
      <c r="C682" s="851"/>
      <c r="D682" s="852"/>
      <c r="E682" s="853" t="s">
        <v>253</v>
      </c>
      <c r="F682" s="853" t="s">
        <v>253</v>
      </c>
      <c r="G682" s="853" t="s">
        <v>253</v>
      </c>
      <c r="H682" s="853" t="s">
        <v>253</v>
      </c>
      <c r="I682" s="853" t="s">
        <v>253</v>
      </c>
      <c r="J682" s="853" t="s">
        <v>253</v>
      </c>
      <c r="K682" s="853" t="s">
        <v>253</v>
      </c>
      <c r="L682" s="854">
        <f t="shared" si="105"/>
        <v>0</v>
      </c>
    </row>
    <row r="683" spans="1:14" x14ac:dyDescent="0.25">
      <c r="B683" s="850"/>
      <c r="C683" s="851"/>
      <c r="D683" s="852"/>
      <c r="E683" s="853" t="s">
        <v>253</v>
      </c>
      <c r="F683" s="853" t="s">
        <v>253</v>
      </c>
      <c r="G683" s="853" t="s">
        <v>253</v>
      </c>
      <c r="H683" s="853" t="s">
        <v>253</v>
      </c>
      <c r="I683" s="853" t="s">
        <v>253</v>
      </c>
      <c r="J683" s="853" t="s">
        <v>253</v>
      </c>
      <c r="K683" s="853" t="s">
        <v>253</v>
      </c>
      <c r="L683" s="854">
        <f t="shared" si="105"/>
        <v>0</v>
      </c>
    </row>
    <row r="684" spans="1:14" x14ac:dyDescent="0.25">
      <c r="B684" s="850"/>
      <c r="C684" s="851"/>
      <c r="D684" s="852"/>
      <c r="E684" s="853" t="s">
        <v>253</v>
      </c>
      <c r="F684" s="853" t="s">
        <v>253</v>
      </c>
      <c r="G684" s="853" t="s">
        <v>253</v>
      </c>
      <c r="H684" s="853" t="s">
        <v>253</v>
      </c>
      <c r="I684" s="853" t="s">
        <v>253</v>
      </c>
      <c r="J684" s="853" t="s">
        <v>253</v>
      </c>
      <c r="K684" s="853" t="s">
        <v>253</v>
      </c>
      <c r="L684" s="854">
        <f t="shared" si="105"/>
        <v>0</v>
      </c>
    </row>
    <row r="685" spans="1:14" x14ac:dyDescent="0.25">
      <c r="B685" s="850"/>
      <c r="C685" s="851"/>
      <c r="D685" s="852"/>
      <c r="E685" s="853" t="s">
        <v>253</v>
      </c>
      <c r="F685" s="853" t="s">
        <v>253</v>
      </c>
      <c r="G685" s="853" t="s">
        <v>253</v>
      </c>
      <c r="H685" s="853" t="s">
        <v>253</v>
      </c>
      <c r="I685" s="853" t="s">
        <v>253</v>
      </c>
      <c r="J685" s="853" t="s">
        <v>253</v>
      </c>
      <c r="K685" s="853" t="s">
        <v>253</v>
      </c>
      <c r="L685" s="854">
        <f t="shared" si="105"/>
        <v>0</v>
      </c>
    </row>
    <row r="686" spans="1:14" ht="18.75" x14ac:dyDescent="0.25">
      <c r="A686" s="605" t="s">
        <v>254</v>
      </c>
      <c r="B686" s="1030" t="s">
        <v>255</v>
      </c>
      <c r="C686" s="1031"/>
      <c r="D686" s="855">
        <f>SUM(E686:K686)</f>
        <v>502400</v>
      </c>
      <c r="E686" s="854">
        <f t="shared" ref="E686:K686" si="106">SUM(E678:E685)</f>
        <v>0</v>
      </c>
      <c r="F686" s="854">
        <f t="shared" si="106"/>
        <v>0</v>
      </c>
      <c r="G686" s="854">
        <f t="shared" si="106"/>
        <v>0</v>
      </c>
      <c r="H686" s="854">
        <f t="shared" si="106"/>
        <v>0</v>
      </c>
      <c r="I686" s="854">
        <f t="shared" si="106"/>
        <v>0</v>
      </c>
      <c r="J686" s="854">
        <f t="shared" si="106"/>
        <v>0</v>
      </c>
      <c r="K686" s="854">
        <f t="shared" si="106"/>
        <v>502400</v>
      </c>
      <c r="L686" s="856">
        <f>SUM(E686:K686)-SUM(L678:L685)</f>
        <v>0</v>
      </c>
    </row>
    <row r="687" spans="1:14" ht="15.75" x14ac:dyDescent="0.25">
      <c r="D687" s="776"/>
      <c r="N687" s="702"/>
    </row>
    <row r="688" spans="1:14" ht="18.75" x14ac:dyDescent="0.3">
      <c r="B688" s="845" t="s">
        <v>246</v>
      </c>
      <c r="C688" s="1032" t="s">
        <v>129</v>
      </c>
      <c r="D688" s="1033"/>
      <c r="E688" s="1034" t="s">
        <v>637</v>
      </c>
      <c r="F688" s="1035"/>
      <c r="G688" s="1035"/>
      <c r="H688" s="1036"/>
      <c r="I688" s="846" t="s">
        <v>248</v>
      </c>
      <c r="J688" s="847">
        <f>+J676+1</f>
        <v>1210</v>
      </c>
      <c r="K688" s="848" t="s">
        <v>364</v>
      </c>
      <c r="L688" s="847">
        <v>221751</v>
      </c>
    </row>
    <row r="689" spans="1:14" x14ac:dyDescent="0.25">
      <c r="B689" s="849" t="s">
        <v>0</v>
      </c>
      <c r="C689" s="849" t="s">
        <v>249</v>
      </c>
      <c r="D689" s="849" t="s">
        <v>6</v>
      </c>
      <c r="E689" s="849" t="s">
        <v>250</v>
      </c>
      <c r="F689" s="849" t="s">
        <v>62</v>
      </c>
      <c r="G689" s="849" t="s">
        <v>63</v>
      </c>
      <c r="H689" s="849" t="s">
        <v>64</v>
      </c>
      <c r="I689" s="849" t="s">
        <v>251</v>
      </c>
      <c r="J689" s="849" t="s">
        <v>66</v>
      </c>
      <c r="K689" s="849" t="s">
        <v>68</v>
      </c>
      <c r="L689" s="849" t="s">
        <v>252</v>
      </c>
    </row>
    <row r="690" spans="1:14" x14ac:dyDescent="0.25">
      <c r="B690" s="850">
        <v>45653</v>
      </c>
      <c r="C690" s="851" t="s">
        <v>554</v>
      </c>
      <c r="D690" s="852" t="s">
        <v>18</v>
      </c>
      <c r="E690" s="853">
        <v>6833</v>
      </c>
      <c r="F690" s="853" t="s">
        <v>253</v>
      </c>
      <c r="G690" s="853" t="s">
        <v>253</v>
      </c>
      <c r="H690" s="853" t="s">
        <v>253</v>
      </c>
      <c r="I690" s="853" t="s">
        <v>253</v>
      </c>
      <c r="J690" s="853" t="s">
        <v>253</v>
      </c>
      <c r="K690" s="853" t="s">
        <v>253</v>
      </c>
      <c r="L690" s="854">
        <f t="shared" ref="L690:L697" si="107">SUM(E690:K690)</f>
        <v>6833</v>
      </c>
      <c r="N690" s="702">
        <f>+E690+E691</f>
        <v>11833</v>
      </c>
    </row>
    <row r="691" spans="1:14" x14ac:dyDescent="0.25">
      <c r="B691" s="850">
        <v>45701</v>
      </c>
      <c r="C691" s="851" t="s">
        <v>554</v>
      </c>
      <c r="D691" s="852" t="s">
        <v>18</v>
      </c>
      <c r="E691" s="853">
        <v>5000</v>
      </c>
      <c r="F691" s="853" t="s">
        <v>253</v>
      </c>
      <c r="G691" s="853" t="s">
        <v>253</v>
      </c>
      <c r="H691" s="853" t="s">
        <v>253</v>
      </c>
      <c r="I691" s="853" t="s">
        <v>253</v>
      </c>
      <c r="J691" s="853" t="s">
        <v>253</v>
      </c>
      <c r="K691" s="853" t="s">
        <v>253</v>
      </c>
      <c r="L691" s="854">
        <f t="shared" si="107"/>
        <v>5000</v>
      </c>
      <c r="N691" s="95">
        <v>1500</v>
      </c>
    </row>
    <row r="692" spans="1:14" x14ac:dyDescent="0.25">
      <c r="B692" s="850"/>
      <c r="C692" s="851"/>
      <c r="D692" s="852" t="s">
        <v>755</v>
      </c>
      <c r="E692" s="853" t="s">
        <v>253</v>
      </c>
      <c r="F692" s="853" t="s">
        <v>253</v>
      </c>
      <c r="G692" s="853" t="s">
        <v>253</v>
      </c>
      <c r="H692" s="853" t="s">
        <v>253</v>
      </c>
      <c r="I692" s="853" t="s">
        <v>253</v>
      </c>
      <c r="J692" s="853" t="s">
        <v>253</v>
      </c>
      <c r="K692" s="857">
        <v>130631</v>
      </c>
      <c r="L692" s="854">
        <f t="shared" si="107"/>
        <v>130631</v>
      </c>
      <c r="N692" s="95">
        <v>12870</v>
      </c>
    </row>
    <row r="693" spans="1:14" x14ac:dyDescent="0.25">
      <c r="B693" s="850"/>
      <c r="C693" s="851"/>
      <c r="D693" s="852"/>
      <c r="E693" s="853" t="s">
        <v>253</v>
      </c>
      <c r="F693" s="853" t="s">
        <v>253</v>
      </c>
      <c r="G693" s="853" t="s">
        <v>253</v>
      </c>
      <c r="H693" s="853" t="s">
        <v>253</v>
      </c>
      <c r="I693" s="853" t="s">
        <v>253</v>
      </c>
      <c r="J693" s="853" t="s">
        <v>253</v>
      </c>
      <c r="K693" s="853" t="s">
        <v>253</v>
      </c>
      <c r="L693" s="854">
        <f t="shared" si="107"/>
        <v>0</v>
      </c>
      <c r="N693" s="95">
        <v>49940</v>
      </c>
    </row>
    <row r="694" spans="1:14" x14ac:dyDescent="0.25">
      <c r="B694" s="850"/>
      <c r="C694" s="851"/>
      <c r="D694" s="852"/>
      <c r="E694" s="853" t="s">
        <v>253</v>
      </c>
      <c r="F694" s="853" t="s">
        <v>253</v>
      </c>
      <c r="G694" s="853" t="s">
        <v>253</v>
      </c>
      <c r="H694" s="853" t="s">
        <v>253</v>
      </c>
      <c r="I694" s="853" t="s">
        <v>253</v>
      </c>
      <c r="J694" s="853" t="s">
        <v>253</v>
      </c>
      <c r="K694" s="853" t="s">
        <v>253</v>
      </c>
      <c r="L694" s="854">
        <f t="shared" si="107"/>
        <v>0</v>
      </c>
      <c r="N694" s="95">
        <v>8250</v>
      </c>
    </row>
    <row r="695" spans="1:14" x14ac:dyDescent="0.25">
      <c r="B695" s="850"/>
      <c r="C695" s="851"/>
      <c r="D695" s="852"/>
      <c r="E695" s="853" t="s">
        <v>253</v>
      </c>
      <c r="F695" s="853" t="s">
        <v>253</v>
      </c>
      <c r="G695" s="853" t="s">
        <v>253</v>
      </c>
      <c r="H695" s="853" t="s">
        <v>253</v>
      </c>
      <c r="I695" s="853" t="s">
        <v>253</v>
      </c>
      <c r="J695" s="853" t="s">
        <v>253</v>
      </c>
      <c r="K695" s="853" t="s">
        <v>253</v>
      </c>
      <c r="L695" s="854">
        <f t="shared" si="107"/>
        <v>0</v>
      </c>
      <c r="N695" s="95">
        <v>6000</v>
      </c>
    </row>
    <row r="696" spans="1:14" x14ac:dyDescent="0.25">
      <c r="B696" s="850"/>
      <c r="C696" s="851"/>
      <c r="D696" s="852"/>
      <c r="E696" s="853" t="s">
        <v>253</v>
      </c>
      <c r="F696" s="853" t="s">
        <v>253</v>
      </c>
      <c r="G696" s="853" t="s">
        <v>253</v>
      </c>
      <c r="H696" s="853" t="s">
        <v>253</v>
      </c>
      <c r="I696" s="853" t="s">
        <v>253</v>
      </c>
      <c r="J696" s="853" t="s">
        <v>253</v>
      </c>
      <c r="K696" s="853" t="s">
        <v>253</v>
      </c>
      <c r="L696" s="854">
        <f t="shared" si="107"/>
        <v>0</v>
      </c>
      <c r="N696" s="95">
        <v>7490</v>
      </c>
    </row>
    <row r="697" spans="1:14" x14ac:dyDescent="0.25">
      <c r="B697" s="850"/>
      <c r="C697" s="851"/>
      <c r="D697" s="852"/>
      <c r="E697" s="853" t="s">
        <v>253</v>
      </c>
      <c r="F697" s="853" t="s">
        <v>253</v>
      </c>
      <c r="G697" s="853" t="s">
        <v>253</v>
      </c>
      <c r="H697" s="853" t="s">
        <v>253</v>
      </c>
      <c r="I697" s="853" t="s">
        <v>253</v>
      </c>
      <c r="J697" s="853" t="s">
        <v>253</v>
      </c>
      <c r="K697" s="853" t="s">
        <v>253</v>
      </c>
      <c r="L697" s="854">
        <f t="shared" si="107"/>
        <v>0</v>
      </c>
      <c r="N697" s="95">
        <v>44764</v>
      </c>
    </row>
    <row r="698" spans="1:14" ht="18.75" x14ac:dyDescent="0.25">
      <c r="A698" s="605" t="s">
        <v>254</v>
      </c>
      <c r="B698" s="1030" t="s">
        <v>255</v>
      </c>
      <c r="C698" s="1031"/>
      <c r="D698" s="855">
        <f>SUM(E698:K698)</f>
        <v>142464</v>
      </c>
      <c r="E698" s="854">
        <f t="shared" ref="E698:K698" si="108">SUM(E690:E697)</f>
        <v>11833</v>
      </c>
      <c r="F698" s="854">
        <f t="shared" si="108"/>
        <v>0</v>
      </c>
      <c r="G698" s="854">
        <f t="shared" si="108"/>
        <v>0</v>
      </c>
      <c r="H698" s="854">
        <f t="shared" si="108"/>
        <v>0</v>
      </c>
      <c r="I698" s="854">
        <f t="shared" si="108"/>
        <v>0</v>
      </c>
      <c r="J698" s="854">
        <f t="shared" si="108"/>
        <v>0</v>
      </c>
      <c r="K698" s="854">
        <f t="shared" si="108"/>
        <v>130631</v>
      </c>
      <c r="L698" s="856">
        <f>SUM(E698:K698)-SUM(L690:L697)</f>
        <v>0</v>
      </c>
      <c r="N698" s="702">
        <f>SUM(N687:N697)</f>
        <v>142647</v>
      </c>
    </row>
    <row r="699" spans="1:14" ht="15.75" x14ac:dyDescent="0.25">
      <c r="D699" s="776"/>
      <c r="E699" s="776"/>
      <c r="F699" s="703"/>
      <c r="N699" s="702">
        <f>+D698-N698</f>
        <v>-183</v>
      </c>
    </row>
    <row r="700" spans="1:14" ht="18.75" x14ac:dyDescent="0.3">
      <c r="B700" s="845" t="s">
        <v>246</v>
      </c>
      <c r="C700" s="1032" t="s">
        <v>131</v>
      </c>
      <c r="D700" s="1033"/>
      <c r="E700" s="1034" t="s">
        <v>637</v>
      </c>
      <c r="F700" s="1035"/>
      <c r="G700" s="1035"/>
      <c r="H700" s="1036"/>
      <c r="I700" s="846" t="s">
        <v>248</v>
      </c>
      <c r="J700" s="847">
        <f>+J688+1</f>
        <v>1211</v>
      </c>
      <c r="K700" s="848" t="s">
        <v>364</v>
      </c>
      <c r="L700" s="847">
        <v>221751</v>
      </c>
    </row>
    <row r="701" spans="1:14" x14ac:dyDescent="0.25">
      <c r="B701" s="849" t="s">
        <v>0</v>
      </c>
      <c r="C701" s="849" t="s">
        <v>249</v>
      </c>
      <c r="D701" s="849" t="s">
        <v>6</v>
      </c>
      <c r="E701" s="849" t="s">
        <v>250</v>
      </c>
      <c r="F701" s="849" t="s">
        <v>62</v>
      </c>
      <c r="G701" s="849" t="s">
        <v>63</v>
      </c>
      <c r="H701" s="849" t="s">
        <v>64</v>
      </c>
      <c r="I701" s="849" t="s">
        <v>251</v>
      </c>
      <c r="J701" s="849" t="s">
        <v>66</v>
      </c>
      <c r="K701" s="849" t="s">
        <v>68</v>
      </c>
      <c r="L701" s="849" t="s">
        <v>252</v>
      </c>
    </row>
    <row r="702" spans="1:14" x14ac:dyDescent="0.25">
      <c r="B702" s="850">
        <v>45653</v>
      </c>
      <c r="C702" s="851" t="s">
        <v>554</v>
      </c>
      <c r="D702" s="852" t="s">
        <v>18</v>
      </c>
      <c r="E702" s="853">
        <v>6833</v>
      </c>
      <c r="F702" s="853" t="s">
        <v>253</v>
      </c>
      <c r="G702" s="853" t="s">
        <v>253</v>
      </c>
      <c r="H702" s="853" t="s">
        <v>253</v>
      </c>
      <c r="I702" s="853" t="s">
        <v>253</v>
      </c>
      <c r="J702" s="853" t="s">
        <v>253</v>
      </c>
      <c r="K702" s="853" t="s">
        <v>253</v>
      </c>
      <c r="L702" s="854">
        <f t="shared" ref="L702:L709" si="109">SUM(E702:K702)</f>
        <v>6833</v>
      </c>
    </row>
    <row r="703" spans="1:14" x14ac:dyDescent="0.25">
      <c r="B703" s="850">
        <v>45701</v>
      </c>
      <c r="C703" s="851" t="s">
        <v>554</v>
      </c>
      <c r="D703" s="852" t="s">
        <v>18</v>
      </c>
      <c r="E703" s="853">
        <v>5000</v>
      </c>
      <c r="F703" s="853" t="s">
        <v>253</v>
      </c>
      <c r="G703" s="853" t="s">
        <v>253</v>
      </c>
      <c r="H703" s="853" t="s">
        <v>253</v>
      </c>
      <c r="I703" s="853" t="s">
        <v>253</v>
      </c>
      <c r="J703" s="853" t="s">
        <v>253</v>
      </c>
      <c r="K703" s="853" t="s">
        <v>253</v>
      </c>
      <c r="L703" s="854">
        <f t="shared" si="109"/>
        <v>5000</v>
      </c>
    </row>
    <row r="704" spans="1:14" x14ac:dyDescent="0.25">
      <c r="B704" s="850"/>
      <c r="C704" s="851"/>
      <c r="D704" s="852"/>
      <c r="E704" s="853" t="s">
        <v>253</v>
      </c>
      <c r="F704" s="853" t="s">
        <v>253</v>
      </c>
      <c r="G704" s="853" t="s">
        <v>253</v>
      </c>
      <c r="H704" s="853" t="s">
        <v>253</v>
      </c>
      <c r="I704" s="853" t="s">
        <v>253</v>
      </c>
      <c r="J704" s="853" t="s">
        <v>253</v>
      </c>
      <c r="K704" s="853" t="s">
        <v>253</v>
      </c>
      <c r="L704" s="854">
        <f t="shared" si="109"/>
        <v>0</v>
      </c>
    </row>
    <row r="705" spans="1:14" x14ac:dyDescent="0.25">
      <c r="B705" s="850"/>
      <c r="C705" s="851"/>
      <c r="D705" s="852"/>
      <c r="E705" s="853" t="s">
        <v>253</v>
      </c>
      <c r="F705" s="853" t="s">
        <v>253</v>
      </c>
      <c r="G705" s="853" t="s">
        <v>253</v>
      </c>
      <c r="H705" s="853" t="s">
        <v>253</v>
      </c>
      <c r="I705" s="853" t="s">
        <v>253</v>
      </c>
      <c r="J705" s="853" t="s">
        <v>253</v>
      </c>
      <c r="K705" s="853" t="s">
        <v>253</v>
      </c>
      <c r="L705" s="854">
        <f t="shared" si="109"/>
        <v>0</v>
      </c>
    </row>
    <row r="706" spans="1:14" x14ac:dyDescent="0.25">
      <c r="B706" s="850"/>
      <c r="C706" s="851"/>
      <c r="D706" s="852"/>
      <c r="E706" s="853" t="s">
        <v>253</v>
      </c>
      <c r="F706" s="853" t="s">
        <v>253</v>
      </c>
      <c r="G706" s="853" t="s">
        <v>253</v>
      </c>
      <c r="H706" s="853" t="s">
        <v>253</v>
      </c>
      <c r="I706" s="853" t="s">
        <v>253</v>
      </c>
      <c r="J706" s="853" t="s">
        <v>253</v>
      </c>
      <c r="K706" s="853" t="s">
        <v>253</v>
      </c>
      <c r="L706" s="854">
        <f t="shared" si="109"/>
        <v>0</v>
      </c>
    </row>
    <row r="707" spans="1:14" x14ac:dyDescent="0.25">
      <c r="B707" s="850"/>
      <c r="C707" s="851"/>
      <c r="D707" s="852"/>
      <c r="E707" s="853" t="s">
        <v>253</v>
      </c>
      <c r="F707" s="853" t="s">
        <v>253</v>
      </c>
      <c r="G707" s="853" t="s">
        <v>253</v>
      </c>
      <c r="H707" s="853" t="s">
        <v>253</v>
      </c>
      <c r="I707" s="853" t="s">
        <v>253</v>
      </c>
      <c r="J707" s="853" t="s">
        <v>253</v>
      </c>
      <c r="K707" s="853" t="s">
        <v>253</v>
      </c>
      <c r="L707" s="854">
        <f t="shared" si="109"/>
        <v>0</v>
      </c>
    </row>
    <row r="708" spans="1:14" x14ac:dyDescent="0.25">
      <c r="B708" s="850"/>
      <c r="C708" s="851"/>
      <c r="D708" s="852"/>
      <c r="E708" s="853" t="s">
        <v>253</v>
      </c>
      <c r="F708" s="853" t="s">
        <v>253</v>
      </c>
      <c r="G708" s="853" t="s">
        <v>253</v>
      </c>
      <c r="H708" s="853" t="s">
        <v>253</v>
      </c>
      <c r="I708" s="853" t="s">
        <v>253</v>
      </c>
      <c r="J708" s="853" t="s">
        <v>253</v>
      </c>
      <c r="K708" s="853" t="s">
        <v>253</v>
      </c>
      <c r="L708" s="854">
        <f t="shared" si="109"/>
        <v>0</v>
      </c>
    </row>
    <row r="709" spans="1:14" x14ac:dyDescent="0.25">
      <c r="B709" s="850"/>
      <c r="C709" s="851"/>
      <c r="D709" s="852"/>
      <c r="E709" s="853" t="s">
        <v>253</v>
      </c>
      <c r="F709" s="853" t="s">
        <v>253</v>
      </c>
      <c r="G709" s="853" t="s">
        <v>253</v>
      </c>
      <c r="H709" s="853" t="s">
        <v>253</v>
      </c>
      <c r="I709" s="853" t="s">
        <v>253</v>
      </c>
      <c r="J709" s="853" t="s">
        <v>253</v>
      </c>
      <c r="K709" s="853" t="s">
        <v>253</v>
      </c>
      <c r="L709" s="854">
        <f t="shared" si="109"/>
        <v>0</v>
      </c>
    </row>
    <row r="710" spans="1:14" ht="18.75" x14ac:dyDescent="0.25">
      <c r="A710" s="605" t="s">
        <v>254</v>
      </c>
      <c r="B710" s="1030" t="s">
        <v>255</v>
      </c>
      <c r="C710" s="1031"/>
      <c r="D710" s="855">
        <f>SUM(E710:K710)</f>
        <v>11833</v>
      </c>
      <c r="E710" s="854">
        <f t="shared" ref="E710:K710" si="110">SUM(E702:E709)</f>
        <v>11833</v>
      </c>
      <c r="F710" s="854">
        <f t="shared" si="110"/>
        <v>0</v>
      </c>
      <c r="G710" s="854">
        <f t="shared" si="110"/>
        <v>0</v>
      </c>
      <c r="H710" s="854">
        <f t="shared" si="110"/>
        <v>0</v>
      </c>
      <c r="I710" s="854">
        <f t="shared" si="110"/>
        <v>0</v>
      </c>
      <c r="J710" s="854">
        <f t="shared" si="110"/>
        <v>0</v>
      </c>
      <c r="K710" s="854">
        <f t="shared" si="110"/>
        <v>0</v>
      </c>
      <c r="L710" s="856">
        <f>SUM(E710:K710)-SUM(L702:L709)</f>
        <v>0</v>
      </c>
    </row>
    <row r="711" spans="1:14" ht="15.75" x14ac:dyDescent="0.25">
      <c r="D711" s="776">
        <f>+D710+D698+D686+D674+D662+D650+D638+D626+D614</f>
        <v>1012735</v>
      </c>
      <c r="N711" s="702"/>
    </row>
    <row r="712" spans="1:14" ht="18.75" x14ac:dyDescent="0.3">
      <c r="B712" s="592" t="s">
        <v>246</v>
      </c>
      <c r="C712" s="1037" t="s">
        <v>127</v>
      </c>
      <c r="D712" s="1038"/>
      <c r="E712" s="1041" t="s">
        <v>637</v>
      </c>
      <c r="F712" s="1042"/>
      <c r="G712" s="1042"/>
      <c r="H712" s="1043"/>
      <c r="I712" s="879" t="s">
        <v>248</v>
      </c>
      <c r="J712" s="596">
        <f>+J700+1</f>
        <v>1212</v>
      </c>
      <c r="K712" s="593" t="s">
        <v>364</v>
      </c>
      <c r="L712" s="878">
        <v>221753</v>
      </c>
    </row>
    <row r="713" spans="1:14" x14ac:dyDescent="0.25">
      <c r="B713" s="597" t="s">
        <v>0</v>
      </c>
      <c r="C713" s="597" t="s">
        <v>249</v>
      </c>
      <c r="D713" s="597" t="s">
        <v>6</v>
      </c>
      <c r="E713" s="597" t="s">
        <v>250</v>
      </c>
      <c r="F713" s="597" t="s">
        <v>62</v>
      </c>
      <c r="G713" s="597" t="s">
        <v>63</v>
      </c>
      <c r="H713" s="597" t="s">
        <v>64</v>
      </c>
      <c r="I713" s="597" t="s">
        <v>251</v>
      </c>
      <c r="J713" s="597" t="s">
        <v>66</v>
      </c>
      <c r="K713" s="597" t="s">
        <v>68</v>
      </c>
      <c r="L713" s="597" t="s">
        <v>252</v>
      </c>
    </row>
    <row r="714" spans="1:14" x14ac:dyDescent="0.25">
      <c r="B714" s="598">
        <v>45726</v>
      </c>
      <c r="C714" s="604" t="s">
        <v>141</v>
      </c>
      <c r="D714" s="599" t="s">
        <v>17</v>
      </c>
      <c r="E714" s="601">
        <v>20000</v>
      </c>
      <c r="F714" s="601">
        <v>35000</v>
      </c>
      <c r="G714" s="601" t="s">
        <v>253</v>
      </c>
      <c r="H714" s="601">
        <v>3000</v>
      </c>
      <c r="I714" s="601" t="s">
        <v>253</v>
      </c>
      <c r="J714" s="601" t="s">
        <v>253</v>
      </c>
      <c r="K714" s="601" t="s">
        <v>253</v>
      </c>
      <c r="L714" s="602">
        <f t="shared" ref="L714:L721" si="111">SUM(E714:K714)</f>
        <v>58000</v>
      </c>
    </row>
    <row r="715" spans="1:14" x14ac:dyDescent="0.25">
      <c r="B715" s="598">
        <v>45730</v>
      </c>
      <c r="C715" s="604" t="s">
        <v>554</v>
      </c>
      <c r="D715" s="599" t="s">
        <v>18</v>
      </c>
      <c r="E715" s="601">
        <v>2833</v>
      </c>
      <c r="F715" s="601" t="s">
        <v>253</v>
      </c>
      <c r="G715" s="601" t="s">
        <v>253</v>
      </c>
      <c r="H715" s="601" t="s">
        <v>253</v>
      </c>
      <c r="I715" s="601" t="s">
        <v>253</v>
      </c>
      <c r="J715" s="601" t="s">
        <v>253</v>
      </c>
      <c r="K715" s="601" t="s">
        <v>253</v>
      </c>
      <c r="L715" s="602">
        <f t="shared" si="111"/>
        <v>2833</v>
      </c>
    </row>
    <row r="716" spans="1:14" x14ac:dyDescent="0.25">
      <c r="B716" s="598"/>
      <c r="C716" s="604"/>
      <c r="D716" s="599"/>
      <c r="E716" s="601" t="s">
        <v>253</v>
      </c>
      <c r="F716" s="601" t="s">
        <v>253</v>
      </c>
      <c r="G716" s="601" t="s">
        <v>253</v>
      </c>
      <c r="H716" s="601" t="s">
        <v>253</v>
      </c>
      <c r="I716" s="601" t="s">
        <v>253</v>
      </c>
      <c r="J716" s="601" t="s">
        <v>253</v>
      </c>
      <c r="K716" s="601" t="s">
        <v>253</v>
      </c>
      <c r="L716" s="602">
        <f t="shared" si="111"/>
        <v>0</v>
      </c>
    </row>
    <row r="717" spans="1:14" x14ac:dyDescent="0.25">
      <c r="B717" s="598"/>
      <c r="C717" s="604"/>
      <c r="D717" s="599"/>
      <c r="E717" s="601" t="s">
        <v>253</v>
      </c>
      <c r="F717" s="601" t="s">
        <v>253</v>
      </c>
      <c r="G717" s="601" t="s">
        <v>253</v>
      </c>
      <c r="H717" s="601" t="s">
        <v>253</v>
      </c>
      <c r="I717" s="601" t="s">
        <v>253</v>
      </c>
      <c r="J717" s="601" t="s">
        <v>253</v>
      </c>
      <c r="K717" s="601" t="s">
        <v>253</v>
      </c>
      <c r="L717" s="602">
        <f t="shared" si="111"/>
        <v>0</v>
      </c>
    </row>
    <row r="718" spans="1:14" x14ac:dyDescent="0.25">
      <c r="B718" s="598"/>
      <c r="C718" s="604"/>
      <c r="D718" s="599"/>
      <c r="E718" s="601" t="s">
        <v>253</v>
      </c>
      <c r="F718" s="601" t="s">
        <v>253</v>
      </c>
      <c r="G718" s="601" t="s">
        <v>253</v>
      </c>
      <c r="H718" s="601" t="s">
        <v>253</v>
      </c>
      <c r="I718" s="601" t="s">
        <v>253</v>
      </c>
      <c r="J718" s="601" t="s">
        <v>253</v>
      </c>
      <c r="K718" s="601" t="s">
        <v>253</v>
      </c>
      <c r="L718" s="602">
        <f t="shared" si="111"/>
        <v>0</v>
      </c>
    </row>
    <row r="719" spans="1:14" x14ac:dyDescent="0.25">
      <c r="B719" s="598"/>
      <c r="C719" s="604"/>
      <c r="D719" s="599"/>
      <c r="E719" s="601" t="s">
        <v>253</v>
      </c>
      <c r="F719" s="601" t="s">
        <v>253</v>
      </c>
      <c r="G719" s="601" t="s">
        <v>253</v>
      </c>
      <c r="H719" s="601" t="s">
        <v>253</v>
      </c>
      <c r="I719" s="601" t="s">
        <v>253</v>
      </c>
      <c r="J719" s="601" t="s">
        <v>253</v>
      </c>
      <c r="K719" s="601" t="s">
        <v>253</v>
      </c>
      <c r="L719" s="602">
        <f t="shared" si="111"/>
        <v>0</v>
      </c>
    </row>
    <row r="720" spans="1:14" x14ac:dyDescent="0.25">
      <c r="B720" s="598"/>
      <c r="C720" s="604"/>
      <c r="D720" s="599"/>
      <c r="E720" s="601" t="s">
        <v>253</v>
      </c>
      <c r="F720" s="601" t="s">
        <v>253</v>
      </c>
      <c r="G720" s="601" t="s">
        <v>253</v>
      </c>
      <c r="H720" s="601" t="s">
        <v>253</v>
      </c>
      <c r="I720" s="601" t="s">
        <v>253</v>
      </c>
      <c r="J720" s="601" t="s">
        <v>253</v>
      </c>
      <c r="K720" s="601" t="s">
        <v>253</v>
      </c>
      <c r="L720" s="602">
        <f t="shared" si="111"/>
        <v>0</v>
      </c>
    </row>
    <row r="721" spans="1:14" x14ac:dyDescent="0.25">
      <c r="B721" s="598"/>
      <c r="C721" s="604"/>
      <c r="D721" s="599"/>
      <c r="E721" s="601" t="s">
        <v>253</v>
      </c>
      <c r="F721" s="601" t="s">
        <v>253</v>
      </c>
      <c r="G721" s="601" t="s">
        <v>253</v>
      </c>
      <c r="H721" s="601" t="s">
        <v>253</v>
      </c>
      <c r="I721" s="601" t="s">
        <v>253</v>
      </c>
      <c r="J721" s="601" t="s">
        <v>253</v>
      </c>
      <c r="K721" s="601" t="s">
        <v>253</v>
      </c>
      <c r="L721" s="602">
        <f t="shared" si="111"/>
        <v>0</v>
      </c>
    </row>
    <row r="722" spans="1:14" ht="18.75" x14ac:dyDescent="0.25">
      <c r="A722" s="605" t="s">
        <v>422</v>
      </c>
      <c r="B722" s="1039" t="s">
        <v>255</v>
      </c>
      <c r="C722" s="1040"/>
      <c r="D722" s="610">
        <f>SUM(E722:K722)</f>
        <v>60833</v>
      </c>
      <c r="E722" s="602">
        <f t="shared" ref="E722:K722" si="112">SUM(E714:E721)</f>
        <v>22833</v>
      </c>
      <c r="F722" s="602">
        <f t="shared" si="112"/>
        <v>35000</v>
      </c>
      <c r="G722" s="602">
        <f t="shared" si="112"/>
        <v>0</v>
      </c>
      <c r="H722" s="602">
        <f t="shared" si="112"/>
        <v>3000</v>
      </c>
      <c r="I722" s="602">
        <f t="shared" si="112"/>
        <v>0</v>
      </c>
      <c r="J722" s="602">
        <f t="shared" si="112"/>
        <v>0</v>
      </c>
      <c r="K722" s="602">
        <f t="shared" si="112"/>
        <v>0</v>
      </c>
      <c r="L722" s="606">
        <f>SUM(E722:K722)-SUM(L714:L721)</f>
        <v>0</v>
      </c>
    </row>
    <row r="723" spans="1:14" ht="15.75" x14ac:dyDescent="0.25">
      <c r="D723" s="776"/>
    </row>
    <row r="724" spans="1:14" ht="18.75" x14ac:dyDescent="0.3">
      <c r="B724" s="592" t="s">
        <v>246</v>
      </c>
      <c r="C724" s="1037" t="s">
        <v>128</v>
      </c>
      <c r="D724" s="1038"/>
      <c r="E724" s="1041" t="s">
        <v>637</v>
      </c>
      <c r="F724" s="1042"/>
      <c r="G724" s="1042"/>
      <c r="H724" s="1043"/>
      <c r="I724" s="879" t="s">
        <v>248</v>
      </c>
      <c r="J724" s="596">
        <f>+J712+1</f>
        <v>1213</v>
      </c>
      <c r="K724" s="593" t="s">
        <v>364</v>
      </c>
      <c r="L724" s="878">
        <v>221753</v>
      </c>
    </row>
    <row r="725" spans="1:14" x14ac:dyDescent="0.25">
      <c r="B725" s="597" t="s">
        <v>0</v>
      </c>
      <c r="C725" s="597" t="s">
        <v>249</v>
      </c>
      <c r="D725" s="597" t="s">
        <v>6</v>
      </c>
      <c r="E725" s="597" t="s">
        <v>250</v>
      </c>
      <c r="F725" s="597" t="s">
        <v>62</v>
      </c>
      <c r="G725" s="597" t="s">
        <v>63</v>
      </c>
      <c r="H725" s="597" t="s">
        <v>64</v>
      </c>
      <c r="I725" s="597" t="s">
        <v>251</v>
      </c>
      <c r="J725" s="597" t="s">
        <v>66</v>
      </c>
      <c r="K725" s="597" t="s">
        <v>68</v>
      </c>
      <c r="L725" s="597" t="s">
        <v>252</v>
      </c>
    </row>
    <row r="726" spans="1:14" x14ac:dyDescent="0.25">
      <c r="B726" s="598">
        <v>45729</v>
      </c>
      <c r="C726" s="604" t="s">
        <v>554</v>
      </c>
      <c r="D726" s="599" t="s">
        <v>18</v>
      </c>
      <c r="E726" s="601">
        <v>11250</v>
      </c>
      <c r="F726" s="601" t="s">
        <v>253</v>
      </c>
      <c r="G726" s="601" t="s">
        <v>253</v>
      </c>
      <c r="H726" s="601" t="s">
        <v>253</v>
      </c>
      <c r="I726" s="601" t="s">
        <v>253</v>
      </c>
      <c r="J726" s="601" t="s">
        <v>253</v>
      </c>
      <c r="K726" s="601" t="s">
        <v>253</v>
      </c>
      <c r="L726" s="602">
        <f t="shared" ref="L726:L733" si="113">SUM(E726:K726)</f>
        <v>11250</v>
      </c>
    </row>
    <row r="727" spans="1:14" x14ac:dyDescent="0.25">
      <c r="B727" s="598">
        <v>45730</v>
      </c>
      <c r="C727" s="604" t="s">
        <v>554</v>
      </c>
      <c r="D727" s="599" t="s">
        <v>18</v>
      </c>
      <c r="E727" s="601">
        <v>2833</v>
      </c>
      <c r="F727" s="601" t="s">
        <v>253</v>
      </c>
      <c r="G727" s="601" t="s">
        <v>253</v>
      </c>
      <c r="H727" s="601" t="s">
        <v>253</v>
      </c>
      <c r="I727" s="601" t="s">
        <v>253</v>
      </c>
      <c r="J727" s="601" t="s">
        <v>253</v>
      </c>
      <c r="K727" s="601" t="s">
        <v>253</v>
      </c>
      <c r="L727" s="602">
        <f t="shared" si="113"/>
        <v>2833</v>
      </c>
    </row>
    <row r="728" spans="1:14" x14ac:dyDescent="0.25">
      <c r="B728" s="598">
        <v>45734</v>
      </c>
      <c r="C728" s="604" t="s">
        <v>554</v>
      </c>
      <c r="D728" s="599" t="s">
        <v>18</v>
      </c>
      <c r="E728" s="601">
        <v>5000</v>
      </c>
      <c r="F728" s="601" t="s">
        <v>253</v>
      </c>
      <c r="G728" s="601" t="s">
        <v>253</v>
      </c>
      <c r="H728" s="601" t="s">
        <v>253</v>
      </c>
      <c r="I728" s="601" t="s">
        <v>253</v>
      </c>
      <c r="J728" s="601" t="s">
        <v>253</v>
      </c>
      <c r="K728" s="601" t="s">
        <v>253</v>
      </c>
      <c r="L728" s="602">
        <f t="shared" si="113"/>
        <v>5000</v>
      </c>
    </row>
    <row r="729" spans="1:14" x14ac:dyDescent="0.25">
      <c r="B729" s="598">
        <v>45737</v>
      </c>
      <c r="C729" s="604" t="s">
        <v>141</v>
      </c>
      <c r="D729" s="599" t="s">
        <v>19</v>
      </c>
      <c r="E729" s="601">
        <v>20000</v>
      </c>
      <c r="F729" s="601" t="s">
        <v>253</v>
      </c>
      <c r="G729" s="601" t="s">
        <v>253</v>
      </c>
      <c r="H729" s="601" t="s">
        <v>253</v>
      </c>
      <c r="I729" s="601" t="s">
        <v>253</v>
      </c>
      <c r="J729" s="601" t="s">
        <v>253</v>
      </c>
      <c r="K729" s="601" t="s">
        <v>253</v>
      </c>
      <c r="L729" s="602">
        <f t="shared" si="113"/>
        <v>20000</v>
      </c>
    </row>
    <row r="730" spans="1:14" x14ac:dyDescent="0.25">
      <c r="B730" s="598"/>
      <c r="C730" s="604"/>
      <c r="D730" s="599"/>
      <c r="E730" s="601" t="s">
        <v>253</v>
      </c>
      <c r="F730" s="601" t="s">
        <v>253</v>
      </c>
      <c r="G730" s="601" t="s">
        <v>253</v>
      </c>
      <c r="H730" s="601" t="s">
        <v>253</v>
      </c>
      <c r="I730" s="601" t="s">
        <v>253</v>
      </c>
      <c r="J730" s="601" t="s">
        <v>253</v>
      </c>
      <c r="K730" s="601" t="s">
        <v>253</v>
      </c>
      <c r="L730" s="602">
        <f t="shared" si="113"/>
        <v>0</v>
      </c>
    </row>
    <row r="731" spans="1:14" x14ac:dyDescent="0.25">
      <c r="B731" s="598"/>
      <c r="C731" s="604"/>
      <c r="D731" s="599"/>
      <c r="E731" s="601" t="s">
        <v>253</v>
      </c>
      <c r="F731" s="601" t="s">
        <v>253</v>
      </c>
      <c r="G731" s="601" t="s">
        <v>253</v>
      </c>
      <c r="H731" s="601" t="s">
        <v>253</v>
      </c>
      <c r="I731" s="601" t="s">
        <v>253</v>
      </c>
      <c r="J731" s="601" t="s">
        <v>253</v>
      </c>
      <c r="K731" s="601" t="s">
        <v>253</v>
      </c>
      <c r="L731" s="602">
        <f t="shared" si="113"/>
        <v>0</v>
      </c>
    </row>
    <row r="732" spans="1:14" x14ac:dyDescent="0.25">
      <c r="B732" s="598"/>
      <c r="C732" s="604"/>
      <c r="D732" s="599"/>
      <c r="E732" s="601" t="s">
        <v>253</v>
      </c>
      <c r="F732" s="601" t="s">
        <v>253</v>
      </c>
      <c r="G732" s="601" t="s">
        <v>253</v>
      </c>
      <c r="H732" s="601" t="s">
        <v>253</v>
      </c>
      <c r="I732" s="601" t="s">
        <v>253</v>
      </c>
      <c r="J732" s="601" t="s">
        <v>253</v>
      </c>
      <c r="K732" s="601" t="s">
        <v>253</v>
      </c>
      <c r="L732" s="602">
        <f t="shared" si="113"/>
        <v>0</v>
      </c>
    </row>
    <row r="733" spans="1:14" x14ac:dyDescent="0.25">
      <c r="B733" s="598"/>
      <c r="C733" s="604"/>
      <c r="D733" s="599"/>
      <c r="E733" s="601" t="s">
        <v>253</v>
      </c>
      <c r="F733" s="601" t="s">
        <v>253</v>
      </c>
      <c r="G733" s="601" t="s">
        <v>253</v>
      </c>
      <c r="H733" s="601" t="s">
        <v>253</v>
      </c>
      <c r="I733" s="601" t="s">
        <v>253</v>
      </c>
      <c r="J733" s="601" t="s">
        <v>253</v>
      </c>
      <c r="K733" s="601" t="s">
        <v>253</v>
      </c>
      <c r="L733" s="602">
        <f t="shared" si="113"/>
        <v>0</v>
      </c>
    </row>
    <row r="734" spans="1:14" ht="18.75" x14ac:dyDescent="0.25">
      <c r="A734" s="605" t="s">
        <v>422</v>
      </c>
      <c r="B734" s="1039" t="s">
        <v>255</v>
      </c>
      <c r="C734" s="1040"/>
      <c r="D734" s="610">
        <f>SUM(E734:K734)</f>
        <v>39083</v>
      </c>
      <c r="E734" s="602">
        <f t="shared" ref="E734:K734" si="114">SUM(E726:E733)</f>
        <v>39083</v>
      </c>
      <c r="F734" s="602">
        <f t="shared" si="114"/>
        <v>0</v>
      </c>
      <c r="G734" s="602">
        <f t="shared" si="114"/>
        <v>0</v>
      </c>
      <c r="H734" s="602">
        <f t="shared" si="114"/>
        <v>0</v>
      </c>
      <c r="I734" s="602">
        <f t="shared" si="114"/>
        <v>0</v>
      </c>
      <c r="J734" s="602">
        <f t="shared" si="114"/>
        <v>0</v>
      </c>
      <c r="K734" s="602">
        <f t="shared" si="114"/>
        <v>0</v>
      </c>
      <c r="L734" s="606">
        <f>SUM(E734:K734)-SUM(L726:L733)</f>
        <v>0</v>
      </c>
    </row>
    <row r="735" spans="1:14" ht="15.75" x14ac:dyDescent="0.25">
      <c r="D735" s="776"/>
    </row>
    <row r="736" spans="1:14" ht="18.75" x14ac:dyDescent="0.3">
      <c r="B736" s="592" t="s">
        <v>246</v>
      </c>
      <c r="C736" s="1037" t="s">
        <v>129</v>
      </c>
      <c r="D736" s="1038"/>
      <c r="E736" s="1041" t="s">
        <v>637</v>
      </c>
      <c r="F736" s="1042"/>
      <c r="G736" s="1042"/>
      <c r="H736" s="1043"/>
      <c r="I736" s="879" t="s">
        <v>248</v>
      </c>
      <c r="J736" s="596">
        <f>+J724+1</f>
        <v>1214</v>
      </c>
      <c r="K736" s="593" t="s">
        <v>364</v>
      </c>
      <c r="L736" s="878">
        <v>221753</v>
      </c>
      <c r="N736" s="670">
        <v>130966</v>
      </c>
    </row>
    <row r="737" spans="1:14" x14ac:dyDescent="0.25">
      <c r="B737" s="597" t="s">
        <v>0</v>
      </c>
      <c r="C737" s="597" t="s">
        <v>249</v>
      </c>
      <c r="D737" s="597" t="s">
        <v>6</v>
      </c>
      <c r="E737" s="597" t="s">
        <v>250</v>
      </c>
      <c r="F737" s="597" t="s">
        <v>62</v>
      </c>
      <c r="G737" s="597" t="s">
        <v>63</v>
      </c>
      <c r="H737" s="597" t="s">
        <v>64</v>
      </c>
      <c r="I737" s="597" t="s">
        <v>251</v>
      </c>
      <c r="J737" s="597" t="s">
        <v>66</v>
      </c>
      <c r="K737" s="597" t="s">
        <v>68</v>
      </c>
      <c r="L737" s="597" t="s">
        <v>252</v>
      </c>
      <c r="N737" s="670">
        <v>7000</v>
      </c>
    </row>
    <row r="738" spans="1:14" x14ac:dyDescent="0.25">
      <c r="B738" s="598">
        <v>45726</v>
      </c>
      <c r="C738" s="604" t="s">
        <v>141</v>
      </c>
      <c r="D738" s="599" t="s">
        <v>17</v>
      </c>
      <c r="E738" s="601">
        <v>20000</v>
      </c>
      <c r="F738" s="601">
        <v>13000</v>
      </c>
      <c r="G738" s="601">
        <v>3400</v>
      </c>
      <c r="H738" s="601">
        <v>2000</v>
      </c>
      <c r="I738" s="601">
        <v>2000</v>
      </c>
      <c r="J738" s="601">
        <v>0</v>
      </c>
      <c r="K738" s="601">
        <v>149952</v>
      </c>
      <c r="L738" s="602">
        <f t="shared" ref="L738:L745" si="115">SUM(E738:K738)</f>
        <v>190352</v>
      </c>
      <c r="N738" s="670">
        <v>6000</v>
      </c>
    </row>
    <row r="739" spans="1:14" x14ac:dyDescent="0.25">
      <c r="B739" s="598">
        <v>45730</v>
      </c>
      <c r="C739" s="604" t="s">
        <v>554</v>
      </c>
      <c r="D739" s="599" t="s">
        <v>18</v>
      </c>
      <c r="E739" s="601">
        <v>2833</v>
      </c>
      <c r="F739" s="601" t="s">
        <v>253</v>
      </c>
      <c r="G739" s="601" t="s">
        <v>253</v>
      </c>
      <c r="H739" s="601" t="s">
        <v>253</v>
      </c>
      <c r="I739" s="601" t="s">
        <v>253</v>
      </c>
      <c r="J739" s="601" t="s">
        <v>253</v>
      </c>
      <c r="K739" s="601" t="s">
        <v>253</v>
      </c>
      <c r="L739" s="602">
        <f t="shared" si="115"/>
        <v>2833</v>
      </c>
      <c r="N739" s="670">
        <v>18986</v>
      </c>
    </row>
    <row r="740" spans="1:14" x14ac:dyDescent="0.25">
      <c r="B740" s="598">
        <v>45734</v>
      </c>
      <c r="C740" s="604" t="s">
        <v>554</v>
      </c>
      <c r="D740" s="599" t="s">
        <v>18</v>
      </c>
      <c r="E740" s="601">
        <v>5000</v>
      </c>
      <c r="F740" s="601" t="s">
        <v>253</v>
      </c>
      <c r="G740" s="601" t="s">
        <v>253</v>
      </c>
      <c r="H740" s="601" t="s">
        <v>253</v>
      </c>
      <c r="I740" s="601" t="s">
        <v>253</v>
      </c>
      <c r="J740" s="601" t="s">
        <v>253</v>
      </c>
      <c r="K740" s="601" t="s">
        <v>253</v>
      </c>
      <c r="L740" s="602">
        <f t="shared" si="115"/>
        <v>5000</v>
      </c>
      <c r="N740" s="670">
        <v>4000</v>
      </c>
    </row>
    <row r="741" spans="1:14" x14ac:dyDescent="0.25">
      <c r="B741" s="598"/>
      <c r="C741" s="604"/>
      <c r="D741" s="599"/>
      <c r="E741" s="601" t="s">
        <v>253</v>
      </c>
      <c r="F741" s="601" t="s">
        <v>253</v>
      </c>
      <c r="G741" s="601" t="s">
        <v>253</v>
      </c>
      <c r="H741" s="601" t="s">
        <v>253</v>
      </c>
      <c r="I741" s="601" t="s">
        <v>253</v>
      </c>
      <c r="J741" s="601" t="s">
        <v>253</v>
      </c>
      <c r="K741" s="601" t="s">
        <v>253</v>
      </c>
      <c r="L741" s="602">
        <f t="shared" si="115"/>
        <v>0</v>
      </c>
      <c r="N741" s="670">
        <v>1400</v>
      </c>
    </row>
    <row r="742" spans="1:14" x14ac:dyDescent="0.25">
      <c r="B742" s="598"/>
      <c r="C742" s="604"/>
      <c r="D742" s="599"/>
      <c r="E742" s="601" t="s">
        <v>253</v>
      </c>
      <c r="F742" s="601" t="s">
        <v>253</v>
      </c>
      <c r="G742" s="601" t="s">
        <v>253</v>
      </c>
      <c r="H742" s="601" t="s">
        <v>253</v>
      </c>
      <c r="I742" s="601" t="s">
        <v>253</v>
      </c>
      <c r="J742" s="601" t="s">
        <v>253</v>
      </c>
      <c r="K742" s="601" t="s">
        <v>253</v>
      </c>
      <c r="L742" s="602">
        <f t="shared" si="115"/>
        <v>0</v>
      </c>
      <c r="N742" s="670">
        <v>2000</v>
      </c>
    </row>
    <row r="743" spans="1:14" x14ac:dyDescent="0.25">
      <c r="B743" s="598"/>
      <c r="C743" s="604"/>
      <c r="D743" s="599"/>
      <c r="E743" s="601" t="s">
        <v>253</v>
      </c>
      <c r="F743" s="601" t="s">
        <v>253</v>
      </c>
      <c r="G743" s="601" t="s">
        <v>253</v>
      </c>
      <c r="H743" s="601" t="s">
        <v>253</v>
      </c>
      <c r="I743" s="601" t="s">
        <v>253</v>
      </c>
      <c r="J743" s="601" t="s">
        <v>253</v>
      </c>
      <c r="K743" s="601" t="s">
        <v>253</v>
      </c>
      <c r="L743" s="602">
        <f t="shared" si="115"/>
        <v>0</v>
      </c>
      <c r="N743" s="670">
        <v>20000</v>
      </c>
    </row>
    <row r="744" spans="1:14" x14ac:dyDescent="0.25">
      <c r="B744" s="598"/>
      <c r="C744" s="604"/>
      <c r="D744" s="599"/>
      <c r="E744" s="601" t="s">
        <v>253</v>
      </c>
      <c r="F744" s="601" t="s">
        <v>253</v>
      </c>
      <c r="G744" s="601" t="s">
        <v>253</v>
      </c>
      <c r="H744" s="601" t="s">
        <v>253</v>
      </c>
      <c r="I744" s="601" t="s">
        <v>253</v>
      </c>
      <c r="J744" s="601" t="s">
        <v>253</v>
      </c>
      <c r="K744" s="601" t="s">
        <v>253</v>
      </c>
      <c r="L744" s="602">
        <f t="shared" si="115"/>
        <v>0</v>
      </c>
      <c r="N744" s="882">
        <f>+E740+E739</f>
        <v>7833</v>
      </c>
    </row>
    <row r="745" spans="1:14" x14ac:dyDescent="0.25">
      <c r="B745" s="598"/>
      <c r="C745" s="604"/>
      <c r="D745" s="599"/>
      <c r="E745" s="601" t="s">
        <v>253</v>
      </c>
      <c r="F745" s="601" t="s">
        <v>253</v>
      </c>
      <c r="G745" s="601" t="s">
        <v>253</v>
      </c>
      <c r="H745" s="601" t="s">
        <v>253</v>
      </c>
      <c r="I745" s="601" t="s">
        <v>253</v>
      </c>
      <c r="J745" s="601" t="s">
        <v>253</v>
      </c>
      <c r="K745" s="601" t="s">
        <v>253</v>
      </c>
      <c r="L745" s="602">
        <f t="shared" si="115"/>
        <v>0</v>
      </c>
      <c r="N745" s="95">
        <f>SUM(N736:N744)</f>
        <v>198185</v>
      </c>
    </row>
    <row r="746" spans="1:14" ht="18.75" x14ac:dyDescent="0.25">
      <c r="A746" s="605" t="s">
        <v>422</v>
      </c>
      <c r="B746" s="1039" t="s">
        <v>255</v>
      </c>
      <c r="C746" s="1040"/>
      <c r="D746" s="610">
        <f>SUM(E746:K746)</f>
        <v>198185</v>
      </c>
      <c r="E746" s="602">
        <f t="shared" ref="E746:K746" si="116">SUM(E738:E745)</f>
        <v>27833</v>
      </c>
      <c r="F746" s="602">
        <f t="shared" si="116"/>
        <v>13000</v>
      </c>
      <c r="G746" s="602">
        <f t="shared" si="116"/>
        <v>3400</v>
      </c>
      <c r="H746" s="602">
        <f t="shared" si="116"/>
        <v>2000</v>
      </c>
      <c r="I746" s="602">
        <f t="shared" si="116"/>
        <v>2000</v>
      </c>
      <c r="J746" s="602">
        <f t="shared" si="116"/>
        <v>0</v>
      </c>
      <c r="K746" s="602">
        <f t="shared" si="116"/>
        <v>149952</v>
      </c>
      <c r="L746" s="606">
        <f>SUM(E746:K746)-SUM(L738:L745)</f>
        <v>0</v>
      </c>
      <c r="N746" s="702">
        <f>+N745-D746</f>
        <v>0</v>
      </c>
    </row>
    <row r="747" spans="1:14" ht="15.75" x14ac:dyDescent="0.25">
      <c r="D747" s="776"/>
    </row>
    <row r="748" spans="1:14" ht="18.75" x14ac:dyDescent="0.3">
      <c r="B748" s="592" t="s">
        <v>246</v>
      </c>
      <c r="C748" s="1037" t="s">
        <v>232</v>
      </c>
      <c r="D748" s="1038"/>
      <c r="E748" s="1041" t="s">
        <v>637</v>
      </c>
      <c r="F748" s="1042"/>
      <c r="G748" s="1042"/>
      <c r="H748" s="1043"/>
      <c r="I748" s="879" t="s">
        <v>248</v>
      </c>
      <c r="J748" s="596">
        <f>+J736+1</f>
        <v>1215</v>
      </c>
      <c r="K748" s="593" t="s">
        <v>364</v>
      </c>
      <c r="L748" s="878">
        <v>221753</v>
      </c>
    </row>
    <row r="749" spans="1:14" x14ac:dyDescent="0.25">
      <c r="B749" s="597" t="s">
        <v>0</v>
      </c>
      <c r="C749" s="597" t="s">
        <v>249</v>
      </c>
      <c r="D749" s="597" t="s">
        <v>6</v>
      </c>
      <c r="E749" s="597" t="s">
        <v>250</v>
      </c>
      <c r="F749" s="597" t="s">
        <v>62</v>
      </c>
      <c r="G749" s="597" t="s">
        <v>63</v>
      </c>
      <c r="H749" s="597" t="s">
        <v>64</v>
      </c>
      <c r="I749" s="597" t="s">
        <v>251</v>
      </c>
      <c r="J749" s="597" t="s">
        <v>66</v>
      </c>
      <c r="K749" s="597" t="s">
        <v>68</v>
      </c>
      <c r="L749" s="597" t="s">
        <v>252</v>
      </c>
    </row>
    <row r="750" spans="1:14" x14ac:dyDescent="0.25">
      <c r="B750" s="598">
        <v>45730</v>
      </c>
      <c r="C750" s="604" t="s">
        <v>554</v>
      </c>
      <c r="D750" s="599" t="s">
        <v>18</v>
      </c>
      <c r="E750" s="601">
        <v>2833</v>
      </c>
      <c r="F750" s="601" t="s">
        <v>253</v>
      </c>
      <c r="G750" s="601" t="s">
        <v>253</v>
      </c>
      <c r="H750" s="601" t="s">
        <v>253</v>
      </c>
      <c r="I750" s="601" t="s">
        <v>253</v>
      </c>
      <c r="J750" s="601" t="s">
        <v>253</v>
      </c>
      <c r="K750" s="601" t="s">
        <v>253</v>
      </c>
      <c r="L750" s="602">
        <f t="shared" ref="L750:L757" si="117">SUM(E750:K750)</f>
        <v>2833</v>
      </c>
    </row>
    <row r="751" spans="1:14" x14ac:dyDescent="0.25">
      <c r="B751" s="598"/>
      <c r="C751" s="604"/>
      <c r="D751" s="599"/>
      <c r="E751" s="601" t="s">
        <v>253</v>
      </c>
      <c r="F751" s="601" t="s">
        <v>253</v>
      </c>
      <c r="G751" s="601" t="s">
        <v>253</v>
      </c>
      <c r="H751" s="601" t="s">
        <v>253</v>
      </c>
      <c r="I751" s="601" t="s">
        <v>253</v>
      </c>
      <c r="J751" s="601" t="s">
        <v>253</v>
      </c>
      <c r="K751" s="601" t="s">
        <v>253</v>
      </c>
      <c r="L751" s="602">
        <f t="shared" si="117"/>
        <v>0</v>
      </c>
    </row>
    <row r="752" spans="1:14" x14ac:dyDescent="0.25">
      <c r="B752" s="598"/>
      <c r="C752" s="604"/>
      <c r="D752" s="599"/>
      <c r="E752" s="601" t="s">
        <v>253</v>
      </c>
      <c r="F752" s="601" t="s">
        <v>253</v>
      </c>
      <c r="G752" s="601" t="s">
        <v>253</v>
      </c>
      <c r="H752" s="601" t="s">
        <v>253</v>
      </c>
      <c r="I752" s="601" t="s">
        <v>253</v>
      </c>
      <c r="J752" s="601" t="s">
        <v>253</v>
      </c>
      <c r="K752" s="601" t="s">
        <v>253</v>
      </c>
      <c r="L752" s="602">
        <f t="shared" si="117"/>
        <v>0</v>
      </c>
    </row>
    <row r="753" spans="1:14" x14ac:dyDescent="0.25">
      <c r="B753" s="598"/>
      <c r="C753" s="604"/>
      <c r="D753" s="599"/>
      <c r="E753" s="601" t="s">
        <v>253</v>
      </c>
      <c r="F753" s="601" t="s">
        <v>253</v>
      </c>
      <c r="G753" s="601" t="s">
        <v>253</v>
      </c>
      <c r="H753" s="601" t="s">
        <v>253</v>
      </c>
      <c r="I753" s="601" t="s">
        <v>253</v>
      </c>
      <c r="J753" s="601" t="s">
        <v>253</v>
      </c>
      <c r="K753" s="601" t="s">
        <v>253</v>
      </c>
      <c r="L753" s="602">
        <f t="shared" si="117"/>
        <v>0</v>
      </c>
    </row>
    <row r="754" spans="1:14" x14ac:dyDescent="0.25">
      <c r="B754" s="598"/>
      <c r="C754" s="604"/>
      <c r="D754" s="599"/>
      <c r="E754" s="601" t="s">
        <v>253</v>
      </c>
      <c r="F754" s="601" t="s">
        <v>253</v>
      </c>
      <c r="G754" s="601" t="s">
        <v>253</v>
      </c>
      <c r="H754" s="601" t="s">
        <v>253</v>
      </c>
      <c r="I754" s="601" t="s">
        <v>253</v>
      </c>
      <c r="J754" s="601" t="s">
        <v>253</v>
      </c>
      <c r="K754" s="601" t="s">
        <v>253</v>
      </c>
      <c r="L754" s="602">
        <f t="shared" si="117"/>
        <v>0</v>
      </c>
    </row>
    <row r="755" spans="1:14" x14ac:dyDescent="0.25">
      <c r="B755" s="598"/>
      <c r="C755" s="604"/>
      <c r="D755" s="599"/>
      <c r="E755" s="601" t="s">
        <v>253</v>
      </c>
      <c r="F755" s="601" t="s">
        <v>253</v>
      </c>
      <c r="G755" s="601" t="s">
        <v>253</v>
      </c>
      <c r="H755" s="601" t="s">
        <v>253</v>
      </c>
      <c r="I755" s="601" t="s">
        <v>253</v>
      </c>
      <c r="J755" s="601" t="s">
        <v>253</v>
      </c>
      <c r="K755" s="601" t="s">
        <v>253</v>
      </c>
      <c r="L755" s="602">
        <f t="shared" si="117"/>
        <v>0</v>
      </c>
    </row>
    <row r="756" spans="1:14" x14ac:dyDescent="0.25">
      <c r="B756" s="598"/>
      <c r="C756" s="604"/>
      <c r="D756" s="599"/>
      <c r="E756" s="601" t="s">
        <v>253</v>
      </c>
      <c r="F756" s="601" t="s">
        <v>253</v>
      </c>
      <c r="G756" s="601" t="s">
        <v>253</v>
      </c>
      <c r="H756" s="601" t="s">
        <v>253</v>
      </c>
      <c r="I756" s="601" t="s">
        <v>253</v>
      </c>
      <c r="J756" s="601" t="s">
        <v>253</v>
      </c>
      <c r="K756" s="601" t="s">
        <v>253</v>
      </c>
      <c r="L756" s="602">
        <f t="shared" si="117"/>
        <v>0</v>
      </c>
    </row>
    <row r="757" spans="1:14" x14ac:dyDescent="0.25">
      <c r="B757" s="598"/>
      <c r="C757" s="604"/>
      <c r="D757" s="599"/>
      <c r="E757" s="601" t="s">
        <v>253</v>
      </c>
      <c r="F757" s="601" t="s">
        <v>253</v>
      </c>
      <c r="G757" s="601" t="s">
        <v>253</v>
      </c>
      <c r="H757" s="601" t="s">
        <v>253</v>
      </c>
      <c r="I757" s="601" t="s">
        <v>253</v>
      </c>
      <c r="J757" s="601" t="s">
        <v>253</v>
      </c>
      <c r="K757" s="601" t="s">
        <v>253</v>
      </c>
      <c r="L757" s="602">
        <f t="shared" si="117"/>
        <v>0</v>
      </c>
    </row>
    <row r="758" spans="1:14" ht="18.75" x14ac:dyDescent="0.25">
      <c r="A758" s="605" t="s">
        <v>422</v>
      </c>
      <c r="B758" s="1039" t="s">
        <v>255</v>
      </c>
      <c r="C758" s="1040"/>
      <c r="D758" s="610">
        <f>SUM(E758:K758)</f>
        <v>2833</v>
      </c>
      <c r="E758" s="602">
        <f t="shared" ref="E758:K758" si="118">SUM(E750:E757)</f>
        <v>2833</v>
      </c>
      <c r="F758" s="602">
        <f t="shared" si="118"/>
        <v>0</v>
      </c>
      <c r="G758" s="602">
        <f t="shared" si="118"/>
        <v>0</v>
      </c>
      <c r="H758" s="602">
        <f t="shared" si="118"/>
        <v>0</v>
      </c>
      <c r="I758" s="602">
        <f t="shared" si="118"/>
        <v>0</v>
      </c>
      <c r="J758" s="602">
        <f t="shared" si="118"/>
        <v>0</v>
      </c>
      <c r="K758" s="602">
        <f t="shared" si="118"/>
        <v>0</v>
      </c>
      <c r="L758" s="606">
        <f>SUM(E758:K758)-SUM(L750:L757)</f>
        <v>0</v>
      </c>
    </row>
    <row r="759" spans="1:14" ht="15.75" x14ac:dyDescent="0.25">
      <c r="D759" s="776"/>
    </row>
    <row r="760" spans="1:14" ht="18.75" x14ac:dyDescent="0.3">
      <c r="B760" s="592" t="s">
        <v>246</v>
      </c>
      <c r="C760" s="1037" t="s">
        <v>131</v>
      </c>
      <c r="D760" s="1038"/>
      <c r="E760" s="1041" t="s">
        <v>637</v>
      </c>
      <c r="F760" s="1042"/>
      <c r="G760" s="1042"/>
      <c r="H760" s="1043"/>
      <c r="I760" s="879" t="s">
        <v>248</v>
      </c>
      <c r="J760" s="596">
        <f>+J748+1</f>
        <v>1216</v>
      </c>
      <c r="K760" s="593" t="s">
        <v>364</v>
      </c>
      <c r="L760" s="878">
        <v>221753</v>
      </c>
    </row>
    <row r="761" spans="1:14" x14ac:dyDescent="0.25">
      <c r="B761" s="597" t="s">
        <v>0</v>
      </c>
      <c r="C761" s="597" t="s">
        <v>249</v>
      </c>
      <c r="D761" s="597" t="s">
        <v>6</v>
      </c>
      <c r="E761" s="597" t="s">
        <v>250</v>
      </c>
      <c r="F761" s="597" t="s">
        <v>62</v>
      </c>
      <c r="G761" s="597" t="s">
        <v>63</v>
      </c>
      <c r="H761" s="597" t="s">
        <v>64</v>
      </c>
      <c r="I761" s="597" t="s">
        <v>251</v>
      </c>
      <c r="J761" s="597" t="s">
        <v>66</v>
      </c>
      <c r="K761" s="597" t="s">
        <v>68</v>
      </c>
      <c r="L761" s="597" t="s">
        <v>252</v>
      </c>
    </row>
    <row r="762" spans="1:14" x14ac:dyDescent="0.25">
      <c r="B762" s="598">
        <v>45726</v>
      </c>
      <c r="C762" s="604" t="s">
        <v>141</v>
      </c>
      <c r="D762" s="599" t="s">
        <v>17</v>
      </c>
      <c r="E762" s="601">
        <v>20000</v>
      </c>
      <c r="F762" s="601" t="s">
        <v>253</v>
      </c>
      <c r="G762" s="601" t="s">
        <v>253</v>
      </c>
      <c r="H762" s="601" t="s">
        <v>253</v>
      </c>
      <c r="I762" s="601" t="s">
        <v>253</v>
      </c>
      <c r="J762" s="601" t="s">
        <v>253</v>
      </c>
      <c r="K762" s="601" t="s">
        <v>253</v>
      </c>
      <c r="L762" s="602">
        <f t="shared" ref="L762:L769" si="119">SUM(E762:K762)</f>
        <v>20000</v>
      </c>
    </row>
    <row r="763" spans="1:14" x14ac:dyDescent="0.25">
      <c r="B763" s="598">
        <v>45730</v>
      </c>
      <c r="C763" s="604" t="s">
        <v>554</v>
      </c>
      <c r="D763" s="599" t="s">
        <v>18</v>
      </c>
      <c r="E763" s="601">
        <v>2833</v>
      </c>
      <c r="F763" s="601" t="s">
        <v>253</v>
      </c>
      <c r="G763" s="601" t="s">
        <v>253</v>
      </c>
      <c r="H763" s="601" t="s">
        <v>253</v>
      </c>
      <c r="I763" s="601" t="s">
        <v>253</v>
      </c>
      <c r="J763" s="601" t="s">
        <v>253</v>
      </c>
      <c r="K763" s="601" t="s">
        <v>253</v>
      </c>
      <c r="L763" s="602">
        <f t="shared" si="119"/>
        <v>2833</v>
      </c>
    </row>
    <row r="764" spans="1:14" x14ac:dyDescent="0.25">
      <c r="B764" s="598"/>
      <c r="C764" s="604"/>
      <c r="D764" s="599"/>
      <c r="E764" s="601" t="s">
        <v>253</v>
      </c>
      <c r="F764" s="601" t="s">
        <v>253</v>
      </c>
      <c r="G764" s="601" t="s">
        <v>253</v>
      </c>
      <c r="H764" s="601" t="s">
        <v>253</v>
      </c>
      <c r="I764" s="601" t="s">
        <v>253</v>
      </c>
      <c r="J764" s="601" t="s">
        <v>253</v>
      </c>
      <c r="K764" s="601" t="s">
        <v>253</v>
      </c>
      <c r="L764" s="602">
        <f t="shared" si="119"/>
        <v>0</v>
      </c>
    </row>
    <row r="765" spans="1:14" x14ac:dyDescent="0.25">
      <c r="B765" s="598"/>
      <c r="C765" s="604"/>
      <c r="D765" s="599"/>
      <c r="E765" s="601" t="s">
        <v>253</v>
      </c>
      <c r="F765" s="601" t="s">
        <v>253</v>
      </c>
      <c r="G765" s="601" t="s">
        <v>253</v>
      </c>
      <c r="H765" s="601" t="s">
        <v>253</v>
      </c>
      <c r="I765" s="601" t="s">
        <v>253</v>
      </c>
      <c r="J765" s="601" t="s">
        <v>253</v>
      </c>
      <c r="K765" s="601" t="s">
        <v>253</v>
      </c>
      <c r="L765" s="602">
        <f t="shared" si="119"/>
        <v>0</v>
      </c>
    </row>
    <row r="766" spans="1:14" x14ac:dyDescent="0.25">
      <c r="B766" s="598"/>
      <c r="C766" s="604"/>
      <c r="D766" s="599"/>
      <c r="E766" s="601" t="s">
        <v>253</v>
      </c>
      <c r="F766" s="601" t="s">
        <v>253</v>
      </c>
      <c r="G766" s="601" t="s">
        <v>253</v>
      </c>
      <c r="H766" s="601" t="s">
        <v>253</v>
      </c>
      <c r="I766" s="601" t="s">
        <v>253</v>
      </c>
      <c r="J766" s="601" t="s">
        <v>253</v>
      </c>
      <c r="K766" s="601" t="s">
        <v>253</v>
      </c>
      <c r="L766" s="602">
        <f t="shared" si="119"/>
        <v>0</v>
      </c>
    </row>
    <row r="767" spans="1:14" x14ac:dyDescent="0.25">
      <c r="B767" s="598"/>
      <c r="C767" s="604"/>
      <c r="D767" s="599"/>
      <c r="E767" s="601" t="s">
        <v>253</v>
      </c>
      <c r="F767" s="601" t="s">
        <v>253</v>
      </c>
      <c r="G767" s="601" t="s">
        <v>253</v>
      </c>
      <c r="H767" s="601" t="s">
        <v>253</v>
      </c>
      <c r="I767" s="601" t="s">
        <v>253</v>
      </c>
      <c r="J767" s="601" t="s">
        <v>253</v>
      </c>
      <c r="K767" s="601" t="s">
        <v>253</v>
      </c>
      <c r="L767" s="602">
        <f t="shared" si="119"/>
        <v>0</v>
      </c>
    </row>
    <row r="768" spans="1:14" x14ac:dyDescent="0.25">
      <c r="B768" s="598"/>
      <c r="C768" s="604"/>
      <c r="D768" s="599"/>
      <c r="E768" s="601" t="s">
        <v>253</v>
      </c>
      <c r="F768" s="601" t="s">
        <v>253</v>
      </c>
      <c r="G768" s="601" t="s">
        <v>253</v>
      </c>
      <c r="H768" s="601" t="s">
        <v>253</v>
      </c>
      <c r="I768" s="601" t="s">
        <v>253</v>
      </c>
      <c r="J768" s="601" t="s">
        <v>253</v>
      </c>
      <c r="K768" s="601" t="s">
        <v>253</v>
      </c>
      <c r="L768" s="602">
        <f t="shared" si="119"/>
        <v>0</v>
      </c>
      <c r="N768" s="702"/>
    </row>
    <row r="769" spans="1:14" x14ac:dyDescent="0.25">
      <c r="B769" s="598"/>
      <c r="C769" s="604"/>
      <c r="D769" s="599"/>
      <c r="E769" s="601" t="s">
        <v>253</v>
      </c>
      <c r="F769" s="601" t="s">
        <v>253</v>
      </c>
      <c r="G769" s="601" t="s">
        <v>253</v>
      </c>
      <c r="H769" s="601" t="s">
        <v>253</v>
      </c>
      <c r="I769" s="601" t="s">
        <v>253</v>
      </c>
      <c r="J769" s="601" t="s">
        <v>253</v>
      </c>
      <c r="K769" s="601" t="s">
        <v>253</v>
      </c>
      <c r="L769" s="602">
        <f t="shared" si="119"/>
        <v>0</v>
      </c>
    </row>
    <row r="770" spans="1:14" ht="18.75" x14ac:dyDescent="0.25">
      <c r="A770" s="605" t="s">
        <v>422</v>
      </c>
      <c r="B770" s="1039" t="s">
        <v>255</v>
      </c>
      <c r="C770" s="1040"/>
      <c r="D770" s="610">
        <f>SUM(E770:K770)</f>
        <v>22833</v>
      </c>
      <c r="E770" s="602">
        <f t="shared" ref="E770:K770" si="120">SUM(E762:E769)</f>
        <v>22833</v>
      </c>
      <c r="F770" s="602">
        <f t="shared" si="120"/>
        <v>0</v>
      </c>
      <c r="G770" s="602">
        <f t="shared" si="120"/>
        <v>0</v>
      </c>
      <c r="H770" s="602">
        <f t="shared" si="120"/>
        <v>0</v>
      </c>
      <c r="I770" s="602">
        <f t="shared" si="120"/>
        <v>0</v>
      </c>
      <c r="J770" s="602">
        <f t="shared" si="120"/>
        <v>0</v>
      </c>
      <c r="K770" s="602">
        <f t="shared" si="120"/>
        <v>0</v>
      </c>
      <c r="L770" s="606">
        <f>SUM(E770:K770)-SUM(L762:L769)</f>
        <v>0</v>
      </c>
      <c r="N770" s="95">
        <v>4700</v>
      </c>
    </row>
    <row r="771" spans="1:14" ht="15.75" x14ac:dyDescent="0.25">
      <c r="D771" s="776"/>
      <c r="N771" s="95">
        <v>3600</v>
      </c>
    </row>
    <row r="772" spans="1:14" ht="18.75" x14ac:dyDescent="0.3">
      <c r="B772" s="592" t="s">
        <v>246</v>
      </c>
      <c r="C772" s="1037" t="s">
        <v>176</v>
      </c>
      <c r="D772" s="1038"/>
      <c r="E772" s="1041" t="s">
        <v>637</v>
      </c>
      <c r="F772" s="1042"/>
      <c r="G772" s="1042"/>
      <c r="H772" s="1043"/>
      <c r="I772" s="879" t="s">
        <v>248</v>
      </c>
      <c r="J772" s="596">
        <f>+J760+1</f>
        <v>1217</v>
      </c>
      <c r="K772" s="593" t="s">
        <v>364</v>
      </c>
      <c r="L772" s="878">
        <v>221753</v>
      </c>
      <c r="N772" s="95">
        <v>2200</v>
      </c>
    </row>
    <row r="773" spans="1:14" x14ac:dyDescent="0.25">
      <c r="B773" s="597" t="s">
        <v>0</v>
      </c>
      <c r="C773" s="597" t="s">
        <v>249</v>
      </c>
      <c r="D773" s="597" t="s">
        <v>6</v>
      </c>
      <c r="E773" s="597" t="s">
        <v>250</v>
      </c>
      <c r="F773" s="597" t="s">
        <v>62</v>
      </c>
      <c r="G773" s="597" t="s">
        <v>63</v>
      </c>
      <c r="H773" s="597" t="s">
        <v>64</v>
      </c>
      <c r="I773" s="597" t="s">
        <v>251</v>
      </c>
      <c r="J773" s="597" t="s">
        <v>66</v>
      </c>
      <c r="K773" s="597" t="s">
        <v>68</v>
      </c>
      <c r="L773" s="597" t="s">
        <v>252</v>
      </c>
      <c r="N773" s="95">
        <v>3188</v>
      </c>
    </row>
    <row r="774" spans="1:14" x14ac:dyDescent="0.25">
      <c r="B774" s="598">
        <v>45726</v>
      </c>
      <c r="C774" s="604" t="s">
        <v>141</v>
      </c>
      <c r="D774" s="599" t="s">
        <v>17</v>
      </c>
      <c r="E774" s="601">
        <v>20000</v>
      </c>
      <c r="F774" s="601">
        <f>+VIATICOS!F39</f>
        <v>41470</v>
      </c>
      <c r="G774" s="601">
        <f>+VIATICOS!G39</f>
        <v>10500</v>
      </c>
      <c r="H774" s="601">
        <f>+VIATICOS!H39</f>
        <v>3000</v>
      </c>
      <c r="I774" s="601">
        <f>+VIATICOS!I39</f>
        <v>9876</v>
      </c>
      <c r="J774" s="601">
        <f>+VIATICOS!J39</f>
        <v>1100</v>
      </c>
      <c r="K774" s="601">
        <f>+VIATICOS!K39</f>
        <v>0</v>
      </c>
      <c r="L774" s="602">
        <f t="shared" ref="L774:L781" si="121">SUM(E774:K774)</f>
        <v>85946</v>
      </c>
      <c r="N774" s="95">
        <v>3000</v>
      </c>
    </row>
    <row r="775" spans="1:14" x14ac:dyDescent="0.25">
      <c r="B775" s="598">
        <v>45729</v>
      </c>
      <c r="C775" s="604" t="s">
        <v>554</v>
      </c>
      <c r="D775" s="880" t="s">
        <v>18</v>
      </c>
      <c r="E775" s="601">
        <v>11250</v>
      </c>
      <c r="F775" s="601" t="s">
        <v>253</v>
      </c>
      <c r="G775" s="601" t="s">
        <v>253</v>
      </c>
      <c r="H775" s="601" t="s">
        <v>253</v>
      </c>
      <c r="I775" s="601" t="s">
        <v>253</v>
      </c>
      <c r="J775" s="601" t="s">
        <v>253</v>
      </c>
      <c r="K775" s="601" t="s">
        <v>253</v>
      </c>
      <c r="L775" s="602">
        <f t="shared" si="121"/>
        <v>11250</v>
      </c>
      <c r="N775" s="95">
        <v>6688</v>
      </c>
    </row>
    <row r="776" spans="1:14" x14ac:dyDescent="0.25">
      <c r="B776" s="598">
        <v>45730</v>
      </c>
      <c r="C776" s="604" t="s">
        <v>554</v>
      </c>
      <c r="D776" s="599" t="s">
        <v>18</v>
      </c>
      <c r="E776" s="601">
        <v>2833</v>
      </c>
      <c r="F776" s="601" t="s">
        <v>253</v>
      </c>
      <c r="G776" s="601" t="s">
        <v>253</v>
      </c>
      <c r="H776" s="601" t="s">
        <v>253</v>
      </c>
      <c r="I776" s="601" t="s">
        <v>253</v>
      </c>
      <c r="J776" s="601" t="s">
        <v>253</v>
      </c>
      <c r="K776" s="601" t="s">
        <v>253</v>
      </c>
      <c r="L776" s="602">
        <f t="shared" si="121"/>
        <v>2833</v>
      </c>
      <c r="N776" s="95">
        <v>14042</v>
      </c>
    </row>
    <row r="777" spans="1:14" x14ac:dyDescent="0.25">
      <c r="B777" s="598">
        <v>45734</v>
      </c>
      <c r="C777" s="604" t="s">
        <v>554</v>
      </c>
      <c r="D777" s="880" t="s">
        <v>18</v>
      </c>
      <c r="E777" s="601">
        <v>5000</v>
      </c>
      <c r="F777" s="601" t="s">
        <v>253</v>
      </c>
      <c r="G777" s="601" t="s">
        <v>253</v>
      </c>
      <c r="H777" s="601" t="s">
        <v>253</v>
      </c>
      <c r="I777" s="601" t="s">
        <v>253</v>
      </c>
      <c r="J777" s="601" t="s">
        <v>253</v>
      </c>
      <c r="K777" s="601" t="s">
        <v>253</v>
      </c>
      <c r="L777" s="602">
        <f t="shared" si="121"/>
        <v>5000</v>
      </c>
      <c r="N777" s="95">
        <v>19420</v>
      </c>
    </row>
    <row r="778" spans="1:14" x14ac:dyDescent="0.25">
      <c r="B778" s="598"/>
      <c r="C778" s="604" t="s">
        <v>554</v>
      </c>
      <c r="D778" s="881">
        <v>45717</v>
      </c>
      <c r="E778" s="601" t="s">
        <v>253</v>
      </c>
      <c r="F778" s="601" t="s">
        <v>253</v>
      </c>
      <c r="G778" s="601" t="s">
        <v>253</v>
      </c>
      <c r="H778" s="601" t="s">
        <v>253</v>
      </c>
      <c r="I778" s="601" t="s">
        <v>253</v>
      </c>
      <c r="J778" s="601" t="s">
        <v>253</v>
      </c>
      <c r="K778" s="601">
        <v>14042</v>
      </c>
      <c r="L778" s="602">
        <f t="shared" si="121"/>
        <v>14042</v>
      </c>
      <c r="N778" s="95">
        <v>22050</v>
      </c>
    </row>
    <row r="779" spans="1:14" x14ac:dyDescent="0.25">
      <c r="B779" s="598"/>
      <c r="C779" s="604"/>
      <c r="D779" s="599"/>
      <c r="E779" s="601" t="s">
        <v>253</v>
      </c>
      <c r="F779" s="601" t="s">
        <v>253</v>
      </c>
      <c r="G779" s="601" t="s">
        <v>253</v>
      </c>
      <c r="H779" s="601" t="s">
        <v>253</v>
      </c>
      <c r="I779" s="601" t="s">
        <v>253</v>
      </c>
      <c r="J779" s="601" t="s">
        <v>253</v>
      </c>
      <c r="K779" s="601" t="s">
        <v>253</v>
      </c>
      <c r="L779" s="602">
        <f t="shared" si="121"/>
        <v>0</v>
      </c>
      <c r="N779" s="95">
        <v>500</v>
      </c>
    </row>
    <row r="780" spans="1:14" x14ac:dyDescent="0.25">
      <c r="B780" s="598"/>
      <c r="C780" s="604"/>
      <c r="D780" s="599"/>
      <c r="E780" s="601" t="s">
        <v>253</v>
      </c>
      <c r="F780" s="601" t="s">
        <v>253</v>
      </c>
      <c r="G780" s="601" t="s">
        <v>253</v>
      </c>
      <c r="H780" s="601" t="s">
        <v>253</v>
      </c>
      <c r="I780" s="601" t="s">
        <v>253</v>
      </c>
      <c r="J780" s="601" t="s">
        <v>253</v>
      </c>
      <c r="K780" s="601" t="s">
        <v>253</v>
      </c>
      <c r="L780" s="602">
        <f t="shared" si="121"/>
        <v>0</v>
      </c>
      <c r="N780" s="95">
        <v>600</v>
      </c>
    </row>
    <row r="781" spans="1:14" x14ac:dyDescent="0.25">
      <c r="B781" s="598"/>
      <c r="C781" s="604"/>
      <c r="D781" s="599"/>
      <c r="E781" s="601" t="s">
        <v>253</v>
      </c>
      <c r="F781" s="601" t="s">
        <v>253</v>
      </c>
      <c r="G781" s="601" t="s">
        <v>253</v>
      </c>
      <c r="H781" s="601" t="s">
        <v>253</v>
      </c>
      <c r="I781" s="601" t="s">
        <v>253</v>
      </c>
      <c r="J781" s="601" t="s">
        <v>253</v>
      </c>
      <c r="K781" s="601" t="s">
        <v>253</v>
      </c>
      <c r="L781" s="602">
        <f t="shared" si="121"/>
        <v>0</v>
      </c>
      <c r="N781" s="702">
        <f>+E774+E775+E776+E777</f>
        <v>39083</v>
      </c>
    </row>
    <row r="782" spans="1:14" ht="18.75" x14ac:dyDescent="0.25">
      <c r="A782" s="605" t="s">
        <v>422</v>
      </c>
      <c r="B782" s="1039" t="s">
        <v>255</v>
      </c>
      <c r="C782" s="1040"/>
      <c r="D782" s="610">
        <f>SUM(E782:K782)</f>
        <v>119071</v>
      </c>
      <c r="E782" s="602">
        <f t="shared" ref="E782:K782" si="122">SUM(E774:E781)</f>
        <v>39083</v>
      </c>
      <c r="F782" s="602">
        <f t="shared" si="122"/>
        <v>41470</v>
      </c>
      <c r="G782" s="602">
        <f t="shared" si="122"/>
        <v>10500</v>
      </c>
      <c r="H782" s="602">
        <f t="shared" si="122"/>
        <v>3000</v>
      </c>
      <c r="I782" s="602">
        <f t="shared" si="122"/>
        <v>9876</v>
      </c>
      <c r="J782" s="602">
        <f t="shared" si="122"/>
        <v>1100</v>
      </c>
      <c r="K782" s="602">
        <f t="shared" si="122"/>
        <v>14042</v>
      </c>
      <c r="L782" s="606">
        <f>SUM(E782:K782)-SUM(L774:L781)</f>
        <v>0</v>
      </c>
      <c r="N782" s="95">
        <f>SUM(N768:N781)</f>
        <v>119071</v>
      </c>
    </row>
    <row r="783" spans="1:14" ht="15.75" x14ac:dyDescent="0.25">
      <c r="D783" s="776"/>
      <c r="N783" s="883">
        <f>+D782-N782</f>
        <v>0</v>
      </c>
    </row>
    <row r="784" spans="1:14" ht="18.75" x14ac:dyDescent="0.3">
      <c r="B784" s="592" t="s">
        <v>246</v>
      </c>
      <c r="C784" s="1037" t="s">
        <v>132</v>
      </c>
      <c r="D784" s="1038"/>
      <c r="E784" s="1041" t="s">
        <v>637</v>
      </c>
      <c r="F784" s="1042"/>
      <c r="G784" s="1042"/>
      <c r="H784" s="1043"/>
      <c r="I784" s="879" t="s">
        <v>248</v>
      </c>
      <c r="J784" s="596">
        <f>+J772+1</f>
        <v>1218</v>
      </c>
      <c r="K784" s="593" t="s">
        <v>364</v>
      </c>
      <c r="L784" s="878">
        <v>221753</v>
      </c>
    </row>
    <row r="785" spans="1:14" x14ac:dyDescent="0.25">
      <c r="B785" s="597" t="s">
        <v>0</v>
      </c>
      <c r="C785" s="597" t="s">
        <v>249</v>
      </c>
      <c r="D785" s="597" t="s">
        <v>6</v>
      </c>
      <c r="E785" s="597" t="s">
        <v>250</v>
      </c>
      <c r="F785" s="597" t="s">
        <v>62</v>
      </c>
      <c r="G785" s="597" t="s">
        <v>63</v>
      </c>
      <c r="H785" s="597" t="s">
        <v>64</v>
      </c>
      <c r="I785" s="597" t="s">
        <v>251</v>
      </c>
      <c r="J785" s="597" t="s">
        <v>66</v>
      </c>
      <c r="K785" s="597" t="s">
        <v>68</v>
      </c>
      <c r="L785" s="597" t="s">
        <v>252</v>
      </c>
    </row>
    <row r="786" spans="1:14" x14ac:dyDescent="0.25">
      <c r="B786" s="598">
        <v>45730</v>
      </c>
      <c r="C786" s="604" t="s">
        <v>554</v>
      </c>
      <c r="D786" s="599" t="s">
        <v>18</v>
      </c>
      <c r="E786" s="601">
        <v>2833</v>
      </c>
      <c r="F786" s="601" t="s">
        <v>253</v>
      </c>
      <c r="G786" s="601" t="s">
        <v>253</v>
      </c>
      <c r="H786" s="601" t="s">
        <v>253</v>
      </c>
      <c r="I786" s="601" t="s">
        <v>253</v>
      </c>
      <c r="J786" s="601" t="s">
        <v>253</v>
      </c>
      <c r="K786" s="601" t="s">
        <v>253</v>
      </c>
      <c r="L786" s="602">
        <f t="shared" ref="L786:L793" si="123">SUM(E786:K786)</f>
        <v>2833</v>
      </c>
    </row>
    <row r="787" spans="1:14" x14ac:dyDescent="0.25">
      <c r="B787" s="598"/>
      <c r="C787" s="604"/>
      <c r="D787" s="599"/>
      <c r="E787" s="601" t="s">
        <v>253</v>
      </c>
      <c r="F787" s="601" t="s">
        <v>253</v>
      </c>
      <c r="G787" s="601" t="s">
        <v>253</v>
      </c>
      <c r="H787" s="601" t="s">
        <v>253</v>
      </c>
      <c r="I787" s="601" t="s">
        <v>253</v>
      </c>
      <c r="J787" s="601" t="s">
        <v>253</v>
      </c>
      <c r="K787" s="601" t="s">
        <v>253</v>
      </c>
      <c r="L787" s="602">
        <f t="shared" si="123"/>
        <v>0</v>
      </c>
    </row>
    <row r="788" spans="1:14" x14ac:dyDescent="0.25">
      <c r="B788" s="598"/>
      <c r="C788" s="604"/>
      <c r="D788" s="599"/>
      <c r="E788" s="601" t="s">
        <v>253</v>
      </c>
      <c r="F788" s="601" t="s">
        <v>253</v>
      </c>
      <c r="G788" s="601" t="s">
        <v>253</v>
      </c>
      <c r="H788" s="601" t="s">
        <v>253</v>
      </c>
      <c r="I788" s="601" t="s">
        <v>253</v>
      </c>
      <c r="J788" s="601" t="s">
        <v>253</v>
      </c>
      <c r="K788" s="601" t="s">
        <v>253</v>
      </c>
      <c r="L788" s="602">
        <f t="shared" si="123"/>
        <v>0</v>
      </c>
    </row>
    <row r="789" spans="1:14" x14ac:dyDescent="0.25">
      <c r="B789" s="598"/>
      <c r="C789" s="604"/>
      <c r="D789" s="599"/>
      <c r="E789" s="601" t="s">
        <v>253</v>
      </c>
      <c r="F789" s="601" t="s">
        <v>253</v>
      </c>
      <c r="G789" s="601" t="s">
        <v>253</v>
      </c>
      <c r="H789" s="601" t="s">
        <v>253</v>
      </c>
      <c r="I789" s="601" t="s">
        <v>253</v>
      </c>
      <c r="J789" s="601" t="s">
        <v>253</v>
      </c>
      <c r="K789" s="601" t="s">
        <v>253</v>
      </c>
      <c r="L789" s="602">
        <f t="shared" si="123"/>
        <v>0</v>
      </c>
    </row>
    <row r="790" spans="1:14" x14ac:dyDescent="0.25">
      <c r="B790" s="598"/>
      <c r="C790" s="604"/>
      <c r="D790" s="599"/>
      <c r="E790" s="601" t="s">
        <v>253</v>
      </c>
      <c r="F790" s="601" t="s">
        <v>253</v>
      </c>
      <c r="G790" s="601" t="s">
        <v>253</v>
      </c>
      <c r="H790" s="601" t="s">
        <v>253</v>
      </c>
      <c r="I790" s="601" t="s">
        <v>253</v>
      </c>
      <c r="J790" s="601" t="s">
        <v>253</v>
      </c>
      <c r="K790" s="601" t="s">
        <v>253</v>
      </c>
      <c r="L790" s="602">
        <f t="shared" si="123"/>
        <v>0</v>
      </c>
    </row>
    <row r="791" spans="1:14" x14ac:dyDescent="0.25">
      <c r="B791" s="598"/>
      <c r="C791" s="604"/>
      <c r="D791" s="599"/>
      <c r="E791" s="601" t="s">
        <v>253</v>
      </c>
      <c r="F791" s="601" t="s">
        <v>253</v>
      </c>
      <c r="G791" s="601" t="s">
        <v>253</v>
      </c>
      <c r="H791" s="601" t="s">
        <v>253</v>
      </c>
      <c r="I791" s="601" t="s">
        <v>253</v>
      </c>
      <c r="J791" s="601" t="s">
        <v>253</v>
      </c>
      <c r="K791" s="601" t="s">
        <v>253</v>
      </c>
      <c r="L791" s="602">
        <f t="shared" si="123"/>
        <v>0</v>
      </c>
    </row>
    <row r="792" spans="1:14" x14ac:dyDescent="0.25">
      <c r="B792" s="598"/>
      <c r="C792" s="604"/>
      <c r="D792" s="599"/>
      <c r="E792" s="601" t="s">
        <v>253</v>
      </c>
      <c r="F792" s="601" t="s">
        <v>253</v>
      </c>
      <c r="G792" s="601" t="s">
        <v>253</v>
      </c>
      <c r="H792" s="601" t="s">
        <v>253</v>
      </c>
      <c r="I792" s="601" t="s">
        <v>253</v>
      </c>
      <c r="J792" s="601" t="s">
        <v>253</v>
      </c>
      <c r="K792" s="601" t="s">
        <v>253</v>
      </c>
      <c r="L792" s="602">
        <f t="shared" si="123"/>
        <v>0</v>
      </c>
    </row>
    <row r="793" spans="1:14" x14ac:dyDescent="0.25">
      <c r="B793" s="598"/>
      <c r="C793" s="604"/>
      <c r="D793" s="599"/>
      <c r="E793" s="601" t="s">
        <v>253</v>
      </c>
      <c r="F793" s="601" t="s">
        <v>253</v>
      </c>
      <c r="G793" s="601" t="s">
        <v>253</v>
      </c>
      <c r="H793" s="601" t="s">
        <v>253</v>
      </c>
      <c r="I793" s="601" t="s">
        <v>253</v>
      </c>
      <c r="J793" s="601" t="s">
        <v>253</v>
      </c>
      <c r="K793" s="601" t="s">
        <v>253</v>
      </c>
      <c r="L793" s="602">
        <f t="shared" si="123"/>
        <v>0</v>
      </c>
    </row>
    <row r="794" spans="1:14" ht="18.75" x14ac:dyDescent="0.25">
      <c r="A794" s="605" t="s">
        <v>422</v>
      </c>
      <c r="B794" s="1039" t="s">
        <v>255</v>
      </c>
      <c r="C794" s="1040"/>
      <c r="D794" s="610">
        <f>SUM(E794:K794)</f>
        <v>2833</v>
      </c>
      <c r="E794" s="602">
        <f t="shared" ref="E794:K794" si="124">SUM(E786:E793)</f>
        <v>2833</v>
      </c>
      <c r="F794" s="602">
        <f t="shared" si="124"/>
        <v>0</v>
      </c>
      <c r="G794" s="602">
        <f t="shared" si="124"/>
        <v>0</v>
      </c>
      <c r="H794" s="602">
        <f t="shared" si="124"/>
        <v>0</v>
      </c>
      <c r="I794" s="602">
        <f t="shared" si="124"/>
        <v>0</v>
      </c>
      <c r="J794" s="602">
        <f t="shared" si="124"/>
        <v>0</v>
      </c>
      <c r="K794" s="602">
        <f t="shared" si="124"/>
        <v>0</v>
      </c>
      <c r="L794" s="606">
        <f>SUM(E794:K794)-SUM(L786:L793)</f>
        <v>0</v>
      </c>
    </row>
    <row r="795" spans="1:14" ht="15.75" x14ac:dyDescent="0.25">
      <c r="D795" s="776"/>
      <c r="N795" s="702"/>
    </row>
    <row r="796" spans="1:14" ht="18.75" x14ac:dyDescent="0.3">
      <c r="B796" s="592" t="s">
        <v>246</v>
      </c>
      <c r="C796" s="1037" t="s">
        <v>599</v>
      </c>
      <c r="D796" s="1038"/>
      <c r="E796" s="1041" t="s">
        <v>637</v>
      </c>
      <c r="F796" s="1042"/>
      <c r="G796" s="1042"/>
      <c r="H796" s="1043"/>
      <c r="I796" s="879" t="s">
        <v>248</v>
      </c>
      <c r="J796" s="596">
        <f>+J784+1</f>
        <v>1219</v>
      </c>
      <c r="K796" s="593" t="s">
        <v>364</v>
      </c>
      <c r="L796" s="596">
        <v>221753</v>
      </c>
    </row>
    <row r="797" spans="1:14" x14ac:dyDescent="0.25">
      <c r="B797" s="597" t="s">
        <v>0</v>
      </c>
      <c r="C797" s="597" t="s">
        <v>249</v>
      </c>
      <c r="D797" s="597" t="s">
        <v>6</v>
      </c>
      <c r="E797" s="597" t="s">
        <v>250</v>
      </c>
      <c r="F797" s="597" t="s">
        <v>62</v>
      </c>
      <c r="G797" s="597" t="s">
        <v>63</v>
      </c>
      <c r="H797" s="597" t="s">
        <v>64</v>
      </c>
      <c r="I797" s="597" t="s">
        <v>251</v>
      </c>
      <c r="J797" s="597" t="s">
        <v>66</v>
      </c>
      <c r="K797" s="597" t="s">
        <v>68</v>
      </c>
      <c r="L797" s="597" t="s">
        <v>252</v>
      </c>
    </row>
    <row r="798" spans="1:14" x14ac:dyDescent="0.25">
      <c r="B798" s="598">
        <v>45730</v>
      </c>
      <c r="C798" s="604" t="s">
        <v>554</v>
      </c>
      <c r="D798" s="599" t="s">
        <v>18</v>
      </c>
      <c r="E798" s="601">
        <v>2833</v>
      </c>
      <c r="F798" s="601" t="s">
        <v>253</v>
      </c>
      <c r="G798" s="601" t="s">
        <v>253</v>
      </c>
      <c r="H798" s="601" t="s">
        <v>253</v>
      </c>
      <c r="I798" s="601" t="s">
        <v>253</v>
      </c>
      <c r="J798" s="601" t="s">
        <v>253</v>
      </c>
      <c r="K798" s="601" t="s">
        <v>253</v>
      </c>
      <c r="L798" s="602">
        <f t="shared" ref="L798:L805" si="125">SUM(E798:K798)</f>
        <v>2833</v>
      </c>
    </row>
    <row r="799" spans="1:14" x14ac:dyDescent="0.25">
      <c r="B799" s="598"/>
      <c r="C799" s="604"/>
      <c r="D799" s="599"/>
      <c r="E799" s="601" t="s">
        <v>253</v>
      </c>
      <c r="F799" s="601" t="s">
        <v>253</v>
      </c>
      <c r="G799" s="601" t="s">
        <v>253</v>
      </c>
      <c r="H799" s="601" t="s">
        <v>253</v>
      </c>
      <c r="I799" s="601" t="s">
        <v>253</v>
      </c>
      <c r="J799" s="601" t="s">
        <v>253</v>
      </c>
      <c r="K799" s="601" t="s">
        <v>253</v>
      </c>
      <c r="L799" s="602">
        <f t="shared" si="125"/>
        <v>0</v>
      </c>
    </row>
    <row r="800" spans="1:14" x14ac:dyDescent="0.25">
      <c r="B800" s="598"/>
      <c r="C800" s="604"/>
      <c r="D800" s="599"/>
      <c r="E800" s="601" t="s">
        <v>253</v>
      </c>
      <c r="F800" s="601" t="s">
        <v>253</v>
      </c>
      <c r="G800" s="601" t="s">
        <v>253</v>
      </c>
      <c r="H800" s="601" t="s">
        <v>253</v>
      </c>
      <c r="I800" s="601" t="s">
        <v>253</v>
      </c>
      <c r="J800" s="601" t="s">
        <v>253</v>
      </c>
      <c r="K800" s="601" t="s">
        <v>253</v>
      </c>
      <c r="L800" s="602">
        <f t="shared" si="125"/>
        <v>0</v>
      </c>
    </row>
    <row r="801" spans="1:12" x14ac:dyDescent="0.25">
      <c r="B801" s="598"/>
      <c r="C801" s="604"/>
      <c r="D801" s="599"/>
      <c r="E801" s="601" t="s">
        <v>253</v>
      </c>
      <c r="F801" s="601" t="s">
        <v>253</v>
      </c>
      <c r="G801" s="601" t="s">
        <v>253</v>
      </c>
      <c r="H801" s="601" t="s">
        <v>253</v>
      </c>
      <c r="I801" s="601" t="s">
        <v>253</v>
      </c>
      <c r="J801" s="601" t="s">
        <v>253</v>
      </c>
      <c r="K801" s="601" t="s">
        <v>253</v>
      </c>
      <c r="L801" s="602">
        <f t="shared" si="125"/>
        <v>0</v>
      </c>
    </row>
    <row r="802" spans="1:12" x14ac:dyDescent="0.25">
      <c r="B802" s="598"/>
      <c r="C802" s="604"/>
      <c r="D802" s="599"/>
      <c r="E802" s="601" t="s">
        <v>253</v>
      </c>
      <c r="F802" s="601" t="s">
        <v>253</v>
      </c>
      <c r="G802" s="601" t="s">
        <v>253</v>
      </c>
      <c r="H802" s="601" t="s">
        <v>253</v>
      </c>
      <c r="I802" s="601" t="s">
        <v>253</v>
      </c>
      <c r="J802" s="601" t="s">
        <v>253</v>
      </c>
      <c r="K802" s="601" t="s">
        <v>253</v>
      </c>
      <c r="L802" s="602">
        <f t="shared" si="125"/>
        <v>0</v>
      </c>
    </row>
    <row r="803" spans="1:12" x14ac:dyDescent="0.25">
      <c r="B803" s="598"/>
      <c r="C803" s="604"/>
      <c r="D803" s="599"/>
      <c r="E803" s="601" t="s">
        <v>253</v>
      </c>
      <c r="F803" s="601" t="s">
        <v>253</v>
      </c>
      <c r="G803" s="601" t="s">
        <v>253</v>
      </c>
      <c r="H803" s="601" t="s">
        <v>253</v>
      </c>
      <c r="I803" s="601" t="s">
        <v>253</v>
      </c>
      <c r="J803" s="601" t="s">
        <v>253</v>
      </c>
      <c r="K803" s="601" t="s">
        <v>253</v>
      </c>
      <c r="L803" s="602">
        <f t="shared" si="125"/>
        <v>0</v>
      </c>
    </row>
    <row r="804" spans="1:12" x14ac:dyDescent="0.25">
      <c r="B804" s="598"/>
      <c r="C804" s="604"/>
      <c r="D804" s="599"/>
      <c r="E804" s="601" t="s">
        <v>253</v>
      </c>
      <c r="F804" s="601" t="s">
        <v>253</v>
      </c>
      <c r="G804" s="601" t="s">
        <v>253</v>
      </c>
      <c r="H804" s="601" t="s">
        <v>253</v>
      </c>
      <c r="I804" s="601" t="s">
        <v>253</v>
      </c>
      <c r="J804" s="601" t="s">
        <v>253</v>
      </c>
      <c r="K804" s="601" t="s">
        <v>253</v>
      </c>
      <c r="L804" s="602">
        <f t="shared" si="125"/>
        <v>0</v>
      </c>
    </row>
    <row r="805" spans="1:12" x14ac:dyDescent="0.25">
      <c r="B805" s="598"/>
      <c r="C805" s="604"/>
      <c r="D805" s="599"/>
      <c r="E805" s="601" t="s">
        <v>253</v>
      </c>
      <c r="F805" s="601" t="s">
        <v>253</v>
      </c>
      <c r="G805" s="601" t="s">
        <v>253</v>
      </c>
      <c r="H805" s="601" t="s">
        <v>253</v>
      </c>
      <c r="I805" s="601" t="s">
        <v>253</v>
      </c>
      <c r="J805" s="601" t="s">
        <v>253</v>
      </c>
      <c r="K805" s="601" t="s">
        <v>253</v>
      </c>
      <c r="L805" s="602">
        <f t="shared" si="125"/>
        <v>0</v>
      </c>
    </row>
    <row r="806" spans="1:12" ht="18.75" x14ac:dyDescent="0.25">
      <c r="A806" s="605" t="s">
        <v>422</v>
      </c>
      <c r="B806" s="1039" t="s">
        <v>255</v>
      </c>
      <c r="C806" s="1040"/>
      <c r="D806" s="610">
        <f>SUM(E806:K806)</f>
        <v>2833</v>
      </c>
      <c r="E806" s="602">
        <f t="shared" ref="E806:K806" si="126">SUM(E798:E805)</f>
        <v>2833</v>
      </c>
      <c r="F806" s="602">
        <f t="shared" si="126"/>
        <v>0</v>
      </c>
      <c r="G806" s="602">
        <f t="shared" si="126"/>
        <v>0</v>
      </c>
      <c r="H806" s="602">
        <f t="shared" si="126"/>
        <v>0</v>
      </c>
      <c r="I806" s="602">
        <f t="shared" si="126"/>
        <v>0</v>
      </c>
      <c r="J806" s="602">
        <f t="shared" si="126"/>
        <v>0</v>
      </c>
      <c r="K806" s="602">
        <f t="shared" si="126"/>
        <v>0</v>
      </c>
      <c r="L806" s="606">
        <f>SUM(E806:K806)-SUM(L798:L805)</f>
        <v>0</v>
      </c>
    </row>
    <row r="807" spans="1:12" ht="15.75" x14ac:dyDescent="0.25">
      <c r="D807" s="776">
        <f>+D806+D794+D782+D770+D758+D746+D734+D722</f>
        <v>448504</v>
      </c>
    </row>
    <row r="808" spans="1:12" ht="18.75" x14ac:dyDescent="0.3">
      <c r="B808" s="843" t="s">
        <v>246</v>
      </c>
      <c r="C808" s="1044"/>
      <c r="D808" s="1045"/>
      <c r="E808" s="1046" t="s">
        <v>637</v>
      </c>
      <c r="F808" s="1047"/>
      <c r="G808" s="1047"/>
      <c r="H808" s="1048"/>
      <c r="I808" s="710" t="s">
        <v>248</v>
      </c>
      <c r="J808" s="844">
        <f>+J796+1</f>
        <v>1220</v>
      </c>
      <c r="K808" s="306" t="s">
        <v>364</v>
      </c>
      <c r="L808" s="844">
        <v>221753</v>
      </c>
    </row>
    <row r="809" spans="1:12" x14ac:dyDescent="0.25">
      <c r="B809" s="307" t="s">
        <v>0</v>
      </c>
      <c r="C809" s="307" t="s">
        <v>249</v>
      </c>
      <c r="D809" s="307" t="s">
        <v>6</v>
      </c>
      <c r="E809" s="307" t="s">
        <v>250</v>
      </c>
      <c r="F809" s="307" t="s">
        <v>62</v>
      </c>
      <c r="G809" s="307" t="s">
        <v>63</v>
      </c>
      <c r="H809" s="307" t="s">
        <v>64</v>
      </c>
      <c r="I809" s="307" t="s">
        <v>251</v>
      </c>
      <c r="J809" s="307" t="s">
        <v>66</v>
      </c>
      <c r="K809" s="307" t="s">
        <v>68</v>
      </c>
      <c r="L809" s="307" t="s">
        <v>252</v>
      </c>
    </row>
    <row r="810" spans="1:12" x14ac:dyDescent="0.25">
      <c r="B810" s="308"/>
      <c r="C810" s="310"/>
      <c r="D810" s="309"/>
      <c r="E810" s="311" t="s">
        <v>253</v>
      </c>
      <c r="F810" s="311" t="s">
        <v>253</v>
      </c>
      <c r="G810" s="311" t="s">
        <v>253</v>
      </c>
      <c r="H810" s="311" t="s">
        <v>253</v>
      </c>
      <c r="I810" s="311" t="s">
        <v>253</v>
      </c>
      <c r="J810" s="311" t="s">
        <v>253</v>
      </c>
      <c r="K810" s="311" t="s">
        <v>253</v>
      </c>
      <c r="L810" s="164">
        <f t="shared" ref="L810:L817" si="127">SUM(E810:K810)</f>
        <v>0</v>
      </c>
    </row>
    <row r="811" spans="1:12" x14ac:dyDescent="0.25">
      <c r="B811" s="308"/>
      <c r="C811" s="310"/>
      <c r="D811" s="309"/>
      <c r="E811" s="311" t="s">
        <v>253</v>
      </c>
      <c r="F811" s="311" t="s">
        <v>253</v>
      </c>
      <c r="G811" s="311" t="s">
        <v>253</v>
      </c>
      <c r="H811" s="311" t="s">
        <v>253</v>
      </c>
      <c r="I811" s="311" t="s">
        <v>253</v>
      </c>
      <c r="J811" s="311" t="s">
        <v>253</v>
      </c>
      <c r="K811" s="311" t="s">
        <v>253</v>
      </c>
      <c r="L811" s="164">
        <f t="shared" si="127"/>
        <v>0</v>
      </c>
    </row>
    <row r="812" spans="1:12" x14ac:dyDescent="0.25">
      <c r="B812" s="308"/>
      <c r="C812" s="310"/>
      <c r="D812" s="309"/>
      <c r="E812" s="311" t="s">
        <v>253</v>
      </c>
      <c r="F812" s="311" t="s">
        <v>253</v>
      </c>
      <c r="G812" s="311" t="s">
        <v>253</v>
      </c>
      <c r="H812" s="311" t="s">
        <v>253</v>
      </c>
      <c r="I812" s="311" t="s">
        <v>253</v>
      </c>
      <c r="J812" s="311" t="s">
        <v>253</v>
      </c>
      <c r="K812" s="311" t="s">
        <v>253</v>
      </c>
      <c r="L812" s="164">
        <f t="shared" si="127"/>
        <v>0</v>
      </c>
    </row>
    <row r="813" spans="1:12" x14ac:dyDescent="0.25">
      <c r="B813" s="308"/>
      <c r="C813" s="310"/>
      <c r="D813" s="309"/>
      <c r="E813" s="311" t="s">
        <v>253</v>
      </c>
      <c r="F813" s="311" t="s">
        <v>253</v>
      </c>
      <c r="G813" s="311" t="s">
        <v>253</v>
      </c>
      <c r="H813" s="311" t="s">
        <v>253</v>
      </c>
      <c r="I813" s="311" t="s">
        <v>253</v>
      </c>
      <c r="J813" s="311" t="s">
        <v>253</v>
      </c>
      <c r="K813" s="311" t="s">
        <v>253</v>
      </c>
      <c r="L813" s="164">
        <f t="shared" si="127"/>
        <v>0</v>
      </c>
    </row>
    <row r="814" spans="1:12" x14ac:dyDescent="0.25">
      <c r="B814" s="308"/>
      <c r="C814" s="310"/>
      <c r="D814" s="309"/>
      <c r="E814" s="311" t="s">
        <v>253</v>
      </c>
      <c r="F814" s="311" t="s">
        <v>253</v>
      </c>
      <c r="G814" s="311" t="s">
        <v>253</v>
      </c>
      <c r="H814" s="311" t="s">
        <v>253</v>
      </c>
      <c r="I814" s="311" t="s">
        <v>253</v>
      </c>
      <c r="J814" s="311" t="s">
        <v>253</v>
      </c>
      <c r="K814" s="311" t="s">
        <v>253</v>
      </c>
      <c r="L814" s="164">
        <f t="shared" si="127"/>
        <v>0</v>
      </c>
    </row>
    <row r="815" spans="1:12" x14ac:dyDescent="0.25">
      <c r="B815" s="308"/>
      <c r="C815" s="310"/>
      <c r="D815" s="309"/>
      <c r="E815" s="311" t="s">
        <v>253</v>
      </c>
      <c r="F815" s="311" t="s">
        <v>253</v>
      </c>
      <c r="G815" s="311" t="s">
        <v>253</v>
      </c>
      <c r="H815" s="311" t="s">
        <v>253</v>
      </c>
      <c r="I815" s="311" t="s">
        <v>253</v>
      </c>
      <c r="J815" s="311" t="s">
        <v>253</v>
      </c>
      <c r="K815" s="311" t="s">
        <v>253</v>
      </c>
      <c r="L815" s="164">
        <f t="shared" si="127"/>
        <v>0</v>
      </c>
    </row>
    <row r="816" spans="1:12" x14ac:dyDescent="0.25">
      <c r="B816" s="308"/>
      <c r="C816" s="310"/>
      <c r="D816" s="309"/>
      <c r="E816" s="311" t="s">
        <v>253</v>
      </c>
      <c r="F816" s="311" t="s">
        <v>253</v>
      </c>
      <c r="G816" s="311" t="s">
        <v>253</v>
      </c>
      <c r="H816" s="311" t="s">
        <v>253</v>
      </c>
      <c r="I816" s="311" t="s">
        <v>253</v>
      </c>
      <c r="J816" s="311" t="s">
        <v>253</v>
      </c>
      <c r="K816" s="311" t="s">
        <v>253</v>
      </c>
      <c r="L816" s="164">
        <f t="shared" si="127"/>
        <v>0</v>
      </c>
    </row>
    <row r="817" spans="1:12" x14ac:dyDescent="0.25">
      <c r="B817" s="308"/>
      <c r="C817" s="310"/>
      <c r="D817" s="309"/>
      <c r="E817" s="311" t="s">
        <v>253</v>
      </c>
      <c r="F817" s="311" t="s">
        <v>253</v>
      </c>
      <c r="G817" s="311" t="s">
        <v>253</v>
      </c>
      <c r="H817" s="311" t="s">
        <v>253</v>
      </c>
      <c r="I817" s="311" t="s">
        <v>253</v>
      </c>
      <c r="J817" s="311" t="s">
        <v>253</v>
      </c>
      <c r="K817" s="311" t="s">
        <v>253</v>
      </c>
      <c r="L817" s="164">
        <f t="shared" si="127"/>
        <v>0</v>
      </c>
    </row>
    <row r="818" spans="1:12" ht="18.75" x14ac:dyDescent="0.25">
      <c r="A818" s="605" t="s">
        <v>422</v>
      </c>
      <c r="B818" s="1049" t="s">
        <v>255</v>
      </c>
      <c r="C818" s="1050"/>
      <c r="D818" s="609">
        <f>SUM(E818:K818)</f>
        <v>0</v>
      </c>
      <c r="E818" s="164">
        <f t="shared" ref="E818:K818" si="128">SUM(E810:E817)</f>
        <v>0</v>
      </c>
      <c r="F818" s="164">
        <f t="shared" si="128"/>
        <v>0</v>
      </c>
      <c r="G818" s="164">
        <f t="shared" si="128"/>
        <v>0</v>
      </c>
      <c r="H818" s="164">
        <f t="shared" si="128"/>
        <v>0</v>
      </c>
      <c r="I818" s="164">
        <f t="shared" si="128"/>
        <v>0</v>
      </c>
      <c r="J818" s="164">
        <f t="shared" si="128"/>
        <v>0</v>
      </c>
      <c r="K818" s="164">
        <f t="shared" si="128"/>
        <v>0</v>
      </c>
      <c r="L818" s="165">
        <f>SUM(E818:K818)-SUM(L810:L817)</f>
        <v>0</v>
      </c>
    </row>
    <row r="819" spans="1:12" ht="15.75" x14ac:dyDescent="0.25">
      <c r="D819" s="776"/>
    </row>
    <row r="820" spans="1:12" ht="18.75" x14ac:dyDescent="0.3">
      <c r="B820" s="843" t="s">
        <v>246</v>
      </c>
      <c r="C820" s="1044"/>
      <c r="D820" s="1045"/>
      <c r="E820" s="1046" t="s">
        <v>637</v>
      </c>
      <c r="F820" s="1047"/>
      <c r="G820" s="1047"/>
      <c r="H820" s="1048"/>
      <c r="I820" s="710" t="s">
        <v>248</v>
      </c>
      <c r="J820" s="844">
        <f>+J808+1</f>
        <v>1221</v>
      </c>
      <c r="K820" s="306" t="s">
        <v>364</v>
      </c>
      <c r="L820" s="844"/>
    </row>
    <row r="821" spans="1:12" x14ac:dyDescent="0.25">
      <c r="B821" s="307" t="s">
        <v>0</v>
      </c>
      <c r="C821" s="307" t="s">
        <v>249</v>
      </c>
      <c r="D821" s="307" t="s">
        <v>6</v>
      </c>
      <c r="E821" s="307" t="s">
        <v>250</v>
      </c>
      <c r="F821" s="307" t="s">
        <v>62</v>
      </c>
      <c r="G821" s="307" t="s">
        <v>63</v>
      </c>
      <c r="H821" s="307" t="s">
        <v>64</v>
      </c>
      <c r="I821" s="307" t="s">
        <v>251</v>
      </c>
      <c r="J821" s="307" t="s">
        <v>66</v>
      </c>
      <c r="K821" s="307" t="s">
        <v>68</v>
      </c>
      <c r="L821" s="307" t="s">
        <v>252</v>
      </c>
    </row>
    <row r="822" spans="1:12" x14ac:dyDescent="0.25">
      <c r="B822" s="308"/>
      <c r="C822" s="310"/>
      <c r="D822" s="309"/>
      <c r="E822" s="311" t="s">
        <v>253</v>
      </c>
      <c r="F822" s="311" t="s">
        <v>253</v>
      </c>
      <c r="G822" s="311" t="s">
        <v>253</v>
      </c>
      <c r="H822" s="311" t="s">
        <v>253</v>
      </c>
      <c r="I822" s="311" t="s">
        <v>253</v>
      </c>
      <c r="J822" s="311" t="s">
        <v>253</v>
      </c>
      <c r="K822" s="311" t="s">
        <v>253</v>
      </c>
      <c r="L822" s="164">
        <f t="shared" ref="L822:L829" si="129">SUM(E822:K822)</f>
        <v>0</v>
      </c>
    </row>
    <row r="823" spans="1:12" x14ac:dyDescent="0.25">
      <c r="B823" s="308"/>
      <c r="C823" s="310"/>
      <c r="D823" s="309"/>
      <c r="E823" s="311" t="s">
        <v>253</v>
      </c>
      <c r="F823" s="311" t="s">
        <v>253</v>
      </c>
      <c r="G823" s="311" t="s">
        <v>253</v>
      </c>
      <c r="H823" s="311" t="s">
        <v>253</v>
      </c>
      <c r="I823" s="311" t="s">
        <v>253</v>
      </c>
      <c r="J823" s="311" t="s">
        <v>253</v>
      </c>
      <c r="K823" s="311" t="s">
        <v>253</v>
      </c>
      <c r="L823" s="164">
        <f t="shared" si="129"/>
        <v>0</v>
      </c>
    </row>
    <row r="824" spans="1:12" x14ac:dyDescent="0.25">
      <c r="B824" s="308"/>
      <c r="C824" s="310"/>
      <c r="D824" s="309"/>
      <c r="E824" s="311" t="s">
        <v>253</v>
      </c>
      <c r="F824" s="311" t="s">
        <v>253</v>
      </c>
      <c r="G824" s="311" t="s">
        <v>253</v>
      </c>
      <c r="H824" s="311" t="s">
        <v>253</v>
      </c>
      <c r="I824" s="311" t="s">
        <v>253</v>
      </c>
      <c r="J824" s="311" t="s">
        <v>253</v>
      </c>
      <c r="K824" s="311" t="s">
        <v>253</v>
      </c>
      <c r="L824" s="164">
        <f t="shared" si="129"/>
        <v>0</v>
      </c>
    </row>
    <row r="825" spans="1:12" x14ac:dyDescent="0.25">
      <c r="B825" s="308"/>
      <c r="C825" s="310"/>
      <c r="D825" s="309"/>
      <c r="E825" s="311" t="s">
        <v>253</v>
      </c>
      <c r="F825" s="311" t="s">
        <v>253</v>
      </c>
      <c r="G825" s="311" t="s">
        <v>253</v>
      </c>
      <c r="H825" s="311" t="s">
        <v>253</v>
      </c>
      <c r="I825" s="311" t="s">
        <v>253</v>
      </c>
      <c r="J825" s="311" t="s">
        <v>253</v>
      </c>
      <c r="K825" s="311" t="s">
        <v>253</v>
      </c>
      <c r="L825" s="164">
        <f t="shared" si="129"/>
        <v>0</v>
      </c>
    </row>
    <row r="826" spans="1:12" x14ac:dyDescent="0.25">
      <c r="B826" s="308"/>
      <c r="C826" s="310"/>
      <c r="D826" s="309"/>
      <c r="E826" s="311" t="s">
        <v>253</v>
      </c>
      <c r="F826" s="311" t="s">
        <v>253</v>
      </c>
      <c r="G826" s="311" t="s">
        <v>253</v>
      </c>
      <c r="H826" s="311" t="s">
        <v>253</v>
      </c>
      <c r="I826" s="311" t="s">
        <v>253</v>
      </c>
      <c r="J826" s="311" t="s">
        <v>253</v>
      </c>
      <c r="K826" s="311" t="s">
        <v>253</v>
      </c>
      <c r="L826" s="164">
        <f t="shared" si="129"/>
        <v>0</v>
      </c>
    </row>
    <row r="827" spans="1:12" x14ac:dyDescent="0.25">
      <c r="B827" s="308"/>
      <c r="C827" s="310"/>
      <c r="D827" s="309"/>
      <c r="E827" s="311" t="s">
        <v>253</v>
      </c>
      <c r="F827" s="311" t="s">
        <v>253</v>
      </c>
      <c r="G827" s="311" t="s">
        <v>253</v>
      </c>
      <c r="H827" s="311" t="s">
        <v>253</v>
      </c>
      <c r="I827" s="311" t="s">
        <v>253</v>
      </c>
      <c r="J827" s="311" t="s">
        <v>253</v>
      </c>
      <c r="K827" s="311" t="s">
        <v>253</v>
      </c>
      <c r="L827" s="164">
        <f t="shared" si="129"/>
        <v>0</v>
      </c>
    </row>
    <row r="828" spans="1:12" x14ac:dyDescent="0.25">
      <c r="B828" s="308"/>
      <c r="C828" s="310"/>
      <c r="D828" s="309"/>
      <c r="E828" s="311" t="s">
        <v>253</v>
      </c>
      <c r="F828" s="311" t="s">
        <v>253</v>
      </c>
      <c r="G828" s="311" t="s">
        <v>253</v>
      </c>
      <c r="H828" s="311" t="s">
        <v>253</v>
      </c>
      <c r="I828" s="311" t="s">
        <v>253</v>
      </c>
      <c r="J828" s="311" t="s">
        <v>253</v>
      </c>
      <c r="K828" s="311" t="s">
        <v>253</v>
      </c>
      <c r="L828" s="164">
        <f t="shared" si="129"/>
        <v>0</v>
      </c>
    </row>
    <row r="829" spans="1:12" x14ac:dyDescent="0.25">
      <c r="B829" s="308"/>
      <c r="C829" s="310"/>
      <c r="D829" s="309"/>
      <c r="E829" s="311" t="s">
        <v>253</v>
      </c>
      <c r="F829" s="311" t="s">
        <v>253</v>
      </c>
      <c r="G829" s="311" t="s">
        <v>253</v>
      </c>
      <c r="H829" s="311" t="s">
        <v>253</v>
      </c>
      <c r="I829" s="311" t="s">
        <v>253</v>
      </c>
      <c r="J829" s="311" t="s">
        <v>253</v>
      </c>
      <c r="K829" s="311" t="s">
        <v>253</v>
      </c>
      <c r="L829" s="164">
        <f t="shared" si="129"/>
        <v>0</v>
      </c>
    </row>
    <row r="830" spans="1:12" ht="18.75" x14ac:dyDescent="0.25">
      <c r="A830" s="605" t="s">
        <v>422</v>
      </c>
      <c r="B830" s="1049" t="s">
        <v>255</v>
      </c>
      <c r="C830" s="1050"/>
      <c r="D830" s="609">
        <f>SUM(E830:K830)</f>
        <v>0</v>
      </c>
      <c r="E830" s="164">
        <f t="shared" ref="E830:K830" si="130">SUM(E822:E829)</f>
        <v>0</v>
      </c>
      <c r="F830" s="164">
        <f t="shared" si="130"/>
        <v>0</v>
      </c>
      <c r="G830" s="164">
        <f t="shared" si="130"/>
        <v>0</v>
      </c>
      <c r="H830" s="164">
        <f t="shared" si="130"/>
        <v>0</v>
      </c>
      <c r="I830" s="164">
        <f t="shared" si="130"/>
        <v>0</v>
      </c>
      <c r="J830" s="164">
        <f t="shared" si="130"/>
        <v>0</v>
      </c>
      <c r="K830" s="164">
        <f t="shared" si="130"/>
        <v>0</v>
      </c>
      <c r="L830" s="165">
        <f>SUM(E830:K830)-SUM(L822:L829)</f>
        <v>0</v>
      </c>
    </row>
    <row r="831" spans="1:12" ht="15.75" x14ac:dyDescent="0.25">
      <c r="D831" s="776"/>
    </row>
    <row r="832" spans="1:12" ht="18.75" x14ac:dyDescent="0.3">
      <c r="B832" s="843" t="s">
        <v>246</v>
      </c>
      <c r="C832" s="1044"/>
      <c r="D832" s="1045"/>
      <c r="E832" s="1046" t="s">
        <v>637</v>
      </c>
      <c r="F832" s="1047"/>
      <c r="G832" s="1047"/>
      <c r="H832" s="1048"/>
      <c r="I832" s="710" t="s">
        <v>248</v>
      </c>
      <c r="J832" s="844">
        <f>+J820+1</f>
        <v>1222</v>
      </c>
      <c r="K832" s="306" t="s">
        <v>364</v>
      </c>
      <c r="L832" s="844"/>
    </row>
    <row r="833" spans="1:12" x14ac:dyDescent="0.25">
      <c r="B833" s="307" t="s">
        <v>0</v>
      </c>
      <c r="C833" s="307" t="s">
        <v>249</v>
      </c>
      <c r="D833" s="307" t="s">
        <v>6</v>
      </c>
      <c r="E833" s="307" t="s">
        <v>250</v>
      </c>
      <c r="F833" s="307" t="s">
        <v>62</v>
      </c>
      <c r="G833" s="307" t="s">
        <v>63</v>
      </c>
      <c r="H833" s="307" t="s">
        <v>64</v>
      </c>
      <c r="I833" s="307" t="s">
        <v>251</v>
      </c>
      <c r="J833" s="307" t="s">
        <v>66</v>
      </c>
      <c r="K833" s="307" t="s">
        <v>68</v>
      </c>
      <c r="L833" s="307" t="s">
        <v>252</v>
      </c>
    </row>
    <row r="834" spans="1:12" x14ac:dyDescent="0.25">
      <c r="B834" s="308"/>
      <c r="C834" s="310"/>
      <c r="D834" s="309"/>
      <c r="E834" s="311" t="s">
        <v>253</v>
      </c>
      <c r="F834" s="311" t="s">
        <v>253</v>
      </c>
      <c r="G834" s="311" t="s">
        <v>253</v>
      </c>
      <c r="H834" s="311" t="s">
        <v>253</v>
      </c>
      <c r="I834" s="311" t="s">
        <v>253</v>
      </c>
      <c r="J834" s="311" t="s">
        <v>253</v>
      </c>
      <c r="K834" s="311" t="s">
        <v>253</v>
      </c>
      <c r="L834" s="164">
        <f t="shared" ref="L834:L841" si="131">SUM(E834:K834)</f>
        <v>0</v>
      </c>
    </row>
    <row r="835" spans="1:12" x14ac:dyDescent="0.25">
      <c r="B835" s="308"/>
      <c r="C835" s="310"/>
      <c r="D835" s="309"/>
      <c r="E835" s="311" t="s">
        <v>253</v>
      </c>
      <c r="F835" s="311" t="s">
        <v>253</v>
      </c>
      <c r="G835" s="311" t="s">
        <v>253</v>
      </c>
      <c r="H835" s="311" t="s">
        <v>253</v>
      </c>
      <c r="I835" s="311" t="s">
        <v>253</v>
      </c>
      <c r="J835" s="311" t="s">
        <v>253</v>
      </c>
      <c r="K835" s="311" t="s">
        <v>253</v>
      </c>
      <c r="L835" s="164">
        <f t="shared" si="131"/>
        <v>0</v>
      </c>
    </row>
    <row r="836" spans="1:12" x14ac:dyDescent="0.25">
      <c r="B836" s="308"/>
      <c r="C836" s="310"/>
      <c r="D836" s="309"/>
      <c r="E836" s="311" t="s">
        <v>253</v>
      </c>
      <c r="F836" s="311" t="s">
        <v>253</v>
      </c>
      <c r="G836" s="311" t="s">
        <v>253</v>
      </c>
      <c r="H836" s="311" t="s">
        <v>253</v>
      </c>
      <c r="I836" s="311" t="s">
        <v>253</v>
      </c>
      <c r="J836" s="311" t="s">
        <v>253</v>
      </c>
      <c r="K836" s="311" t="s">
        <v>253</v>
      </c>
      <c r="L836" s="164">
        <f t="shared" si="131"/>
        <v>0</v>
      </c>
    </row>
    <row r="837" spans="1:12" x14ac:dyDescent="0.25">
      <c r="B837" s="308"/>
      <c r="C837" s="310"/>
      <c r="D837" s="309"/>
      <c r="E837" s="311" t="s">
        <v>253</v>
      </c>
      <c r="F837" s="311" t="s">
        <v>253</v>
      </c>
      <c r="G837" s="311" t="s">
        <v>253</v>
      </c>
      <c r="H837" s="311" t="s">
        <v>253</v>
      </c>
      <c r="I837" s="311" t="s">
        <v>253</v>
      </c>
      <c r="J837" s="311" t="s">
        <v>253</v>
      </c>
      <c r="K837" s="311" t="s">
        <v>253</v>
      </c>
      <c r="L837" s="164">
        <f t="shared" si="131"/>
        <v>0</v>
      </c>
    </row>
    <row r="838" spans="1:12" x14ac:dyDescent="0.25">
      <c r="B838" s="308"/>
      <c r="C838" s="310"/>
      <c r="D838" s="309"/>
      <c r="E838" s="311" t="s">
        <v>253</v>
      </c>
      <c r="F838" s="311" t="s">
        <v>253</v>
      </c>
      <c r="G838" s="311" t="s">
        <v>253</v>
      </c>
      <c r="H838" s="311" t="s">
        <v>253</v>
      </c>
      <c r="I838" s="311" t="s">
        <v>253</v>
      </c>
      <c r="J838" s="311" t="s">
        <v>253</v>
      </c>
      <c r="K838" s="311" t="s">
        <v>253</v>
      </c>
      <c r="L838" s="164">
        <f t="shared" si="131"/>
        <v>0</v>
      </c>
    </row>
    <row r="839" spans="1:12" x14ac:dyDescent="0.25">
      <c r="B839" s="308"/>
      <c r="C839" s="310"/>
      <c r="D839" s="309"/>
      <c r="E839" s="311" t="s">
        <v>253</v>
      </c>
      <c r="F839" s="311" t="s">
        <v>253</v>
      </c>
      <c r="G839" s="311" t="s">
        <v>253</v>
      </c>
      <c r="H839" s="311" t="s">
        <v>253</v>
      </c>
      <c r="I839" s="311" t="s">
        <v>253</v>
      </c>
      <c r="J839" s="311" t="s">
        <v>253</v>
      </c>
      <c r="K839" s="311" t="s">
        <v>253</v>
      </c>
      <c r="L839" s="164">
        <f t="shared" si="131"/>
        <v>0</v>
      </c>
    </row>
    <row r="840" spans="1:12" x14ac:dyDescent="0.25">
      <c r="B840" s="308"/>
      <c r="C840" s="310"/>
      <c r="D840" s="309"/>
      <c r="E840" s="311" t="s">
        <v>253</v>
      </c>
      <c r="F840" s="311" t="s">
        <v>253</v>
      </c>
      <c r="G840" s="311" t="s">
        <v>253</v>
      </c>
      <c r="H840" s="311" t="s">
        <v>253</v>
      </c>
      <c r="I840" s="311" t="s">
        <v>253</v>
      </c>
      <c r="J840" s="311" t="s">
        <v>253</v>
      </c>
      <c r="K840" s="311" t="s">
        <v>253</v>
      </c>
      <c r="L840" s="164">
        <f t="shared" si="131"/>
        <v>0</v>
      </c>
    </row>
    <row r="841" spans="1:12" x14ac:dyDescent="0.25">
      <c r="B841" s="308"/>
      <c r="C841" s="310"/>
      <c r="D841" s="309"/>
      <c r="E841" s="311" t="s">
        <v>253</v>
      </c>
      <c r="F841" s="311" t="s">
        <v>253</v>
      </c>
      <c r="G841" s="311" t="s">
        <v>253</v>
      </c>
      <c r="H841" s="311" t="s">
        <v>253</v>
      </c>
      <c r="I841" s="311" t="s">
        <v>253</v>
      </c>
      <c r="J841" s="311" t="s">
        <v>253</v>
      </c>
      <c r="K841" s="311" t="s">
        <v>253</v>
      </c>
      <c r="L841" s="164">
        <f t="shared" si="131"/>
        <v>0</v>
      </c>
    </row>
    <row r="842" spans="1:12" ht="18.75" x14ac:dyDescent="0.25">
      <c r="A842" s="605" t="s">
        <v>422</v>
      </c>
      <c r="B842" s="1049" t="s">
        <v>255</v>
      </c>
      <c r="C842" s="1050"/>
      <c r="D842" s="609">
        <f>SUM(E842:K842)</f>
        <v>0</v>
      </c>
      <c r="E842" s="164">
        <f t="shared" ref="E842:K842" si="132">SUM(E834:E841)</f>
        <v>0</v>
      </c>
      <c r="F842" s="164">
        <f t="shared" si="132"/>
        <v>0</v>
      </c>
      <c r="G842" s="164">
        <f t="shared" si="132"/>
        <v>0</v>
      </c>
      <c r="H842" s="164">
        <f t="shared" si="132"/>
        <v>0</v>
      </c>
      <c r="I842" s="164">
        <f t="shared" si="132"/>
        <v>0</v>
      </c>
      <c r="J842" s="164">
        <f t="shared" si="132"/>
        <v>0</v>
      </c>
      <c r="K842" s="164">
        <f t="shared" si="132"/>
        <v>0</v>
      </c>
      <c r="L842" s="165">
        <f>SUM(E842:K842)-SUM(L834:L841)</f>
        <v>0</v>
      </c>
    </row>
    <row r="843" spans="1:12" ht="15.75" x14ac:dyDescent="0.25">
      <c r="D843" s="776"/>
    </row>
    <row r="844" spans="1:12" ht="18.75" x14ac:dyDescent="0.3">
      <c r="B844" s="843" t="s">
        <v>246</v>
      </c>
      <c r="C844" s="1044"/>
      <c r="D844" s="1045"/>
      <c r="E844" s="1046" t="s">
        <v>637</v>
      </c>
      <c r="F844" s="1047"/>
      <c r="G844" s="1047"/>
      <c r="H844" s="1048"/>
      <c r="I844" s="710" t="s">
        <v>248</v>
      </c>
      <c r="J844" s="844">
        <f>+J832+1</f>
        <v>1223</v>
      </c>
      <c r="K844" s="306" t="s">
        <v>364</v>
      </c>
      <c r="L844" s="844"/>
    </row>
    <row r="845" spans="1:12" x14ac:dyDescent="0.25">
      <c r="B845" s="307" t="s">
        <v>0</v>
      </c>
      <c r="C845" s="307" t="s">
        <v>249</v>
      </c>
      <c r="D845" s="307" t="s">
        <v>6</v>
      </c>
      <c r="E845" s="307" t="s">
        <v>250</v>
      </c>
      <c r="F845" s="307" t="s">
        <v>62</v>
      </c>
      <c r="G845" s="307" t="s">
        <v>63</v>
      </c>
      <c r="H845" s="307" t="s">
        <v>64</v>
      </c>
      <c r="I845" s="307" t="s">
        <v>251</v>
      </c>
      <c r="J845" s="307" t="s">
        <v>66</v>
      </c>
      <c r="K845" s="307" t="s">
        <v>68</v>
      </c>
      <c r="L845" s="307" t="s">
        <v>252</v>
      </c>
    </row>
    <row r="846" spans="1:12" x14ac:dyDescent="0.25">
      <c r="B846" s="308"/>
      <c r="C846" s="310"/>
      <c r="D846" s="309"/>
      <c r="E846" s="311" t="s">
        <v>253</v>
      </c>
      <c r="F846" s="311" t="s">
        <v>253</v>
      </c>
      <c r="G846" s="311" t="s">
        <v>253</v>
      </c>
      <c r="H846" s="311" t="s">
        <v>253</v>
      </c>
      <c r="I846" s="311" t="s">
        <v>253</v>
      </c>
      <c r="J846" s="311" t="s">
        <v>253</v>
      </c>
      <c r="K846" s="311" t="s">
        <v>253</v>
      </c>
      <c r="L846" s="164">
        <f t="shared" ref="L846:L853" si="133">SUM(E846:K846)</f>
        <v>0</v>
      </c>
    </row>
    <row r="847" spans="1:12" x14ac:dyDescent="0.25">
      <c r="B847" s="308"/>
      <c r="C847" s="310"/>
      <c r="D847" s="309"/>
      <c r="E847" s="311" t="s">
        <v>253</v>
      </c>
      <c r="F847" s="311" t="s">
        <v>253</v>
      </c>
      <c r="G847" s="311" t="s">
        <v>253</v>
      </c>
      <c r="H847" s="311" t="s">
        <v>253</v>
      </c>
      <c r="I847" s="311" t="s">
        <v>253</v>
      </c>
      <c r="J847" s="311" t="s">
        <v>253</v>
      </c>
      <c r="K847" s="311" t="s">
        <v>253</v>
      </c>
      <c r="L847" s="164">
        <f t="shared" si="133"/>
        <v>0</v>
      </c>
    </row>
    <row r="848" spans="1:12" x14ac:dyDescent="0.25">
      <c r="B848" s="308"/>
      <c r="C848" s="310"/>
      <c r="D848" s="309"/>
      <c r="E848" s="311" t="s">
        <v>253</v>
      </c>
      <c r="F848" s="311" t="s">
        <v>253</v>
      </c>
      <c r="G848" s="311" t="s">
        <v>253</v>
      </c>
      <c r="H848" s="311" t="s">
        <v>253</v>
      </c>
      <c r="I848" s="311" t="s">
        <v>253</v>
      </c>
      <c r="J848" s="311" t="s">
        <v>253</v>
      </c>
      <c r="K848" s="311" t="s">
        <v>253</v>
      </c>
      <c r="L848" s="164">
        <f t="shared" si="133"/>
        <v>0</v>
      </c>
    </row>
    <row r="849" spans="1:12" x14ac:dyDescent="0.25">
      <c r="B849" s="308"/>
      <c r="C849" s="310"/>
      <c r="D849" s="309"/>
      <c r="E849" s="311" t="s">
        <v>253</v>
      </c>
      <c r="F849" s="311" t="s">
        <v>253</v>
      </c>
      <c r="G849" s="311" t="s">
        <v>253</v>
      </c>
      <c r="H849" s="311" t="s">
        <v>253</v>
      </c>
      <c r="I849" s="311" t="s">
        <v>253</v>
      </c>
      <c r="J849" s="311" t="s">
        <v>253</v>
      </c>
      <c r="K849" s="311" t="s">
        <v>253</v>
      </c>
      <c r="L849" s="164">
        <f t="shared" si="133"/>
        <v>0</v>
      </c>
    </row>
    <row r="850" spans="1:12" x14ac:dyDescent="0.25">
      <c r="B850" s="308"/>
      <c r="C850" s="310"/>
      <c r="D850" s="309"/>
      <c r="E850" s="311" t="s">
        <v>253</v>
      </c>
      <c r="F850" s="311" t="s">
        <v>253</v>
      </c>
      <c r="G850" s="311" t="s">
        <v>253</v>
      </c>
      <c r="H850" s="311" t="s">
        <v>253</v>
      </c>
      <c r="I850" s="311" t="s">
        <v>253</v>
      </c>
      <c r="J850" s="311" t="s">
        <v>253</v>
      </c>
      <c r="K850" s="311" t="s">
        <v>253</v>
      </c>
      <c r="L850" s="164">
        <f t="shared" si="133"/>
        <v>0</v>
      </c>
    </row>
    <row r="851" spans="1:12" x14ac:dyDescent="0.25">
      <c r="B851" s="308"/>
      <c r="C851" s="310"/>
      <c r="D851" s="309"/>
      <c r="E851" s="311" t="s">
        <v>253</v>
      </c>
      <c r="F851" s="311" t="s">
        <v>253</v>
      </c>
      <c r="G851" s="311" t="s">
        <v>253</v>
      </c>
      <c r="H851" s="311" t="s">
        <v>253</v>
      </c>
      <c r="I851" s="311" t="s">
        <v>253</v>
      </c>
      <c r="J851" s="311" t="s">
        <v>253</v>
      </c>
      <c r="K851" s="311" t="s">
        <v>253</v>
      </c>
      <c r="L851" s="164">
        <f t="shared" si="133"/>
        <v>0</v>
      </c>
    </row>
    <row r="852" spans="1:12" x14ac:dyDescent="0.25">
      <c r="B852" s="308"/>
      <c r="C852" s="310"/>
      <c r="D852" s="309"/>
      <c r="E852" s="311" t="s">
        <v>253</v>
      </c>
      <c r="F852" s="311" t="s">
        <v>253</v>
      </c>
      <c r="G852" s="311" t="s">
        <v>253</v>
      </c>
      <c r="H852" s="311" t="s">
        <v>253</v>
      </c>
      <c r="I852" s="311" t="s">
        <v>253</v>
      </c>
      <c r="J852" s="311" t="s">
        <v>253</v>
      </c>
      <c r="K852" s="311" t="s">
        <v>253</v>
      </c>
      <c r="L852" s="164">
        <f t="shared" si="133"/>
        <v>0</v>
      </c>
    </row>
    <row r="853" spans="1:12" x14ac:dyDescent="0.25">
      <c r="B853" s="308"/>
      <c r="C853" s="310"/>
      <c r="D853" s="309"/>
      <c r="E853" s="311" t="s">
        <v>253</v>
      </c>
      <c r="F853" s="311" t="s">
        <v>253</v>
      </c>
      <c r="G853" s="311" t="s">
        <v>253</v>
      </c>
      <c r="H853" s="311" t="s">
        <v>253</v>
      </c>
      <c r="I853" s="311" t="s">
        <v>253</v>
      </c>
      <c r="J853" s="311" t="s">
        <v>253</v>
      </c>
      <c r="K853" s="311" t="s">
        <v>253</v>
      </c>
      <c r="L853" s="164">
        <f t="shared" si="133"/>
        <v>0</v>
      </c>
    </row>
    <row r="854" spans="1:12" ht="18.75" x14ac:dyDescent="0.25">
      <c r="A854" s="605" t="s">
        <v>422</v>
      </c>
      <c r="B854" s="1049" t="s">
        <v>255</v>
      </c>
      <c r="C854" s="1050"/>
      <c r="D854" s="609">
        <f>SUM(E854:K854)</f>
        <v>0</v>
      </c>
      <c r="E854" s="164">
        <f t="shared" ref="E854:K854" si="134">SUM(E846:E853)</f>
        <v>0</v>
      </c>
      <c r="F854" s="164">
        <f t="shared" si="134"/>
        <v>0</v>
      </c>
      <c r="G854" s="164">
        <f t="shared" si="134"/>
        <v>0</v>
      </c>
      <c r="H854" s="164">
        <f t="shared" si="134"/>
        <v>0</v>
      </c>
      <c r="I854" s="164">
        <f t="shared" si="134"/>
        <v>0</v>
      </c>
      <c r="J854" s="164">
        <f t="shared" si="134"/>
        <v>0</v>
      </c>
      <c r="K854" s="164">
        <f t="shared" si="134"/>
        <v>0</v>
      </c>
      <c r="L854" s="165">
        <f>SUM(E854:K854)-SUM(L846:L853)</f>
        <v>0</v>
      </c>
    </row>
    <row r="855" spans="1:12" ht="15.75" x14ac:dyDescent="0.25">
      <c r="D855" s="776"/>
    </row>
    <row r="856" spans="1:12" ht="18.75" x14ac:dyDescent="0.3">
      <c r="B856" s="843" t="s">
        <v>246</v>
      </c>
      <c r="C856" s="1044"/>
      <c r="D856" s="1045"/>
      <c r="E856" s="1046" t="s">
        <v>637</v>
      </c>
      <c r="F856" s="1047"/>
      <c r="G856" s="1047"/>
      <c r="H856" s="1048"/>
      <c r="I856" s="710" t="s">
        <v>248</v>
      </c>
      <c r="J856" s="844">
        <f>+J844+1</f>
        <v>1224</v>
      </c>
      <c r="K856" s="306" t="s">
        <v>364</v>
      </c>
      <c r="L856" s="844"/>
    </row>
    <row r="857" spans="1:12" x14ac:dyDescent="0.25">
      <c r="B857" s="307" t="s">
        <v>0</v>
      </c>
      <c r="C857" s="307" t="s">
        <v>249</v>
      </c>
      <c r="D857" s="307" t="s">
        <v>6</v>
      </c>
      <c r="E857" s="307" t="s">
        <v>250</v>
      </c>
      <c r="F857" s="307" t="s">
        <v>62</v>
      </c>
      <c r="G857" s="307" t="s">
        <v>63</v>
      </c>
      <c r="H857" s="307" t="s">
        <v>64</v>
      </c>
      <c r="I857" s="307" t="s">
        <v>251</v>
      </c>
      <c r="J857" s="307" t="s">
        <v>66</v>
      </c>
      <c r="K857" s="307" t="s">
        <v>68</v>
      </c>
      <c r="L857" s="307" t="s">
        <v>252</v>
      </c>
    </row>
    <row r="858" spans="1:12" x14ac:dyDescent="0.25">
      <c r="B858" s="308"/>
      <c r="C858" s="310"/>
      <c r="D858" s="309"/>
      <c r="E858" s="311" t="s">
        <v>253</v>
      </c>
      <c r="F858" s="311" t="s">
        <v>253</v>
      </c>
      <c r="G858" s="311" t="s">
        <v>253</v>
      </c>
      <c r="H858" s="311" t="s">
        <v>253</v>
      </c>
      <c r="I858" s="311" t="s">
        <v>253</v>
      </c>
      <c r="J858" s="311" t="s">
        <v>253</v>
      </c>
      <c r="K858" s="311" t="s">
        <v>253</v>
      </c>
      <c r="L858" s="164">
        <f t="shared" ref="L858:L865" si="135">SUM(E858:K858)</f>
        <v>0</v>
      </c>
    </row>
    <row r="859" spans="1:12" x14ac:dyDescent="0.25">
      <c r="B859" s="308"/>
      <c r="C859" s="310"/>
      <c r="D859" s="309"/>
      <c r="E859" s="311" t="s">
        <v>253</v>
      </c>
      <c r="F859" s="311" t="s">
        <v>253</v>
      </c>
      <c r="G859" s="311" t="s">
        <v>253</v>
      </c>
      <c r="H859" s="311" t="s">
        <v>253</v>
      </c>
      <c r="I859" s="311" t="s">
        <v>253</v>
      </c>
      <c r="J859" s="311" t="s">
        <v>253</v>
      </c>
      <c r="K859" s="311" t="s">
        <v>253</v>
      </c>
      <c r="L859" s="164">
        <f t="shared" si="135"/>
        <v>0</v>
      </c>
    </row>
    <row r="860" spans="1:12" x14ac:dyDescent="0.25">
      <c r="B860" s="308"/>
      <c r="C860" s="310"/>
      <c r="D860" s="309"/>
      <c r="E860" s="311" t="s">
        <v>253</v>
      </c>
      <c r="F860" s="311" t="s">
        <v>253</v>
      </c>
      <c r="G860" s="311" t="s">
        <v>253</v>
      </c>
      <c r="H860" s="311" t="s">
        <v>253</v>
      </c>
      <c r="I860" s="311" t="s">
        <v>253</v>
      </c>
      <c r="J860" s="311" t="s">
        <v>253</v>
      </c>
      <c r="K860" s="311" t="s">
        <v>253</v>
      </c>
      <c r="L860" s="164">
        <f t="shared" si="135"/>
        <v>0</v>
      </c>
    </row>
    <row r="861" spans="1:12" x14ac:dyDescent="0.25">
      <c r="B861" s="308"/>
      <c r="C861" s="310"/>
      <c r="D861" s="309"/>
      <c r="E861" s="311" t="s">
        <v>253</v>
      </c>
      <c r="F861" s="311" t="s">
        <v>253</v>
      </c>
      <c r="G861" s="311" t="s">
        <v>253</v>
      </c>
      <c r="H861" s="311" t="s">
        <v>253</v>
      </c>
      <c r="I861" s="311" t="s">
        <v>253</v>
      </c>
      <c r="J861" s="311" t="s">
        <v>253</v>
      </c>
      <c r="K861" s="311" t="s">
        <v>253</v>
      </c>
      <c r="L861" s="164">
        <f t="shared" si="135"/>
        <v>0</v>
      </c>
    </row>
    <row r="862" spans="1:12" x14ac:dyDescent="0.25">
      <c r="B862" s="308"/>
      <c r="C862" s="310"/>
      <c r="D862" s="309"/>
      <c r="E862" s="311" t="s">
        <v>253</v>
      </c>
      <c r="F862" s="311" t="s">
        <v>253</v>
      </c>
      <c r="G862" s="311" t="s">
        <v>253</v>
      </c>
      <c r="H862" s="311" t="s">
        <v>253</v>
      </c>
      <c r="I862" s="311" t="s">
        <v>253</v>
      </c>
      <c r="J862" s="311" t="s">
        <v>253</v>
      </c>
      <c r="K862" s="311" t="s">
        <v>253</v>
      </c>
      <c r="L862" s="164">
        <f t="shared" si="135"/>
        <v>0</v>
      </c>
    </row>
    <row r="863" spans="1:12" x14ac:dyDescent="0.25">
      <c r="B863" s="308"/>
      <c r="C863" s="310"/>
      <c r="D863" s="309"/>
      <c r="E863" s="311" t="s">
        <v>253</v>
      </c>
      <c r="F863" s="311" t="s">
        <v>253</v>
      </c>
      <c r="G863" s="311" t="s">
        <v>253</v>
      </c>
      <c r="H863" s="311" t="s">
        <v>253</v>
      </c>
      <c r="I863" s="311" t="s">
        <v>253</v>
      </c>
      <c r="J863" s="311" t="s">
        <v>253</v>
      </c>
      <c r="K863" s="311" t="s">
        <v>253</v>
      </c>
      <c r="L863" s="164">
        <f t="shared" si="135"/>
        <v>0</v>
      </c>
    </row>
    <row r="864" spans="1:12" x14ac:dyDescent="0.25">
      <c r="B864" s="308"/>
      <c r="C864" s="310"/>
      <c r="D864" s="309"/>
      <c r="E864" s="311" t="s">
        <v>253</v>
      </c>
      <c r="F864" s="311" t="s">
        <v>253</v>
      </c>
      <c r="G864" s="311" t="s">
        <v>253</v>
      </c>
      <c r="H864" s="311" t="s">
        <v>253</v>
      </c>
      <c r="I864" s="311" t="s">
        <v>253</v>
      </c>
      <c r="J864" s="311" t="s">
        <v>253</v>
      </c>
      <c r="K864" s="311" t="s">
        <v>253</v>
      </c>
      <c r="L864" s="164">
        <f t="shared" si="135"/>
        <v>0</v>
      </c>
    </row>
    <row r="865" spans="1:12" x14ac:dyDescent="0.25">
      <c r="B865" s="308"/>
      <c r="C865" s="310"/>
      <c r="D865" s="309"/>
      <c r="E865" s="311" t="s">
        <v>253</v>
      </c>
      <c r="F865" s="311" t="s">
        <v>253</v>
      </c>
      <c r="G865" s="311" t="s">
        <v>253</v>
      </c>
      <c r="H865" s="311" t="s">
        <v>253</v>
      </c>
      <c r="I865" s="311" t="s">
        <v>253</v>
      </c>
      <c r="J865" s="311" t="s">
        <v>253</v>
      </c>
      <c r="K865" s="311" t="s">
        <v>253</v>
      </c>
      <c r="L865" s="164">
        <f t="shared" si="135"/>
        <v>0</v>
      </c>
    </row>
    <row r="866" spans="1:12" ht="18.75" x14ac:dyDescent="0.25">
      <c r="A866" s="605" t="s">
        <v>422</v>
      </c>
      <c r="B866" s="1049" t="s">
        <v>255</v>
      </c>
      <c r="C866" s="1050"/>
      <c r="D866" s="609">
        <f>SUM(E866:K866)</f>
        <v>0</v>
      </c>
      <c r="E866" s="164">
        <f t="shared" ref="E866:K866" si="136">SUM(E858:E865)</f>
        <v>0</v>
      </c>
      <c r="F866" s="164">
        <f t="shared" si="136"/>
        <v>0</v>
      </c>
      <c r="G866" s="164">
        <f t="shared" si="136"/>
        <v>0</v>
      </c>
      <c r="H866" s="164">
        <f t="shared" si="136"/>
        <v>0</v>
      </c>
      <c r="I866" s="164">
        <f t="shared" si="136"/>
        <v>0</v>
      </c>
      <c r="J866" s="164">
        <f t="shared" si="136"/>
        <v>0</v>
      </c>
      <c r="K866" s="164">
        <f t="shared" si="136"/>
        <v>0</v>
      </c>
      <c r="L866" s="165">
        <f>SUM(E866:K866)-SUM(L858:L865)</f>
        <v>0</v>
      </c>
    </row>
    <row r="867" spans="1:12" ht="15.75" x14ac:dyDescent="0.25">
      <c r="D867" s="776"/>
    </row>
    <row r="868" spans="1:12" ht="18.75" x14ac:dyDescent="0.3">
      <c r="B868" s="843" t="s">
        <v>246</v>
      </c>
      <c r="C868" s="1044"/>
      <c r="D868" s="1045"/>
      <c r="E868" s="1046" t="s">
        <v>637</v>
      </c>
      <c r="F868" s="1047"/>
      <c r="G868" s="1047"/>
      <c r="H868" s="1048"/>
      <c r="I868" s="710" t="s">
        <v>248</v>
      </c>
      <c r="J868" s="844">
        <f>+J856+1</f>
        <v>1225</v>
      </c>
      <c r="K868" s="306" t="s">
        <v>364</v>
      </c>
      <c r="L868" s="844"/>
    </row>
    <row r="869" spans="1:12" x14ac:dyDescent="0.25">
      <c r="B869" s="307" t="s">
        <v>0</v>
      </c>
      <c r="C869" s="307" t="s">
        <v>249</v>
      </c>
      <c r="D869" s="307" t="s">
        <v>6</v>
      </c>
      <c r="E869" s="307" t="s">
        <v>250</v>
      </c>
      <c r="F869" s="307" t="s">
        <v>62</v>
      </c>
      <c r="G869" s="307" t="s">
        <v>63</v>
      </c>
      <c r="H869" s="307" t="s">
        <v>64</v>
      </c>
      <c r="I869" s="307" t="s">
        <v>251</v>
      </c>
      <c r="J869" s="307" t="s">
        <v>66</v>
      </c>
      <c r="K869" s="307" t="s">
        <v>68</v>
      </c>
      <c r="L869" s="307" t="s">
        <v>252</v>
      </c>
    </row>
    <row r="870" spans="1:12" x14ac:dyDescent="0.25">
      <c r="B870" s="308"/>
      <c r="C870" s="310"/>
      <c r="D870" s="309"/>
      <c r="E870" s="311" t="s">
        <v>253</v>
      </c>
      <c r="F870" s="311" t="s">
        <v>253</v>
      </c>
      <c r="G870" s="311" t="s">
        <v>253</v>
      </c>
      <c r="H870" s="311" t="s">
        <v>253</v>
      </c>
      <c r="I870" s="311" t="s">
        <v>253</v>
      </c>
      <c r="J870" s="311" t="s">
        <v>253</v>
      </c>
      <c r="K870" s="311" t="s">
        <v>253</v>
      </c>
      <c r="L870" s="164">
        <f t="shared" ref="L870:L877" si="137">SUM(E870:K870)</f>
        <v>0</v>
      </c>
    </row>
    <row r="871" spans="1:12" x14ac:dyDescent="0.25">
      <c r="B871" s="308"/>
      <c r="C871" s="310"/>
      <c r="D871" s="309"/>
      <c r="E871" s="311" t="s">
        <v>253</v>
      </c>
      <c r="F871" s="311" t="s">
        <v>253</v>
      </c>
      <c r="G871" s="311" t="s">
        <v>253</v>
      </c>
      <c r="H871" s="311" t="s">
        <v>253</v>
      </c>
      <c r="I871" s="311" t="s">
        <v>253</v>
      </c>
      <c r="J871" s="311" t="s">
        <v>253</v>
      </c>
      <c r="K871" s="311" t="s">
        <v>253</v>
      </c>
      <c r="L871" s="164">
        <f t="shared" si="137"/>
        <v>0</v>
      </c>
    </row>
    <row r="872" spans="1:12" x14ac:dyDescent="0.25">
      <c r="B872" s="308"/>
      <c r="C872" s="310"/>
      <c r="D872" s="309"/>
      <c r="E872" s="311" t="s">
        <v>253</v>
      </c>
      <c r="F872" s="311" t="s">
        <v>253</v>
      </c>
      <c r="G872" s="311" t="s">
        <v>253</v>
      </c>
      <c r="H872" s="311" t="s">
        <v>253</v>
      </c>
      <c r="I872" s="311" t="s">
        <v>253</v>
      </c>
      <c r="J872" s="311" t="s">
        <v>253</v>
      </c>
      <c r="K872" s="311" t="s">
        <v>253</v>
      </c>
      <c r="L872" s="164">
        <f t="shared" si="137"/>
        <v>0</v>
      </c>
    </row>
    <row r="873" spans="1:12" x14ac:dyDescent="0.25">
      <c r="B873" s="308"/>
      <c r="C873" s="310"/>
      <c r="D873" s="309"/>
      <c r="E873" s="311" t="s">
        <v>253</v>
      </c>
      <c r="F873" s="311" t="s">
        <v>253</v>
      </c>
      <c r="G873" s="311" t="s">
        <v>253</v>
      </c>
      <c r="H873" s="311" t="s">
        <v>253</v>
      </c>
      <c r="I873" s="311" t="s">
        <v>253</v>
      </c>
      <c r="J873" s="311" t="s">
        <v>253</v>
      </c>
      <c r="K873" s="311" t="s">
        <v>253</v>
      </c>
      <c r="L873" s="164">
        <f t="shared" si="137"/>
        <v>0</v>
      </c>
    </row>
    <row r="874" spans="1:12" x14ac:dyDescent="0.25">
      <c r="B874" s="308"/>
      <c r="C874" s="310"/>
      <c r="D874" s="309"/>
      <c r="E874" s="311" t="s">
        <v>253</v>
      </c>
      <c r="F874" s="311" t="s">
        <v>253</v>
      </c>
      <c r="G874" s="311" t="s">
        <v>253</v>
      </c>
      <c r="H874" s="311" t="s">
        <v>253</v>
      </c>
      <c r="I874" s="311" t="s">
        <v>253</v>
      </c>
      <c r="J874" s="311" t="s">
        <v>253</v>
      </c>
      <c r="K874" s="311" t="s">
        <v>253</v>
      </c>
      <c r="L874" s="164">
        <f t="shared" si="137"/>
        <v>0</v>
      </c>
    </row>
    <row r="875" spans="1:12" x14ac:dyDescent="0.25">
      <c r="B875" s="308"/>
      <c r="C875" s="310"/>
      <c r="D875" s="309"/>
      <c r="E875" s="311" t="s">
        <v>253</v>
      </c>
      <c r="F875" s="311" t="s">
        <v>253</v>
      </c>
      <c r="G875" s="311" t="s">
        <v>253</v>
      </c>
      <c r="H875" s="311" t="s">
        <v>253</v>
      </c>
      <c r="I875" s="311" t="s">
        <v>253</v>
      </c>
      <c r="J875" s="311" t="s">
        <v>253</v>
      </c>
      <c r="K875" s="311" t="s">
        <v>253</v>
      </c>
      <c r="L875" s="164">
        <f t="shared" si="137"/>
        <v>0</v>
      </c>
    </row>
    <row r="876" spans="1:12" x14ac:dyDescent="0.25">
      <c r="B876" s="308"/>
      <c r="C876" s="310"/>
      <c r="D876" s="309"/>
      <c r="E876" s="311" t="s">
        <v>253</v>
      </c>
      <c r="F876" s="311" t="s">
        <v>253</v>
      </c>
      <c r="G876" s="311" t="s">
        <v>253</v>
      </c>
      <c r="H876" s="311" t="s">
        <v>253</v>
      </c>
      <c r="I876" s="311" t="s">
        <v>253</v>
      </c>
      <c r="J876" s="311" t="s">
        <v>253</v>
      </c>
      <c r="K876" s="311" t="s">
        <v>253</v>
      </c>
      <c r="L876" s="164">
        <f t="shared" si="137"/>
        <v>0</v>
      </c>
    </row>
    <row r="877" spans="1:12" x14ac:dyDescent="0.25">
      <c r="B877" s="308"/>
      <c r="C877" s="310"/>
      <c r="D877" s="309"/>
      <c r="E877" s="311" t="s">
        <v>253</v>
      </c>
      <c r="F877" s="311" t="s">
        <v>253</v>
      </c>
      <c r="G877" s="311" t="s">
        <v>253</v>
      </c>
      <c r="H877" s="311" t="s">
        <v>253</v>
      </c>
      <c r="I877" s="311" t="s">
        <v>253</v>
      </c>
      <c r="J877" s="311" t="s">
        <v>253</v>
      </c>
      <c r="K877" s="311" t="s">
        <v>253</v>
      </c>
      <c r="L877" s="164">
        <f t="shared" si="137"/>
        <v>0</v>
      </c>
    </row>
    <row r="878" spans="1:12" ht="18.75" x14ac:dyDescent="0.25">
      <c r="A878" s="605" t="s">
        <v>422</v>
      </c>
      <c r="B878" s="1049" t="s">
        <v>255</v>
      </c>
      <c r="C878" s="1050"/>
      <c r="D878" s="609">
        <f>SUM(E878:K878)</f>
        <v>0</v>
      </c>
      <c r="E878" s="164">
        <f t="shared" ref="E878:K878" si="138">SUM(E870:E877)</f>
        <v>0</v>
      </c>
      <c r="F878" s="164">
        <f t="shared" si="138"/>
        <v>0</v>
      </c>
      <c r="G878" s="164">
        <f t="shared" si="138"/>
        <v>0</v>
      </c>
      <c r="H878" s="164">
        <f t="shared" si="138"/>
        <v>0</v>
      </c>
      <c r="I878" s="164">
        <f t="shared" si="138"/>
        <v>0</v>
      </c>
      <c r="J878" s="164">
        <f t="shared" si="138"/>
        <v>0</v>
      </c>
      <c r="K878" s="164">
        <f t="shared" si="138"/>
        <v>0</v>
      </c>
      <c r="L878" s="165">
        <f>SUM(E878:K878)-SUM(L870:L877)</f>
        <v>0</v>
      </c>
    </row>
  </sheetData>
  <sortState xmlns:xlrd2="http://schemas.microsoft.com/office/spreadsheetml/2017/richdata2" ref="B183:K194">
    <sortCondition ref="B183:B194"/>
  </sortState>
  <mergeCells count="197">
    <mergeCell ref="C868:D868"/>
    <mergeCell ref="E868:H868"/>
    <mergeCell ref="B878:C878"/>
    <mergeCell ref="C832:D832"/>
    <mergeCell ref="E832:H832"/>
    <mergeCell ref="B842:C842"/>
    <mergeCell ref="C844:D844"/>
    <mergeCell ref="E844:H844"/>
    <mergeCell ref="B854:C854"/>
    <mergeCell ref="C856:D856"/>
    <mergeCell ref="E856:H856"/>
    <mergeCell ref="B866:C866"/>
    <mergeCell ref="C796:D796"/>
    <mergeCell ref="E796:H796"/>
    <mergeCell ref="B806:C806"/>
    <mergeCell ref="C808:D808"/>
    <mergeCell ref="E808:H808"/>
    <mergeCell ref="B818:C818"/>
    <mergeCell ref="C820:D820"/>
    <mergeCell ref="E820:H820"/>
    <mergeCell ref="B830:C830"/>
    <mergeCell ref="C760:D760"/>
    <mergeCell ref="E760:H760"/>
    <mergeCell ref="B770:C770"/>
    <mergeCell ref="C772:D772"/>
    <mergeCell ref="E772:H772"/>
    <mergeCell ref="B782:C782"/>
    <mergeCell ref="C784:D784"/>
    <mergeCell ref="E784:H784"/>
    <mergeCell ref="B794:C794"/>
    <mergeCell ref="C724:D724"/>
    <mergeCell ref="E724:H724"/>
    <mergeCell ref="B734:C734"/>
    <mergeCell ref="C736:D736"/>
    <mergeCell ref="E736:H736"/>
    <mergeCell ref="B746:C746"/>
    <mergeCell ref="C748:D748"/>
    <mergeCell ref="E748:H748"/>
    <mergeCell ref="B758:C758"/>
    <mergeCell ref="C688:D688"/>
    <mergeCell ref="E688:H688"/>
    <mergeCell ref="B698:C698"/>
    <mergeCell ref="C700:D700"/>
    <mergeCell ref="E700:H700"/>
    <mergeCell ref="B710:C710"/>
    <mergeCell ref="C712:D712"/>
    <mergeCell ref="E712:H712"/>
    <mergeCell ref="B722:C722"/>
    <mergeCell ref="C652:D652"/>
    <mergeCell ref="E652:H652"/>
    <mergeCell ref="B662:C662"/>
    <mergeCell ref="C664:D664"/>
    <mergeCell ref="E664:H664"/>
    <mergeCell ref="B674:C674"/>
    <mergeCell ref="C676:D676"/>
    <mergeCell ref="E676:H676"/>
    <mergeCell ref="B686:C686"/>
    <mergeCell ref="C616:D616"/>
    <mergeCell ref="E616:H616"/>
    <mergeCell ref="B626:C626"/>
    <mergeCell ref="C628:D628"/>
    <mergeCell ref="E628:H628"/>
    <mergeCell ref="B638:C638"/>
    <mergeCell ref="C640:D640"/>
    <mergeCell ref="E640:H640"/>
    <mergeCell ref="B650:C650"/>
    <mergeCell ref="C74:D74"/>
    <mergeCell ref="B78:C78"/>
    <mergeCell ref="B60:C60"/>
    <mergeCell ref="C62:D62"/>
    <mergeCell ref="B65:C65"/>
    <mergeCell ref="C405:D405"/>
    <mergeCell ref="B415:C415"/>
    <mergeCell ref="E405:H405"/>
    <mergeCell ref="C80:D80"/>
    <mergeCell ref="B95:C95"/>
    <mergeCell ref="C97:D97"/>
    <mergeCell ref="B111:C111"/>
    <mergeCell ref="C113:D113"/>
    <mergeCell ref="B127:C127"/>
    <mergeCell ref="C129:D129"/>
    <mergeCell ref="B133:C133"/>
    <mergeCell ref="C135:D135"/>
    <mergeCell ref="B144:C144"/>
    <mergeCell ref="C157:D157"/>
    <mergeCell ref="B167:C167"/>
    <mergeCell ref="B195:C195"/>
    <mergeCell ref="C181:D181"/>
    <mergeCell ref="C197:D197"/>
    <mergeCell ref="B208:C208"/>
    <mergeCell ref="C45:D45"/>
    <mergeCell ref="C1:D1"/>
    <mergeCell ref="B16:C16"/>
    <mergeCell ref="C18:D18"/>
    <mergeCell ref="B30:C30"/>
    <mergeCell ref="C32:D32"/>
    <mergeCell ref="B43:C43"/>
    <mergeCell ref="C67:D67"/>
    <mergeCell ref="B72:C72"/>
    <mergeCell ref="C210:D210"/>
    <mergeCell ref="B219:C219"/>
    <mergeCell ref="C146:D146"/>
    <mergeCell ref="B155:C155"/>
    <mergeCell ref="C175:D175"/>
    <mergeCell ref="B179:C179"/>
    <mergeCell ref="C169:D169"/>
    <mergeCell ref="B173:C173"/>
    <mergeCell ref="B252:C252"/>
    <mergeCell ref="C273:D273"/>
    <mergeCell ref="B283:C283"/>
    <mergeCell ref="C254:D254"/>
    <mergeCell ref="B262:C262"/>
    <mergeCell ref="C264:D264"/>
    <mergeCell ref="B271:C271"/>
    <mergeCell ref="C221:D221"/>
    <mergeCell ref="B233:C233"/>
    <mergeCell ref="C235:D235"/>
    <mergeCell ref="B242:C242"/>
    <mergeCell ref="C244:D244"/>
    <mergeCell ref="B395:C395"/>
    <mergeCell ref="B403:C403"/>
    <mergeCell ref="B463:C463"/>
    <mergeCell ref="C465:D465"/>
    <mergeCell ref="E465:H465"/>
    <mergeCell ref="B475:C475"/>
    <mergeCell ref="B439:C439"/>
    <mergeCell ref="C441:D441"/>
    <mergeCell ref="E441:H441"/>
    <mergeCell ref="B451:C451"/>
    <mergeCell ref="C453:D453"/>
    <mergeCell ref="E453:H453"/>
    <mergeCell ref="C417:D417"/>
    <mergeCell ref="E417:H417"/>
    <mergeCell ref="B427:C427"/>
    <mergeCell ref="C429:D429"/>
    <mergeCell ref="E429:H429"/>
    <mergeCell ref="B529:C529"/>
    <mergeCell ref="C531:D531"/>
    <mergeCell ref="E531:H531"/>
    <mergeCell ref="C477:D477"/>
    <mergeCell ref="E477:H477"/>
    <mergeCell ref="B487:C487"/>
    <mergeCell ref="C489:D489"/>
    <mergeCell ref="E489:H489"/>
    <mergeCell ref="B499:C499"/>
    <mergeCell ref="C501:D501"/>
    <mergeCell ref="E501:H501"/>
    <mergeCell ref="B505:C505"/>
    <mergeCell ref="C507:D507"/>
    <mergeCell ref="E507:H507"/>
    <mergeCell ref="B517:C517"/>
    <mergeCell ref="C285:D285"/>
    <mergeCell ref="E285:H285"/>
    <mergeCell ref="B297:C297"/>
    <mergeCell ref="C314:D314"/>
    <mergeCell ref="E314:H314"/>
    <mergeCell ref="B326:C326"/>
    <mergeCell ref="C328:D328"/>
    <mergeCell ref="E328:H328"/>
    <mergeCell ref="B340:C340"/>
    <mergeCell ref="C543:D543"/>
    <mergeCell ref="E543:H543"/>
    <mergeCell ref="B553:C553"/>
    <mergeCell ref="C555:D555"/>
    <mergeCell ref="E555:H555"/>
    <mergeCell ref="C299:D299"/>
    <mergeCell ref="E299:H299"/>
    <mergeCell ref="B312:C312"/>
    <mergeCell ref="C397:D397"/>
    <mergeCell ref="E397:H397"/>
    <mergeCell ref="C370:D370"/>
    <mergeCell ref="E370:H370"/>
    <mergeCell ref="B382:C382"/>
    <mergeCell ref="C384:D384"/>
    <mergeCell ref="E384:H384"/>
    <mergeCell ref="B541:C541"/>
    <mergeCell ref="C342:D342"/>
    <mergeCell ref="E342:H342"/>
    <mergeCell ref="B353:C353"/>
    <mergeCell ref="C355:D355"/>
    <mergeCell ref="E355:H355"/>
    <mergeCell ref="B368:C368"/>
    <mergeCell ref="C519:D519"/>
    <mergeCell ref="E519:H519"/>
    <mergeCell ref="B614:C614"/>
    <mergeCell ref="B589:C589"/>
    <mergeCell ref="C591:D591"/>
    <mergeCell ref="E591:H591"/>
    <mergeCell ref="B601:C601"/>
    <mergeCell ref="C604:D604"/>
    <mergeCell ref="E604:H604"/>
    <mergeCell ref="B565:C565"/>
    <mergeCell ref="C567:D567"/>
    <mergeCell ref="E567:H567"/>
    <mergeCell ref="B577:C577"/>
    <mergeCell ref="C579:D579"/>
    <mergeCell ref="E579:H579"/>
  </mergeCells>
  <phoneticPr fontId="31" type="noConversion"/>
  <dataValidations count="2">
    <dataValidation type="list" allowBlank="1" showInputMessage="1" showErrorMessage="1" sqref="C507:D507 C604:D604 C591:D591 C579:D579 C567:D567 C555:D555 C543:D543 C531:D531 C519:D519 C501:D501 C616:D616 C628:D628 C640:D640 C652:D652 C664:D664 C784:D784 C688:D688 C700:D700 C712:D712 C724:D724 C736:D736 C748:D748 C760:D760 C772:D772 C868:D868 C796:D796 C808:D808 C820:D820 C832:D832 C844:D844 C856:D856" xr:uid="{7754DA42-A696-4885-8511-6F0635A47B75}">
      <formula1>$P$1:$P$9</formula1>
    </dataValidation>
    <dataValidation type="list" allowBlank="1" showInputMessage="1" showErrorMessage="1" sqref="D777 D775" xr:uid="{7D0DA7AE-A678-4DF1-B9DD-F76FBEBCD2C7}">
      <formula1>$U$3:$U$10</formula1>
    </dataValidation>
  </dataValidations>
  <printOptions horizontalCentered="1" verticalCentered="1"/>
  <pageMargins left="0.25" right="0.25" top="0.75" bottom="0.75" header="0.3" footer="0.3"/>
  <pageSetup scale="90" fitToHeight="0" orientation="landscape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A2B6B-B86C-4248-B7C9-B4E3A877B68B}">
  <sheetPr codeName="Hoja10">
    <outlinePr summaryRight="0"/>
  </sheetPr>
  <dimension ref="A1:DA63"/>
  <sheetViews>
    <sheetView showGridLines="0" zoomScaleNormal="100" workbookViewId="0">
      <pane xSplit="6" ySplit="2" topLeftCell="CM3" activePane="bottomRight" state="frozen"/>
      <selection pane="topRight" activeCell="G1" sqref="G1"/>
      <selection pane="bottomLeft" activeCell="A3" sqref="A3"/>
      <selection pane="bottomRight"/>
    </sheetView>
  </sheetViews>
  <sheetFormatPr baseColWidth="10" defaultRowHeight="15" x14ac:dyDescent="0.25"/>
  <cols>
    <col min="1" max="1" width="15.42578125" style="33" bestFit="1" customWidth="1"/>
    <col min="2" max="2" width="12" style="324" bestFit="1" customWidth="1"/>
    <col min="3" max="3" width="18" style="336" customWidth="1"/>
    <col min="4" max="5" width="11.7109375" style="336" bestFit="1" customWidth="1"/>
    <col min="6" max="6" width="10.7109375" style="634" bestFit="1" customWidth="1"/>
    <col min="7" max="7" width="9.7109375" style="336" bestFit="1" customWidth="1"/>
    <col min="8" max="8" width="9.140625" style="336" bestFit="1" customWidth="1"/>
    <col min="9" max="9" width="9.5703125" style="336" bestFit="1" customWidth="1"/>
    <col min="10" max="10" width="9.140625" style="336" bestFit="1" customWidth="1"/>
    <col min="11" max="11" width="10" style="336" bestFit="1" customWidth="1"/>
    <col min="12" max="12" width="8.85546875" style="336" bestFit="1" customWidth="1"/>
    <col min="13" max="13" width="8.140625" style="336" bestFit="1" customWidth="1"/>
    <col min="14" max="14" width="9.7109375" style="336" bestFit="1" customWidth="1"/>
    <col min="15" max="15" width="10.28515625" style="336" bestFit="1" customWidth="1"/>
    <col min="16" max="16" width="9.140625" style="336" bestFit="1" customWidth="1"/>
    <col min="17" max="17" width="9.5703125" style="336" bestFit="1" customWidth="1"/>
    <col min="18" max="18" width="8.85546875" style="336" bestFit="1" customWidth="1"/>
    <col min="19" max="19" width="9.7109375" style="336" bestFit="1" customWidth="1"/>
    <col min="20" max="20" width="9.140625" style="336" bestFit="1" customWidth="1"/>
    <col min="21" max="21" width="9.5703125" style="336" bestFit="1" customWidth="1"/>
    <col min="22" max="22" width="9.140625" style="336" bestFit="1" customWidth="1"/>
    <col min="23" max="23" width="10" style="336" bestFit="1" customWidth="1"/>
    <col min="24" max="24" width="8.85546875" style="336" bestFit="1" customWidth="1"/>
    <col min="25" max="25" width="8.140625" style="336" bestFit="1" customWidth="1"/>
    <col min="26" max="26" width="9.7109375" style="336" bestFit="1" customWidth="1"/>
    <col min="27" max="27" width="10.28515625" style="336" bestFit="1" customWidth="1"/>
    <col min="28" max="28" width="9.140625" style="336" bestFit="1" customWidth="1"/>
    <col min="29" max="29" width="9.5703125" style="336" bestFit="1" customWidth="1"/>
    <col min="30" max="30" width="8.85546875" style="336" bestFit="1" customWidth="1"/>
    <col min="31" max="31" width="7.140625" style="336" customWidth="1"/>
    <col min="32" max="32" width="6.7109375" style="336" customWidth="1"/>
    <col min="33" max="33" width="7.140625" style="336" customWidth="1"/>
    <col min="34" max="34" width="6.5703125" style="336" customWidth="1"/>
    <col min="35" max="35" width="7.42578125" style="336" customWidth="1"/>
    <col min="36" max="36" width="6.5703125" style="336" customWidth="1"/>
    <col min="37" max="37" width="6" style="336" customWidth="1"/>
    <col min="38" max="38" width="6.85546875" style="336" customWidth="1"/>
    <col min="39" max="39" width="7.5703125" style="336" customWidth="1"/>
    <col min="40" max="40" width="6.42578125" style="336" customWidth="1"/>
    <col min="41" max="41" width="7" style="336" customWidth="1"/>
    <col min="42" max="42" width="6.28515625" style="336" customWidth="1"/>
    <col min="43" max="43" width="7.140625" style="336" customWidth="1"/>
    <col min="44" max="44" width="6.7109375" style="336" customWidth="1"/>
    <col min="45" max="45" width="7.140625" style="336" customWidth="1"/>
    <col min="46" max="46" width="6.5703125" style="336" customWidth="1"/>
    <col min="47" max="47" width="7.42578125" style="336" customWidth="1"/>
    <col min="48" max="48" width="6.5703125" style="336" customWidth="1"/>
    <col min="49" max="49" width="6" style="336" customWidth="1"/>
    <col min="50" max="50" width="6.85546875" style="336" customWidth="1"/>
    <col min="51" max="51" width="7.5703125" style="336" customWidth="1"/>
    <col min="52" max="52" width="6.42578125" style="336" customWidth="1"/>
    <col min="53" max="53" width="7" style="336" customWidth="1"/>
    <col min="54" max="54" width="6.28515625" style="336" customWidth="1"/>
    <col min="55" max="55" width="7.140625" style="336" customWidth="1"/>
    <col min="56" max="56" width="6.7109375" style="336" customWidth="1"/>
    <col min="57" max="57" width="7.140625" style="336" customWidth="1"/>
    <col min="58" max="58" width="6.5703125" style="336" customWidth="1"/>
    <col min="59" max="59" width="7.42578125" style="336" customWidth="1"/>
    <col min="60" max="60" width="6.5703125" style="336" customWidth="1"/>
    <col min="61" max="61" width="6" style="336" customWidth="1"/>
    <col min="62" max="62" width="6.85546875" style="336" customWidth="1"/>
    <col min="63" max="63" width="7.5703125" style="336" customWidth="1"/>
    <col min="64" max="64" width="6.42578125" style="336" customWidth="1"/>
    <col min="65" max="65" width="7" style="336" customWidth="1"/>
    <col min="66" max="66" width="6.28515625" style="336" customWidth="1"/>
    <col min="67" max="67" width="7.140625" style="336" bestFit="1" customWidth="1"/>
    <col min="68" max="68" width="6.7109375" style="336" bestFit="1" customWidth="1"/>
    <col min="69" max="69" width="7.140625" style="336" bestFit="1" customWidth="1"/>
    <col min="70" max="70" width="6.5703125" style="336" bestFit="1" customWidth="1"/>
    <col min="71" max="71" width="7.42578125" style="336" bestFit="1" customWidth="1"/>
    <col min="72" max="72" width="6.5703125" style="336" bestFit="1" customWidth="1"/>
    <col min="73" max="73" width="6" style="336" bestFit="1" customWidth="1"/>
    <col min="74" max="74" width="6.85546875" style="336" bestFit="1" customWidth="1"/>
    <col min="75" max="75" width="7.5703125" style="336" bestFit="1" customWidth="1"/>
    <col min="76" max="76" width="6.42578125" style="336" bestFit="1" customWidth="1"/>
    <col min="77" max="77" width="7" style="336" bestFit="1" customWidth="1"/>
    <col min="78" max="78" width="6.42578125" style="336" customWidth="1"/>
    <col min="79" max="79" width="7.140625" style="336" bestFit="1" customWidth="1"/>
    <col min="80" max="80" width="6.7109375" style="336" bestFit="1" customWidth="1"/>
    <col min="81" max="81" width="7.140625" style="336" bestFit="1" customWidth="1"/>
    <col min="82" max="82" width="6.5703125" style="336" bestFit="1" customWidth="1"/>
    <col min="83" max="83" width="7.42578125" style="336" bestFit="1" customWidth="1"/>
    <col min="84" max="84" width="6.5703125" style="336" bestFit="1" customWidth="1"/>
    <col min="85" max="85" width="6" style="336" bestFit="1" customWidth="1"/>
    <col min="86" max="86" width="6.85546875" style="336" bestFit="1" customWidth="1"/>
    <col min="87" max="87" width="7.5703125" style="336" bestFit="1" customWidth="1"/>
    <col min="88" max="88" width="6.42578125" style="336" bestFit="1" customWidth="1"/>
    <col min="89" max="89" width="7" style="336" bestFit="1" customWidth="1"/>
    <col min="90" max="90" width="6.28515625" style="336" bestFit="1" customWidth="1"/>
    <col min="91" max="91" width="7.140625" style="336" bestFit="1" customWidth="1"/>
    <col min="92" max="92" width="6.7109375" style="336" bestFit="1" customWidth="1"/>
    <col min="93" max="93" width="10" style="336" bestFit="1" customWidth="1"/>
    <col min="94" max="94" width="6.5703125" style="336" bestFit="1" customWidth="1"/>
    <col min="95" max="95" width="7.42578125" style="336" bestFit="1" customWidth="1"/>
    <col min="96" max="96" width="6.5703125" style="336" bestFit="1" customWidth="1"/>
    <col min="97" max="97" width="6" style="336" bestFit="1" customWidth="1"/>
    <col min="98" max="98" width="6.85546875" style="336" bestFit="1" customWidth="1"/>
    <col min="99" max="99" width="7.5703125" style="336" bestFit="1" customWidth="1"/>
    <col min="100" max="100" width="6.42578125" style="336" bestFit="1" customWidth="1"/>
    <col min="101" max="101" width="7" style="336" bestFit="1" customWidth="1"/>
    <col min="102" max="102" width="6.28515625" style="336" bestFit="1" customWidth="1"/>
    <col min="103" max="103" width="7.140625" style="336" bestFit="1" customWidth="1"/>
    <col min="104" max="104" width="6.7109375" style="336" bestFit="1" customWidth="1"/>
    <col min="105" max="105" width="7.140625" style="336" bestFit="1" customWidth="1"/>
    <col min="106" max="16384" width="11.42578125" style="328"/>
  </cols>
  <sheetData>
    <row r="1" spans="1:105" s="77" customFormat="1" ht="16.5" thickBot="1" x14ac:dyDescent="0.3">
      <c r="A1" s="455">
        <f>SUM(G1:DA1)</f>
        <v>2645000</v>
      </c>
      <c r="B1" s="393">
        <f>+D1/E1</f>
        <v>0.89802182810368347</v>
      </c>
      <c r="C1" s="77">
        <f>+D1-A1</f>
        <v>-12000</v>
      </c>
      <c r="D1" s="322">
        <f>SUM(D3:D56)</f>
        <v>2633000</v>
      </c>
      <c r="E1" s="322">
        <f>SUM(E3:E56)</f>
        <v>2932000</v>
      </c>
      <c r="F1" s="630">
        <f>+B1-1</f>
        <v>-0.10197817189631653</v>
      </c>
      <c r="G1" s="1058">
        <f>SUM(G3:R56)</f>
        <v>380000</v>
      </c>
      <c r="H1" s="1058"/>
      <c r="J1" s="701"/>
      <c r="S1" s="1058">
        <f>SUM(S3:AD56)</f>
        <v>420000</v>
      </c>
      <c r="T1" s="1058"/>
      <c r="AE1" s="1058">
        <f>SUM(AE3:AP56)</f>
        <v>394000</v>
      </c>
      <c r="AF1" s="1058"/>
      <c r="AQ1" s="1058">
        <f>SUM(AQ3:BB56)</f>
        <v>408000</v>
      </c>
      <c r="AR1" s="1058"/>
      <c r="BC1" s="1058">
        <f>SUM(BC3:BN56)</f>
        <v>431000</v>
      </c>
      <c r="BD1" s="1058"/>
      <c r="BO1" s="1058">
        <f>SUM(BO3:BQ56)</f>
        <v>78000</v>
      </c>
      <c r="BP1" s="1058"/>
      <c r="CB1" s="1058">
        <f>SUM(BR3:CC56)</f>
        <v>271000</v>
      </c>
      <c r="CC1" s="1058"/>
      <c r="CN1" s="1058">
        <f>SUM(CD3:CO56)</f>
        <v>225000</v>
      </c>
      <c r="CO1" s="1058"/>
      <c r="CZ1" s="1058">
        <f>SUM(CP3:DA56)</f>
        <v>38000</v>
      </c>
      <c r="DA1" s="1058"/>
    </row>
    <row r="2" spans="1:105" s="324" customFormat="1" x14ac:dyDescent="0.25">
      <c r="A2" s="391" t="s">
        <v>260</v>
      </c>
      <c r="B2" s="456" t="s">
        <v>135</v>
      </c>
      <c r="C2" s="391" t="s">
        <v>106</v>
      </c>
      <c r="D2" s="391" t="s">
        <v>254</v>
      </c>
      <c r="E2" s="391" t="s">
        <v>331</v>
      </c>
      <c r="F2" s="391" t="s">
        <v>422</v>
      </c>
      <c r="G2" s="392">
        <v>43101</v>
      </c>
      <c r="H2" s="392">
        <v>43132</v>
      </c>
      <c r="I2" s="392">
        <v>43160</v>
      </c>
      <c r="J2" s="392">
        <v>43191</v>
      </c>
      <c r="K2" s="392">
        <v>43221</v>
      </c>
      <c r="L2" s="392">
        <v>43252</v>
      </c>
      <c r="M2" s="392">
        <v>43282</v>
      </c>
      <c r="N2" s="392">
        <v>43313</v>
      </c>
      <c r="O2" s="392">
        <v>43344</v>
      </c>
      <c r="P2" s="392">
        <v>43374</v>
      </c>
      <c r="Q2" s="392">
        <v>43405</v>
      </c>
      <c r="R2" s="392">
        <v>43435</v>
      </c>
      <c r="S2" s="392">
        <v>43466</v>
      </c>
      <c r="T2" s="392">
        <v>43497</v>
      </c>
      <c r="U2" s="392">
        <v>43525</v>
      </c>
      <c r="V2" s="392">
        <v>43556</v>
      </c>
      <c r="W2" s="392">
        <v>43586</v>
      </c>
      <c r="X2" s="392">
        <v>43617</v>
      </c>
      <c r="Y2" s="392">
        <v>43647</v>
      </c>
      <c r="Z2" s="392">
        <v>43678</v>
      </c>
      <c r="AA2" s="392">
        <v>43709</v>
      </c>
      <c r="AB2" s="392">
        <v>43739</v>
      </c>
      <c r="AC2" s="392">
        <v>43770</v>
      </c>
      <c r="AD2" s="392">
        <v>43800</v>
      </c>
      <c r="AE2" s="392">
        <v>43831</v>
      </c>
      <c r="AF2" s="392">
        <v>43862</v>
      </c>
      <c r="AG2" s="392">
        <v>43891</v>
      </c>
      <c r="AH2" s="392">
        <v>43922</v>
      </c>
      <c r="AI2" s="392">
        <v>43952</v>
      </c>
      <c r="AJ2" s="392">
        <v>43983</v>
      </c>
      <c r="AK2" s="392">
        <v>44013</v>
      </c>
      <c r="AL2" s="392">
        <v>44044</v>
      </c>
      <c r="AM2" s="392">
        <v>44075</v>
      </c>
      <c r="AN2" s="392">
        <v>44105</v>
      </c>
      <c r="AO2" s="392">
        <v>44136</v>
      </c>
      <c r="AP2" s="392">
        <v>44166</v>
      </c>
      <c r="AQ2" s="392">
        <v>44197</v>
      </c>
      <c r="AR2" s="392">
        <v>44228</v>
      </c>
      <c r="AS2" s="392">
        <v>44256</v>
      </c>
      <c r="AT2" s="392">
        <v>44287</v>
      </c>
      <c r="AU2" s="392">
        <v>44317</v>
      </c>
      <c r="AV2" s="392">
        <v>44348</v>
      </c>
      <c r="AW2" s="392">
        <v>44378</v>
      </c>
      <c r="AX2" s="392">
        <v>44409</v>
      </c>
      <c r="AY2" s="392">
        <v>44440</v>
      </c>
      <c r="AZ2" s="392">
        <v>44470</v>
      </c>
      <c r="BA2" s="392">
        <v>44501</v>
      </c>
      <c r="BB2" s="392">
        <v>44531</v>
      </c>
      <c r="BC2" s="392">
        <v>44562</v>
      </c>
      <c r="BD2" s="392">
        <v>44593</v>
      </c>
      <c r="BE2" s="392">
        <v>44621</v>
      </c>
      <c r="BF2" s="392">
        <v>44652</v>
      </c>
      <c r="BG2" s="392">
        <v>44682</v>
      </c>
      <c r="BH2" s="392">
        <v>44713</v>
      </c>
      <c r="BI2" s="392">
        <v>44743</v>
      </c>
      <c r="BJ2" s="392">
        <v>44774</v>
      </c>
      <c r="BK2" s="392">
        <v>44805</v>
      </c>
      <c r="BL2" s="392">
        <v>44835</v>
      </c>
      <c r="BM2" s="392">
        <v>44866</v>
      </c>
      <c r="BN2" s="392">
        <v>44896</v>
      </c>
      <c r="BO2" s="392">
        <v>44927</v>
      </c>
      <c r="BP2" s="392">
        <v>44958</v>
      </c>
      <c r="BQ2" s="392">
        <v>44986</v>
      </c>
      <c r="BR2" s="444">
        <v>45017</v>
      </c>
      <c r="BS2" s="445">
        <v>45047</v>
      </c>
      <c r="BT2" s="445">
        <v>45078</v>
      </c>
      <c r="BU2" s="445">
        <v>45108</v>
      </c>
      <c r="BV2" s="445">
        <v>45139</v>
      </c>
      <c r="BW2" s="445">
        <v>45170</v>
      </c>
      <c r="BX2" s="445">
        <v>45200</v>
      </c>
      <c r="BY2" s="445">
        <v>45231</v>
      </c>
      <c r="BZ2" s="445">
        <v>45261</v>
      </c>
      <c r="CA2" s="445">
        <v>45292</v>
      </c>
      <c r="CB2" s="445">
        <v>45323</v>
      </c>
      <c r="CC2" s="446">
        <v>45352</v>
      </c>
      <c r="CD2" s="444">
        <v>45383</v>
      </c>
      <c r="CE2" s="445">
        <v>45413</v>
      </c>
      <c r="CF2" s="445">
        <v>45444</v>
      </c>
      <c r="CG2" s="445">
        <v>45474</v>
      </c>
      <c r="CH2" s="445">
        <v>45505</v>
      </c>
      <c r="CI2" s="445">
        <v>45536</v>
      </c>
      <c r="CJ2" s="445">
        <v>45566</v>
      </c>
      <c r="CK2" s="445">
        <v>45597</v>
      </c>
      <c r="CL2" s="445">
        <v>45627</v>
      </c>
      <c r="CM2" s="445">
        <v>45658</v>
      </c>
      <c r="CN2" s="445">
        <v>45689</v>
      </c>
      <c r="CO2" s="446">
        <v>45717</v>
      </c>
      <c r="CP2" s="444">
        <v>45748</v>
      </c>
      <c r="CQ2" s="445">
        <v>45778</v>
      </c>
      <c r="CR2" s="445">
        <v>45809</v>
      </c>
      <c r="CS2" s="445">
        <v>45839</v>
      </c>
      <c r="CT2" s="445">
        <v>45870</v>
      </c>
      <c r="CU2" s="445">
        <v>45901</v>
      </c>
      <c r="CV2" s="445">
        <v>45931</v>
      </c>
      <c r="CW2" s="445">
        <v>45962</v>
      </c>
      <c r="CX2" s="445">
        <v>45992</v>
      </c>
      <c r="CY2" s="445">
        <v>46023</v>
      </c>
      <c r="CZ2" s="445">
        <v>46054</v>
      </c>
      <c r="DA2" s="446">
        <v>46082</v>
      </c>
    </row>
    <row r="3" spans="1:105" ht="18" hidden="1" x14ac:dyDescent="0.25">
      <c r="A3" s="635" t="s">
        <v>332</v>
      </c>
      <c r="B3" s="591">
        <f>SUM(D3:D3)/SUM(E3:E3)</f>
        <v>1</v>
      </c>
      <c r="C3" s="331" t="s">
        <v>146</v>
      </c>
      <c r="D3" s="332">
        <f>SUM(G3:BZ3)</f>
        <v>57000</v>
      </c>
      <c r="E3" s="322">
        <f t="shared" ref="E3:E10" si="0">+COUNTA(G3:CX3)*1000</f>
        <v>57000</v>
      </c>
      <c r="F3" s="699">
        <f>+IF((D3+E3)=0,"No Aplica",+D3/E3-1)</f>
        <v>0</v>
      </c>
      <c r="G3" s="437"/>
      <c r="H3" s="437"/>
      <c r="I3" s="437"/>
      <c r="J3" s="437"/>
      <c r="K3" s="437"/>
      <c r="L3" s="437"/>
      <c r="M3" s="437"/>
      <c r="N3" s="437"/>
      <c r="O3" s="437"/>
      <c r="P3" s="437"/>
      <c r="Q3" s="437"/>
      <c r="R3" s="438"/>
      <c r="S3" s="430">
        <v>1000</v>
      </c>
      <c r="T3" s="383">
        <v>1000</v>
      </c>
      <c r="U3" s="383">
        <v>1000</v>
      </c>
      <c r="V3" s="383">
        <v>1000</v>
      </c>
      <c r="W3" s="383">
        <v>1000</v>
      </c>
      <c r="X3" s="383">
        <v>1000</v>
      </c>
      <c r="Y3" s="383">
        <v>1000</v>
      </c>
      <c r="Z3" s="383">
        <v>1000</v>
      </c>
      <c r="AA3" s="383">
        <v>1000</v>
      </c>
      <c r="AB3" s="383">
        <v>1000</v>
      </c>
      <c r="AC3" s="383">
        <v>1000</v>
      </c>
      <c r="AD3" s="431">
        <v>1000</v>
      </c>
      <c r="AE3" s="430">
        <v>1000</v>
      </c>
      <c r="AF3" s="383">
        <v>1000</v>
      </c>
      <c r="AG3" s="383">
        <v>1000</v>
      </c>
      <c r="AH3" s="383">
        <v>1000</v>
      </c>
      <c r="AI3" s="383">
        <v>1000</v>
      </c>
      <c r="AJ3" s="383">
        <v>1000</v>
      </c>
      <c r="AK3" s="383">
        <v>1000</v>
      </c>
      <c r="AL3" s="383">
        <v>1000</v>
      </c>
      <c r="AM3" s="383">
        <v>1000</v>
      </c>
      <c r="AN3" s="383">
        <v>1000</v>
      </c>
      <c r="AO3" s="383">
        <v>1000</v>
      </c>
      <c r="AP3" s="431">
        <v>1000</v>
      </c>
      <c r="AQ3" s="430">
        <v>1000</v>
      </c>
      <c r="AR3" s="383">
        <v>1000</v>
      </c>
      <c r="AS3" s="383">
        <v>1000</v>
      </c>
      <c r="AT3" s="383">
        <v>1000</v>
      </c>
      <c r="AU3" s="383">
        <v>1000</v>
      </c>
      <c r="AV3" s="383">
        <v>1000</v>
      </c>
      <c r="AW3" s="383">
        <v>1000</v>
      </c>
      <c r="AX3" s="383">
        <v>1000</v>
      </c>
      <c r="AY3" s="383">
        <v>1000</v>
      </c>
      <c r="AZ3" s="383">
        <v>1000</v>
      </c>
      <c r="BA3" s="383">
        <v>1000</v>
      </c>
      <c r="BB3" s="431">
        <v>1000</v>
      </c>
      <c r="BC3" s="430">
        <v>1000</v>
      </c>
      <c r="BD3" s="383">
        <v>1000</v>
      </c>
      <c r="BE3" s="383">
        <v>1000</v>
      </c>
      <c r="BF3" s="383">
        <v>1000</v>
      </c>
      <c r="BG3" s="383">
        <v>1000</v>
      </c>
      <c r="BH3" s="383">
        <v>1000</v>
      </c>
      <c r="BI3" s="383">
        <v>1000</v>
      </c>
      <c r="BJ3" s="383">
        <v>1000</v>
      </c>
      <c r="BK3" s="383">
        <v>1000</v>
      </c>
      <c r="BL3" s="383">
        <v>1000</v>
      </c>
      <c r="BM3" s="383">
        <v>1000</v>
      </c>
      <c r="BN3" s="431">
        <v>1000</v>
      </c>
      <c r="BO3" s="430">
        <v>1000</v>
      </c>
      <c r="BP3" s="383">
        <v>1000</v>
      </c>
      <c r="BQ3" s="383">
        <v>1000</v>
      </c>
      <c r="BR3" s="629">
        <v>1000</v>
      </c>
      <c r="BS3" s="154">
        <v>1000</v>
      </c>
      <c r="BT3" s="154">
        <v>1000</v>
      </c>
      <c r="BU3" s="154">
        <v>1000</v>
      </c>
      <c r="BV3" s="154">
        <v>1000</v>
      </c>
      <c r="BW3" s="154">
        <v>1000</v>
      </c>
      <c r="BX3" s="326"/>
      <c r="BY3" s="326"/>
      <c r="BZ3" s="326"/>
      <c r="CA3" s="326"/>
      <c r="CB3" s="326"/>
      <c r="CC3" s="450"/>
      <c r="CD3" s="449"/>
      <c r="CE3" s="326"/>
      <c r="CF3" s="326"/>
      <c r="CG3" s="326"/>
      <c r="CH3" s="326"/>
      <c r="CI3" s="326"/>
      <c r="CJ3" s="326"/>
      <c r="CK3" s="326"/>
      <c r="CL3" s="326"/>
      <c r="CM3" s="326"/>
      <c r="CN3" s="326"/>
      <c r="CO3" s="450"/>
      <c r="CP3" s="449"/>
      <c r="CQ3" s="326"/>
      <c r="CR3" s="326"/>
      <c r="CS3" s="326"/>
      <c r="CT3" s="326"/>
      <c r="CU3" s="326"/>
      <c r="CV3" s="326"/>
      <c r="CW3" s="326"/>
      <c r="CX3" s="326"/>
      <c r="CY3" s="326"/>
      <c r="CZ3" s="326"/>
      <c r="DA3" s="450"/>
    </row>
    <row r="4" spans="1:105" ht="18" hidden="1" x14ac:dyDescent="0.25">
      <c r="A4" s="635" t="str">
        <f>+A5</f>
        <v>San Felipe</v>
      </c>
      <c r="B4" s="591">
        <f>SUM(D4:D4)/SUM(E4:E4)</f>
        <v>1</v>
      </c>
      <c r="C4" s="331" t="s">
        <v>334</v>
      </c>
      <c r="D4" s="332">
        <f t="shared" ref="D4:D10" si="1">SUM(G4:CC4)</f>
        <v>60000</v>
      </c>
      <c r="E4" s="322">
        <f t="shared" si="0"/>
        <v>60000</v>
      </c>
      <c r="F4" s="699">
        <f>+IF((D4+E4)=0,"No Aplica",+D4/E4-1)</f>
        <v>0</v>
      </c>
      <c r="G4" s="327">
        <v>1000</v>
      </c>
      <c r="H4" s="327">
        <v>1000</v>
      </c>
      <c r="I4" s="327">
        <v>1000</v>
      </c>
      <c r="J4" s="327">
        <v>1000</v>
      </c>
      <c r="K4" s="327">
        <v>1000</v>
      </c>
      <c r="L4" s="327">
        <v>1000</v>
      </c>
      <c r="M4" s="327">
        <v>1000</v>
      </c>
      <c r="N4" s="327">
        <v>1000</v>
      </c>
      <c r="O4" s="327">
        <v>1000</v>
      </c>
      <c r="P4" s="327">
        <v>1000</v>
      </c>
      <c r="Q4" s="327">
        <v>1000</v>
      </c>
      <c r="R4" s="432">
        <v>1000</v>
      </c>
      <c r="S4" s="385">
        <v>1000</v>
      </c>
      <c r="T4" s="327">
        <v>1000</v>
      </c>
      <c r="U4" s="327">
        <v>1000</v>
      </c>
      <c r="V4" s="327">
        <v>1000</v>
      </c>
      <c r="W4" s="327">
        <v>1000</v>
      </c>
      <c r="X4" s="327">
        <v>1000</v>
      </c>
      <c r="Y4" s="327">
        <v>1000</v>
      </c>
      <c r="Z4" s="327">
        <v>1000</v>
      </c>
      <c r="AA4" s="327">
        <v>1000</v>
      </c>
      <c r="AB4" s="327">
        <v>1000</v>
      </c>
      <c r="AC4" s="327">
        <v>1000</v>
      </c>
      <c r="AD4" s="432">
        <v>1000</v>
      </c>
      <c r="AE4" s="385">
        <v>1000</v>
      </c>
      <c r="AF4" s="327">
        <v>1000</v>
      </c>
      <c r="AG4" s="327">
        <v>1000</v>
      </c>
      <c r="AH4" s="327">
        <v>1000</v>
      </c>
      <c r="AI4" s="327">
        <v>1000</v>
      </c>
      <c r="AJ4" s="327">
        <v>1000</v>
      </c>
      <c r="AK4" s="327">
        <v>1000</v>
      </c>
      <c r="AL4" s="327">
        <v>1000</v>
      </c>
      <c r="AM4" s="327">
        <v>1000</v>
      </c>
      <c r="AN4" s="327">
        <v>1000</v>
      </c>
      <c r="AO4" s="327">
        <v>1000</v>
      </c>
      <c r="AP4" s="432">
        <v>1000</v>
      </c>
      <c r="AQ4" s="385">
        <v>1000</v>
      </c>
      <c r="AR4" s="327">
        <v>1000</v>
      </c>
      <c r="AS4" s="327">
        <v>1000</v>
      </c>
      <c r="AT4" s="327">
        <v>1000</v>
      </c>
      <c r="AU4" s="327">
        <v>1000</v>
      </c>
      <c r="AV4" s="327">
        <v>1000</v>
      </c>
      <c r="AW4" s="327">
        <v>1000</v>
      </c>
      <c r="AX4" s="327">
        <v>1000</v>
      </c>
      <c r="AY4" s="327">
        <v>1000</v>
      </c>
      <c r="AZ4" s="327">
        <v>1000</v>
      </c>
      <c r="BA4" s="327">
        <v>1000</v>
      </c>
      <c r="BB4" s="432">
        <v>1000</v>
      </c>
      <c r="BC4" s="385">
        <v>1000</v>
      </c>
      <c r="BD4" s="327">
        <v>1000</v>
      </c>
      <c r="BE4" s="327">
        <v>1000</v>
      </c>
      <c r="BF4" s="327">
        <v>1000</v>
      </c>
      <c r="BG4" s="327">
        <v>1000</v>
      </c>
      <c r="BH4" s="327">
        <v>1000</v>
      </c>
      <c r="BI4" s="327">
        <v>1000</v>
      </c>
      <c r="BJ4" s="327">
        <v>1000</v>
      </c>
      <c r="BK4" s="327">
        <v>1000</v>
      </c>
      <c r="BL4" s="327">
        <v>1000</v>
      </c>
      <c r="BM4" s="327">
        <v>1000</v>
      </c>
      <c r="BN4" s="432">
        <v>1000</v>
      </c>
      <c r="BO4" s="433"/>
      <c r="BP4" s="326"/>
      <c r="BQ4" s="326"/>
      <c r="BR4" s="449"/>
      <c r="BS4" s="326"/>
      <c r="BT4" s="326"/>
      <c r="BU4" s="326"/>
      <c r="BV4" s="326"/>
      <c r="BW4" s="326"/>
      <c r="BX4" s="326"/>
      <c r="BY4" s="326"/>
      <c r="BZ4" s="326"/>
      <c r="CA4" s="326"/>
      <c r="CB4" s="326"/>
      <c r="CC4" s="450"/>
      <c r="CD4" s="449"/>
      <c r="CE4" s="326"/>
      <c r="CF4" s="326"/>
      <c r="CG4" s="326"/>
      <c r="CH4" s="326"/>
      <c r="CI4" s="326"/>
      <c r="CJ4" s="326"/>
      <c r="CK4" s="326"/>
      <c r="CL4" s="326"/>
      <c r="CM4" s="326"/>
      <c r="CN4" s="326"/>
      <c r="CO4" s="450"/>
      <c r="CP4" s="449"/>
      <c r="CQ4" s="326"/>
      <c r="CR4" s="326"/>
      <c r="CS4" s="326"/>
      <c r="CT4" s="326"/>
      <c r="CU4" s="326"/>
      <c r="CV4" s="326"/>
      <c r="CW4" s="326"/>
      <c r="CX4" s="326"/>
      <c r="CY4" s="326"/>
      <c r="CZ4" s="326"/>
      <c r="DA4" s="450"/>
    </row>
    <row r="5" spans="1:105" hidden="1" x14ac:dyDescent="0.25">
      <c r="A5" s="1056" t="s">
        <v>333</v>
      </c>
      <c r="B5" s="1054">
        <f>SUM(D5:D7)/SUM(E5:E7)</f>
        <v>1</v>
      </c>
      <c r="C5" s="331" t="s">
        <v>150</v>
      </c>
      <c r="D5" s="332">
        <f t="shared" si="1"/>
        <v>42000</v>
      </c>
      <c r="E5" s="322">
        <f t="shared" si="0"/>
        <v>42000</v>
      </c>
      <c r="F5" s="699">
        <f>+IF((D5+E5)=0,"No Aplica",+D5/E5-1)</f>
        <v>0</v>
      </c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434"/>
      <c r="S5" s="433"/>
      <c r="T5" s="326"/>
      <c r="U5" s="326"/>
      <c r="V5" s="326"/>
      <c r="W5" s="326"/>
      <c r="X5" s="326"/>
      <c r="Y5" s="327">
        <v>1000</v>
      </c>
      <c r="Z5" s="327">
        <v>1000</v>
      </c>
      <c r="AA5" s="327">
        <v>1000</v>
      </c>
      <c r="AB5" s="327">
        <v>1000</v>
      </c>
      <c r="AC5" s="327">
        <v>1000</v>
      </c>
      <c r="AD5" s="432">
        <v>1000</v>
      </c>
      <c r="AE5" s="385">
        <v>1000</v>
      </c>
      <c r="AF5" s="327">
        <v>1000</v>
      </c>
      <c r="AG5" s="327">
        <v>1000</v>
      </c>
      <c r="AH5" s="327">
        <v>1000</v>
      </c>
      <c r="AI5" s="327">
        <v>1000</v>
      </c>
      <c r="AJ5" s="327">
        <v>1000</v>
      </c>
      <c r="AK5" s="327">
        <v>1000</v>
      </c>
      <c r="AL5" s="327">
        <v>1000</v>
      </c>
      <c r="AM5" s="327">
        <v>1000</v>
      </c>
      <c r="AN5" s="327">
        <v>1000</v>
      </c>
      <c r="AO5" s="327">
        <v>1000</v>
      </c>
      <c r="AP5" s="432">
        <v>1000</v>
      </c>
      <c r="AQ5" s="385">
        <v>1000</v>
      </c>
      <c r="AR5" s="327">
        <v>1000</v>
      </c>
      <c r="AS5" s="327">
        <v>1000</v>
      </c>
      <c r="AT5" s="327">
        <v>1000</v>
      </c>
      <c r="AU5" s="327">
        <v>1000</v>
      </c>
      <c r="AV5" s="327">
        <v>1000</v>
      </c>
      <c r="AW5" s="327">
        <v>1000</v>
      </c>
      <c r="AX5" s="327">
        <v>1000</v>
      </c>
      <c r="AY5" s="327">
        <v>1000</v>
      </c>
      <c r="AZ5" s="327">
        <v>1000</v>
      </c>
      <c r="BA5" s="327">
        <v>1000</v>
      </c>
      <c r="BB5" s="432">
        <v>1000</v>
      </c>
      <c r="BC5" s="385">
        <v>1000</v>
      </c>
      <c r="BD5" s="327">
        <v>1000</v>
      </c>
      <c r="BE5" s="327">
        <v>1000</v>
      </c>
      <c r="BF5" s="327">
        <v>1000</v>
      </c>
      <c r="BG5" s="327">
        <v>1000</v>
      </c>
      <c r="BH5" s="327">
        <v>1000</v>
      </c>
      <c r="BI5" s="327">
        <v>1000</v>
      </c>
      <c r="BJ5" s="327">
        <v>1000</v>
      </c>
      <c r="BK5" s="327">
        <v>1000</v>
      </c>
      <c r="BL5" s="327">
        <v>1000</v>
      </c>
      <c r="BM5" s="327">
        <v>1000</v>
      </c>
      <c r="BN5" s="432">
        <v>1000</v>
      </c>
      <c r="BO5" s="433"/>
      <c r="BP5" s="326"/>
      <c r="BQ5" s="326"/>
      <c r="BR5" s="449"/>
      <c r="BS5" s="326"/>
      <c r="BT5" s="326"/>
      <c r="BU5" s="326"/>
      <c r="BV5" s="326"/>
      <c r="BW5" s="326"/>
      <c r="BX5" s="326"/>
      <c r="BY5" s="326"/>
      <c r="BZ5" s="326"/>
      <c r="CA5" s="326"/>
      <c r="CB5" s="326"/>
      <c r="CC5" s="450"/>
      <c r="CD5" s="449"/>
      <c r="CE5" s="326"/>
      <c r="CF5" s="326"/>
      <c r="CG5" s="326"/>
      <c r="CH5" s="326"/>
      <c r="CI5" s="326"/>
      <c r="CJ5" s="326"/>
      <c r="CK5" s="326"/>
      <c r="CL5" s="326"/>
      <c r="CM5" s="326"/>
      <c r="CN5" s="326"/>
      <c r="CO5" s="450"/>
      <c r="CP5" s="449"/>
      <c r="CQ5" s="326"/>
      <c r="CR5" s="326"/>
      <c r="CS5" s="326"/>
      <c r="CT5" s="326"/>
      <c r="CU5" s="326"/>
      <c r="CV5" s="326"/>
      <c r="CW5" s="326"/>
      <c r="CX5" s="326"/>
      <c r="CY5" s="326"/>
      <c r="CZ5" s="326"/>
      <c r="DA5" s="450"/>
    </row>
    <row r="6" spans="1:105" hidden="1" x14ac:dyDescent="0.25">
      <c r="A6" s="1056"/>
      <c r="B6" s="1054"/>
      <c r="C6" s="590" t="s">
        <v>335</v>
      </c>
      <c r="D6" s="332">
        <f t="shared" si="1"/>
        <v>36000</v>
      </c>
      <c r="E6" s="322">
        <f t="shared" si="0"/>
        <v>36000</v>
      </c>
      <c r="F6" s="699">
        <f>+IF((D6+E6)=0,"No Aplica",+D6/E6-1)</f>
        <v>0</v>
      </c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434"/>
      <c r="S6" s="433"/>
      <c r="T6" s="326"/>
      <c r="U6" s="326"/>
      <c r="V6" s="326"/>
      <c r="W6" s="326"/>
      <c r="X6" s="326"/>
      <c r="Y6" s="327">
        <v>1000</v>
      </c>
      <c r="Z6" s="327">
        <v>1000</v>
      </c>
      <c r="AA6" s="327">
        <v>1000</v>
      </c>
      <c r="AB6" s="327">
        <v>1000</v>
      </c>
      <c r="AC6" s="327">
        <v>1000</v>
      </c>
      <c r="AD6" s="432">
        <v>1000</v>
      </c>
      <c r="AE6" s="385">
        <v>1000</v>
      </c>
      <c r="AF6" s="327">
        <v>1000</v>
      </c>
      <c r="AG6" s="327">
        <v>1000</v>
      </c>
      <c r="AH6" s="327">
        <v>1000</v>
      </c>
      <c r="AI6" s="327">
        <v>1000</v>
      </c>
      <c r="AJ6" s="327">
        <v>1000</v>
      </c>
      <c r="AK6" s="327">
        <v>1000</v>
      </c>
      <c r="AL6" s="327">
        <v>1000</v>
      </c>
      <c r="AM6" s="327">
        <v>1000</v>
      </c>
      <c r="AN6" s="327">
        <v>1000</v>
      </c>
      <c r="AO6" s="327">
        <v>1000</v>
      </c>
      <c r="AP6" s="432">
        <v>1000</v>
      </c>
      <c r="AQ6" s="385">
        <v>1000</v>
      </c>
      <c r="AR6" s="327">
        <v>1000</v>
      </c>
      <c r="AS6" s="327">
        <v>1000</v>
      </c>
      <c r="AT6" s="327">
        <v>1000</v>
      </c>
      <c r="AU6" s="327">
        <v>1000</v>
      </c>
      <c r="AV6" s="327">
        <v>1000</v>
      </c>
      <c r="AW6" s="327">
        <v>1000</v>
      </c>
      <c r="AX6" s="327">
        <v>1000</v>
      </c>
      <c r="AY6" s="327">
        <v>1000</v>
      </c>
      <c r="AZ6" s="327">
        <v>1000</v>
      </c>
      <c r="BA6" s="327">
        <v>1000</v>
      </c>
      <c r="BB6" s="432">
        <v>1000</v>
      </c>
      <c r="BC6" s="385">
        <v>1000</v>
      </c>
      <c r="BD6" s="327">
        <v>1000</v>
      </c>
      <c r="BE6" s="327">
        <v>1000</v>
      </c>
      <c r="BF6" s="327">
        <v>1000</v>
      </c>
      <c r="BG6" s="327">
        <v>1000</v>
      </c>
      <c r="BH6" s="327">
        <v>1000</v>
      </c>
      <c r="BI6" s="326"/>
      <c r="BJ6" s="326"/>
      <c r="BK6" s="326"/>
      <c r="BL6" s="326"/>
      <c r="BM6" s="326"/>
      <c r="BN6" s="434"/>
      <c r="BO6" s="433"/>
      <c r="BP6" s="326"/>
      <c r="BQ6" s="326"/>
      <c r="BR6" s="449"/>
      <c r="BS6" s="326"/>
      <c r="BT6" s="326"/>
      <c r="BU6" s="326"/>
      <c r="BV6" s="326"/>
      <c r="BW6" s="326"/>
      <c r="BX6" s="326"/>
      <c r="BY6" s="326"/>
      <c r="BZ6" s="326"/>
      <c r="CA6" s="326"/>
      <c r="CB6" s="326"/>
      <c r="CC6" s="450"/>
      <c r="CD6" s="449"/>
      <c r="CE6" s="326"/>
      <c r="CF6" s="326"/>
      <c r="CG6" s="326"/>
      <c r="CH6" s="326"/>
      <c r="CI6" s="326"/>
      <c r="CJ6" s="326"/>
      <c r="CK6" s="326"/>
      <c r="CL6" s="326"/>
      <c r="CM6" s="326"/>
      <c r="CN6" s="326"/>
      <c r="CO6" s="450"/>
      <c r="CP6" s="449"/>
      <c r="CQ6" s="326"/>
      <c r="CR6" s="326"/>
      <c r="CS6" s="326"/>
      <c r="CT6" s="326"/>
      <c r="CU6" s="326"/>
      <c r="CV6" s="326"/>
      <c r="CW6" s="326"/>
      <c r="CX6" s="326"/>
      <c r="CY6" s="326"/>
      <c r="CZ6" s="326"/>
      <c r="DA6" s="450"/>
    </row>
    <row r="7" spans="1:105" hidden="1" x14ac:dyDescent="0.25">
      <c r="A7" s="1056"/>
      <c r="B7" s="1054"/>
      <c r="C7" s="590" t="s">
        <v>394</v>
      </c>
      <c r="D7" s="332">
        <f t="shared" si="1"/>
        <v>0</v>
      </c>
      <c r="E7" s="322">
        <f t="shared" si="0"/>
        <v>0</v>
      </c>
      <c r="F7" s="699" t="str">
        <f>+IF((D7+E7)=0,"No Aplica",+D7/E7-1)</f>
        <v>No Aplica</v>
      </c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434"/>
      <c r="S7" s="433"/>
      <c r="T7" s="326"/>
      <c r="U7" s="326"/>
      <c r="V7" s="326"/>
      <c r="W7" s="326"/>
      <c r="X7" s="326"/>
      <c r="Y7" s="326"/>
      <c r="Z7" s="326"/>
      <c r="AA7" s="326"/>
      <c r="AB7" s="326"/>
      <c r="AC7" s="326"/>
      <c r="AD7" s="434"/>
      <c r="AE7" s="433"/>
      <c r="AF7" s="326"/>
      <c r="AG7" s="326"/>
      <c r="AH7" s="326"/>
      <c r="AI7" s="326"/>
      <c r="AJ7" s="326"/>
      <c r="AK7" s="326"/>
      <c r="AL7" s="326"/>
      <c r="AM7" s="326"/>
      <c r="AN7" s="326"/>
      <c r="AO7" s="326"/>
      <c r="AP7" s="434"/>
      <c r="AQ7" s="433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434"/>
      <c r="BC7" s="433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434"/>
      <c r="BO7" s="433"/>
      <c r="BP7" s="326"/>
      <c r="BQ7" s="326"/>
      <c r="BR7" s="449"/>
      <c r="BS7" s="326"/>
      <c r="BT7" s="326"/>
      <c r="BU7" s="326"/>
      <c r="BV7" s="326"/>
      <c r="BW7" s="326"/>
      <c r="BX7" s="326"/>
      <c r="BY7" s="326"/>
      <c r="BZ7" s="326"/>
      <c r="CA7" s="326"/>
      <c r="CB7" s="326"/>
      <c r="CC7" s="450"/>
      <c r="CD7" s="449"/>
      <c r="CE7" s="326"/>
      <c r="CF7" s="326"/>
      <c r="CG7" s="326"/>
      <c r="CH7" s="326"/>
      <c r="CI7" s="326"/>
      <c r="CJ7" s="326"/>
      <c r="CK7" s="326"/>
      <c r="CL7" s="326"/>
      <c r="CM7" s="326"/>
      <c r="CN7" s="326"/>
      <c r="CO7" s="450"/>
      <c r="CP7" s="449"/>
      <c r="CQ7" s="326"/>
      <c r="CR7" s="326"/>
      <c r="CS7" s="326"/>
      <c r="CT7" s="326"/>
      <c r="CU7" s="326"/>
      <c r="CV7" s="326"/>
      <c r="CW7" s="326"/>
      <c r="CX7" s="326"/>
      <c r="CY7" s="326"/>
      <c r="CZ7" s="326"/>
      <c r="DA7" s="450"/>
    </row>
    <row r="8" spans="1:105" hidden="1" x14ac:dyDescent="0.25">
      <c r="A8" s="1056" t="s">
        <v>336</v>
      </c>
      <c r="B8" s="1054">
        <f>+SUM(D8:D10)/SUM(E8:E10)</f>
        <v>1</v>
      </c>
      <c r="C8" s="331" t="s">
        <v>151</v>
      </c>
      <c r="D8" s="332">
        <f t="shared" si="1"/>
        <v>14000</v>
      </c>
      <c r="E8" s="322">
        <f t="shared" si="0"/>
        <v>14000</v>
      </c>
      <c r="F8" s="699">
        <f t="shared" ref="F8:F26" si="2">+IF((D8+E8)=0,"No Aplica",+D8/E8-1)</f>
        <v>0</v>
      </c>
      <c r="G8" s="327">
        <v>1000</v>
      </c>
      <c r="H8" s="327">
        <v>1000</v>
      </c>
      <c r="I8" s="327">
        <v>1000</v>
      </c>
      <c r="J8" s="327">
        <v>1000</v>
      </c>
      <c r="K8" s="327">
        <v>1000</v>
      </c>
      <c r="L8" s="326"/>
      <c r="M8" s="326"/>
      <c r="N8" s="326"/>
      <c r="O8" s="326"/>
      <c r="P8" s="326"/>
      <c r="Q8" s="326"/>
      <c r="R8" s="434"/>
      <c r="S8" s="433"/>
      <c r="T8" s="326"/>
      <c r="U8" s="326"/>
      <c r="V8" s="326"/>
      <c r="W8" s="326"/>
      <c r="X8" s="326"/>
      <c r="Y8" s="326"/>
      <c r="Z8" s="326"/>
      <c r="AA8" s="326"/>
      <c r="AB8" s="326"/>
      <c r="AC8" s="326"/>
      <c r="AD8" s="434"/>
      <c r="AE8" s="433"/>
      <c r="AF8" s="326"/>
      <c r="AG8" s="326"/>
      <c r="AH8" s="326"/>
      <c r="AI8" s="326"/>
      <c r="AJ8" s="326"/>
      <c r="AK8" s="326"/>
      <c r="AL8" s="326"/>
      <c r="AM8" s="326"/>
      <c r="AN8" s="326"/>
      <c r="AO8" s="326"/>
      <c r="AP8" s="434"/>
      <c r="AQ8" s="433"/>
      <c r="AR8" s="326"/>
      <c r="AS8" s="326"/>
      <c r="AT8" s="326"/>
      <c r="AU8" s="326"/>
      <c r="AV8" s="326"/>
      <c r="AW8" s="326"/>
      <c r="AX8" s="326"/>
      <c r="AY8" s="326"/>
      <c r="AZ8" s="326"/>
      <c r="BA8" s="326"/>
      <c r="BB8" s="434"/>
      <c r="BC8" s="385">
        <v>1000</v>
      </c>
      <c r="BD8" s="327">
        <v>1000</v>
      </c>
      <c r="BE8" s="327">
        <v>1000</v>
      </c>
      <c r="BF8" s="327">
        <v>1000</v>
      </c>
      <c r="BG8" s="327">
        <v>1000</v>
      </c>
      <c r="BH8" s="327">
        <v>1000</v>
      </c>
      <c r="BI8" s="327">
        <v>1000</v>
      </c>
      <c r="BJ8" s="327">
        <v>1000</v>
      </c>
      <c r="BK8" s="327">
        <v>1000</v>
      </c>
      <c r="BL8" s="326"/>
      <c r="BM8" s="326"/>
      <c r="BN8" s="434"/>
      <c r="BO8" s="433"/>
      <c r="BP8" s="326"/>
      <c r="BQ8" s="326"/>
      <c r="BR8" s="449"/>
      <c r="BS8" s="326"/>
      <c r="BT8" s="326"/>
      <c r="BU8" s="326"/>
      <c r="BV8" s="326"/>
      <c r="BW8" s="326"/>
      <c r="BX8" s="326"/>
      <c r="BY8" s="326"/>
      <c r="BZ8" s="326"/>
      <c r="CA8" s="326"/>
      <c r="CB8" s="326"/>
      <c r="CC8" s="450"/>
      <c r="CD8" s="449"/>
      <c r="CE8" s="326"/>
      <c r="CF8" s="326"/>
      <c r="CG8" s="326"/>
      <c r="CH8" s="326"/>
      <c r="CI8" s="326"/>
      <c r="CJ8" s="326"/>
      <c r="CK8" s="326"/>
      <c r="CL8" s="326"/>
      <c r="CM8" s="326"/>
      <c r="CN8" s="326"/>
      <c r="CO8" s="450"/>
      <c r="CP8" s="449"/>
      <c r="CQ8" s="326"/>
      <c r="CR8" s="326"/>
      <c r="CS8" s="326"/>
      <c r="CT8" s="326"/>
      <c r="CU8" s="326"/>
      <c r="CV8" s="326"/>
      <c r="CW8" s="326"/>
      <c r="CX8" s="326"/>
      <c r="CY8" s="326"/>
      <c r="CZ8" s="326"/>
      <c r="DA8" s="450"/>
    </row>
    <row r="9" spans="1:105" hidden="1" x14ac:dyDescent="0.25">
      <c r="A9" s="1056"/>
      <c r="B9" s="1054"/>
      <c r="C9" s="331" t="s">
        <v>152</v>
      </c>
      <c r="D9" s="332">
        <f t="shared" si="1"/>
        <v>55000</v>
      </c>
      <c r="E9" s="322">
        <f t="shared" si="0"/>
        <v>55000</v>
      </c>
      <c r="F9" s="699">
        <f t="shared" si="2"/>
        <v>0</v>
      </c>
      <c r="G9" s="327">
        <v>1000</v>
      </c>
      <c r="H9" s="327">
        <v>1000</v>
      </c>
      <c r="I9" s="327">
        <v>1000</v>
      </c>
      <c r="J9" s="327">
        <v>1000</v>
      </c>
      <c r="K9" s="327">
        <v>1000</v>
      </c>
      <c r="L9" s="327">
        <v>1000</v>
      </c>
      <c r="M9" s="327">
        <v>1000</v>
      </c>
      <c r="N9" s="327">
        <v>1000</v>
      </c>
      <c r="O9" s="327">
        <v>1000</v>
      </c>
      <c r="P9" s="327">
        <v>1000</v>
      </c>
      <c r="Q9" s="327">
        <v>1000</v>
      </c>
      <c r="R9" s="432">
        <v>1000</v>
      </c>
      <c r="S9" s="385">
        <v>1000</v>
      </c>
      <c r="T9" s="327">
        <v>1000</v>
      </c>
      <c r="U9" s="327">
        <v>1000</v>
      </c>
      <c r="V9" s="327">
        <v>1000</v>
      </c>
      <c r="W9" s="327">
        <v>1000</v>
      </c>
      <c r="X9" s="327">
        <v>1000</v>
      </c>
      <c r="Y9" s="327">
        <v>1000</v>
      </c>
      <c r="Z9" s="327">
        <v>1000</v>
      </c>
      <c r="AA9" s="327">
        <v>1000</v>
      </c>
      <c r="AB9" s="327">
        <v>1000</v>
      </c>
      <c r="AC9" s="327">
        <v>1000</v>
      </c>
      <c r="AD9" s="432">
        <v>1000</v>
      </c>
      <c r="AE9" s="385">
        <v>1000</v>
      </c>
      <c r="AF9" s="327">
        <v>1000</v>
      </c>
      <c r="AG9" s="327">
        <v>1000</v>
      </c>
      <c r="AH9" s="327"/>
      <c r="AI9" s="327"/>
      <c r="AJ9" s="327">
        <v>1000</v>
      </c>
      <c r="AK9" s="327">
        <v>1000</v>
      </c>
      <c r="AL9" s="327">
        <v>1000</v>
      </c>
      <c r="AM9" s="327">
        <v>1000</v>
      </c>
      <c r="AN9" s="327">
        <v>1000</v>
      </c>
      <c r="AO9" s="327">
        <v>1000</v>
      </c>
      <c r="AP9" s="432">
        <v>1000</v>
      </c>
      <c r="AQ9" s="385">
        <v>1000</v>
      </c>
      <c r="AR9" s="327">
        <v>1000</v>
      </c>
      <c r="AS9" s="327">
        <v>1000</v>
      </c>
      <c r="AT9" s="327">
        <v>1000</v>
      </c>
      <c r="AU9" s="327">
        <v>1000</v>
      </c>
      <c r="AV9" s="327">
        <v>1000</v>
      </c>
      <c r="AW9" s="327">
        <v>1000</v>
      </c>
      <c r="AX9" s="327">
        <v>1000</v>
      </c>
      <c r="AY9" s="327">
        <v>1000</v>
      </c>
      <c r="AZ9" s="327">
        <v>1000</v>
      </c>
      <c r="BA9" s="327">
        <v>1000</v>
      </c>
      <c r="BB9" s="432">
        <v>1000</v>
      </c>
      <c r="BC9" s="385">
        <v>1000</v>
      </c>
      <c r="BD9" s="327">
        <v>1000</v>
      </c>
      <c r="BE9" s="327">
        <v>1000</v>
      </c>
      <c r="BF9" s="327">
        <v>1000</v>
      </c>
      <c r="BG9" s="327">
        <v>1000</v>
      </c>
      <c r="BH9" s="327">
        <v>1000</v>
      </c>
      <c r="BI9" s="327">
        <v>1000</v>
      </c>
      <c r="BJ9" s="327">
        <v>1000</v>
      </c>
      <c r="BK9" s="327">
        <v>1000</v>
      </c>
      <c r="BL9" s="326"/>
      <c r="BM9" s="326"/>
      <c r="BN9" s="434"/>
      <c r="BO9" s="433"/>
      <c r="BP9" s="326"/>
      <c r="BQ9" s="326"/>
      <c r="BR9" s="449"/>
      <c r="BS9" s="326"/>
      <c r="BT9" s="326"/>
      <c r="BU9" s="326"/>
      <c r="BV9" s="326"/>
      <c r="BW9" s="326"/>
      <c r="BX9" s="326"/>
      <c r="BY9" s="326"/>
      <c r="BZ9" s="326"/>
      <c r="CA9" s="326"/>
      <c r="CB9" s="326"/>
      <c r="CC9" s="450"/>
      <c r="CD9" s="449"/>
      <c r="CE9" s="326"/>
      <c r="CF9" s="326"/>
      <c r="CG9" s="326"/>
      <c r="CH9" s="326"/>
      <c r="CI9" s="326"/>
      <c r="CJ9" s="326"/>
      <c r="CK9" s="326"/>
      <c r="CL9" s="326"/>
      <c r="CM9" s="326"/>
      <c r="CN9" s="326"/>
      <c r="CO9" s="450"/>
      <c r="CP9" s="449"/>
      <c r="CQ9" s="326"/>
      <c r="CR9" s="326"/>
      <c r="CS9" s="326"/>
      <c r="CT9" s="326"/>
      <c r="CU9" s="326"/>
      <c r="CV9" s="326"/>
      <c r="CW9" s="326"/>
      <c r="CX9" s="326"/>
      <c r="CY9" s="326"/>
      <c r="CZ9" s="326"/>
      <c r="DA9" s="450"/>
    </row>
    <row r="10" spans="1:105" hidden="1" x14ac:dyDescent="0.25">
      <c r="A10" s="1056"/>
      <c r="B10" s="1054"/>
      <c r="C10" s="453" t="s">
        <v>181</v>
      </c>
      <c r="D10" s="332">
        <f t="shared" si="1"/>
        <v>55000</v>
      </c>
      <c r="E10" s="322">
        <f t="shared" si="0"/>
        <v>55000</v>
      </c>
      <c r="F10" s="699">
        <f t="shared" si="2"/>
        <v>0</v>
      </c>
      <c r="G10" s="327">
        <v>1000</v>
      </c>
      <c r="H10" s="327">
        <v>1000</v>
      </c>
      <c r="I10" s="327">
        <v>1000</v>
      </c>
      <c r="J10" s="327">
        <v>1000</v>
      </c>
      <c r="K10" s="327">
        <v>1000</v>
      </c>
      <c r="L10" s="327">
        <v>1000</v>
      </c>
      <c r="M10" s="327">
        <v>1000</v>
      </c>
      <c r="N10" s="327">
        <v>1000</v>
      </c>
      <c r="O10" s="327">
        <v>1000</v>
      </c>
      <c r="P10" s="327">
        <v>1000</v>
      </c>
      <c r="Q10" s="327">
        <v>1000</v>
      </c>
      <c r="R10" s="432">
        <v>1000</v>
      </c>
      <c r="S10" s="385">
        <v>1000</v>
      </c>
      <c r="T10" s="327">
        <v>1000</v>
      </c>
      <c r="U10" s="327">
        <v>1000</v>
      </c>
      <c r="V10" s="327">
        <v>1000</v>
      </c>
      <c r="W10" s="327">
        <v>1000</v>
      </c>
      <c r="X10" s="327">
        <v>1000</v>
      </c>
      <c r="Y10" s="327">
        <v>1000</v>
      </c>
      <c r="Z10" s="327">
        <v>1000</v>
      </c>
      <c r="AA10" s="327">
        <v>1000</v>
      </c>
      <c r="AB10" s="327">
        <v>1000</v>
      </c>
      <c r="AC10" s="327">
        <v>1000</v>
      </c>
      <c r="AD10" s="432">
        <v>1000</v>
      </c>
      <c r="AE10" s="385">
        <v>1000</v>
      </c>
      <c r="AF10" s="327">
        <v>1000</v>
      </c>
      <c r="AG10" s="327">
        <v>1000</v>
      </c>
      <c r="AH10" s="327"/>
      <c r="AI10" s="327"/>
      <c r="AJ10" s="327">
        <v>1000</v>
      </c>
      <c r="AK10" s="327">
        <v>1000</v>
      </c>
      <c r="AL10" s="327">
        <v>1000</v>
      </c>
      <c r="AM10" s="327">
        <v>1000</v>
      </c>
      <c r="AN10" s="327">
        <v>1000</v>
      </c>
      <c r="AO10" s="327">
        <v>1000</v>
      </c>
      <c r="AP10" s="432">
        <v>1000</v>
      </c>
      <c r="AQ10" s="385">
        <v>1000</v>
      </c>
      <c r="AR10" s="327">
        <v>1000</v>
      </c>
      <c r="AS10" s="327">
        <v>1000</v>
      </c>
      <c r="AT10" s="327">
        <v>1000</v>
      </c>
      <c r="AU10" s="327">
        <v>1000</v>
      </c>
      <c r="AV10" s="327">
        <v>1000</v>
      </c>
      <c r="AW10" s="327">
        <v>1000</v>
      </c>
      <c r="AX10" s="327">
        <v>1000</v>
      </c>
      <c r="AY10" s="327">
        <v>1000</v>
      </c>
      <c r="AZ10" s="327">
        <v>1000</v>
      </c>
      <c r="BA10" s="327">
        <v>1000</v>
      </c>
      <c r="BB10" s="432">
        <v>1000</v>
      </c>
      <c r="BC10" s="385">
        <v>1000</v>
      </c>
      <c r="BD10" s="327">
        <v>1000</v>
      </c>
      <c r="BE10" s="327">
        <v>1000</v>
      </c>
      <c r="BF10" s="327">
        <v>1000</v>
      </c>
      <c r="BG10" s="327">
        <v>1000</v>
      </c>
      <c r="BH10" s="327">
        <v>1000</v>
      </c>
      <c r="BI10" s="327">
        <v>1000</v>
      </c>
      <c r="BJ10" s="327">
        <v>1000</v>
      </c>
      <c r="BK10" s="327">
        <v>1000</v>
      </c>
      <c r="BL10" s="326"/>
      <c r="BM10" s="326"/>
      <c r="BN10" s="434"/>
      <c r="BO10" s="433"/>
      <c r="BP10" s="326"/>
      <c r="BQ10" s="326"/>
      <c r="BR10" s="449"/>
      <c r="BS10" s="326"/>
      <c r="BT10" s="326"/>
      <c r="BU10" s="326"/>
      <c r="BV10" s="326"/>
      <c r="BW10" s="326"/>
      <c r="BX10" s="326"/>
      <c r="BY10" s="326"/>
      <c r="BZ10" s="326"/>
      <c r="CA10" s="326"/>
      <c r="CB10" s="326"/>
      <c r="CC10" s="450"/>
      <c r="CD10" s="449"/>
      <c r="CE10" s="326"/>
      <c r="CF10" s="326"/>
      <c r="CG10" s="326"/>
      <c r="CH10" s="326"/>
      <c r="CI10" s="326"/>
      <c r="CJ10" s="326"/>
      <c r="CK10" s="326"/>
      <c r="CL10" s="326"/>
      <c r="CM10" s="326"/>
      <c r="CN10" s="326"/>
      <c r="CO10" s="450"/>
      <c r="CP10" s="449"/>
      <c r="CQ10" s="326"/>
      <c r="CR10" s="326"/>
      <c r="CS10" s="326"/>
      <c r="CT10" s="326"/>
      <c r="CU10" s="326"/>
      <c r="CV10" s="326"/>
      <c r="CW10" s="326"/>
      <c r="CX10" s="326"/>
      <c r="CY10" s="326"/>
      <c r="CZ10" s="326"/>
      <c r="DA10" s="450"/>
    </row>
    <row r="11" spans="1:105" s="552" customFormat="1" ht="18" hidden="1" x14ac:dyDescent="0.25">
      <c r="A11" s="333" t="s">
        <v>339</v>
      </c>
      <c r="B11" s="591">
        <f>+D11/E11</f>
        <v>1</v>
      </c>
      <c r="C11" s="331" t="s">
        <v>159</v>
      </c>
      <c r="D11" s="332">
        <f>SUM(G11:DA11)</f>
        <v>72000</v>
      </c>
      <c r="E11" s="322">
        <f>+COUNTA(G11:DA11)*1000</f>
        <v>72000</v>
      </c>
      <c r="F11" s="699">
        <f t="shared" si="2"/>
        <v>0</v>
      </c>
      <c r="G11" s="154">
        <v>1000</v>
      </c>
      <c r="H11" s="154">
        <v>1000</v>
      </c>
      <c r="I11" s="154">
        <v>1000</v>
      </c>
      <c r="J11" s="154">
        <v>1000</v>
      </c>
      <c r="K11" s="154">
        <v>1000</v>
      </c>
      <c r="L11" s="154">
        <v>1000</v>
      </c>
      <c r="M11" s="154">
        <v>1000</v>
      </c>
      <c r="N11" s="154">
        <v>1000</v>
      </c>
      <c r="O11" s="154">
        <v>1000</v>
      </c>
      <c r="P11" s="154">
        <v>1000</v>
      </c>
      <c r="Q11" s="154">
        <v>1000</v>
      </c>
      <c r="R11" s="628">
        <v>1000</v>
      </c>
      <c r="S11" s="627">
        <v>1000</v>
      </c>
      <c r="T11" s="154">
        <v>1000</v>
      </c>
      <c r="U11" s="154">
        <v>1000</v>
      </c>
      <c r="V11" s="154">
        <v>1000</v>
      </c>
      <c r="W11" s="154">
        <v>1000</v>
      </c>
      <c r="X11" s="154">
        <v>1000</v>
      </c>
      <c r="Y11" s="154">
        <v>1000</v>
      </c>
      <c r="Z11" s="154">
        <v>1000</v>
      </c>
      <c r="AA11" s="154">
        <v>1000</v>
      </c>
      <c r="AB11" s="154">
        <v>1000</v>
      </c>
      <c r="AC11" s="154">
        <v>1000</v>
      </c>
      <c r="AD11" s="628">
        <v>1000</v>
      </c>
      <c r="AE11" s="627">
        <v>1000</v>
      </c>
      <c r="AF11" s="154">
        <v>1000</v>
      </c>
      <c r="AG11" s="154">
        <v>1000</v>
      </c>
      <c r="AH11" s="154">
        <v>1000</v>
      </c>
      <c r="AI11" s="154">
        <v>1000</v>
      </c>
      <c r="AJ11" s="154">
        <v>1000</v>
      </c>
      <c r="AK11" s="154">
        <v>1000</v>
      </c>
      <c r="AL11" s="154">
        <v>1000</v>
      </c>
      <c r="AM11" s="154">
        <v>1000</v>
      </c>
      <c r="AN11" s="154">
        <v>1000</v>
      </c>
      <c r="AO11" s="154">
        <v>1000</v>
      </c>
      <c r="AP11" s="628">
        <v>1000</v>
      </c>
      <c r="AQ11" s="627">
        <v>1000</v>
      </c>
      <c r="AR11" s="154">
        <v>1000</v>
      </c>
      <c r="AS11" s="154">
        <v>1000</v>
      </c>
      <c r="AT11" s="154">
        <v>1000</v>
      </c>
      <c r="AU11" s="154">
        <v>1000</v>
      </c>
      <c r="AV11" s="154">
        <v>1000</v>
      </c>
      <c r="AW11" s="154">
        <v>1000</v>
      </c>
      <c r="AX11" s="154">
        <v>1000</v>
      </c>
      <c r="AY11" s="154">
        <v>1000</v>
      </c>
      <c r="AZ11" s="154">
        <v>1000</v>
      </c>
      <c r="BA11" s="154">
        <v>1000</v>
      </c>
      <c r="BB11" s="628">
        <v>1000</v>
      </c>
      <c r="BC11" s="627">
        <v>1000</v>
      </c>
      <c r="BD11" s="154">
        <v>1000</v>
      </c>
      <c r="BE11" s="154">
        <v>1000</v>
      </c>
      <c r="BF11" s="154">
        <v>1000</v>
      </c>
      <c r="BG11" s="154">
        <v>1000</v>
      </c>
      <c r="BH11" s="154">
        <v>1000</v>
      </c>
      <c r="BI11" s="154">
        <v>1000</v>
      </c>
      <c r="BJ11" s="154">
        <v>1000</v>
      </c>
      <c r="BK11" s="154">
        <v>1000</v>
      </c>
      <c r="BL11" s="154">
        <v>1000</v>
      </c>
      <c r="BM11" s="154">
        <v>1000</v>
      </c>
      <c r="BN11" s="628">
        <v>1000</v>
      </c>
      <c r="BO11" s="627">
        <v>1000</v>
      </c>
      <c r="BP11" s="154">
        <v>1000</v>
      </c>
      <c r="BQ11" s="154">
        <v>1000</v>
      </c>
      <c r="BR11" s="629">
        <v>1000</v>
      </c>
      <c r="BS11" s="154">
        <v>1000</v>
      </c>
      <c r="BT11" s="154">
        <v>1000</v>
      </c>
      <c r="BU11" s="154">
        <v>1000</v>
      </c>
      <c r="BV11" s="154">
        <v>1000</v>
      </c>
      <c r="BW11" s="154">
        <v>1000</v>
      </c>
      <c r="BX11" s="154">
        <v>1000</v>
      </c>
      <c r="BY11" s="154">
        <v>1000</v>
      </c>
      <c r="BZ11" s="154">
        <v>1000</v>
      </c>
      <c r="CA11" s="326"/>
      <c r="CB11" s="326"/>
      <c r="CC11" s="450"/>
      <c r="CD11" s="449"/>
      <c r="CE11" s="326"/>
      <c r="CF11" s="326"/>
      <c r="CG11" s="326"/>
      <c r="CH11" s="326"/>
      <c r="CI11" s="326"/>
      <c r="CJ11" s="326"/>
      <c r="CK11" s="326"/>
      <c r="CL11" s="326"/>
      <c r="CM11" s="326"/>
      <c r="CN11" s="326"/>
      <c r="CO11" s="450"/>
      <c r="CP11" s="449"/>
      <c r="CQ11" s="326"/>
      <c r="CR11" s="326"/>
      <c r="CS11" s="326"/>
      <c r="CT11" s="326"/>
      <c r="CU11" s="326"/>
      <c r="CV11" s="326"/>
      <c r="CW11" s="326"/>
      <c r="CX11" s="326"/>
      <c r="CY11" s="326"/>
      <c r="CZ11" s="326"/>
      <c r="DA11" s="450"/>
    </row>
    <row r="12" spans="1:105" ht="18" hidden="1" x14ac:dyDescent="0.25">
      <c r="A12" s="333" t="s">
        <v>340</v>
      </c>
      <c r="B12" s="591">
        <f>+D12/E12</f>
        <v>1</v>
      </c>
      <c r="C12" s="331" t="s">
        <v>161</v>
      </c>
      <c r="D12" s="332">
        <f t="shared" ref="D12:D25" si="3">SUM(G12:CC12)</f>
        <v>12000</v>
      </c>
      <c r="E12" s="322">
        <f t="shared" ref="E12:E25" si="4">+COUNTA(G12:CX12)*1000</f>
        <v>12000</v>
      </c>
      <c r="F12" s="699">
        <f t="shared" si="2"/>
        <v>0</v>
      </c>
      <c r="G12" s="327">
        <v>1000</v>
      </c>
      <c r="H12" s="327">
        <v>1000</v>
      </c>
      <c r="I12" s="327">
        <v>1000</v>
      </c>
      <c r="J12" s="327">
        <v>1000</v>
      </c>
      <c r="K12" s="327">
        <v>1000</v>
      </c>
      <c r="L12" s="327">
        <v>1000</v>
      </c>
      <c r="M12" s="327">
        <v>1000</v>
      </c>
      <c r="N12" s="327">
        <v>1000</v>
      </c>
      <c r="O12" s="327">
        <v>1000</v>
      </c>
      <c r="P12" s="327">
        <v>1000</v>
      </c>
      <c r="Q12" s="327">
        <v>1000</v>
      </c>
      <c r="R12" s="432">
        <v>1000</v>
      </c>
      <c r="S12" s="433"/>
      <c r="T12" s="326"/>
      <c r="U12" s="326"/>
      <c r="V12" s="326"/>
      <c r="W12" s="326"/>
      <c r="X12" s="326"/>
      <c r="Y12" s="326"/>
      <c r="Z12" s="326"/>
      <c r="AA12" s="326"/>
      <c r="AB12" s="326"/>
      <c r="AC12" s="326"/>
      <c r="AD12" s="434"/>
      <c r="AE12" s="433"/>
      <c r="AF12" s="326"/>
      <c r="AG12" s="326"/>
      <c r="AH12" s="326"/>
      <c r="AI12" s="326"/>
      <c r="AJ12" s="326"/>
      <c r="AK12" s="326"/>
      <c r="AL12" s="326"/>
      <c r="AM12" s="326"/>
      <c r="AN12" s="326"/>
      <c r="AO12" s="326"/>
      <c r="AP12" s="434"/>
      <c r="AQ12" s="433"/>
      <c r="AR12" s="326"/>
      <c r="AS12" s="326"/>
      <c r="AT12" s="326"/>
      <c r="AU12" s="326"/>
      <c r="AV12" s="326"/>
      <c r="AW12" s="326"/>
      <c r="AX12" s="326"/>
      <c r="AY12" s="326"/>
      <c r="AZ12" s="326"/>
      <c r="BA12" s="326"/>
      <c r="BB12" s="434"/>
      <c r="BC12" s="433"/>
      <c r="BD12" s="326"/>
      <c r="BE12" s="326"/>
      <c r="BF12" s="326"/>
      <c r="BG12" s="326"/>
      <c r="BH12" s="326"/>
      <c r="BI12" s="326"/>
      <c r="BJ12" s="326"/>
      <c r="BK12" s="326"/>
      <c r="BL12" s="326"/>
      <c r="BM12" s="326"/>
      <c r="BN12" s="434"/>
      <c r="BO12" s="433"/>
      <c r="BP12" s="326"/>
      <c r="BQ12" s="326"/>
      <c r="BR12" s="449"/>
      <c r="BS12" s="326"/>
      <c r="BT12" s="326"/>
      <c r="BU12" s="326"/>
      <c r="BV12" s="326"/>
      <c r="BW12" s="326"/>
      <c r="BX12" s="326"/>
      <c r="BY12" s="326"/>
      <c r="BZ12" s="326"/>
      <c r="CA12" s="326"/>
      <c r="CB12" s="326"/>
      <c r="CC12" s="450"/>
      <c r="CD12" s="447"/>
      <c r="CE12" s="327"/>
      <c r="CF12" s="327"/>
      <c r="CG12" s="327"/>
      <c r="CH12" s="327"/>
      <c r="CI12" s="327"/>
      <c r="CJ12" s="327"/>
      <c r="CK12" s="327"/>
      <c r="CL12" s="327"/>
      <c r="CM12" s="327"/>
      <c r="CN12" s="327"/>
      <c r="CO12" s="448"/>
      <c r="CP12" s="447"/>
      <c r="CQ12" s="327"/>
      <c r="CR12" s="327"/>
      <c r="CS12" s="327"/>
      <c r="CT12" s="327"/>
      <c r="CU12" s="327"/>
      <c r="CV12" s="327"/>
      <c r="CW12" s="327"/>
      <c r="CX12" s="327"/>
      <c r="CY12" s="327"/>
      <c r="CZ12" s="327"/>
      <c r="DA12" s="448"/>
    </row>
    <row r="13" spans="1:105" ht="18" hidden="1" x14ac:dyDescent="0.25">
      <c r="A13" s="333" t="s">
        <v>340</v>
      </c>
      <c r="B13" s="454">
        <f>+D13/E13</f>
        <v>1</v>
      </c>
      <c r="C13" s="453" t="s">
        <v>341</v>
      </c>
      <c r="D13" s="332">
        <f t="shared" si="3"/>
        <v>12000</v>
      </c>
      <c r="E13" s="322">
        <f t="shared" si="4"/>
        <v>12000</v>
      </c>
      <c r="F13" s="699">
        <f t="shared" si="2"/>
        <v>0</v>
      </c>
      <c r="G13" s="327">
        <v>1000</v>
      </c>
      <c r="H13" s="327">
        <v>1000</v>
      </c>
      <c r="I13" s="327">
        <v>1000</v>
      </c>
      <c r="J13" s="327">
        <v>1000</v>
      </c>
      <c r="K13" s="327">
        <v>1000</v>
      </c>
      <c r="L13" s="327">
        <v>1000</v>
      </c>
      <c r="M13" s="327">
        <v>1000</v>
      </c>
      <c r="N13" s="327">
        <v>1000</v>
      </c>
      <c r="O13" s="327">
        <v>1000</v>
      </c>
      <c r="P13" s="327">
        <v>1000</v>
      </c>
      <c r="Q13" s="327">
        <v>1000</v>
      </c>
      <c r="R13" s="432">
        <v>1000</v>
      </c>
      <c r="S13" s="433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434"/>
      <c r="AE13" s="433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434"/>
      <c r="AQ13" s="433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434"/>
      <c r="BC13" s="433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N13" s="434"/>
      <c r="BO13" s="433"/>
      <c r="BP13" s="326"/>
      <c r="BQ13" s="326"/>
      <c r="BR13" s="449"/>
      <c r="BS13" s="326"/>
      <c r="BT13" s="326"/>
      <c r="BU13" s="326"/>
      <c r="BV13" s="326"/>
      <c r="BW13" s="326"/>
      <c r="BX13" s="326"/>
      <c r="BY13" s="326"/>
      <c r="BZ13" s="326"/>
      <c r="CA13" s="326"/>
      <c r="CB13" s="326"/>
      <c r="CC13" s="450"/>
      <c r="CD13" s="449"/>
      <c r="CE13" s="326"/>
      <c r="CF13" s="326"/>
      <c r="CG13" s="326"/>
      <c r="CH13" s="326"/>
      <c r="CI13" s="326"/>
      <c r="CJ13" s="326"/>
      <c r="CK13" s="326"/>
      <c r="CL13" s="326"/>
      <c r="CM13" s="326"/>
      <c r="CN13" s="326"/>
      <c r="CO13" s="450"/>
      <c r="CP13" s="449"/>
      <c r="CQ13" s="326"/>
      <c r="CR13" s="326"/>
      <c r="CS13" s="326"/>
      <c r="CT13" s="326"/>
      <c r="CU13" s="326"/>
      <c r="CV13" s="326"/>
      <c r="CW13" s="326"/>
      <c r="CX13" s="326"/>
      <c r="CY13" s="326"/>
      <c r="CZ13" s="326"/>
      <c r="DA13" s="450"/>
    </row>
    <row r="14" spans="1:105" ht="18" hidden="1" x14ac:dyDescent="0.25">
      <c r="A14" s="635" t="s">
        <v>342</v>
      </c>
      <c r="B14" s="591">
        <f>+D14/E14</f>
        <v>1</v>
      </c>
      <c r="C14" s="331" t="s">
        <v>166</v>
      </c>
      <c r="D14" s="332">
        <f t="shared" si="3"/>
        <v>72000</v>
      </c>
      <c r="E14" s="322">
        <f t="shared" si="4"/>
        <v>72000</v>
      </c>
      <c r="F14" s="699">
        <f t="shared" si="2"/>
        <v>0</v>
      </c>
      <c r="G14" s="327">
        <v>1000</v>
      </c>
      <c r="H14" s="327">
        <v>1000</v>
      </c>
      <c r="I14" s="327">
        <v>1000</v>
      </c>
      <c r="J14" s="327">
        <v>1000</v>
      </c>
      <c r="K14" s="327">
        <v>1000</v>
      </c>
      <c r="L14" s="327">
        <v>1000</v>
      </c>
      <c r="M14" s="327">
        <v>1000</v>
      </c>
      <c r="N14" s="327">
        <v>1000</v>
      </c>
      <c r="O14" s="327">
        <v>1000</v>
      </c>
      <c r="P14" s="327">
        <v>1000</v>
      </c>
      <c r="Q14" s="327">
        <v>1000</v>
      </c>
      <c r="R14" s="432">
        <v>1000</v>
      </c>
      <c r="S14" s="385">
        <v>1000</v>
      </c>
      <c r="T14" s="327">
        <v>1000</v>
      </c>
      <c r="U14" s="327">
        <v>1000</v>
      </c>
      <c r="V14" s="327">
        <v>1000</v>
      </c>
      <c r="W14" s="327">
        <v>1000</v>
      </c>
      <c r="X14" s="327">
        <v>1000</v>
      </c>
      <c r="Y14" s="327">
        <v>1000</v>
      </c>
      <c r="Z14" s="327">
        <v>1000</v>
      </c>
      <c r="AA14" s="327">
        <v>1000</v>
      </c>
      <c r="AB14" s="327">
        <v>1000</v>
      </c>
      <c r="AC14" s="327">
        <v>1000</v>
      </c>
      <c r="AD14" s="432">
        <v>1000</v>
      </c>
      <c r="AE14" s="385">
        <v>1000</v>
      </c>
      <c r="AF14" s="327">
        <v>1000</v>
      </c>
      <c r="AG14" s="327">
        <v>1000</v>
      </c>
      <c r="AH14" s="327">
        <v>1000</v>
      </c>
      <c r="AI14" s="327">
        <v>1000</v>
      </c>
      <c r="AJ14" s="327">
        <v>1000</v>
      </c>
      <c r="AK14" s="327">
        <v>1000</v>
      </c>
      <c r="AL14" s="327">
        <v>1000</v>
      </c>
      <c r="AM14" s="327">
        <v>1000</v>
      </c>
      <c r="AN14" s="327">
        <v>1000</v>
      </c>
      <c r="AO14" s="327">
        <v>1000</v>
      </c>
      <c r="AP14" s="432">
        <v>1000</v>
      </c>
      <c r="AQ14" s="385">
        <v>1000</v>
      </c>
      <c r="AR14" s="327">
        <v>1000</v>
      </c>
      <c r="AS14" s="327">
        <v>1000</v>
      </c>
      <c r="AT14" s="327">
        <v>1000</v>
      </c>
      <c r="AU14" s="327">
        <v>1000</v>
      </c>
      <c r="AV14" s="327">
        <v>1000</v>
      </c>
      <c r="AW14" s="327">
        <v>1000</v>
      </c>
      <c r="AX14" s="327">
        <v>1000</v>
      </c>
      <c r="AY14" s="327">
        <v>1000</v>
      </c>
      <c r="AZ14" s="327">
        <v>1000</v>
      </c>
      <c r="BA14" s="327">
        <v>1000</v>
      </c>
      <c r="BB14" s="432">
        <v>1000</v>
      </c>
      <c r="BC14" s="385">
        <v>1000</v>
      </c>
      <c r="BD14" s="327">
        <v>1000</v>
      </c>
      <c r="BE14" s="327">
        <v>1000</v>
      </c>
      <c r="BF14" s="327">
        <v>1000</v>
      </c>
      <c r="BG14" s="327">
        <v>1000</v>
      </c>
      <c r="BH14" s="327">
        <v>1000</v>
      </c>
      <c r="BI14" s="327">
        <v>1000</v>
      </c>
      <c r="BJ14" s="327">
        <v>1000</v>
      </c>
      <c r="BK14" s="327">
        <v>1000</v>
      </c>
      <c r="BL14" s="327">
        <v>1000</v>
      </c>
      <c r="BM14" s="327">
        <v>1000</v>
      </c>
      <c r="BN14" s="432">
        <v>1000</v>
      </c>
      <c r="BO14" s="385">
        <v>1000</v>
      </c>
      <c r="BP14" s="327">
        <v>1000</v>
      </c>
      <c r="BQ14" s="327">
        <v>1000</v>
      </c>
      <c r="BR14" s="447">
        <v>1000</v>
      </c>
      <c r="BS14" s="327">
        <v>1000</v>
      </c>
      <c r="BT14" s="327">
        <v>1000</v>
      </c>
      <c r="BU14" s="327">
        <v>1000</v>
      </c>
      <c r="BV14" s="327">
        <v>1000</v>
      </c>
      <c r="BW14" s="327">
        <v>1000</v>
      </c>
      <c r="BX14" s="327">
        <v>1000</v>
      </c>
      <c r="BY14" s="327">
        <v>1000</v>
      </c>
      <c r="BZ14" s="327">
        <v>1000</v>
      </c>
      <c r="CA14" s="326"/>
      <c r="CB14" s="326"/>
      <c r="CC14" s="450"/>
      <c r="CD14" s="449"/>
      <c r="CE14" s="326"/>
      <c r="CF14" s="326"/>
      <c r="CG14" s="326"/>
      <c r="CH14" s="326"/>
      <c r="CI14" s="326"/>
      <c r="CJ14" s="326"/>
      <c r="CK14" s="326"/>
      <c r="CL14" s="326"/>
      <c r="CM14" s="326"/>
      <c r="CN14" s="326"/>
      <c r="CO14" s="450"/>
      <c r="CP14" s="449"/>
      <c r="CQ14" s="326"/>
      <c r="CR14" s="326"/>
      <c r="CS14" s="326"/>
      <c r="CT14" s="326"/>
      <c r="CU14" s="326"/>
      <c r="CV14" s="326"/>
      <c r="CW14" s="326"/>
      <c r="CX14" s="326"/>
      <c r="CY14" s="326"/>
      <c r="CZ14" s="326"/>
      <c r="DA14" s="450"/>
    </row>
    <row r="15" spans="1:105" ht="18" hidden="1" x14ac:dyDescent="0.25">
      <c r="A15" s="333" t="s">
        <v>342</v>
      </c>
      <c r="B15" s="591">
        <f>+D15/E15</f>
        <v>1</v>
      </c>
      <c r="C15" s="331" t="s">
        <v>167</v>
      </c>
      <c r="D15" s="332">
        <f t="shared" si="3"/>
        <v>72000</v>
      </c>
      <c r="E15" s="322">
        <f t="shared" si="4"/>
        <v>72000</v>
      </c>
      <c r="F15" s="699">
        <f t="shared" si="2"/>
        <v>0</v>
      </c>
      <c r="G15" s="327">
        <v>1000</v>
      </c>
      <c r="H15" s="327">
        <v>1000</v>
      </c>
      <c r="I15" s="327">
        <v>1000</v>
      </c>
      <c r="J15" s="327">
        <v>1000</v>
      </c>
      <c r="K15" s="327">
        <v>1000</v>
      </c>
      <c r="L15" s="327">
        <v>1000</v>
      </c>
      <c r="M15" s="327">
        <v>1000</v>
      </c>
      <c r="N15" s="327">
        <v>1000</v>
      </c>
      <c r="O15" s="327">
        <v>1000</v>
      </c>
      <c r="P15" s="327">
        <v>1000</v>
      </c>
      <c r="Q15" s="327">
        <v>1000</v>
      </c>
      <c r="R15" s="432">
        <v>1000</v>
      </c>
      <c r="S15" s="385">
        <v>1000</v>
      </c>
      <c r="T15" s="327">
        <v>1000</v>
      </c>
      <c r="U15" s="327">
        <v>1000</v>
      </c>
      <c r="V15" s="327">
        <v>1000</v>
      </c>
      <c r="W15" s="327">
        <v>1000</v>
      </c>
      <c r="X15" s="327">
        <v>1000</v>
      </c>
      <c r="Y15" s="327">
        <v>1000</v>
      </c>
      <c r="Z15" s="327">
        <v>1000</v>
      </c>
      <c r="AA15" s="327">
        <v>1000</v>
      </c>
      <c r="AB15" s="327">
        <v>1000</v>
      </c>
      <c r="AC15" s="327">
        <v>1000</v>
      </c>
      <c r="AD15" s="432">
        <v>1000</v>
      </c>
      <c r="AE15" s="385">
        <v>1000</v>
      </c>
      <c r="AF15" s="327">
        <v>1000</v>
      </c>
      <c r="AG15" s="327">
        <v>1000</v>
      </c>
      <c r="AH15" s="327">
        <v>1000</v>
      </c>
      <c r="AI15" s="327">
        <v>1000</v>
      </c>
      <c r="AJ15" s="327">
        <v>1000</v>
      </c>
      <c r="AK15" s="327">
        <v>1000</v>
      </c>
      <c r="AL15" s="327">
        <v>1000</v>
      </c>
      <c r="AM15" s="327">
        <v>1000</v>
      </c>
      <c r="AN15" s="327">
        <v>1000</v>
      </c>
      <c r="AO15" s="327">
        <v>1000</v>
      </c>
      <c r="AP15" s="432">
        <v>1000</v>
      </c>
      <c r="AQ15" s="385">
        <v>1000</v>
      </c>
      <c r="AR15" s="327">
        <v>1000</v>
      </c>
      <c r="AS15" s="327">
        <v>1000</v>
      </c>
      <c r="AT15" s="327">
        <v>1000</v>
      </c>
      <c r="AU15" s="327">
        <v>1000</v>
      </c>
      <c r="AV15" s="327">
        <v>1000</v>
      </c>
      <c r="AW15" s="327">
        <v>1000</v>
      </c>
      <c r="AX15" s="327">
        <v>1000</v>
      </c>
      <c r="AY15" s="327">
        <v>1000</v>
      </c>
      <c r="AZ15" s="327">
        <v>1000</v>
      </c>
      <c r="BA15" s="327">
        <v>1000</v>
      </c>
      <c r="BB15" s="432">
        <v>1000</v>
      </c>
      <c r="BC15" s="385">
        <v>1000</v>
      </c>
      <c r="BD15" s="327">
        <v>1000</v>
      </c>
      <c r="BE15" s="327">
        <v>1000</v>
      </c>
      <c r="BF15" s="327">
        <v>1000</v>
      </c>
      <c r="BG15" s="327">
        <v>1000</v>
      </c>
      <c r="BH15" s="327">
        <v>1000</v>
      </c>
      <c r="BI15" s="327">
        <v>1000</v>
      </c>
      <c r="BJ15" s="327">
        <v>1000</v>
      </c>
      <c r="BK15" s="327">
        <v>1000</v>
      </c>
      <c r="BL15" s="327">
        <v>1000</v>
      </c>
      <c r="BM15" s="327">
        <v>1000</v>
      </c>
      <c r="BN15" s="432">
        <v>1000</v>
      </c>
      <c r="BO15" s="385">
        <v>1000</v>
      </c>
      <c r="BP15" s="327">
        <v>1000</v>
      </c>
      <c r="BQ15" s="327">
        <v>1000</v>
      </c>
      <c r="BR15" s="447">
        <v>1000</v>
      </c>
      <c r="BS15" s="327">
        <v>1000</v>
      </c>
      <c r="BT15" s="327">
        <v>1000</v>
      </c>
      <c r="BU15" s="327">
        <v>1000</v>
      </c>
      <c r="BV15" s="327">
        <v>1000</v>
      </c>
      <c r="BW15" s="327">
        <v>1000</v>
      </c>
      <c r="BX15" s="327">
        <v>1000</v>
      </c>
      <c r="BY15" s="327">
        <v>1000</v>
      </c>
      <c r="BZ15" s="327">
        <v>1000</v>
      </c>
      <c r="CA15" s="326"/>
      <c r="CB15" s="326"/>
      <c r="CC15" s="450"/>
      <c r="CD15" s="449"/>
      <c r="CE15" s="326"/>
      <c r="CF15" s="326"/>
      <c r="CG15" s="326"/>
      <c r="CH15" s="326"/>
      <c r="CI15" s="326"/>
      <c r="CJ15" s="326"/>
      <c r="CK15" s="326"/>
      <c r="CL15" s="326"/>
      <c r="CM15" s="326"/>
      <c r="CN15" s="326"/>
      <c r="CO15" s="450"/>
      <c r="CP15" s="449"/>
      <c r="CQ15" s="326"/>
      <c r="CR15" s="326"/>
      <c r="CS15" s="326"/>
      <c r="CT15" s="326"/>
      <c r="CU15" s="326"/>
      <c r="CV15" s="326"/>
      <c r="CW15" s="326"/>
      <c r="CX15" s="326"/>
      <c r="CY15" s="326"/>
      <c r="CZ15" s="326"/>
      <c r="DA15" s="450"/>
    </row>
    <row r="16" spans="1:105" hidden="1" x14ac:dyDescent="0.25">
      <c r="A16" s="1056" t="s">
        <v>345</v>
      </c>
      <c r="B16" s="1054">
        <f>+SUM(D16:D18)/SUM(E16:E18)</f>
        <v>1</v>
      </c>
      <c r="C16" s="331" t="s">
        <v>170</v>
      </c>
      <c r="D16" s="332">
        <f t="shared" si="3"/>
        <v>60000</v>
      </c>
      <c r="E16" s="322">
        <f t="shared" si="4"/>
        <v>60000</v>
      </c>
      <c r="F16" s="699">
        <f t="shared" si="2"/>
        <v>0</v>
      </c>
      <c r="G16" s="327">
        <v>1000</v>
      </c>
      <c r="H16" s="327">
        <v>1000</v>
      </c>
      <c r="I16" s="327">
        <v>1000</v>
      </c>
      <c r="J16" s="327">
        <v>1000</v>
      </c>
      <c r="K16" s="327">
        <v>1000</v>
      </c>
      <c r="L16" s="327">
        <v>1000</v>
      </c>
      <c r="M16" s="327">
        <v>1000</v>
      </c>
      <c r="N16" s="327">
        <v>1000</v>
      </c>
      <c r="O16" s="327">
        <v>1000</v>
      </c>
      <c r="P16" s="327">
        <v>1000</v>
      </c>
      <c r="Q16" s="327">
        <v>1000</v>
      </c>
      <c r="R16" s="432">
        <v>1000</v>
      </c>
      <c r="S16" s="385">
        <v>1000</v>
      </c>
      <c r="T16" s="327">
        <v>1000</v>
      </c>
      <c r="U16" s="327">
        <v>1000</v>
      </c>
      <c r="V16" s="327">
        <v>1000</v>
      </c>
      <c r="W16" s="327">
        <v>1000</v>
      </c>
      <c r="X16" s="327">
        <v>1000</v>
      </c>
      <c r="Y16" s="327">
        <v>1000</v>
      </c>
      <c r="Z16" s="327">
        <v>1000</v>
      </c>
      <c r="AA16" s="327">
        <v>1000</v>
      </c>
      <c r="AB16" s="327">
        <v>1000</v>
      </c>
      <c r="AC16" s="327">
        <v>1000</v>
      </c>
      <c r="AD16" s="432">
        <v>1000</v>
      </c>
      <c r="AE16" s="385">
        <v>1000</v>
      </c>
      <c r="AF16" s="327">
        <v>1000</v>
      </c>
      <c r="AG16" s="327">
        <v>1000</v>
      </c>
      <c r="AH16" s="327">
        <v>1000</v>
      </c>
      <c r="AI16" s="327">
        <v>1000</v>
      </c>
      <c r="AJ16" s="327">
        <v>1000</v>
      </c>
      <c r="AK16" s="327">
        <v>1000</v>
      </c>
      <c r="AL16" s="327">
        <v>1000</v>
      </c>
      <c r="AM16" s="327">
        <v>1000</v>
      </c>
      <c r="AN16" s="327">
        <v>1000</v>
      </c>
      <c r="AO16" s="327">
        <v>1000</v>
      </c>
      <c r="AP16" s="432">
        <v>1000</v>
      </c>
      <c r="AQ16" s="385">
        <v>1000</v>
      </c>
      <c r="AR16" s="327">
        <v>1000</v>
      </c>
      <c r="AS16" s="327">
        <v>1000</v>
      </c>
      <c r="AT16" s="327">
        <v>1000</v>
      </c>
      <c r="AU16" s="327">
        <v>1000</v>
      </c>
      <c r="AV16" s="327">
        <v>1000</v>
      </c>
      <c r="AW16" s="327">
        <v>1000</v>
      </c>
      <c r="AX16" s="327">
        <v>1000</v>
      </c>
      <c r="AY16" s="327">
        <v>1000</v>
      </c>
      <c r="AZ16" s="327">
        <v>1000</v>
      </c>
      <c r="BA16" s="327">
        <v>1000</v>
      </c>
      <c r="BB16" s="432">
        <v>1000</v>
      </c>
      <c r="BC16" s="385">
        <v>1000</v>
      </c>
      <c r="BD16" s="327">
        <v>1000</v>
      </c>
      <c r="BE16" s="327">
        <v>1000</v>
      </c>
      <c r="BF16" s="327">
        <v>1000</v>
      </c>
      <c r="BG16" s="327">
        <v>1000</v>
      </c>
      <c r="BH16" s="327">
        <v>1000</v>
      </c>
      <c r="BI16" s="327">
        <v>1000</v>
      </c>
      <c r="BJ16" s="327">
        <v>1000</v>
      </c>
      <c r="BK16" s="327">
        <v>1000</v>
      </c>
      <c r="BL16" s="327">
        <v>1000</v>
      </c>
      <c r="BM16" s="327">
        <v>1000</v>
      </c>
      <c r="BN16" s="432">
        <v>1000</v>
      </c>
      <c r="BO16" s="433"/>
      <c r="BP16" s="326"/>
      <c r="BQ16" s="326"/>
      <c r="BR16" s="449"/>
      <c r="BS16" s="326"/>
      <c r="BT16" s="326"/>
      <c r="BU16" s="326"/>
      <c r="BV16" s="326"/>
      <c r="BW16" s="326"/>
      <c r="BX16" s="326"/>
      <c r="BY16" s="326"/>
      <c r="BZ16" s="326"/>
      <c r="CA16" s="326"/>
      <c r="CB16" s="326"/>
      <c r="CC16" s="450"/>
      <c r="CD16" s="449"/>
      <c r="CE16" s="326"/>
      <c r="CF16" s="326"/>
      <c r="CG16" s="326"/>
      <c r="CH16" s="326"/>
      <c r="CI16" s="326"/>
      <c r="CJ16" s="326"/>
      <c r="CK16" s="326"/>
      <c r="CL16" s="326"/>
      <c r="CM16" s="326"/>
      <c r="CN16" s="326"/>
      <c r="CO16" s="450"/>
      <c r="CP16" s="449"/>
      <c r="CQ16" s="326"/>
      <c r="CR16" s="326"/>
      <c r="CS16" s="326"/>
      <c r="CT16" s="326"/>
      <c r="CU16" s="326"/>
      <c r="CV16" s="326"/>
      <c r="CW16" s="326"/>
      <c r="CX16" s="326"/>
      <c r="CY16" s="326"/>
      <c r="CZ16" s="326"/>
      <c r="DA16" s="450"/>
    </row>
    <row r="17" spans="1:105" hidden="1" x14ac:dyDescent="0.25">
      <c r="A17" s="1056"/>
      <c r="B17" s="1054"/>
      <c r="C17" s="331" t="s">
        <v>171</v>
      </c>
      <c r="D17" s="332">
        <f t="shared" si="3"/>
        <v>60000</v>
      </c>
      <c r="E17" s="322">
        <f t="shared" si="4"/>
        <v>60000</v>
      </c>
      <c r="F17" s="699">
        <f t="shared" si="2"/>
        <v>0</v>
      </c>
      <c r="G17" s="327">
        <v>1000</v>
      </c>
      <c r="H17" s="327">
        <v>1000</v>
      </c>
      <c r="I17" s="327">
        <v>1000</v>
      </c>
      <c r="J17" s="327">
        <v>1000</v>
      </c>
      <c r="K17" s="327">
        <v>1000</v>
      </c>
      <c r="L17" s="327">
        <v>1000</v>
      </c>
      <c r="M17" s="327">
        <v>1000</v>
      </c>
      <c r="N17" s="327">
        <v>1000</v>
      </c>
      <c r="O17" s="327">
        <v>1000</v>
      </c>
      <c r="P17" s="327">
        <v>1000</v>
      </c>
      <c r="Q17" s="327">
        <v>1000</v>
      </c>
      <c r="R17" s="432">
        <v>1000</v>
      </c>
      <c r="S17" s="385">
        <v>1000</v>
      </c>
      <c r="T17" s="327">
        <v>1000</v>
      </c>
      <c r="U17" s="327">
        <v>1000</v>
      </c>
      <c r="V17" s="327">
        <v>1000</v>
      </c>
      <c r="W17" s="327">
        <v>1000</v>
      </c>
      <c r="X17" s="327">
        <v>1000</v>
      </c>
      <c r="Y17" s="327">
        <v>1000</v>
      </c>
      <c r="Z17" s="327">
        <v>1000</v>
      </c>
      <c r="AA17" s="327">
        <v>1000</v>
      </c>
      <c r="AB17" s="327">
        <v>1000</v>
      </c>
      <c r="AC17" s="327">
        <v>1000</v>
      </c>
      <c r="AD17" s="432">
        <v>1000</v>
      </c>
      <c r="AE17" s="385">
        <v>1000</v>
      </c>
      <c r="AF17" s="327">
        <v>1000</v>
      </c>
      <c r="AG17" s="327">
        <v>1000</v>
      </c>
      <c r="AH17" s="327">
        <v>1000</v>
      </c>
      <c r="AI17" s="327">
        <v>1000</v>
      </c>
      <c r="AJ17" s="327">
        <v>1000</v>
      </c>
      <c r="AK17" s="327">
        <v>1000</v>
      </c>
      <c r="AL17" s="327">
        <v>1000</v>
      </c>
      <c r="AM17" s="327">
        <v>1000</v>
      </c>
      <c r="AN17" s="327">
        <v>1000</v>
      </c>
      <c r="AO17" s="327">
        <v>1000</v>
      </c>
      <c r="AP17" s="432">
        <v>1000</v>
      </c>
      <c r="AQ17" s="385">
        <v>1000</v>
      </c>
      <c r="AR17" s="327">
        <v>1000</v>
      </c>
      <c r="AS17" s="327">
        <v>1000</v>
      </c>
      <c r="AT17" s="327">
        <v>1000</v>
      </c>
      <c r="AU17" s="327">
        <v>1000</v>
      </c>
      <c r="AV17" s="327">
        <v>1000</v>
      </c>
      <c r="AW17" s="327">
        <v>1000</v>
      </c>
      <c r="AX17" s="327">
        <v>1000</v>
      </c>
      <c r="AY17" s="327">
        <v>1000</v>
      </c>
      <c r="AZ17" s="327">
        <v>1000</v>
      </c>
      <c r="BA17" s="327">
        <v>1000</v>
      </c>
      <c r="BB17" s="432">
        <v>1000</v>
      </c>
      <c r="BC17" s="385">
        <v>1000</v>
      </c>
      <c r="BD17" s="327">
        <v>1000</v>
      </c>
      <c r="BE17" s="327">
        <v>1000</v>
      </c>
      <c r="BF17" s="327">
        <v>1000</v>
      </c>
      <c r="BG17" s="327">
        <v>1000</v>
      </c>
      <c r="BH17" s="327">
        <v>1000</v>
      </c>
      <c r="BI17" s="327">
        <v>1000</v>
      </c>
      <c r="BJ17" s="327">
        <v>1000</v>
      </c>
      <c r="BK17" s="327">
        <v>1000</v>
      </c>
      <c r="BL17" s="327">
        <v>1000</v>
      </c>
      <c r="BM17" s="327">
        <v>1000</v>
      </c>
      <c r="BN17" s="432">
        <v>1000</v>
      </c>
      <c r="BO17" s="433"/>
      <c r="BP17" s="326"/>
      <c r="BQ17" s="326"/>
      <c r="BR17" s="449"/>
      <c r="BS17" s="326"/>
      <c r="BT17" s="326"/>
      <c r="BU17" s="326"/>
      <c r="BV17" s="326"/>
      <c r="BW17" s="326"/>
      <c r="BX17" s="326"/>
      <c r="BY17" s="326"/>
      <c r="BZ17" s="326"/>
      <c r="CA17" s="326"/>
      <c r="CB17" s="326"/>
      <c r="CC17" s="450"/>
      <c r="CD17" s="449"/>
      <c r="CE17" s="326"/>
      <c r="CF17" s="326"/>
      <c r="CG17" s="326"/>
      <c r="CH17" s="326"/>
      <c r="CI17" s="326"/>
      <c r="CJ17" s="326"/>
      <c r="CK17" s="326"/>
      <c r="CL17" s="326"/>
      <c r="CM17" s="326"/>
      <c r="CN17" s="326"/>
      <c r="CO17" s="450"/>
      <c r="CP17" s="449"/>
      <c r="CQ17" s="326"/>
      <c r="CR17" s="326"/>
      <c r="CS17" s="326"/>
      <c r="CT17" s="326"/>
      <c r="CU17" s="326"/>
      <c r="CV17" s="326"/>
      <c r="CW17" s="326"/>
      <c r="CX17" s="326"/>
      <c r="CY17" s="326"/>
      <c r="CZ17" s="326"/>
      <c r="DA17" s="450"/>
    </row>
    <row r="18" spans="1:105" hidden="1" x14ac:dyDescent="0.25">
      <c r="A18" s="1056"/>
      <c r="B18" s="1054"/>
      <c r="C18" s="453" t="s">
        <v>172</v>
      </c>
      <c r="D18" s="332">
        <f t="shared" si="3"/>
        <v>60000</v>
      </c>
      <c r="E18" s="322">
        <f t="shared" si="4"/>
        <v>60000</v>
      </c>
      <c r="F18" s="699">
        <f t="shared" si="2"/>
        <v>0</v>
      </c>
      <c r="G18" s="327">
        <v>1000</v>
      </c>
      <c r="H18" s="327">
        <v>1000</v>
      </c>
      <c r="I18" s="327">
        <v>1000</v>
      </c>
      <c r="J18" s="327">
        <v>1000</v>
      </c>
      <c r="K18" s="327">
        <v>1000</v>
      </c>
      <c r="L18" s="327">
        <v>1000</v>
      </c>
      <c r="M18" s="327">
        <v>1000</v>
      </c>
      <c r="N18" s="327">
        <v>1000</v>
      </c>
      <c r="O18" s="327">
        <v>1000</v>
      </c>
      <c r="P18" s="327">
        <v>1000</v>
      </c>
      <c r="Q18" s="327">
        <v>1000</v>
      </c>
      <c r="R18" s="432">
        <v>1000</v>
      </c>
      <c r="S18" s="385">
        <v>1000</v>
      </c>
      <c r="T18" s="327">
        <v>1000</v>
      </c>
      <c r="U18" s="327">
        <v>1000</v>
      </c>
      <c r="V18" s="327">
        <v>1000</v>
      </c>
      <c r="W18" s="327">
        <v>1000</v>
      </c>
      <c r="X18" s="327">
        <v>1000</v>
      </c>
      <c r="Y18" s="327">
        <v>1000</v>
      </c>
      <c r="Z18" s="327">
        <v>1000</v>
      </c>
      <c r="AA18" s="327">
        <v>1000</v>
      </c>
      <c r="AB18" s="327">
        <v>1000</v>
      </c>
      <c r="AC18" s="327">
        <v>1000</v>
      </c>
      <c r="AD18" s="432">
        <v>1000</v>
      </c>
      <c r="AE18" s="385">
        <v>1000</v>
      </c>
      <c r="AF18" s="327">
        <v>1000</v>
      </c>
      <c r="AG18" s="327">
        <v>1000</v>
      </c>
      <c r="AH18" s="327">
        <v>1000</v>
      </c>
      <c r="AI18" s="327">
        <v>1000</v>
      </c>
      <c r="AJ18" s="327">
        <v>1000</v>
      </c>
      <c r="AK18" s="327">
        <v>1000</v>
      </c>
      <c r="AL18" s="327">
        <v>1000</v>
      </c>
      <c r="AM18" s="327">
        <v>1000</v>
      </c>
      <c r="AN18" s="327">
        <v>1000</v>
      </c>
      <c r="AO18" s="327">
        <v>1000</v>
      </c>
      <c r="AP18" s="432">
        <v>1000</v>
      </c>
      <c r="AQ18" s="385">
        <v>1000</v>
      </c>
      <c r="AR18" s="327">
        <v>1000</v>
      </c>
      <c r="AS18" s="327">
        <v>1000</v>
      </c>
      <c r="AT18" s="327">
        <v>1000</v>
      </c>
      <c r="AU18" s="327">
        <v>1000</v>
      </c>
      <c r="AV18" s="327">
        <v>1000</v>
      </c>
      <c r="AW18" s="327">
        <v>1000</v>
      </c>
      <c r="AX18" s="327">
        <v>1000</v>
      </c>
      <c r="AY18" s="327">
        <v>1000</v>
      </c>
      <c r="AZ18" s="327">
        <v>1000</v>
      </c>
      <c r="BA18" s="327">
        <v>1000</v>
      </c>
      <c r="BB18" s="432">
        <v>1000</v>
      </c>
      <c r="BC18" s="385">
        <v>1000</v>
      </c>
      <c r="BD18" s="327">
        <v>1000</v>
      </c>
      <c r="BE18" s="327">
        <v>1000</v>
      </c>
      <c r="BF18" s="327">
        <v>1000</v>
      </c>
      <c r="BG18" s="327">
        <v>1000</v>
      </c>
      <c r="BH18" s="327">
        <v>1000</v>
      </c>
      <c r="BI18" s="327">
        <v>1000</v>
      </c>
      <c r="BJ18" s="327">
        <v>1000</v>
      </c>
      <c r="BK18" s="327">
        <v>1000</v>
      </c>
      <c r="BL18" s="327">
        <v>1000</v>
      </c>
      <c r="BM18" s="327">
        <v>1000</v>
      </c>
      <c r="BN18" s="432">
        <v>1000</v>
      </c>
      <c r="BO18" s="433"/>
      <c r="BP18" s="326"/>
      <c r="BQ18" s="326"/>
      <c r="BR18" s="449"/>
      <c r="BS18" s="326"/>
      <c r="BT18" s="326"/>
      <c r="BU18" s="326"/>
      <c r="BV18" s="326"/>
      <c r="BW18" s="326"/>
      <c r="BX18" s="326"/>
      <c r="BY18" s="326"/>
      <c r="BZ18" s="326"/>
      <c r="CA18" s="326"/>
      <c r="CB18" s="326"/>
      <c r="CC18" s="450"/>
      <c r="CD18" s="449"/>
      <c r="CE18" s="326"/>
      <c r="CF18" s="326"/>
      <c r="CG18" s="326"/>
      <c r="CH18" s="326"/>
      <c r="CI18" s="326"/>
      <c r="CJ18" s="326"/>
      <c r="CK18" s="326"/>
      <c r="CL18" s="326"/>
      <c r="CM18" s="326"/>
      <c r="CN18" s="326"/>
      <c r="CO18" s="450"/>
      <c r="CP18" s="449"/>
      <c r="CQ18" s="326"/>
      <c r="CR18" s="326"/>
      <c r="CS18" s="326"/>
      <c r="CT18" s="326"/>
      <c r="CU18" s="326"/>
      <c r="CV18" s="326"/>
      <c r="CW18" s="326"/>
      <c r="CX18" s="326"/>
      <c r="CY18" s="326"/>
      <c r="CZ18" s="326"/>
      <c r="DA18" s="450"/>
    </row>
    <row r="19" spans="1:105" ht="18" hidden="1" x14ac:dyDescent="0.25">
      <c r="A19" s="333" t="s">
        <v>346</v>
      </c>
      <c r="B19" s="591">
        <f>+D19/E19</f>
        <v>1</v>
      </c>
      <c r="C19" s="590" t="s">
        <v>173</v>
      </c>
      <c r="D19" s="332">
        <f t="shared" si="3"/>
        <v>64000</v>
      </c>
      <c r="E19" s="322">
        <f t="shared" si="4"/>
        <v>64000</v>
      </c>
      <c r="F19" s="699">
        <f t="shared" si="2"/>
        <v>0</v>
      </c>
      <c r="G19" s="327">
        <v>1000</v>
      </c>
      <c r="H19" s="327">
        <v>1000</v>
      </c>
      <c r="I19" s="327">
        <v>1000</v>
      </c>
      <c r="J19" s="327">
        <v>1000</v>
      </c>
      <c r="K19" s="327">
        <v>1000</v>
      </c>
      <c r="L19" s="327">
        <v>1000</v>
      </c>
      <c r="M19" s="327">
        <v>1000</v>
      </c>
      <c r="N19" s="327">
        <v>1000</v>
      </c>
      <c r="O19" s="327">
        <v>1000</v>
      </c>
      <c r="P19" s="327">
        <v>1000</v>
      </c>
      <c r="Q19" s="327">
        <v>1000</v>
      </c>
      <c r="R19" s="432">
        <v>1000</v>
      </c>
      <c r="S19" s="385">
        <v>1000</v>
      </c>
      <c r="T19" s="327">
        <v>1000</v>
      </c>
      <c r="U19" s="327">
        <v>1000</v>
      </c>
      <c r="V19" s="327">
        <v>1000</v>
      </c>
      <c r="W19" s="327">
        <v>1000</v>
      </c>
      <c r="X19" s="327">
        <v>1000</v>
      </c>
      <c r="Y19" s="327">
        <v>1000</v>
      </c>
      <c r="Z19" s="327">
        <v>1000</v>
      </c>
      <c r="AA19" s="327">
        <v>1000</v>
      </c>
      <c r="AB19" s="327">
        <v>1000</v>
      </c>
      <c r="AC19" s="327">
        <v>1000</v>
      </c>
      <c r="AD19" s="432">
        <v>1000</v>
      </c>
      <c r="AE19" s="385">
        <v>1000</v>
      </c>
      <c r="AF19" s="327">
        <v>1000</v>
      </c>
      <c r="AG19" s="327">
        <v>1000</v>
      </c>
      <c r="AH19" s="327">
        <v>1000</v>
      </c>
      <c r="AI19" s="327">
        <v>1000</v>
      </c>
      <c r="AJ19" s="327">
        <v>1000</v>
      </c>
      <c r="AK19" s="327">
        <v>1000</v>
      </c>
      <c r="AL19" s="327">
        <v>1000</v>
      </c>
      <c r="AM19" s="327">
        <v>1000</v>
      </c>
      <c r="AN19" s="327">
        <v>1000</v>
      </c>
      <c r="AO19" s="327">
        <v>1000</v>
      </c>
      <c r="AP19" s="432">
        <v>1000</v>
      </c>
      <c r="AQ19" s="385">
        <v>1000</v>
      </c>
      <c r="AR19" s="327">
        <v>1000</v>
      </c>
      <c r="AS19" s="327">
        <v>1000</v>
      </c>
      <c r="AT19" s="327">
        <v>1000</v>
      </c>
      <c r="AU19" s="327">
        <v>1000</v>
      </c>
      <c r="AV19" s="327">
        <v>1000</v>
      </c>
      <c r="AW19" s="327">
        <v>1000</v>
      </c>
      <c r="AX19" s="327">
        <v>1000</v>
      </c>
      <c r="AY19" s="327">
        <v>1000</v>
      </c>
      <c r="AZ19" s="327">
        <v>1000</v>
      </c>
      <c r="BA19" s="327">
        <v>1000</v>
      </c>
      <c r="BB19" s="432">
        <v>1000</v>
      </c>
      <c r="BC19" s="385">
        <v>1000</v>
      </c>
      <c r="BD19" s="327">
        <v>1000</v>
      </c>
      <c r="BE19" s="327">
        <v>1000</v>
      </c>
      <c r="BF19" s="327">
        <v>1000</v>
      </c>
      <c r="BG19" s="327">
        <v>1000</v>
      </c>
      <c r="BH19" s="327">
        <v>1000</v>
      </c>
      <c r="BI19" s="327">
        <v>1000</v>
      </c>
      <c r="BJ19" s="327">
        <v>1000</v>
      </c>
      <c r="BK19" s="327">
        <v>1000</v>
      </c>
      <c r="BL19" s="327">
        <v>1000</v>
      </c>
      <c r="BM19" s="327">
        <v>1000</v>
      </c>
      <c r="BN19" s="432">
        <v>1000</v>
      </c>
      <c r="BO19" s="385">
        <v>1000</v>
      </c>
      <c r="BP19" s="327">
        <v>1000</v>
      </c>
      <c r="BQ19" s="327">
        <v>1000</v>
      </c>
      <c r="BR19" s="629">
        <v>1000</v>
      </c>
      <c r="BS19" s="326"/>
      <c r="BT19" s="326"/>
      <c r="BU19" s="326"/>
      <c r="BV19" s="326"/>
      <c r="BW19" s="326"/>
      <c r="BX19" s="326"/>
      <c r="BY19" s="326"/>
      <c r="BZ19" s="326"/>
      <c r="CA19" s="326"/>
      <c r="CB19" s="326"/>
      <c r="CC19" s="450"/>
      <c r="CD19" s="449"/>
      <c r="CE19" s="326"/>
      <c r="CF19" s="326"/>
      <c r="CG19" s="326"/>
      <c r="CH19" s="326"/>
      <c r="CI19" s="326"/>
      <c r="CJ19" s="326"/>
      <c r="CK19" s="326"/>
      <c r="CL19" s="326"/>
      <c r="CM19" s="326"/>
      <c r="CN19" s="326"/>
      <c r="CO19" s="450"/>
      <c r="CP19" s="449"/>
      <c r="CQ19" s="326"/>
      <c r="CR19" s="326"/>
      <c r="CS19" s="326"/>
      <c r="CT19" s="326"/>
      <c r="CU19" s="326"/>
      <c r="CV19" s="326"/>
      <c r="CW19" s="326"/>
      <c r="CX19" s="326"/>
      <c r="CY19" s="326"/>
      <c r="CZ19" s="326"/>
      <c r="DA19" s="450"/>
    </row>
    <row r="20" spans="1:105" ht="18" hidden="1" x14ac:dyDescent="0.25">
      <c r="A20" s="333" t="s">
        <v>346</v>
      </c>
      <c r="B20" s="591">
        <f>+D20/E20</f>
        <v>1</v>
      </c>
      <c r="C20" s="590" t="s">
        <v>175</v>
      </c>
      <c r="D20" s="332">
        <f t="shared" si="3"/>
        <v>60000</v>
      </c>
      <c r="E20" s="322">
        <f t="shared" si="4"/>
        <v>60000</v>
      </c>
      <c r="F20" s="699">
        <f t="shared" si="2"/>
        <v>0</v>
      </c>
      <c r="G20" s="327">
        <v>1000</v>
      </c>
      <c r="H20" s="327">
        <v>1000</v>
      </c>
      <c r="I20" s="327">
        <v>1000</v>
      </c>
      <c r="J20" s="327">
        <v>1000</v>
      </c>
      <c r="K20" s="327">
        <v>1000</v>
      </c>
      <c r="L20" s="327">
        <v>1000</v>
      </c>
      <c r="M20" s="327">
        <v>1000</v>
      </c>
      <c r="N20" s="327">
        <v>1000</v>
      </c>
      <c r="O20" s="327">
        <v>1000</v>
      </c>
      <c r="P20" s="327">
        <v>1000</v>
      </c>
      <c r="Q20" s="327">
        <v>1000</v>
      </c>
      <c r="R20" s="432">
        <v>1000</v>
      </c>
      <c r="S20" s="385">
        <v>1000</v>
      </c>
      <c r="T20" s="327">
        <v>1000</v>
      </c>
      <c r="U20" s="327">
        <v>1000</v>
      </c>
      <c r="V20" s="327">
        <v>1000</v>
      </c>
      <c r="W20" s="327">
        <v>1000</v>
      </c>
      <c r="X20" s="327">
        <v>1000</v>
      </c>
      <c r="Y20" s="327">
        <v>1000</v>
      </c>
      <c r="Z20" s="327">
        <v>1000</v>
      </c>
      <c r="AA20" s="327">
        <v>1000</v>
      </c>
      <c r="AB20" s="327">
        <v>1000</v>
      </c>
      <c r="AC20" s="327">
        <v>1000</v>
      </c>
      <c r="AD20" s="432">
        <v>1000</v>
      </c>
      <c r="AE20" s="385">
        <v>1000</v>
      </c>
      <c r="AF20" s="327">
        <v>1000</v>
      </c>
      <c r="AG20" s="327">
        <v>1000</v>
      </c>
      <c r="AH20" s="327">
        <v>1000</v>
      </c>
      <c r="AI20" s="327">
        <v>1000</v>
      </c>
      <c r="AJ20" s="327">
        <v>1000</v>
      </c>
      <c r="AK20" s="327">
        <v>1000</v>
      </c>
      <c r="AL20" s="327">
        <v>1000</v>
      </c>
      <c r="AM20" s="327">
        <v>1000</v>
      </c>
      <c r="AN20" s="327">
        <v>1000</v>
      </c>
      <c r="AO20" s="327">
        <v>1000</v>
      </c>
      <c r="AP20" s="432">
        <v>1000</v>
      </c>
      <c r="AQ20" s="385">
        <v>1000</v>
      </c>
      <c r="AR20" s="327">
        <v>1000</v>
      </c>
      <c r="AS20" s="327">
        <v>1000</v>
      </c>
      <c r="AT20" s="327">
        <v>1000</v>
      </c>
      <c r="AU20" s="327">
        <v>1000</v>
      </c>
      <c r="AV20" s="327">
        <v>1000</v>
      </c>
      <c r="AW20" s="327">
        <v>1000</v>
      </c>
      <c r="AX20" s="327">
        <v>1000</v>
      </c>
      <c r="AY20" s="327">
        <v>1000</v>
      </c>
      <c r="AZ20" s="327">
        <v>1000</v>
      </c>
      <c r="BA20" s="327">
        <v>1000</v>
      </c>
      <c r="BB20" s="432">
        <v>1000</v>
      </c>
      <c r="BC20" s="385">
        <v>1000</v>
      </c>
      <c r="BD20" s="327">
        <v>1000</v>
      </c>
      <c r="BE20" s="327">
        <v>1000</v>
      </c>
      <c r="BF20" s="327">
        <v>1000</v>
      </c>
      <c r="BG20" s="327">
        <v>1000</v>
      </c>
      <c r="BH20" s="327">
        <v>1000</v>
      </c>
      <c r="BI20" s="327">
        <v>1000</v>
      </c>
      <c r="BJ20" s="327">
        <v>1000</v>
      </c>
      <c r="BK20" s="327">
        <v>1000</v>
      </c>
      <c r="BL20" s="327">
        <v>1000</v>
      </c>
      <c r="BM20" s="327">
        <v>1000</v>
      </c>
      <c r="BN20" s="432">
        <v>1000</v>
      </c>
      <c r="BO20" s="433"/>
      <c r="BP20" s="326"/>
      <c r="BQ20" s="326"/>
      <c r="BR20" s="449"/>
      <c r="BS20" s="326"/>
      <c r="BT20" s="326"/>
      <c r="BU20" s="326"/>
      <c r="BV20" s="326"/>
      <c r="BW20" s="326"/>
      <c r="BX20" s="326"/>
      <c r="BY20" s="326"/>
      <c r="BZ20" s="326"/>
      <c r="CA20" s="326"/>
      <c r="CB20" s="326"/>
      <c r="CC20" s="450"/>
      <c r="CD20" s="449"/>
      <c r="CE20" s="326"/>
      <c r="CF20" s="326"/>
      <c r="CG20" s="326"/>
      <c r="CH20" s="326"/>
      <c r="CI20" s="326"/>
      <c r="CJ20" s="326"/>
      <c r="CK20" s="326"/>
      <c r="CL20" s="326"/>
      <c r="CM20" s="326"/>
      <c r="CN20" s="326"/>
      <c r="CO20" s="450"/>
      <c r="CP20" s="449"/>
      <c r="CQ20" s="326"/>
      <c r="CR20" s="326"/>
      <c r="CS20" s="326"/>
      <c r="CT20" s="326"/>
      <c r="CU20" s="326"/>
      <c r="CV20" s="326"/>
      <c r="CW20" s="326"/>
      <c r="CX20" s="326"/>
      <c r="CY20" s="326"/>
      <c r="CZ20" s="326"/>
      <c r="DA20" s="450"/>
    </row>
    <row r="21" spans="1:105" hidden="1" x14ac:dyDescent="0.25">
      <c r="A21" s="1056" t="s">
        <v>348</v>
      </c>
      <c r="B21" s="1054">
        <f>+SUM(D21:D23)/SUM(E21:E23)</f>
        <v>1</v>
      </c>
      <c r="C21" s="331" t="s">
        <v>349</v>
      </c>
      <c r="D21" s="332">
        <f t="shared" si="3"/>
        <v>48000</v>
      </c>
      <c r="E21" s="322">
        <f t="shared" si="4"/>
        <v>48000</v>
      </c>
      <c r="F21" s="699">
        <f t="shared" si="2"/>
        <v>0</v>
      </c>
      <c r="G21" s="326"/>
      <c r="H21" s="326"/>
      <c r="I21" s="326"/>
      <c r="J21" s="326"/>
      <c r="K21" s="326"/>
      <c r="L21" s="326"/>
      <c r="M21" s="326"/>
      <c r="N21" s="327">
        <v>1000</v>
      </c>
      <c r="O21" s="327">
        <v>1000</v>
      </c>
      <c r="P21" s="327">
        <v>1000</v>
      </c>
      <c r="Q21" s="327">
        <v>1000</v>
      </c>
      <c r="R21" s="432">
        <v>1000</v>
      </c>
      <c r="S21" s="385">
        <v>1000</v>
      </c>
      <c r="T21" s="327">
        <v>1000</v>
      </c>
      <c r="U21" s="327">
        <v>1000</v>
      </c>
      <c r="V21" s="327">
        <v>1000</v>
      </c>
      <c r="W21" s="327">
        <v>1000</v>
      </c>
      <c r="X21" s="327">
        <v>1000</v>
      </c>
      <c r="Y21" s="327">
        <v>1000</v>
      </c>
      <c r="Z21" s="327">
        <v>1000</v>
      </c>
      <c r="AA21" s="327">
        <v>1000</v>
      </c>
      <c r="AB21" s="327">
        <v>1000</v>
      </c>
      <c r="AC21" s="327">
        <v>1000</v>
      </c>
      <c r="AD21" s="432">
        <v>1000</v>
      </c>
      <c r="AE21" s="385">
        <v>1000</v>
      </c>
      <c r="AF21" s="327">
        <v>1000</v>
      </c>
      <c r="AG21" s="327">
        <v>1000</v>
      </c>
      <c r="AH21" s="327"/>
      <c r="AI21" s="327"/>
      <c r="AJ21" s="327">
        <v>1000</v>
      </c>
      <c r="AK21" s="327">
        <v>1000</v>
      </c>
      <c r="AL21" s="327">
        <v>1000</v>
      </c>
      <c r="AM21" s="327">
        <v>1000</v>
      </c>
      <c r="AN21" s="327">
        <v>1000</v>
      </c>
      <c r="AO21" s="327">
        <v>1000</v>
      </c>
      <c r="AP21" s="432">
        <v>1000</v>
      </c>
      <c r="AQ21" s="385">
        <v>1000</v>
      </c>
      <c r="AR21" s="327">
        <v>1000</v>
      </c>
      <c r="AS21" s="327">
        <v>1000</v>
      </c>
      <c r="AT21" s="327">
        <v>1000</v>
      </c>
      <c r="AU21" s="327">
        <v>1000</v>
      </c>
      <c r="AV21" s="327">
        <v>1000</v>
      </c>
      <c r="AW21" s="327">
        <v>1000</v>
      </c>
      <c r="AX21" s="327">
        <v>1000</v>
      </c>
      <c r="AY21" s="327">
        <v>1000</v>
      </c>
      <c r="AZ21" s="327">
        <v>1000</v>
      </c>
      <c r="BA21" s="327">
        <v>1000</v>
      </c>
      <c r="BB21" s="432">
        <v>1000</v>
      </c>
      <c r="BC21" s="385">
        <v>1000</v>
      </c>
      <c r="BD21" s="327">
        <v>1000</v>
      </c>
      <c r="BE21" s="327">
        <v>1000</v>
      </c>
      <c r="BF21" s="327">
        <v>1000</v>
      </c>
      <c r="BG21" s="327">
        <v>1000</v>
      </c>
      <c r="BH21" s="327">
        <v>1000</v>
      </c>
      <c r="BI21" s="327"/>
      <c r="BJ21" s="327">
        <v>1000</v>
      </c>
      <c r="BK21" s="327">
        <v>1000</v>
      </c>
      <c r="BL21" s="327">
        <v>1000</v>
      </c>
      <c r="BM21" s="326"/>
      <c r="BN21" s="434"/>
      <c r="BO21" s="433"/>
      <c r="BP21" s="326"/>
      <c r="BQ21" s="326"/>
      <c r="BR21" s="449"/>
      <c r="BS21" s="326"/>
      <c r="BT21" s="326"/>
      <c r="BU21" s="326"/>
      <c r="BV21" s="326"/>
      <c r="BW21" s="326"/>
      <c r="BX21" s="326"/>
      <c r="BY21" s="326"/>
      <c r="BZ21" s="326"/>
      <c r="CA21" s="326"/>
      <c r="CB21" s="326"/>
      <c r="CC21" s="450"/>
      <c r="CD21" s="449"/>
      <c r="CE21" s="326"/>
      <c r="CF21" s="326"/>
      <c r="CG21" s="326"/>
      <c r="CH21" s="326"/>
      <c r="CI21" s="326"/>
      <c r="CJ21" s="326"/>
      <c r="CK21" s="326"/>
      <c r="CL21" s="326"/>
      <c r="CM21" s="326"/>
      <c r="CN21" s="326"/>
      <c r="CO21" s="450"/>
      <c r="CP21" s="449"/>
      <c r="CQ21" s="326"/>
      <c r="CR21" s="326"/>
      <c r="CS21" s="326"/>
      <c r="CT21" s="326"/>
      <c r="CU21" s="326"/>
      <c r="CV21" s="326"/>
      <c r="CW21" s="326"/>
      <c r="CX21" s="326"/>
      <c r="CY21" s="326"/>
      <c r="CZ21" s="326"/>
      <c r="DA21" s="450"/>
    </row>
    <row r="22" spans="1:105" hidden="1" x14ac:dyDescent="0.25">
      <c r="A22" s="1056"/>
      <c r="B22" s="1054"/>
      <c r="C22" s="331" t="s">
        <v>350</v>
      </c>
      <c r="D22" s="332">
        <f t="shared" si="3"/>
        <v>3000</v>
      </c>
      <c r="E22" s="322">
        <f t="shared" si="4"/>
        <v>3000</v>
      </c>
      <c r="F22" s="699">
        <f t="shared" si="2"/>
        <v>0</v>
      </c>
      <c r="G22" s="326"/>
      <c r="H22" s="326"/>
      <c r="I22" s="326"/>
      <c r="J22" s="326"/>
      <c r="K22" s="326"/>
      <c r="L22" s="326"/>
      <c r="M22" s="326"/>
      <c r="N22" s="326"/>
      <c r="O22" s="326"/>
      <c r="P22" s="326"/>
      <c r="Q22" s="326"/>
      <c r="R22" s="434"/>
      <c r="S22" s="433"/>
      <c r="T22" s="326"/>
      <c r="U22" s="326"/>
      <c r="V22" s="326"/>
      <c r="W22" s="326"/>
      <c r="X22" s="326"/>
      <c r="Y22" s="326"/>
      <c r="Z22" s="326"/>
      <c r="AA22" s="326"/>
      <c r="AB22" s="326"/>
      <c r="AC22" s="326"/>
      <c r="AD22" s="434"/>
      <c r="AE22" s="433"/>
      <c r="AF22" s="326"/>
      <c r="AG22" s="326"/>
      <c r="AH22" s="326"/>
      <c r="AI22" s="326"/>
      <c r="AJ22" s="326"/>
      <c r="AK22" s="326"/>
      <c r="AL22" s="326"/>
      <c r="AM22" s="326"/>
      <c r="AN22" s="326"/>
      <c r="AO22" s="326"/>
      <c r="AP22" s="434"/>
      <c r="AQ22" s="433"/>
      <c r="AR22" s="326"/>
      <c r="AS22" s="326"/>
      <c r="AT22" s="326"/>
      <c r="AU22" s="326"/>
      <c r="AV22" s="326"/>
      <c r="AW22" s="326"/>
      <c r="AX22" s="326"/>
      <c r="AY22" s="326"/>
      <c r="AZ22" s="326"/>
      <c r="BA22" s="326"/>
      <c r="BB22" s="434"/>
      <c r="BC22" s="433"/>
      <c r="BD22" s="326"/>
      <c r="BE22" s="326"/>
      <c r="BF22" s="326"/>
      <c r="BG22" s="326"/>
      <c r="BH22" s="326"/>
      <c r="BI22" s="326"/>
      <c r="BJ22" s="327">
        <v>1000</v>
      </c>
      <c r="BK22" s="327">
        <v>1000</v>
      </c>
      <c r="BL22" s="327">
        <v>1000</v>
      </c>
      <c r="BM22" s="326"/>
      <c r="BN22" s="434"/>
      <c r="BO22" s="433"/>
      <c r="BP22" s="326"/>
      <c r="BQ22" s="326"/>
      <c r="BR22" s="449"/>
      <c r="BS22" s="326"/>
      <c r="BT22" s="326"/>
      <c r="BU22" s="326"/>
      <c r="BV22" s="326"/>
      <c r="BW22" s="326"/>
      <c r="BX22" s="326"/>
      <c r="BY22" s="326"/>
      <c r="BZ22" s="326"/>
      <c r="CA22" s="326"/>
      <c r="CB22" s="326"/>
      <c r="CC22" s="450"/>
      <c r="CD22" s="449"/>
      <c r="CE22" s="326"/>
      <c r="CF22" s="326"/>
      <c r="CG22" s="326"/>
      <c r="CH22" s="326"/>
      <c r="CI22" s="326"/>
      <c r="CJ22" s="326"/>
      <c r="CK22" s="326"/>
      <c r="CL22" s="326"/>
      <c r="CM22" s="326"/>
      <c r="CN22" s="326"/>
      <c r="CO22" s="450"/>
      <c r="CP22" s="449"/>
      <c r="CQ22" s="326"/>
      <c r="CR22" s="326"/>
      <c r="CS22" s="326"/>
      <c r="CT22" s="326"/>
      <c r="CU22" s="326"/>
      <c r="CV22" s="326"/>
      <c r="CW22" s="326"/>
      <c r="CX22" s="326"/>
      <c r="CY22" s="326"/>
      <c r="CZ22" s="326"/>
      <c r="DA22" s="450"/>
    </row>
    <row r="23" spans="1:105" hidden="1" x14ac:dyDescent="0.25">
      <c r="A23" s="1056"/>
      <c r="B23" s="1054"/>
      <c r="C23" s="453" t="s">
        <v>351</v>
      </c>
      <c r="D23" s="332">
        <f t="shared" si="3"/>
        <v>3000</v>
      </c>
      <c r="E23" s="322">
        <f t="shared" si="4"/>
        <v>3000</v>
      </c>
      <c r="F23" s="699">
        <f t="shared" si="2"/>
        <v>0</v>
      </c>
      <c r="G23" s="326"/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434"/>
      <c r="S23" s="433"/>
      <c r="T23" s="326"/>
      <c r="U23" s="326"/>
      <c r="V23" s="326"/>
      <c r="W23" s="326"/>
      <c r="X23" s="326"/>
      <c r="Y23" s="326"/>
      <c r="Z23" s="326"/>
      <c r="AA23" s="326"/>
      <c r="AB23" s="326"/>
      <c r="AC23" s="326"/>
      <c r="AD23" s="434"/>
      <c r="AE23" s="433"/>
      <c r="AF23" s="326"/>
      <c r="AG23" s="326"/>
      <c r="AH23" s="326"/>
      <c r="AI23" s="326"/>
      <c r="AJ23" s="326"/>
      <c r="AK23" s="326"/>
      <c r="AL23" s="326"/>
      <c r="AM23" s="326"/>
      <c r="AN23" s="326"/>
      <c r="AO23" s="326"/>
      <c r="AP23" s="434"/>
      <c r="AQ23" s="433"/>
      <c r="AR23" s="326"/>
      <c r="AS23" s="326"/>
      <c r="AT23" s="326"/>
      <c r="AU23" s="326"/>
      <c r="AV23" s="326"/>
      <c r="AW23" s="326"/>
      <c r="AX23" s="326"/>
      <c r="AY23" s="326"/>
      <c r="AZ23" s="326"/>
      <c r="BA23" s="326"/>
      <c r="BB23" s="434"/>
      <c r="BC23" s="433"/>
      <c r="BD23" s="326"/>
      <c r="BE23" s="326"/>
      <c r="BF23" s="326"/>
      <c r="BG23" s="326"/>
      <c r="BH23" s="326"/>
      <c r="BI23" s="326"/>
      <c r="BJ23" s="327">
        <v>1000</v>
      </c>
      <c r="BK23" s="327">
        <v>1000</v>
      </c>
      <c r="BL23" s="327">
        <v>1000</v>
      </c>
      <c r="BM23" s="326"/>
      <c r="BN23" s="434"/>
      <c r="BO23" s="433"/>
      <c r="BP23" s="326"/>
      <c r="BQ23" s="326"/>
      <c r="BR23" s="449"/>
      <c r="BS23" s="326"/>
      <c r="BT23" s="326"/>
      <c r="BU23" s="326"/>
      <c r="BV23" s="326"/>
      <c r="BW23" s="326"/>
      <c r="BX23" s="326"/>
      <c r="BY23" s="326"/>
      <c r="BZ23" s="326"/>
      <c r="CA23" s="326"/>
      <c r="CB23" s="326"/>
      <c r="CC23" s="450"/>
      <c r="CD23" s="449"/>
      <c r="CE23" s="326"/>
      <c r="CF23" s="326"/>
      <c r="CG23" s="326"/>
      <c r="CH23" s="326"/>
      <c r="CI23" s="326"/>
      <c r="CJ23" s="326"/>
      <c r="CK23" s="326"/>
      <c r="CL23" s="326"/>
      <c r="CM23" s="326"/>
      <c r="CN23" s="326"/>
      <c r="CO23" s="450"/>
      <c r="CP23" s="449"/>
      <c r="CQ23" s="326"/>
      <c r="CR23" s="326"/>
      <c r="CS23" s="326"/>
      <c r="CT23" s="326"/>
      <c r="CU23" s="326"/>
      <c r="CV23" s="326"/>
      <c r="CW23" s="326"/>
      <c r="CX23" s="326"/>
      <c r="CY23" s="326"/>
      <c r="CZ23" s="326"/>
      <c r="DA23" s="450"/>
    </row>
    <row r="24" spans="1:105" ht="18" hidden="1" x14ac:dyDescent="0.25">
      <c r="A24" s="333" t="s">
        <v>348</v>
      </c>
      <c r="B24" s="454">
        <f>+D24/E24</f>
        <v>1</v>
      </c>
      <c r="C24" s="453" t="s">
        <v>352</v>
      </c>
      <c r="D24" s="332">
        <f t="shared" si="3"/>
        <v>45000</v>
      </c>
      <c r="E24" s="322">
        <f t="shared" si="4"/>
        <v>45000</v>
      </c>
      <c r="F24" s="699">
        <f t="shared" si="2"/>
        <v>0</v>
      </c>
      <c r="G24" s="326"/>
      <c r="H24" s="326"/>
      <c r="I24" s="326"/>
      <c r="J24" s="326"/>
      <c r="K24" s="326"/>
      <c r="L24" s="326"/>
      <c r="M24" s="326"/>
      <c r="N24" s="327">
        <v>1000</v>
      </c>
      <c r="O24" s="327">
        <v>1000</v>
      </c>
      <c r="P24" s="327">
        <v>1000</v>
      </c>
      <c r="Q24" s="327">
        <v>1000</v>
      </c>
      <c r="R24" s="432">
        <v>1000</v>
      </c>
      <c r="S24" s="385">
        <v>1000</v>
      </c>
      <c r="T24" s="327">
        <v>1000</v>
      </c>
      <c r="U24" s="327">
        <v>1000</v>
      </c>
      <c r="V24" s="327">
        <v>1000</v>
      </c>
      <c r="W24" s="327">
        <v>1000</v>
      </c>
      <c r="X24" s="327">
        <v>1000</v>
      </c>
      <c r="Y24" s="327">
        <v>1000</v>
      </c>
      <c r="Z24" s="327">
        <v>1000</v>
      </c>
      <c r="AA24" s="327">
        <v>1000</v>
      </c>
      <c r="AB24" s="327">
        <v>1000</v>
      </c>
      <c r="AC24" s="327">
        <v>1000</v>
      </c>
      <c r="AD24" s="432">
        <v>1000</v>
      </c>
      <c r="AE24" s="385">
        <v>1000</v>
      </c>
      <c r="AF24" s="327">
        <v>1000</v>
      </c>
      <c r="AG24" s="327">
        <v>1000</v>
      </c>
      <c r="AH24" s="327"/>
      <c r="AI24" s="327"/>
      <c r="AJ24" s="327">
        <v>1000</v>
      </c>
      <c r="AK24" s="327">
        <v>1000</v>
      </c>
      <c r="AL24" s="327">
        <v>1000</v>
      </c>
      <c r="AM24" s="327">
        <v>1000</v>
      </c>
      <c r="AN24" s="327">
        <v>1000</v>
      </c>
      <c r="AO24" s="327">
        <v>1000</v>
      </c>
      <c r="AP24" s="432">
        <v>1000</v>
      </c>
      <c r="AQ24" s="385">
        <v>1000</v>
      </c>
      <c r="AR24" s="327">
        <v>1000</v>
      </c>
      <c r="AS24" s="327">
        <v>1000</v>
      </c>
      <c r="AT24" s="327">
        <v>1000</v>
      </c>
      <c r="AU24" s="327">
        <v>1000</v>
      </c>
      <c r="AV24" s="327">
        <v>1000</v>
      </c>
      <c r="AW24" s="327">
        <v>1000</v>
      </c>
      <c r="AX24" s="327">
        <v>1000</v>
      </c>
      <c r="AY24" s="327">
        <v>1000</v>
      </c>
      <c r="AZ24" s="327">
        <v>1000</v>
      </c>
      <c r="BA24" s="327">
        <v>1000</v>
      </c>
      <c r="BB24" s="432">
        <v>1000</v>
      </c>
      <c r="BC24" s="385">
        <v>1000</v>
      </c>
      <c r="BD24" s="327">
        <v>1000</v>
      </c>
      <c r="BE24" s="327">
        <v>1000</v>
      </c>
      <c r="BF24" s="327">
        <v>1000</v>
      </c>
      <c r="BG24" s="327">
        <v>1000</v>
      </c>
      <c r="BH24" s="327">
        <v>1000</v>
      </c>
      <c r="BI24" s="326"/>
      <c r="BJ24" s="326"/>
      <c r="BK24" s="326"/>
      <c r="BL24" s="326"/>
      <c r="BM24" s="326"/>
      <c r="BN24" s="434"/>
      <c r="BO24" s="433"/>
      <c r="BP24" s="326"/>
      <c r="BQ24" s="326"/>
      <c r="BR24" s="449"/>
      <c r="BS24" s="326"/>
      <c r="BT24" s="326"/>
      <c r="BU24" s="326"/>
      <c r="BV24" s="326"/>
      <c r="BW24" s="326"/>
      <c r="BX24" s="326"/>
      <c r="BY24" s="326"/>
      <c r="BZ24" s="326"/>
      <c r="CA24" s="326"/>
      <c r="CB24" s="326"/>
      <c r="CC24" s="450"/>
      <c r="CD24" s="449"/>
      <c r="CE24" s="326"/>
      <c r="CF24" s="326"/>
      <c r="CG24" s="326"/>
      <c r="CH24" s="326"/>
      <c r="CI24" s="326"/>
      <c r="CJ24" s="326"/>
      <c r="CK24" s="326"/>
      <c r="CL24" s="326"/>
      <c r="CM24" s="326"/>
      <c r="CN24" s="326"/>
      <c r="CO24" s="450"/>
      <c r="CP24" s="449"/>
      <c r="CQ24" s="326"/>
      <c r="CR24" s="326"/>
      <c r="CS24" s="326"/>
      <c r="CT24" s="326"/>
      <c r="CU24" s="326"/>
      <c r="CV24" s="326"/>
      <c r="CW24" s="326"/>
      <c r="CX24" s="326"/>
      <c r="CY24" s="326"/>
      <c r="CZ24" s="326"/>
      <c r="DA24" s="450"/>
    </row>
    <row r="25" spans="1:105" ht="18" hidden="1" x14ac:dyDescent="0.25">
      <c r="A25" s="333" t="s">
        <v>348</v>
      </c>
      <c r="B25" s="454">
        <f>+D25/E25</f>
        <v>1</v>
      </c>
      <c r="C25" s="453" t="s">
        <v>353</v>
      </c>
      <c r="D25" s="332">
        <f t="shared" si="3"/>
        <v>45000</v>
      </c>
      <c r="E25" s="322">
        <f t="shared" si="4"/>
        <v>45000</v>
      </c>
      <c r="F25" s="699">
        <f t="shared" si="2"/>
        <v>0</v>
      </c>
      <c r="G25" s="326"/>
      <c r="H25" s="326"/>
      <c r="I25" s="326"/>
      <c r="J25" s="326"/>
      <c r="K25" s="326"/>
      <c r="L25" s="326"/>
      <c r="M25" s="326"/>
      <c r="N25" s="327">
        <v>1000</v>
      </c>
      <c r="O25" s="327">
        <v>1000</v>
      </c>
      <c r="P25" s="327">
        <v>1000</v>
      </c>
      <c r="Q25" s="327">
        <v>1000</v>
      </c>
      <c r="R25" s="432">
        <v>1000</v>
      </c>
      <c r="S25" s="385">
        <v>1000</v>
      </c>
      <c r="T25" s="327">
        <v>1000</v>
      </c>
      <c r="U25" s="327">
        <v>1000</v>
      </c>
      <c r="V25" s="327">
        <v>1000</v>
      </c>
      <c r="W25" s="327">
        <v>1000</v>
      </c>
      <c r="X25" s="327">
        <v>1000</v>
      </c>
      <c r="Y25" s="327">
        <v>1000</v>
      </c>
      <c r="Z25" s="327">
        <v>1000</v>
      </c>
      <c r="AA25" s="327">
        <v>1000</v>
      </c>
      <c r="AB25" s="327">
        <v>1000</v>
      </c>
      <c r="AC25" s="327">
        <v>1000</v>
      </c>
      <c r="AD25" s="432">
        <v>1000</v>
      </c>
      <c r="AE25" s="385">
        <v>1000</v>
      </c>
      <c r="AF25" s="327">
        <v>1000</v>
      </c>
      <c r="AG25" s="327">
        <v>1000</v>
      </c>
      <c r="AH25" s="327"/>
      <c r="AI25" s="327"/>
      <c r="AJ25" s="327">
        <v>1000</v>
      </c>
      <c r="AK25" s="327">
        <v>1000</v>
      </c>
      <c r="AL25" s="327">
        <v>1000</v>
      </c>
      <c r="AM25" s="327">
        <v>1000</v>
      </c>
      <c r="AN25" s="327">
        <v>1000</v>
      </c>
      <c r="AO25" s="327">
        <v>1000</v>
      </c>
      <c r="AP25" s="432">
        <v>1000</v>
      </c>
      <c r="AQ25" s="385">
        <v>1000</v>
      </c>
      <c r="AR25" s="327">
        <v>1000</v>
      </c>
      <c r="AS25" s="327">
        <v>1000</v>
      </c>
      <c r="AT25" s="327">
        <v>1000</v>
      </c>
      <c r="AU25" s="327">
        <v>1000</v>
      </c>
      <c r="AV25" s="327">
        <v>1000</v>
      </c>
      <c r="AW25" s="327">
        <v>1000</v>
      </c>
      <c r="AX25" s="327">
        <v>1000</v>
      </c>
      <c r="AY25" s="327">
        <v>1000</v>
      </c>
      <c r="AZ25" s="327">
        <v>1000</v>
      </c>
      <c r="BA25" s="327">
        <v>1000</v>
      </c>
      <c r="BB25" s="432">
        <v>1000</v>
      </c>
      <c r="BC25" s="385">
        <v>1000</v>
      </c>
      <c r="BD25" s="327">
        <v>1000</v>
      </c>
      <c r="BE25" s="327">
        <v>1000</v>
      </c>
      <c r="BF25" s="327">
        <v>1000</v>
      </c>
      <c r="BG25" s="327">
        <v>1000</v>
      </c>
      <c r="BH25" s="327">
        <v>1000</v>
      </c>
      <c r="BI25" s="326"/>
      <c r="BJ25" s="326"/>
      <c r="BK25" s="326"/>
      <c r="BL25" s="326"/>
      <c r="BM25" s="326"/>
      <c r="BN25" s="434"/>
      <c r="BO25" s="433"/>
      <c r="BP25" s="326"/>
      <c r="BQ25" s="326"/>
      <c r="BR25" s="449"/>
      <c r="BS25" s="326"/>
      <c r="BT25" s="326"/>
      <c r="BU25" s="326"/>
      <c r="BV25" s="326"/>
      <c r="BW25" s="326"/>
      <c r="BX25" s="326"/>
      <c r="BY25" s="326"/>
      <c r="BZ25" s="326"/>
      <c r="CA25" s="326"/>
      <c r="CB25" s="326"/>
      <c r="CC25" s="450"/>
      <c r="CD25" s="449"/>
      <c r="CE25" s="326"/>
      <c r="CF25" s="326"/>
      <c r="CG25" s="326"/>
      <c r="CH25" s="326"/>
      <c r="CI25" s="326"/>
      <c r="CJ25" s="326"/>
      <c r="CK25" s="326"/>
      <c r="CL25" s="326"/>
      <c r="CM25" s="326"/>
      <c r="CN25" s="326"/>
      <c r="CO25" s="450"/>
      <c r="CP25" s="449"/>
      <c r="CQ25" s="326"/>
      <c r="CR25" s="326"/>
      <c r="CS25" s="326"/>
      <c r="CT25" s="326"/>
      <c r="CU25" s="326"/>
      <c r="CV25" s="326"/>
      <c r="CW25" s="326"/>
      <c r="CX25" s="326"/>
      <c r="CY25" s="326"/>
      <c r="CZ25" s="326"/>
      <c r="DA25" s="450"/>
    </row>
    <row r="26" spans="1:105" ht="18" hidden="1" x14ac:dyDescent="0.25">
      <c r="A26" s="333" t="s">
        <v>354</v>
      </c>
      <c r="B26" s="591">
        <f>+D26/E26</f>
        <v>1</v>
      </c>
      <c r="C26" s="331" t="s">
        <v>356</v>
      </c>
      <c r="D26" s="332">
        <f>SUM(G26:CC26)</f>
        <v>8000</v>
      </c>
      <c r="E26" s="322">
        <f>+COUNTA(G26:CX26)*1000</f>
        <v>8000</v>
      </c>
      <c r="F26" s="699">
        <f t="shared" si="2"/>
        <v>0</v>
      </c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434"/>
      <c r="S26" s="433"/>
      <c r="T26" s="326"/>
      <c r="U26" s="326"/>
      <c r="V26" s="326"/>
      <c r="W26" s="326"/>
      <c r="X26" s="326"/>
      <c r="Y26" s="326"/>
      <c r="Z26" s="326"/>
      <c r="AA26" s="326"/>
      <c r="AB26" s="326"/>
      <c r="AC26" s="326"/>
      <c r="AD26" s="434"/>
      <c r="AE26" s="433"/>
      <c r="AF26" s="326"/>
      <c r="AG26" s="326"/>
      <c r="AH26" s="326"/>
      <c r="AI26" s="326"/>
      <c r="AJ26" s="326"/>
      <c r="AK26" s="326"/>
      <c r="AL26" s="326"/>
      <c r="AM26" s="326"/>
      <c r="AN26" s="326"/>
      <c r="AO26" s="326"/>
      <c r="AP26" s="434"/>
      <c r="AQ26" s="433"/>
      <c r="AR26" s="326"/>
      <c r="AS26" s="326"/>
      <c r="AT26" s="326"/>
      <c r="AU26" s="326"/>
      <c r="AV26" s="326"/>
      <c r="AW26" s="326"/>
      <c r="AX26" s="326"/>
      <c r="AY26" s="326"/>
      <c r="AZ26" s="326"/>
      <c r="BA26" s="326"/>
      <c r="BB26" s="434"/>
      <c r="BC26" s="433"/>
      <c r="BD26" s="326"/>
      <c r="BE26" s="326"/>
      <c r="BF26" s="326"/>
      <c r="BG26" s="326"/>
      <c r="BH26" s="326"/>
      <c r="BI26" s="327">
        <v>1000</v>
      </c>
      <c r="BJ26" s="327">
        <v>1000</v>
      </c>
      <c r="BK26" s="327">
        <v>1000</v>
      </c>
      <c r="BL26" s="327">
        <v>1000</v>
      </c>
      <c r="BM26" s="327">
        <v>1000</v>
      </c>
      <c r="BN26" s="432">
        <v>1000</v>
      </c>
      <c r="BO26" s="385">
        <v>1000</v>
      </c>
      <c r="BP26" s="327">
        <v>1000</v>
      </c>
      <c r="BQ26" s="326"/>
      <c r="BR26" s="449"/>
      <c r="BS26" s="326"/>
      <c r="BT26" s="326"/>
      <c r="BU26" s="326"/>
      <c r="BV26" s="326"/>
      <c r="BW26" s="326"/>
      <c r="BX26" s="326"/>
      <c r="BY26" s="326"/>
      <c r="BZ26" s="326"/>
      <c r="CA26" s="326"/>
      <c r="CB26" s="326"/>
      <c r="CC26" s="450"/>
      <c r="CD26" s="449"/>
      <c r="CE26" s="326"/>
      <c r="CF26" s="326"/>
      <c r="CG26" s="326"/>
      <c r="CH26" s="326"/>
      <c r="CI26" s="326"/>
      <c r="CJ26" s="326"/>
      <c r="CK26" s="326"/>
      <c r="CL26" s="326"/>
      <c r="CM26" s="326"/>
      <c r="CN26" s="326"/>
      <c r="CO26" s="450"/>
      <c r="CP26" s="449"/>
      <c r="CQ26" s="326"/>
      <c r="CR26" s="326"/>
      <c r="CS26" s="326"/>
      <c r="CT26" s="326"/>
      <c r="CU26" s="326"/>
      <c r="CV26" s="326"/>
      <c r="CW26" s="326"/>
      <c r="CX26" s="326"/>
      <c r="CY26" s="326"/>
      <c r="CZ26" s="326"/>
      <c r="DA26" s="450"/>
    </row>
    <row r="27" spans="1:105" x14ac:dyDescent="0.25">
      <c r="A27" s="1051" t="s">
        <v>332</v>
      </c>
      <c r="B27" s="1052">
        <f>SUM(D27:D29)/SUM(E27:E29)</f>
        <v>0.92592592592592593</v>
      </c>
      <c r="C27" s="325" t="s">
        <v>147</v>
      </c>
      <c r="D27" s="322">
        <f t="shared" ref="D27:D45" si="5">SUM(G27:DA27)</f>
        <v>12000</v>
      </c>
      <c r="E27" s="322">
        <f t="shared" ref="E27:E45" si="6">+COUNTA(G27:DA27)*1000</f>
        <v>12000</v>
      </c>
      <c r="F27" s="699">
        <f t="shared" ref="F27:F56" si="7">+IF((D27+E27)=0,"No Aplica",+D27/E27-1)</f>
        <v>0</v>
      </c>
      <c r="G27" s="700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434"/>
      <c r="S27" s="433"/>
      <c r="T27" s="326"/>
      <c r="U27" s="326"/>
      <c r="V27" s="326"/>
      <c r="W27" s="326"/>
      <c r="X27" s="326"/>
      <c r="Y27" s="326"/>
      <c r="Z27" s="326"/>
      <c r="AA27" s="326"/>
      <c r="AB27" s="326"/>
      <c r="AC27" s="326"/>
      <c r="AD27" s="434"/>
      <c r="AE27" s="433"/>
      <c r="AF27" s="326"/>
      <c r="AG27" s="326"/>
      <c r="AH27" s="326"/>
      <c r="AI27" s="326"/>
      <c r="AJ27" s="326"/>
      <c r="AK27" s="326"/>
      <c r="AL27" s="326"/>
      <c r="AM27" s="326"/>
      <c r="AN27" s="326"/>
      <c r="AO27" s="326"/>
      <c r="AP27" s="434"/>
      <c r="AQ27" s="433"/>
      <c r="AR27" s="326"/>
      <c r="AS27" s="326"/>
      <c r="AT27" s="326"/>
      <c r="AU27" s="326"/>
      <c r="AV27" s="326"/>
      <c r="AW27" s="326"/>
      <c r="AX27" s="326"/>
      <c r="AY27" s="326"/>
      <c r="AZ27" s="326"/>
      <c r="BA27" s="326"/>
      <c r="BB27" s="434"/>
      <c r="BC27" s="433"/>
      <c r="BD27" s="326"/>
      <c r="BE27" s="326"/>
      <c r="BF27" s="326"/>
      <c r="BG27" s="326"/>
      <c r="BH27" s="327">
        <v>1000</v>
      </c>
      <c r="BI27" s="327">
        <v>1000</v>
      </c>
      <c r="BJ27" s="327">
        <v>1000</v>
      </c>
      <c r="BK27" s="327">
        <v>1000</v>
      </c>
      <c r="BL27" s="327">
        <v>1000</v>
      </c>
      <c r="BM27" s="327">
        <v>1000</v>
      </c>
      <c r="BN27" s="432">
        <v>1000</v>
      </c>
      <c r="BO27" s="385">
        <v>1000</v>
      </c>
      <c r="BP27" s="327">
        <v>1000</v>
      </c>
      <c r="BQ27" s="327">
        <v>1000</v>
      </c>
      <c r="BR27" s="447">
        <v>1000</v>
      </c>
      <c r="BS27" s="327">
        <v>1000</v>
      </c>
      <c r="BT27" s="326"/>
      <c r="BU27" s="326"/>
      <c r="BV27" s="326"/>
      <c r="BW27" s="326"/>
      <c r="BX27" s="326"/>
      <c r="BY27" s="326"/>
      <c r="BZ27" s="326"/>
      <c r="CA27" s="326"/>
      <c r="CB27" s="326"/>
      <c r="CC27" s="450"/>
      <c r="CD27" s="449"/>
      <c r="CE27" s="326"/>
      <c r="CF27" s="326"/>
      <c r="CG27" s="326"/>
      <c r="CH27" s="326"/>
      <c r="CI27" s="326"/>
      <c r="CJ27" s="326"/>
      <c r="CK27" s="326"/>
      <c r="CL27" s="326"/>
      <c r="CM27" s="326"/>
      <c r="CN27" s="326"/>
      <c r="CO27" s="450"/>
      <c r="CP27" s="449"/>
      <c r="CQ27" s="326"/>
      <c r="CR27" s="326"/>
      <c r="CS27" s="326"/>
      <c r="CT27" s="326"/>
      <c r="CU27" s="326"/>
      <c r="CV27" s="326"/>
      <c r="CW27" s="326"/>
      <c r="CX27" s="326"/>
      <c r="CY27" s="326"/>
      <c r="CZ27" s="326"/>
      <c r="DA27" s="450"/>
    </row>
    <row r="28" spans="1:105" x14ac:dyDescent="0.25">
      <c r="A28" s="1051"/>
      <c r="B28" s="1052"/>
      <c r="C28" s="325" t="s">
        <v>148</v>
      </c>
      <c r="D28" s="322">
        <f t="shared" si="5"/>
        <v>69000</v>
      </c>
      <c r="E28" s="322">
        <f t="shared" si="6"/>
        <v>75000</v>
      </c>
      <c r="F28" s="699">
        <f t="shared" si="7"/>
        <v>-7.999999999999996E-2</v>
      </c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434"/>
      <c r="S28" s="385">
        <v>1000</v>
      </c>
      <c r="T28" s="327">
        <v>1000</v>
      </c>
      <c r="U28" s="327">
        <v>1000</v>
      </c>
      <c r="V28" s="327">
        <v>1000</v>
      </c>
      <c r="W28" s="327">
        <v>1000</v>
      </c>
      <c r="X28" s="327">
        <v>1000</v>
      </c>
      <c r="Y28" s="327">
        <v>1000</v>
      </c>
      <c r="Z28" s="327">
        <v>1000</v>
      </c>
      <c r="AA28" s="327">
        <v>1000</v>
      </c>
      <c r="AB28" s="327">
        <v>1000</v>
      </c>
      <c r="AC28" s="327">
        <v>1000</v>
      </c>
      <c r="AD28" s="432">
        <v>1000</v>
      </c>
      <c r="AE28" s="385">
        <v>1000</v>
      </c>
      <c r="AF28" s="327">
        <v>1000</v>
      </c>
      <c r="AG28" s="327">
        <v>1000</v>
      </c>
      <c r="AH28" s="327">
        <v>1000</v>
      </c>
      <c r="AI28" s="327">
        <v>1000</v>
      </c>
      <c r="AJ28" s="327">
        <v>1000</v>
      </c>
      <c r="AK28" s="327">
        <v>1000</v>
      </c>
      <c r="AL28" s="327">
        <v>1000</v>
      </c>
      <c r="AM28" s="327">
        <v>1000</v>
      </c>
      <c r="AN28" s="327">
        <v>1000</v>
      </c>
      <c r="AO28" s="327">
        <v>1000</v>
      </c>
      <c r="AP28" s="432">
        <v>1000</v>
      </c>
      <c r="AQ28" s="385">
        <v>1000</v>
      </c>
      <c r="AR28" s="327">
        <v>1000</v>
      </c>
      <c r="AS28" s="327">
        <v>1000</v>
      </c>
      <c r="AT28" s="327">
        <v>1000</v>
      </c>
      <c r="AU28" s="327">
        <v>1000</v>
      </c>
      <c r="AV28" s="327">
        <v>1000</v>
      </c>
      <c r="AW28" s="327">
        <v>1000</v>
      </c>
      <c r="AX28" s="327">
        <v>1000</v>
      </c>
      <c r="AY28" s="327">
        <v>1000</v>
      </c>
      <c r="AZ28" s="327">
        <v>1000</v>
      </c>
      <c r="BA28" s="327">
        <v>1000</v>
      </c>
      <c r="BB28" s="432">
        <v>1000</v>
      </c>
      <c r="BC28" s="385">
        <v>1000</v>
      </c>
      <c r="BD28" s="327">
        <v>1000</v>
      </c>
      <c r="BE28" s="327">
        <v>1000</v>
      </c>
      <c r="BF28" s="327">
        <v>1000</v>
      </c>
      <c r="BG28" s="327">
        <v>1000</v>
      </c>
      <c r="BH28" s="327">
        <v>1000</v>
      </c>
      <c r="BI28" s="327">
        <v>1000</v>
      </c>
      <c r="BJ28" s="327">
        <v>1000</v>
      </c>
      <c r="BK28" s="327">
        <v>1000</v>
      </c>
      <c r="BL28" s="327">
        <v>1000</v>
      </c>
      <c r="BM28" s="327">
        <v>1000</v>
      </c>
      <c r="BN28" s="432">
        <v>1000</v>
      </c>
      <c r="BO28" s="385">
        <v>1000</v>
      </c>
      <c r="BP28" s="327">
        <v>1000</v>
      </c>
      <c r="BQ28" s="327">
        <v>1000</v>
      </c>
      <c r="BR28" s="447">
        <v>1000</v>
      </c>
      <c r="BS28" s="327">
        <v>1000</v>
      </c>
      <c r="BT28" s="327">
        <v>1000</v>
      </c>
      <c r="BU28" s="327">
        <v>1000</v>
      </c>
      <c r="BV28" s="327">
        <v>1000</v>
      </c>
      <c r="BW28" s="327">
        <v>1000</v>
      </c>
      <c r="BX28" s="327">
        <v>1000</v>
      </c>
      <c r="BY28" s="327">
        <v>1000</v>
      </c>
      <c r="BZ28" s="327">
        <v>1000</v>
      </c>
      <c r="CA28" s="327">
        <v>1000</v>
      </c>
      <c r="CB28" s="327">
        <v>1000</v>
      </c>
      <c r="CC28" s="448">
        <v>1000</v>
      </c>
      <c r="CD28" s="447">
        <v>1000</v>
      </c>
      <c r="CE28" s="327">
        <v>1000</v>
      </c>
      <c r="CF28" s="327">
        <v>1000</v>
      </c>
      <c r="CG28" s="327">
        <v>1000</v>
      </c>
      <c r="CH28" s="327">
        <v>1000</v>
      </c>
      <c r="CI28" s="327">
        <v>1000</v>
      </c>
      <c r="CJ28" s="327">
        <v>0</v>
      </c>
      <c r="CK28" s="327">
        <v>0</v>
      </c>
      <c r="CL28" s="327">
        <v>0</v>
      </c>
      <c r="CM28" s="327">
        <v>0</v>
      </c>
      <c r="CN28" s="327">
        <v>0</v>
      </c>
      <c r="CO28" s="448">
        <v>0</v>
      </c>
      <c r="CP28" s="447"/>
      <c r="CQ28" s="327"/>
      <c r="CR28" s="327"/>
      <c r="CS28" s="327"/>
      <c r="CT28" s="327"/>
      <c r="CU28" s="327"/>
      <c r="CV28" s="327"/>
      <c r="CW28" s="327"/>
      <c r="CX28" s="327"/>
      <c r="CY28" s="327"/>
      <c r="CZ28" s="327"/>
      <c r="DA28" s="448"/>
    </row>
    <row r="29" spans="1:105" x14ac:dyDescent="0.25">
      <c r="A29" s="1051"/>
      <c r="B29" s="1052"/>
      <c r="C29" s="329" t="s">
        <v>149</v>
      </c>
      <c r="D29" s="322">
        <f t="shared" si="5"/>
        <v>69000</v>
      </c>
      <c r="E29" s="322">
        <f t="shared" si="6"/>
        <v>75000</v>
      </c>
      <c r="F29" s="699">
        <f t="shared" si="7"/>
        <v>-7.999999999999996E-2</v>
      </c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434"/>
      <c r="S29" s="385">
        <v>1000</v>
      </c>
      <c r="T29" s="327">
        <v>1000</v>
      </c>
      <c r="U29" s="327">
        <v>1000</v>
      </c>
      <c r="V29" s="327">
        <v>1000</v>
      </c>
      <c r="W29" s="327">
        <v>1000</v>
      </c>
      <c r="X29" s="327">
        <v>1000</v>
      </c>
      <c r="Y29" s="327">
        <v>1000</v>
      </c>
      <c r="Z29" s="327">
        <v>1000</v>
      </c>
      <c r="AA29" s="327">
        <v>1000</v>
      </c>
      <c r="AB29" s="327">
        <v>1000</v>
      </c>
      <c r="AC29" s="327">
        <v>1000</v>
      </c>
      <c r="AD29" s="432">
        <v>1000</v>
      </c>
      <c r="AE29" s="385">
        <v>1000</v>
      </c>
      <c r="AF29" s="327">
        <v>1000</v>
      </c>
      <c r="AG29" s="327">
        <v>1000</v>
      </c>
      <c r="AH29" s="327">
        <v>1000</v>
      </c>
      <c r="AI29" s="327">
        <v>1000</v>
      </c>
      <c r="AJ29" s="327">
        <v>1000</v>
      </c>
      <c r="AK29" s="327">
        <v>1000</v>
      </c>
      <c r="AL29" s="327">
        <v>1000</v>
      </c>
      <c r="AM29" s="327">
        <v>1000</v>
      </c>
      <c r="AN29" s="327">
        <v>1000</v>
      </c>
      <c r="AO29" s="327">
        <v>1000</v>
      </c>
      <c r="AP29" s="432">
        <v>1000</v>
      </c>
      <c r="AQ29" s="385">
        <v>1000</v>
      </c>
      <c r="AR29" s="327">
        <v>1000</v>
      </c>
      <c r="AS29" s="327">
        <v>1000</v>
      </c>
      <c r="AT29" s="327">
        <v>1000</v>
      </c>
      <c r="AU29" s="327">
        <v>1000</v>
      </c>
      <c r="AV29" s="327">
        <v>1000</v>
      </c>
      <c r="AW29" s="327">
        <v>1000</v>
      </c>
      <c r="AX29" s="327">
        <v>1000</v>
      </c>
      <c r="AY29" s="327">
        <v>1000</v>
      </c>
      <c r="AZ29" s="327">
        <v>1000</v>
      </c>
      <c r="BA29" s="327">
        <v>1000</v>
      </c>
      <c r="BB29" s="432">
        <v>1000</v>
      </c>
      <c r="BC29" s="385">
        <v>1000</v>
      </c>
      <c r="BD29" s="327">
        <v>1000</v>
      </c>
      <c r="BE29" s="327">
        <v>1000</v>
      </c>
      <c r="BF29" s="327">
        <v>1000</v>
      </c>
      <c r="BG29" s="327">
        <v>1000</v>
      </c>
      <c r="BH29" s="327">
        <v>1000</v>
      </c>
      <c r="BI29" s="327">
        <v>1000</v>
      </c>
      <c r="BJ29" s="327">
        <v>1000</v>
      </c>
      <c r="BK29" s="327">
        <v>1000</v>
      </c>
      <c r="BL29" s="327">
        <v>1000</v>
      </c>
      <c r="BM29" s="327">
        <v>1000</v>
      </c>
      <c r="BN29" s="432">
        <v>1000</v>
      </c>
      <c r="BO29" s="385">
        <v>1000</v>
      </c>
      <c r="BP29" s="327">
        <v>1000</v>
      </c>
      <c r="BQ29" s="327">
        <v>1000</v>
      </c>
      <c r="BR29" s="447">
        <v>1000</v>
      </c>
      <c r="BS29" s="327">
        <v>1000</v>
      </c>
      <c r="BT29" s="327">
        <v>1000</v>
      </c>
      <c r="BU29" s="327">
        <v>1000</v>
      </c>
      <c r="BV29" s="327">
        <v>1000</v>
      </c>
      <c r="BW29" s="327">
        <v>1000</v>
      </c>
      <c r="BX29" s="327">
        <v>1000</v>
      </c>
      <c r="BY29" s="327">
        <v>1000</v>
      </c>
      <c r="BZ29" s="327">
        <v>1000</v>
      </c>
      <c r="CA29" s="327">
        <v>1000</v>
      </c>
      <c r="CB29" s="327">
        <v>1000</v>
      </c>
      <c r="CC29" s="448">
        <v>1000</v>
      </c>
      <c r="CD29" s="447">
        <v>1000</v>
      </c>
      <c r="CE29" s="327">
        <v>1000</v>
      </c>
      <c r="CF29" s="327">
        <v>1000</v>
      </c>
      <c r="CG29" s="327">
        <v>1000</v>
      </c>
      <c r="CH29" s="327">
        <v>1000</v>
      </c>
      <c r="CI29" s="327">
        <v>1000</v>
      </c>
      <c r="CJ29" s="327">
        <v>0</v>
      </c>
      <c r="CK29" s="327">
        <v>0</v>
      </c>
      <c r="CL29" s="327">
        <v>0</v>
      </c>
      <c r="CM29" s="327">
        <v>0</v>
      </c>
      <c r="CN29" s="327">
        <v>0</v>
      </c>
      <c r="CO29" s="448">
        <v>0</v>
      </c>
      <c r="CP29" s="447"/>
      <c r="CQ29" s="327"/>
      <c r="CR29" s="327"/>
      <c r="CS29" s="327"/>
      <c r="CT29" s="327"/>
      <c r="CU29" s="327"/>
      <c r="CV29" s="327"/>
      <c r="CW29" s="327"/>
      <c r="CX29" s="327"/>
      <c r="CY29" s="327"/>
      <c r="CZ29" s="327"/>
      <c r="DA29" s="448"/>
    </row>
    <row r="30" spans="1:105" hidden="1" x14ac:dyDescent="0.25">
      <c r="A30" s="1051" t="s">
        <v>337</v>
      </c>
      <c r="B30" s="1053">
        <f>+SUM(D30:D32)/SUM(E30:E32)</f>
        <v>0.76131687242798352</v>
      </c>
      <c r="C30" s="325" t="s">
        <v>130</v>
      </c>
      <c r="D30" s="322">
        <f t="shared" si="5"/>
        <v>62000</v>
      </c>
      <c r="E30" s="322">
        <f t="shared" si="6"/>
        <v>81000</v>
      </c>
      <c r="F30" s="699">
        <f t="shared" si="7"/>
        <v>-0.23456790123456794</v>
      </c>
      <c r="G30" s="327">
        <v>1000</v>
      </c>
      <c r="H30" s="327">
        <v>1000</v>
      </c>
      <c r="I30" s="327">
        <v>1000</v>
      </c>
      <c r="J30" s="327">
        <v>1000</v>
      </c>
      <c r="K30" s="327">
        <v>1000</v>
      </c>
      <c r="L30" s="327">
        <v>1000</v>
      </c>
      <c r="M30" s="327">
        <v>1000</v>
      </c>
      <c r="N30" s="327">
        <v>1000</v>
      </c>
      <c r="O30" s="327">
        <v>1000</v>
      </c>
      <c r="P30" s="327">
        <v>1000</v>
      </c>
      <c r="Q30" s="327">
        <v>1000</v>
      </c>
      <c r="R30" s="432">
        <v>1000</v>
      </c>
      <c r="S30" s="385">
        <v>1000</v>
      </c>
      <c r="T30" s="327">
        <v>1000</v>
      </c>
      <c r="U30" s="327">
        <v>1000</v>
      </c>
      <c r="V30" s="327">
        <v>1000</v>
      </c>
      <c r="W30" s="327">
        <v>1000</v>
      </c>
      <c r="X30" s="327">
        <v>1000</v>
      </c>
      <c r="Y30" s="327">
        <v>1000</v>
      </c>
      <c r="Z30" s="327">
        <v>1000</v>
      </c>
      <c r="AA30" s="327">
        <v>1000</v>
      </c>
      <c r="AB30" s="327">
        <v>1000</v>
      </c>
      <c r="AC30" s="327">
        <v>1000</v>
      </c>
      <c r="AD30" s="432">
        <v>1000</v>
      </c>
      <c r="AE30" s="385">
        <v>1000</v>
      </c>
      <c r="AF30" s="327">
        <v>1000</v>
      </c>
      <c r="AG30" s="327">
        <v>1000</v>
      </c>
      <c r="AH30" s="327">
        <v>1000</v>
      </c>
      <c r="AI30" s="327">
        <v>1000</v>
      </c>
      <c r="AJ30" s="327">
        <v>1000</v>
      </c>
      <c r="AK30" s="327">
        <v>1000</v>
      </c>
      <c r="AL30" s="327">
        <v>1000</v>
      </c>
      <c r="AM30" s="327">
        <v>1000</v>
      </c>
      <c r="AN30" s="327">
        <v>1000</v>
      </c>
      <c r="AO30" s="327">
        <v>1000</v>
      </c>
      <c r="AP30" s="432">
        <v>1000</v>
      </c>
      <c r="AQ30" s="385">
        <v>1000</v>
      </c>
      <c r="AR30" s="327">
        <v>1000</v>
      </c>
      <c r="AS30" s="327">
        <v>1000</v>
      </c>
      <c r="AT30" s="327">
        <v>1000</v>
      </c>
      <c r="AU30" s="327">
        <v>1000</v>
      </c>
      <c r="AV30" s="327">
        <v>1000</v>
      </c>
      <c r="AW30" s="327">
        <v>1000</v>
      </c>
      <c r="AX30" s="327">
        <v>1000</v>
      </c>
      <c r="AY30" s="327">
        <v>1000</v>
      </c>
      <c r="AZ30" s="327">
        <v>1000</v>
      </c>
      <c r="BA30" s="327">
        <v>1000</v>
      </c>
      <c r="BB30" s="432">
        <v>1000</v>
      </c>
      <c r="BC30" s="385">
        <v>1000</v>
      </c>
      <c r="BD30" s="327">
        <v>1000</v>
      </c>
      <c r="BE30" s="327">
        <v>1000</v>
      </c>
      <c r="BF30" s="327">
        <v>1000</v>
      </c>
      <c r="BG30" s="327">
        <v>1000</v>
      </c>
      <c r="BH30" s="327">
        <v>1000</v>
      </c>
      <c r="BI30" s="327">
        <v>1000</v>
      </c>
      <c r="BJ30" s="327">
        <v>1000</v>
      </c>
      <c r="BK30" s="327">
        <v>1000</v>
      </c>
      <c r="BL30" s="327">
        <v>1000</v>
      </c>
      <c r="BM30" s="327">
        <v>1000</v>
      </c>
      <c r="BN30" s="432">
        <v>1000</v>
      </c>
      <c r="BO30" s="385">
        <v>1000</v>
      </c>
      <c r="BP30" s="154">
        <v>0</v>
      </c>
      <c r="BQ30" s="327">
        <v>0</v>
      </c>
      <c r="BR30" s="447">
        <v>0</v>
      </c>
      <c r="BS30" s="327">
        <v>0</v>
      </c>
      <c r="BT30" s="327">
        <v>0</v>
      </c>
      <c r="BU30" s="327">
        <v>0</v>
      </c>
      <c r="BV30" s="327">
        <v>0</v>
      </c>
      <c r="BW30" s="327">
        <v>0</v>
      </c>
      <c r="BX30" s="327">
        <v>0</v>
      </c>
      <c r="BY30" s="327">
        <v>0</v>
      </c>
      <c r="BZ30" s="327">
        <v>0</v>
      </c>
      <c r="CA30" s="327">
        <v>0</v>
      </c>
      <c r="CB30" s="327">
        <v>0</v>
      </c>
      <c r="CC30" s="448">
        <v>0</v>
      </c>
      <c r="CD30" s="447">
        <v>1000</v>
      </c>
      <c r="CE30" s="327">
        <v>0</v>
      </c>
      <c r="CF30" s="327">
        <v>0</v>
      </c>
      <c r="CG30" s="327">
        <v>0</v>
      </c>
      <c r="CH30" s="327">
        <v>0</v>
      </c>
      <c r="CI30" s="327">
        <v>0</v>
      </c>
      <c r="CJ30" s="326"/>
      <c r="CK30" s="326"/>
      <c r="CL30" s="326"/>
      <c r="CM30" s="326"/>
      <c r="CN30" s="326"/>
      <c r="CO30" s="450"/>
      <c r="CP30" s="449"/>
      <c r="CQ30" s="326"/>
      <c r="CR30" s="326"/>
      <c r="CS30" s="326"/>
      <c r="CT30" s="326"/>
      <c r="CU30" s="326"/>
      <c r="CV30" s="326"/>
      <c r="CW30" s="326"/>
      <c r="CX30" s="326"/>
      <c r="CY30" s="326"/>
      <c r="CZ30" s="326"/>
      <c r="DA30" s="450"/>
    </row>
    <row r="31" spans="1:105" hidden="1" x14ac:dyDescent="0.25">
      <c r="A31" s="1051"/>
      <c r="B31" s="1053"/>
      <c r="C31" s="325" t="s">
        <v>153</v>
      </c>
      <c r="D31" s="322">
        <f t="shared" si="5"/>
        <v>61000</v>
      </c>
      <c r="E31" s="322">
        <f t="shared" si="6"/>
        <v>81000</v>
      </c>
      <c r="F31" s="699">
        <f t="shared" si="7"/>
        <v>-0.24691358024691357</v>
      </c>
      <c r="G31" s="327">
        <v>1000</v>
      </c>
      <c r="H31" s="327">
        <v>1000</v>
      </c>
      <c r="I31" s="327">
        <v>1000</v>
      </c>
      <c r="J31" s="327">
        <v>1000</v>
      </c>
      <c r="K31" s="327">
        <v>1000</v>
      </c>
      <c r="L31" s="327">
        <v>1000</v>
      </c>
      <c r="M31" s="327">
        <v>1000</v>
      </c>
      <c r="N31" s="327">
        <v>1000</v>
      </c>
      <c r="O31" s="327">
        <v>1000</v>
      </c>
      <c r="P31" s="327">
        <v>1000</v>
      </c>
      <c r="Q31" s="327">
        <v>1000</v>
      </c>
      <c r="R31" s="432">
        <v>1000</v>
      </c>
      <c r="S31" s="385">
        <v>1000</v>
      </c>
      <c r="T31" s="327">
        <v>1000</v>
      </c>
      <c r="U31" s="327">
        <v>1000</v>
      </c>
      <c r="V31" s="327">
        <v>1000</v>
      </c>
      <c r="W31" s="327">
        <v>1000</v>
      </c>
      <c r="X31" s="327">
        <v>1000</v>
      </c>
      <c r="Y31" s="327">
        <v>1000</v>
      </c>
      <c r="Z31" s="327">
        <v>1000</v>
      </c>
      <c r="AA31" s="327">
        <v>1000</v>
      </c>
      <c r="AB31" s="327">
        <v>1000</v>
      </c>
      <c r="AC31" s="327">
        <v>1000</v>
      </c>
      <c r="AD31" s="432">
        <v>1000</v>
      </c>
      <c r="AE31" s="385">
        <v>1000</v>
      </c>
      <c r="AF31" s="327">
        <v>1000</v>
      </c>
      <c r="AG31" s="327">
        <v>1000</v>
      </c>
      <c r="AH31" s="327">
        <v>1000</v>
      </c>
      <c r="AI31" s="327">
        <v>1000</v>
      </c>
      <c r="AJ31" s="327">
        <v>1000</v>
      </c>
      <c r="AK31" s="327">
        <v>1000</v>
      </c>
      <c r="AL31" s="327">
        <v>1000</v>
      </c>
      <c r="AM31" s="327">
        <v>1000</v>
      </c>
      <c r="AN31" s="327">
        <v>1000</v>
      </c>
      <c r="AO31" s="327">
        <v>1000</v>
      </c>
      <c r="AP31" s="432">
        <v>1000</v>
      </c>
      <c r="AQ31" s="385">
        <v>1000</v>
      </c>
      <c r="AR31" s="327">
        <v>1000</v>
      </c>
      <c r="AS31" s="327">
        <v>1000</v>
      </c>
      <c r="AT31" s="327">
        <v>1000</v>
      </c>
      <c r="AU31" s="327">
        <v>1000</v>
      </c>
      <c r="AV31" s="327">
        <v>1000</v>
      </c>
      <c r="AW31" s="327">
        <v>1000</v>
      </c>
      <c r="AX31" s="327">
        <v>1000</v>
      </c>
      <c r="AY31" s="327">
        <v>1000</v>
      </c>
      <c r="AZ31" s="327">
        <v>1000</v>
      </c>
      <c r="BA31" s="327">
        <v>1000</v>
      </c>
      <c r="BB31" s="432">
        <v>1000</v>
      </c>
      <c r="BC31" s="385">
        <v>1000</v>
      </c>
      <c r="BD31" s="327">
        <v>1000</v>
      </c>
      <c r="BE31" s="327">
        <v>1000</v>
      </c>
      <c r="BF31" s="327">
        <v>1000</v>
      </c>
      <c r="BG31" s="327">
        <v>1000</v>
      </c>
      <c r="BH31" s="327">
        <v>1000</v>
      </c>
      <c r="BI31" s="327">
        <v>1000</v>
      </c>
      <c r="BJ31" s="327">
        <v>1000</v>
      </c>
      <c r="BK31" s="327">
        <v>1000</v>
      </c>
      <c r="BL31" s="327">
        <v>1000</v>
      </c>
      <c r="BM31" s="327">
        <v>1000</v>
      </c>
      <c r="BN31" s="432">
        <v>1000</v>
      </c>
      <c r="BO31" s="385">
        <v>1000</v>
      </c>
      <c r="BP31" s="154">
        <v>0</v>
      </c>
      <c r="BQ31" s="327">
        <v>0</v>
      </c>
      <c r="BR31" s="447">
        <v>0</v>
      </c>
      <c r="BS31" s="327">
        <v>0</v>
      </c>
      <c r="BT31" s="327">
        <v>0</v>
      </c>
      <c r="BU31" s="327">
        <v>0</v>
      </c>
      <c r="BV31" s="327">
        <v>0</v>
      </c>
      <c r="BW31" s="327">
        <v>0</v>
      </c>
      <c r="BX31" s="327">
        <v>0</v>
      </c>
      <c r="BY31" s="327">
        <v>0</v>
      </c>
      <c r="BZ31" s="327">
        <v>0</v>
      </c>
      <c r="CA31" s="327">
        <v>0</v>
      </c>
      <c r="CB31" s="327">
        <v>0</v>
      </c>
      <c r="CC31" s="448">
        <v>0</v>
      </c>
      <c r="CD31" s="447">
        <v>0</v>
      </c>
      <c r="CE31" s="327">
        <v>0</v>
      </c>
      <c r="CF31" s="327">
        <v>0</v>
      </c>
      <c r="CG31" s="327">
        <v>0</v>
      </c>
      <c r="CH31" s="327">
        <v>0</v>
      </c>
      <c r="CI31" s="327">
        <v>0</v>
      </c>
      <c r="CJ31" s="326"/>
      <c r="CK31" s="326"/>
      <c r="CL31" s="326"/>
      <c r="CM31" s="326"/>
      <c r="CN31" s="326"/>
      <c r="CO31" s="450"/>
      <c r="CP31" s="449"/>
      <c r="CQ31" s="326"/>
      <c r="CR31" s="326"/>
      <c r="CS31" s="326"/>
      <c r="CT31" s="326"/>
      <c r="CU31" s="326"/>
      <c r="CV31" s="326"/>
      <c r="CW31" s="326"/>
      <c r="CX31" s="326"/>
      <c r="CY31" s="326"/>
      <c r="CZ31" s="326"/>
      <c r="DA31" s="450"/>
    </row>
    <row r="32" spans="1:105" hidden="1" x14ac:dyDescent="0.25">
      <c r="A32" s="1051"/>
      <c r="B32" s="1053"/>
      <c r="C32" s="329" t="s">
        <v>154</v>
      </c>
      <c r="D32" s="322">
        <f t="shared" si="5"/>
        <v>62000</v>
      </c>
      <c r="E32" s="322">
        <f t="shared" si="6"/>
        <v>81000</v>
      </c>
      <c r="F32" s="699">
        <f t="shared" si="7"/>
        <v>-0.23456790123456794</v>
      </c>
      <c r="G32" s="327">
        <v>1000</v>
      </c>
      <c r="H32" s="327">
        <v>1000</v>
      </c>
      <c r="I32" s="327">
        <v>1000</v>
      </c>
      <c r="J32" s="327">
        <v>1000</v>
      </c>
      <c r="K32" s="327">
        <v>1000</v>
      </c>
      <c r="L32" s="327">
        <v>1000</v>
      </c>
      <c r="M32" s="327">
        <v>1000</v>
      </c>
      <c r="N32" s="327">
        <v>1000</v>
      </c>
      <c r="O32" s="327">
        <v>1000</v>
      </c>
      <c r="P32" s="327">
        <v>1000</v>
      </c>
      <c r="Q32" s="327">
        <v>1000</v>
      </c>
      <c r="R32" s="432">
        <v>1000</v>
      </c>
      <c r="S32" s="385">
        <v>1000</v>
      </c>
      <c r="T32" s="327">
        <v>1000</v>
      </c>
      <c r="U32" s="327">
        <v>1000</v>
      </c>
      <c r="V32" s="327">
        <v>1000</v>
      </c>
      <c r="W32" s="327">
        <v>1000</v>
      </c>
      <c r="X32" s="327">
        <v>1000</v>
      </c>
      <c r="Y32" s="327">
        <v>1000</v>
      </c>
      <c r="Z32" s="327">
        <v>1000</v>
      </c>
      <c r="AA32" s="327">
        <v>1000</v>
      </c>
      <c r="AB32" s="327">
        <v>1000</v>
      </c>
      <c r="AC32" s="327">
        <v>1000</v>
      </c>
      <c r="AD32" s="432">
        <v>1000</v>
      </c>
      <c r="AE32" s="385">
        <v>1000</v>
      </c>
      <c r="AF32" s="327">
        <v>1000</v>
      </c>
      <c r="AG32" s="327">
        <v>1000</v>
      </c>
      <c r="AH32" s="327">
        <v>1000</v>
      </c>
      <c r="AI32" s="327">
        <v>1000</v>
      </c>
      <c r="AJ32" s="327">
        <v>1000</v>
      </c>
      <c r="AK32" s="327">
        <v>1000</v>
      </c>
      <c r="AL32" s="327">
        <v>1000</v>
      </c>
      <c r="AM32" s="327">
        <v>1000</v>
      </c>
      <c r="AN32" s="327">
        <v>1000</v>
      </c>
      <c r="AO32" s="327">
        <v>1000</v>
      </c>
      <c r="AP32" s="432">
        <v>1000</v>
      </c>
      <c r="AQ32" s="385">
        <v>1000</v>
      </c>
      <c r="AR32" s="327">
        <v>1000</v>
      </c>
      <c r="AS32" s="327">
        <v>1000</v>
      </c>
      <c r="AT32" s="327">
        <v>1000</v>
      </c>
      <c r="AU32" s="327">
        <v>1000</v>
      </c>
      <c r="AV32" s="327">
        <v>1000</v>
      </c>
      <c r="AW32" s="327">
        <v>1000</v>
      </c>
      <c r="AX32" s="327">
        <v>1000</v>
      </c>
      <c r="AY32" s="327">
        <v>1000</v>
      </c>
      <c r="AZ32" s="327">
        <v>1000</v>
      </c>
      <c r="BA32" s="327">
        <v>1000</v>
      </c>
      <c r="BB32" s="432">
        <v>1000</v>
      </c>
      <c r="BC32" s="385">
        <v>1000</v>
      </c>
      <c r="BD32" s="327">
        <v>1000</v>
      </c>
      <c r="BE32" s="327">
        <v>1000</v>
      </c>
      <c r="BF32" s="327">
        <v>1000</v>
      </c>
      <c r="BG32" s="327">
        <v>1000</v>
      </c>
      <c r="BH32" s="327">
        <v>1000</v>
      </c>
      <c r="BI32" s="327">
        <v>1000</v>
      </c>
      <c r="BJ32" s="327">
        <v>1000</v>
      </c>
      <c r="BK32" s="327">
        <v>1000</v>
      </c>
      <c r="BL32" s="327">
        <v>1000</v>
      </c>
      <c r="BM32" s="327">
        <v>1000</v>
      </c>
      <c r="BN32" s="432">
        <v>1000</v>
      </c>
      <c r="BO32" s="385">
        <v>1000</v>
      </c>
      <c r="BP32" s="154">
        <v>0</v>
      </c>
      <c r="BQ32" s="327">
        <v>0</v>
      </c>
      <c r="BR32" s="447">
        <v>0</v>
      </c>
      <c r="BS32" s="327">
        <v>0</v>
      </c>
      <c r="BT32" s="327">
        <v>0</v>
      </c>
      <c r="BU32" s="327">
        <v>0</v>
      </c>
      <c r="BV32" s="327">
        <v>0</v>
      </c>
      <c r="BW32" s="327">
        <v>0</v>
      </c>
      <c r="BX32" s="327">
        <v>0</v>
      </c>
      <c r="BY32" s="327">
        <v>0</v>
      </c>
      <c r="BZ32" s="327">
        <v>0</v>
      </c>
      <c r="CA32" s="327">
        <v>0</v>
      </c>
      <c r="CB32" s="327">
        <v>0</v>
      </c>
      <c r="CC32" s="448">
        <v>0</v>
      </c>
      <c r="CD32" s="447">
        <v>1000</v>
      </c>
      <c r="CE32" s="327">
        <v>0</v>
      </c>
      <c r="CF32" s="327">
        <v>0</v>
      </c>
      <c r="CG32" s="327">
        <v>0</v>
      </c>
      <c r="CH32" s="327">
        <v>0</v>
      </c>
      <c r="CI32" s="327">
        <v>0</v>
      </c>
      <c r="CJ32" s="326"/>
      <c r="CK32" s="326"/>
      <c r="CL32" s="326"/>
      <c r="CM32" s="326"/>
      <c r="CN32" s="326"/>
      <c r="CO32" s="450"/>
      <c r="CP32" s="449"/>
      <c r="CQ32" s="326"/>
      <c r="CR32" s="326"/>
      <c r="CS32" s="326"/>
      <c r="CT32" s="326"/>
      <c r="CU32" s="326"/>
      <c r="CV32" s="326"/>
      <c r="CW32" s="326"/>
      <c r="CX32" s="326"/>
      <c r="CY32" s="326"/>
      <c r="CZ32" s="326"/>
      <c r="DA32" s="450"/>
    </row>
    <row r="33" spans="1:105" hidden="1" x14ac:dyDescent="0.25">
      <c r="A33" s="1051" t="s">
        <v>338</v>
      </c>
      <c r="B33" s="1053">
        <f>+SUM(D33:D35)/SUM(E33:E35)</f>
        <v>0.27586206896551724</v>
      </c>
      <c r="C33" s="325" t="s">
        <v>155</v>
      </c>
      <c r="D33" s="322">
        <f t="shared" si="5"/>
        <v>24000</v>
      </c>
      <c r="E33" s="322">
        <f t="shared" si="6"/>
        <v>87000</v>
      </c>
      <c r="F33" s="699">
        <f t="shared" si="7"/>
        <v>-0.72413793103448276</v>
      </c>
      <c r="G33" s="327">
        <v>1000</v>
      </c>
      <c r="H33" s="327">
        <v>1000</v>
      </c>
      <c r="I33" s="327">
        <v>1000</v>
      </c>
      <c r="J33" s="327">
        <v>1000</v>
      </c>
      <c r="K33" s="327">
        <v>1000</v>
      </c>
      <c r="L33" s="327">
        <v>1000</v>
      </c>
      <c r="M33" s="327">
        <v>1000</v>
      </c>
      <c r="N33" s="327">
        <v>1000</v>
      </c>
      <c r="O33" s="327">
        <v>1000</v>
      </c>
      <c r="P33" s="327">
        <v>1000</v>
      </c>
      <c r="Q33" s="327">
        <v>1000</v>
      </c>
      <c r="R33" s="432">
        <v>1000</v>
      </c>
      <c r="S33" s="385">
        <v>1000</v>
      </c>
      <c r="T33" s="327">
        <v>1000</v>
      </c>
      <c r="U33" s="327">
        <v>1000</v>
      </c>
      <c r="V33" s="327">
        <v>1000</v>
      </c>
      <c r="W33" s="327">
        <v>1000</v>
      </c>
      <c r="X33" s="327">
        <v>1000</v>
      </c>
      <c r="Y33" s="327">
        <v>1000</v>
      </c>
      <c r="Z33" s="327">
        <v>1000</v>
      </c>
      <c r="AA33" s="327">
        <v>1000</v>
      </c>
      <c r="AB33" s="327">
        <v>1000</v>
      </c>
      <c r="AC33" s="327">
        <v>1000</v>
      </c>
      <c r="AD33" s="432">
        <v>1000</v>
      </c>
      <c r="AE33" s="385">
        <v>0</v>
      </c>
      <c r="AF33" s="327">
        <v>0</v>
      </c>
      <c r="AG33" s="327">
        <v>0</v>
      </c>
      <c r="AH33" s="327">
        <v>0</v>
      </c>
      <c r="AI33" s="327">
        <v>0</v>
      </c>
      <c r="AJ33" s="327">
        <v>0</v>
      </c>
      <c r="AK33" s="327">
        <v>0</v>
      </c>
      <c r="AL33" s="327">
        <v>0</v>
      </c>
      <c r="AM33" s="327">
        <v>0</v>
      </c>
      <c r="AN33" s="327">
        <v>0</v>
      </c>
      <c r="AO33" s="327">
        <v>0</v>
      </c>
      <c r="AP33" s="432">
        <v>0</v>
      </c>
      <c r="AQ33" s="385">
        <v>0</v>
      </c>
      <c r="AR33" s="327">
        <v>0</v>
      </c>
      <c r="AS33" s="327">
        <v>0</v>
      </c>
      <c r="AT33" s="327">
        <v>0</v>
      </c>
      <c r="AU33" s="327">
        <v>0</v>
      </c>
      <c r="AV33" s="327">
        <v>0</v>
      </c>
      <c r="AW33" s="327">
        <v>0</v>
      </c>
      <c r="AX33" s="327">
        <v>0</v>
      </c>
      <c r="AY33" s="327">
        <v>0</v>
      </c>
      <c r="AZ33" s="327">
        <v>0</v>
      </c>
      <c r="BA33" s="327">
        <v>0</v>
      </c>
      <c r="BB33" s="432">
        <v>0</v>
      </c>
      <c r="BC33" s="385">
        <v>0</v>
      </c>
      <c r="BD33" s="327">
        <v>0</v>
      </c>
      <c r="BE33" s="327">
        <v>0</v>
      </c>
      <c r="BF33" s="327">
        <v>0</v>
      </c>
      <c r="BG33" s="327">
        <v>0</v>
      </c>
      <c r="BH33" s="327">
        <v>0</v>
      </c>
      <c r="BI33" s="327">
        <v>0</v>
      </c>
      <c r="BJ33" s="327">
        <v>0</v>
      </c>
      <c r="BK33" s="327">
        <v>0</v>
      </c>
      <c r="BL33" s="327">
        <v>0</v>
      </c>
      <c r="BM33" s="327">
        <v>0</v>
      </c>
      <c r="BN33" s="432">
        <v>0</v>
      </c>
      <c r="BO33" s="385">
        <v>0</v>
      </c>
      <c r="BP33" s="327">
        <v>0</v>
      </c>
      <c r="BQ33" s="327">
        <v>0</v>
      </c>
      <c r="BR33" s="447">
        <v>0</v>
      </c>
      <c r="BS33" s="327">
        <v>0</v>
      </c>
      <c r="BT33" s="327">
        <v>0</v>
      </c>
      <c r="BU33" s="327">
        <v>0</v>
      </c>
      <c r="BV33" s="327">
        <v>0</v>
      </c>
      <c r="BW33" s="327">
        <v>0</v>
      </c>
      <c r="BX33" s="327">
        <v>0</v>
      </c>
      <c r="BY33" s="327">
        <v>0</v>
      </c>
      <c r="BZ33" s="327">
        <v>0</v>
      </c>
      <c r="CA33" s="327">
        <v>0</v>
      </c>
      <c r="CB33" s="327">
        <v>0</v>
      </c>
      <c r="CC33" s="448">
        <v>0</v>
      </c>
      <c r="CD33" s="447">
        <v>0</v>
      </c>
      <c r="CE33" s="327">
        <v>0</v>
      </c>
      <c r="CF33" s="327">
        <v>0</v>
      </c>
      <c r="CG33" s="327">
        <v>0</v>
      </c>
      <c r="CH33" s="327">
        <v>0</v>
      </c>
      <c r="CI33" s="327">
        <v>0</v>
      </c>
      <c r="CJ33" s="327">
        <v>0</v>
      </c>
      <c r="CK33" s="327">
        <v>0</v>
      </c>
      <c r="CL33" s="327">
        <v>0</v>
      </c>
      <c r="CM33" s="327">
        <v>0</v>
      </c>
      <c r="CN33" s="327">
        <v>0</v>
      </c>
      <c r="CO33" s="448">
        <v>0</v>
      </c>
      <c r="CP33" s="447"/>
      <c r="CQ33" s="327"/>
      <c r="CR33" s="327"/>
      <c r="CS33" s="327"/>
      <c r="CT33" s="327"/>
      <c r="CU33" s="327"/>
      <c r="CV33" s="327"/>
      <c r="CW33" s="327"/>
      <c r="CX33" s="327"/>
      <c r="CY33" s="327"/>
      <c r="CZ33" s="327"/>
      <c r="DA33" s="448"/>
    </row>
    <row r="34" spans="1:105" hidden="1" x14ac:dyDescent="0.25">
      <c r="A34" s="1051"/>
      <c r="B34" s="1053"/>
      <c r="C34" s="325" t="s">
        <v>156</v>
      </c>
      <c r="D34" s="322">
        <f t="shared" si="5"/>
        <v>24000</v>
      </c>
      <c r="E34" s="322">
        <f t="shared" si="6"/>
        <v>87000</v>
      </c>
      <c r="F34" s="699">
        <f t="shared" si="7"/>
        <v>-0.72413793103448276</v>
      </c>
      <c r="G34" s="327">
        <v>1000</v>
      </c>
      <c r="H34" s="327">
        <v>1000</v>
      </c>
      <c r="I34" s="327">
        <v>1000</v>
      </c>
      <c r="J34" s="327">
        <v>1000</v>
      </c>
      <c r="K34" s="327">
        <v>1000</v>
      </c>
      <c r="L34" s="327">
        <v>1000</v>
      </c>
      <c r="M34" s="327">
        <v>1000</v>
      </c>
      <c r="N34" s="327">
        <v>1000</v>
      </c>
      <c r="O34" s="327">
        <v>1000</v>
      </c>
      <c r="P34" s="327">
        <v>1000</v>
      </c>
      <c r="Q34" s="327">
        <v>1000</v>
      </c>
      <c r="R34" s="432">
        <v>1000</v>
      </c>
      <c r="S34" s="385">
        <v>1000</v>
      </c>
      <c r="T34" s="327">
        <v>1000</v>
      </c>
      <c r="U34" s="327">
        <v>1000</v>
      </c>
      <c r="V34" s="327">
        <v>1000</v>
      </c>
      <c r="W34" s="327">
        <v>1000</v>
      </c>
      <c r="X34" s="327">
        <v>1000</v>
      </c>
      <c r="Y34" s="327">
        <v>1000</v>
      </c>
      <c r="Z34" s="327">
        <v>1000</v>
      </c>
      <c r="AA34" s="327">
        <v>1000</v>
      </c>
      <c r="AB34" s="327">
        <v>1000</v>
      </c>
      <c r="AC34" s="327">
        <v>1000</v>
      </c>
      <c r="AD34" s="432">
        <v>1000</v>
      </c>
      <c r="AE34" s="385">
        <v>0</v>
      </c>
      <c r="AF34" s="327">
        <v>0</v>
      </c>
      <c r="AG34" s="327">
        <v>0</v>
      </c>
      <c r="AH34" s="327">
        <v>0</v>
      </c>
      <c r="AI34" s="327">
        <v>0</v>
      </c>
      <c r="AJ34" s="327">
        <v>0</v>
      </c>
      <c r="AK34" s="327">
        <v>0</v>
      </c>
      <c r="AL34" s="327">
        <v>0</v>
      </c>
      <c r="AM34" s="327">
        <v>0</v>
      </c>
      <c r="AN34" s="327">
        <v>0</v>
      </c>
      <c r="AO34" s="327">
        <v>0</v>
      </c>
      <c r="AP34" s="432">
        <v>0</v>
      </c>
      <c r="AQ34" s="385">
        <v>0</v>
      </c>
      <c r="AR34" s="327">
        <v>0</v>
      </c>
      <c r="AS34" s="327">
        <v>0</v>
      </c>
      <c r="AT34" s="327">
        <v>0</v>
      </c>
      <c r="AU34" s="327">
        <v>0</v>
      </c>
      <c r="AV34" s="327">
        <v>0</v>
      </c>
      <c r="AW34" s="327">
        <v>0</v>
      </c>
      <c r="AX34" s="327">
        <v>0</v>
      </c>
      <c r="AY34" s="327">
        <v>0</v>
      </c>
      <c r="AZ34" s="327">
        <v>0</v>
      </c>
      <c r="BA34" s="327">
        <v>0</v>
      </c>
      <c r="BB34" s="432">
        <v>0</v>
      </c>
      <c r="BC34" s="385">
        <v>0</v>
      </c>
      <c r="BD34" s="327">
        <v>0</v>
      </c>
      <c r="BE34" s="327">
        <v>0</v>
      </c>
      <c r="BF34" s="327">
        <v>0</v>
      </c>
      <c r="BG34" s="327">
        <v>0</v>
      </c>
      <c r="BH34" s="327">
        <v>0</v>
      </c>
      <c r="BI34" s="327">
        <v>0</v>
      </c>
      <c r="BJ34" s="327">
        <v>0</v>
      </c>
      <c r="BK34" s="327">
        <v>0</v>
      </c>
      <c r="BL34" s="327">
        <v>0</v>
      </c>
      <c r="BM34" s="327">
        <v>0</v>
      </c>
      <c r="BN34" s="432">
        <v>0</v>
      </c>
      <c r="BO34" s="385">
        <v>0</v>
      </c>
      <c r="BP34" s="327">
        <v>0</v>
      </c>
      <c r="BQ34" s="327">
        <v>0</v>
      </c>
      <c r="BR34" s="447">
        <v>0</v>
      </c>
      <c r="BS34" s="327">
        <v>0</v>
      </c>
      <c r="BT34" s="327">
        <v>0</v>
      </c>
      <c r="BU34" s="327">
        <v>0</v>
      </c>
      <c r="BV34" s="327">
        <v>0</v>
      </c>
      <c r="BW34" s="327">
        <v>0</v>
      </c>
      <c r="BX34" s="327">
        <v>0</v>
      </c>
      <c r="BY34" s="327">
        <v>0</v>
      </c>
      <c r="BZ34" s="327">
        <v>0</v>
      </c>
      <c r="CA34" s="327">
        <v>0</v>
      </c>
      <c r="CB34" s="327">
        <v>0</v>
      </c>
      <c r="CC34" s="448">
        <v>0</v>
      </c>
      <c r="CD34" s="447">
        <v>0</v>
      </c>
      <c r="CE34" s="327">
        <v>0</v>
      </c>
      <c r="CF34" s="327">
        <v>0</v>
      </c>
      <c r="CG34" s="327">
        <v>0</v>
      </c>
      <c r="CH34" s="327">
        <v>0</v>
      </c>
      <c r="CI34" s="327">
        <v>0</v>
      </c>
      <c r="CJ34" s="327">
        <v>0</v>
      </c>
      <c r="CK34" s="327">
        <v>0</v>
      </c>
      <c r="CL34" s="327">
        <v>0</v>
      </c>
      <c r="CM34" s="327">
        <v>0</v>
      </c>
      <c r="CN34" s="327">
        <v>0</v>
      </c>
      <c r="CO34" s="448">
        <v>0</v>
      </c>
      <c r="CP34" s="447"/>
      <c r="CQ34" s="327"/>
      <c r="CR34" s="327"/>
      <c r="CS34" s="327"/>
      <c r="CT34" s="327"/>
      <c r="CU34" s="327"/>
      <c r="CV34" s="327"/>
      <c r="CW34" s="327"/>
      <c r="CX34" s="327"/>
      <c r="CY34" s="327"/>
      <c r="CZ34" s="327"/>
      <c r="DA34" s="448"/>
    </row>
    <row r="35" spans="1:105" hidden="1" x14ac:dyDescent="0.25">
      <c r="A35" s="1051"/>
      <c r="B35" s="1053"/>
      <c r="C35" s="329" t="s">
        <v>157</v>
      </c>
      <c r="D35" s="322">
        <f t="shared" si="5"/>
        <v>24000</v>
      </c>
      <c r="E35" s="322">
        <f t="shared" si="6"/>
        <v>87000</v>
      </c>
      <c r="F35" s="699">
        <f t="shared" si="7"/>
        <v>-0.72413793103448276</v>
      </c>
      <c r="G35" s="327">
        <v>1000</v>
      </c>
      <c r="H35" s="327">
        <v>1000</v>
      </c>
      <c r="I35" s="327">
        <v>1000</v>
      </c>
      <c r="J35" s="327">
        <v>1000</v>
      </c>
      <c r="K35" s="327">
        <v>1000</v>
      </c>
      <c r="L35" s="327">
        <v>1000</v>
      </c>
      <c r="M35" s="327">
        <v>1000</v>
      </c>
      <c r="N35" s="327">
        <v>1000</v>
      </c>
      <c r="O35" s="327">
        <v>1000</v>
      </c>
      <c r="P35" s="327">
        <v>1000</v>
      </c>
      <c r="Q35" s="327">
        <v>1000</v>
      </c>
      <c r="R35" s="432">
        <v>1000</v>
      </c>
      <c r="S35" s="385">
        <v>1000</v>
      </c>
      <c r="T35" s="327">
        <v>1000</v>
      </c>
      <c r="U35" s="327">
        <v>1000</v>
      </c>
      <c r="V35" s="327">
        <v>1000</v>
      </c>
      <c r="W35" s="327">
        <v>1000</v>
      </c>
      <c r="X35" s="327">
        <v>1000</v>
      </c>
      <c r="Y35" s="327">
        <v>1000</v>
      </c>
      <c r="Z35" s="327">
        <v>1000</v>
      </c>
      <c r="AA35" s="327">
        <v>1000</v>
      </c>
      <c r="AB35" s="327">
        <v>1000</v>
      </c>
      <c r="AC35" s="327">
        <v>1000</v>
      </c>
      <c r="AD35" s="432">
        <v>1000</v>
      </c>
      <c r="AE35" s="385">
        <v>0</v>
      </c>
      <c r="AF35" s="327">
        <v>0</v>
      </c>
      <c r="AG35" s="327">
        <v>0</v>
      </c>
      <c r="AH35" s="327">
        <v>0</v>
      </c>
      <c r="AI35" s="327">
        <v>0</v>
      </c>
      <c r="AJ35" s="327">
        <v>0</v>
      </c>
      <c r="AK35" s="327">
        <v>0</v>
      </c>
      <c r="AL35" s="327">
        <v>0</v>
      </c>
      <c r="AM35" s="327">
        <v>0</v>
      </c>
      <c r="AN35" s="327">
        <v>0</v>
      </c>
      <c r="AO35" s="327">
        <v>0</v>
      </c>
      <c r="AP35" s="432">
        <v>0</v>
      </c>
      <c r="AQ35" s="385">
        <v>0</v>
      </c>
      <c r="AR35" s="327">
        <v>0</v>
      </c>
      <c r="AS35" s="327">
        <v>0</v>
      </c>
      <c r="AT35" s="327">
        <v>0</v>
      </c>
      <c r="AU35" s="327">
        <v>0</v>
      </c>
      <c r="AV35" s="327">
        <v>0</v>
      </c>
      <c r="AW35" s="327">
        <v>0</v>
      </c>
      <c r="AX35" s="327">
        <v>0</v>
      </c>
      <c r="AY35" s="327">
        <v>0</v>
      </c>
      <c r="AZ35" s="327">
        <v>0</v>
      </c>
      <c r="BA35" s="327">
        <v>0</v>
      </c>
      <c r="BB35" s="432">
        <v>0</v>
      </c>
      <c r="BC35" s="385">
        <v>0</v>
      </c>
      <c r="BD35" s="327">
        <v>0</v>
      </c>
      <c r="BE35" s="327">
        <v>0</v>
      </c>
      <c r="BF35" s="327">
        <v>0</v>
      </c>
      <c r="BG35" s="327">
        <v>0</v>
      </c>
      <c r="BH35" s="327">
        <v>0</v>
      </c>
      <c r="BI35" s="327">
        <v>0</v>
      </c>
      <c r="BJ35" s="327">
        <v>0</v>
      </c>
      <c r="BK35" s="327">
        <v>0</v>
      </c>
      <c r="BL35" s="327">
        <v>0</v>
      </c>
      <c r="BM35" s="327">
        <v>0</v>
      </c>
      <c r="BN35" s="432">
        <v>0</v>
      </c>
      <c r="BO35" s="385">
        <v>0</v>
      </c>
      <c r="BP35" s="327">
        <v>0</v>
      </c>
      <c r="BQ35" s="327">
        <v>0</v>
      </c>
      <c r="BR35" s="447">
        <v>0</v>
      </c>
      <c r="BS35" s="327">
        <v>0</v>
      </c>
      <c r="BT35" s="327">
        <v>0</v>
      </c>
      <c r="BU35" s="327">
        <v>0</v>
      </c>
      <c r="BV35" s="327">
        <v>0</v>
      </c>
      <c r="BW35" s="327">
        <v>0</v>
      </c>
      <c r="BX35" s="327">
        <v>0</v>
      </c>
      <c r="BY35" s="327">
        <v>0</v>
      </c>
      <c r="BZ35" s="327">
        <v>0</v>
      </c>
      <c r="CA35" s="327">
        <v>0</v>
      </c>
      <c r="CB35" s="327">
        <v>0</v>
      </c>
      <c r="CC35" s="448">
        <v>0</v>
      </c>
      <c r="CD35" s="447">
        <v>0</v>
      </c>
      <c r="CE35" s="327">
        <v>0</v>
      </c>
      <c r="CF35" s="327">
        <v>0</v>
      </c>
      <c r="CG35" s="327">
        <v>0</v>
      </c>
      <c r="CH35" s="327">
        <v>0</v>
      </c>
      <c r="CI35" s="327">
        <v>0</v>
      </c>
      <c r="CJ35" s="327">
        <v>0</v>
      </c>
      <c r="CK35" s="327">
        <v>0</v>
      </c>
      <c r="CL35" s="327">
        <v>0</v>
      </c>
      <c r="CM35" s="327">
        <v>0</v>
      </c>
      <c r="CN35" s="327">
        <v>0</v>
      </c>
      <c r="CO35" s="448">
        <v>0</v>
      </c>
      <c r="CP35" s="447"/>
      <c r="CQ35" s="327"/>
      <c r="CR35" s="327"/>
      <c r="CS35" s="327"/>
      <c r="CT35" s="327"/>
      <c r="CU35" s="327"/>
      <c r="CV35" s="327"/>
      <c r="CW35" s="327"/>
      <c r="CX35" s="327"/>
      <c r="CY35" s="327"/>
      <c r="CZ35" s="327"/>
      <c r="DA35" s="448"/>
    </row>
    <row r="36" spans="1:105" x14ac:dyDescent="0.25">
      <c r="A36" s="1051" t="s">
        <v>339</v>
      </c>
      <c r="B36" s="1052">
        <f>+SUM(D36:D38)/SUM(E36:E38)</f>
        <v>1</v>
      </c>
      <c r="C36" s="325" t="s">
        <v>158</v>
      </c>
      <c r="D36" s="322">
        <f t="shared" si="5"/>
        <v>99000</v>
      </c>
      <c r="E36" s="322">
        <f t="shared" si="6"/>
        <v>99000</v>
      </c>
      <c r="F36" s="699">
        <f>+IF((D36+E36)=0,"No Aplica",+D36/E36-1)</f>
        <v>0</v>
      </c>
      <c r="G36" s="327">
        <v>1000</v>
      </c>
      <c r="H36" s="327">
        <v>1000</v>
      </c>
      <c r="I36" s="327">
        <v>1000</v>
      </c>
      <c r="J36" s="327">
        <v>1000</v>
      </c>
      <c r="K36" s="327">
        <v>1000</v>
      </c>
      <c r="L36" s="327">
        <v>1000</v>
      </c>
      <c r="M36" s="327">
        <v>1000</v>
      </c>
      <c r="N36" s="327">
        <v>1000</v>
      </c>
      <c r="O36" s="327">
        <v>1000</v>
      </c>
      <c r="P36" s="327">
        <v>1000</v>
      </c>
      <c r="Q36" s="327">
        <v>1000</v>
      </c>
      <c r="R36" s="432">
        <v>1000</v>
      </c>
      <c r="S36" s="385">
        <v>1000</v>
      </c>
      <c r="T36" s="327">
        <v>1000</v>
      </c>
      <c r="U36" s="327">
        <v>1000</v>
      </c>
      <c r="V36" s="327">
        <v>1000</v>
      </c>
      <c r="W36" s="327">
        <v>1000</v>
      </c>
      <c r="X36" s="327">
        <v>1000</v>
      </c>
      <c r="Y36" s="327">
        <v>1000</v>
      </c>
      <c r="Z36" s="327">
        <v>1000</v>
      </c>
      <c r="AA36" s="327">
        <v>1000</v>
      </c>
      <c r="AB36" s="327">
        <v>1000</v>
      </c>
      <c r="AC36" s="327">
        <v>1000</v>
      </c>
      <c r="AD36" s="432">
        <v>1000</v>
      </c>
      <c r="AE36" s="385">
        <v>1000</v>
      </c>
      <c r="AF36" s="327">
        <v>1000</v>
      </c>
      <c r="AG36" s="327">
        <v>1000</v>
      </c>
      <c r="AH36" s="327">
        <v>1000</v>
      </c>
      <c r="AI36" s="327">
        <v>1000</v>
      </c>
      <c r="AJ36" s="327">
        <v>1000</v>
      </c>
      <c r="AK36" s="327">
        <v>1000</v>
      </c>
      <c r="AL36" s="327">
        <v>1000</v>
      </c>
      <c r="AM36" s="327">
        <v>1000</v>
      </c>
      <c r="AN36" s="327">
        <v>1000</v>
      </c>
      <c r="AO36" s="327">
        <v>1000</v>
      </c>
      <c r="AP36" s="432">
        <v>1000</v>
      </c>
      <c r="AQ36" s="385">
        <v>1000</v>
      </c>
      <c r="AR36" s="327">
        <v>1000</v>
      </c>
      <c r="AS36" s="327">
        <v>1000</v>
      </c>
      <c r="AT36" s="327">
        <v>1000</v>
      </c>
      <c r="AU36" s="327">
        <v>1000</v>
      </c>
      <c r="AV36" s="327">
        <v>1000</v>
      </c>
      <c r="AW36" s="327">
        <v>1000</v>
      </c>
      <c r="AX36" s="327">
        <v>1000</v>
      </c>
      <c r="AY36" s="327">
        <v>1000</v>
      </c>
      <c r="AZ36" s="327">
        <v>1000</v>
      </c>
      <c r="BA36" s="327">
        <v>1000</v>
      </c>
      <c r="BB36" s="432">
        <v>1000</v>
      </c>
      <c r="BC36" s="385">
        <v>1000</v>
      </c>
      <c r="BD36" s="327">
        <v>1000</v>
      </c>
      <c r="BE36" s="327">
        <v>1000</v>
      </c>
      <c r="BF36" s="327">
        <v>1000</v>
      </c>
      <c r="BG36" s="327">
        <v>1000</v>
      </c>
      <c r="BH36" s="327">
        <v>1000</v>
      </c>
      <c r="BI36" s="327">
        <v>1000</v>
      </c>
      <c r="BJ36" s="327">
        <v>1000</v>
      </c>
      <c r="BK36" s="327">
        <v>1000</v>
      </c>
      <c r="BL36" s="327">
        <v>1000</v>
      </c>
      <c r="BM36" s="327">
        <v>1000</v>
      </c>
      <c r="BN36" s="432">
        <v>1000</v>
      </c>
      <c r="BO36" s="385">
        <v>1000</v>
      </c>
      <c r="BP36" s="327">
        <v>1000</v>
      </c>
      <c r="BQ36" s="327">
        <v>1000</v>
      </c>
      <c r="BR36" s="447">
        <v>1000</v>
      </c>
      <c r="BS36" s="327">
        <v>1000</v>
      </c>
      <c r="BT36" s="327">
        <v>1000</v>
      </c>
      <c r="BU36" s="327">
        <v>1000</v>
      </c>
      <c r="BV36" s="327">
        <v>1000</v>
      </c>
      <c r="BW36" s="327">
        <v>1000</v>
      </c>
      <c r="BX36" s="327">
        <v>1000</v>
      </c>
      <c r="BY36" s="327">
        <v>1000</v>
      </c>
      <c r="BZ36" s="327">
        <v>1000</v>
      </c>
      <c r="CA36" s="154">
        <v>1000</v>
      </c>
      <c r="CB36" s="154">
        <v>1000</v>
      </c>
      <c r="CC36" s="537">
        <v>1000</v>
      </c>
      <c r="CD36" s="629">
        <v>1000</v>
      </c>
      <c r="CE36" s="154">
        <v>1000</v>
      </c>
      <c r="CF36" s="154">
        <v>1000</v>
      </c>
      <c r="CG36" s="154">
        <v>1000</v>
      </c>
      <c r="CH36" s="154">
        <v>1000</v>
      </c>
      <c r="CI36" s="154">
        <v>1000</v>
      </c>
      <c r="CJ36" s="154">
        <v>1000</v>
      </c>
      <c r="CK36" s="154">
        <v>1000</v>
      </c>
      <c r="CL36" s="154">
        <v>1000</v>
      </c>
      <c r="CM36" s="327">
        <v>1000</v>
      </c>
      <c r="CN36" s="327">
        <v>1000</v>
      </c>
      <c r="CO36" s="448">
        <v>1000</v>
      </c>
      <c r="CP36" s="447">
        <v>1000</v>
      </c>
      <c r="CQ36" s="327">
        <v>1000</v>
      </c>
      <c r="CR36" s="327">
        <v>1000</v>
      </c>
      <c r="CS36" s="327">
        <v>1000</v>
      </c>
      <c r="CT36" s="327">
        <v>1000</v>
      </c>
      <c r="CU36" s="327">
        <v>1000</v>
      </c>
      <c r="CV36" s="327">
        <v>1000</v>
      </c>
      <c r="CW36" s="327">
        <v>1000</v>
      </c>
      <c r="CX36" s="327">
        <v>1000</v>
      </c>
      <c r="CY36" s="327">
        <v>1000</v>
      </c>
      <c r="CZ36" s="327">
        <v>1000</v>
      </c>
      <c r="DA36" s="448">
        <v>1000</v>
      </c>
    </row>
    <row r="37" spans="1:105" x14ac:dyDescent="0.25">
      <c r="A37" s="1051"/>
      <c r="B37" s="1052"/>
      <c r="C37" s="325"/>
      <c r="D37" s="322"/>
      <c r="E37" s="322"/>
      <c r="F37" s="699"/>
      <c r="G37" s="327"/>
      <c r="H37" s="327"/>
      <c r="I37" s="327"/>
      <c r="J37" s="327"/>
      <c r="K37" s="327"/>
      <c r="L37" s="327"/>
      <c r="M37" s="327"/>
      <c r="N37" s="327"/>
      <c r="O37" s="327"/>
      <c r="P37" s="327"/>
      <c r="Q37" s="327"/>
      <c r="R37" s="432"/>
      <c r="S37" s="385"/>
      <c r="T37" s="327"/>
      <c r="U37" s="327"/>
      <c r="V37" s="327"/>
      <c r="W37" s="327"/>
      <c r="X37" s="327"/>
      <c r="Y37" s="327"/>
      <c r="Z37" s="327"/>
      <c r="AA37" s="327"/>
      <c r="AB37" s="327"/>
      <c r="AC37" s="327"/>
      <c r="AD37" s="432"/>
      <c r="AE37" s="385"/>
      <c r="AF37" s="327"/>
      <c r="AG37" s="327"/>
      <c r="AH37" s="327"/>
      <c r="AI37" s="327"/>
      <c r="AJ37" s="327"/>
      <c r="AK37" s="327"/>
      <c r="AL37" s="327"/>
      <c r="AM37" s="327"/>
      <c r="AN37" s="327"/>
      <c r="AO37" s="327"/>
      <c r="AP37" s="432"/>
      <c r="AQ37" s="385"/>
      <c r="AR37" s="327"/>
      <c r="AS37" s="327"/>
      <c r="AT37" s="327"/>
      <c r="AU37" s="327"/>
      <c r="AV37" s="327"/>
      <c r="AW37" s="327"/>
      <c r="AX37" s="327"/>
      <c r="AY37" s="327"/>
      <c r="AZ37" s="327"/>
      <c r="BA37" s="327"/>
      <c r="BB37" s="432"/>
      <c r="BC37" s="385"/>
      <c r="BD37" s="327"/>
      <c r="BE37" s="327"/>
      <c r="BF37" s="327"/>
      <c r="BG37" s="327"/>
      <c r="BH37" s="327"/>
      <c r="BI37" s="327"/>
      <c r="BJ37" s="327"/>
      <c r="BK37" s="327"/>
      <c r="BL37" s="327"/>
      <c r="BM37" s="327"/>
      <c r="BN37" s="432"/>
      <c r="BO37" s="385"/>
      <c r="BP37" s="327"/>
      <c r="BQ37" s="327"/>
      <c r="BR37" s="447"/>
      <c r="BS37" s="327"/>
      <c r="BT37" s="327"/>
      <c r="BU37" s="327"/>
      <c r="BV37" s="327"/>
      <c r="BW37" s="327"/>
      <c r="BX37" s="327"/>
      <c r="BY37" s="327"/>
      <c r="BZ37" s="327"/>
      <c r="CA37" s="154"/>
      <c r="CB37" s="154"/>
      <c r="CC37" s="537"/>
      <c r="CD37" s="629"/>
      <c r="CE37" s="154"/>
      <c r="CF37" s="154"/>
      <c r="CG37" s="154"/>
      <c r="CH37" s="154"/>
      <c r="CI37" s="154"/>
      <c r="CJ37" s="154"/>
      <c r="CK37" s="154"/>
      <c r="CL37" s="154"/>
      <c r="CM37" s="327"/>
      <c r="CN37" s="327"/>
      <c r="CO37" s="448"/>
      <c r="CP37" s="447">
        <v>1000</v>
      </c>
      <c r="CQ37" s="327">
        <v>1000</v>
      </c>
      <c r="CR37" s="327">
        <v>1000</v>
      </c>
      <c r="CS37" s="327">
        <v>1000</v>
      </c>
      <c r="CT37" s="327">
        <v>1000</v>
      </c>
      <c r="CU37" s="327">
        <v>1000</v>
      </c>
      <c r="CV37" s="327">
        <v>1000</v>
      </c>
      <c r="CW37" s="327">
        <v>1000</v>
      </c>
      <c r="CX37" s="327">
        <v>1000</v>
      </c>
      <c r="CY37" s="327">
        <v>1000</v>
      </c>
      <c r="CZ37" s="327">
        <v>1000</v>
      </c>
      <c r="DA37" s="448">
        <v>1000</v>
      </c>
    </row>
    <row r="38" spans="1:105" x14ac:dyDescent="0.25">
      <c r="A38" s="1051"/>
      <c r="B38" s="1052"/>
      <c r="C38" s="329" t="s">
        <v>160</v>
      </c>
      <c r="D38" s="322">
        <f t="shared" si="5"/>
        <v>99000</v>
      </c>
      <c r="E38" s="322">
        <f t="shared" si="6"/>
        <v>99000</v>
      </c>
      <c r="F38" s="699">
        <f t="shared" si="7"/>
        <v>0</v>
      </c>
      <c r="G38" s="327">
        <v>1000</v>
      </c>
      <c r="H38" s="327">
        <v>1000</v>
      </c>
      <c r="I38" s="327">
        <v>1000</v>
      </c>
      <c r="J38" s="327">
        <v>1000</v>
      </c>
      <c r="K38" s="327">
        <v>1000</v>
      </c>
      <c r="L38" s="327">
        <v>1000</v>
      </c>
      <c r="M38" s="327">
        <v>1000</v>
      </c>
      <c r="N38" s="327">
        <v>1000</v>
      </c>
      <c r="O38" s="327">
        <v>1000</v>
      </c>
      <c r="P38" s="327">
        <v>1000</v>
      </c>
      <c r="Q38" s="327">
        <v>1000</v>
      </c>
      <c r="R38" s="432">
        <v>1000</v>
      </c>
      <c r="S38" s="385">
        <v>1000</v>
      </c>
      <c r="T38" s="327">
        <v>1000</v>
      </c>
      <c r="U38" s="327">
        <v>1000</v>
      </c>
      <c r="V38" s="327">
        <v>1000</v>
      </c>
      <c r="W38" s="327">
        <v>1000</v>
      </c>
      <c r="X38" s="327">
        <v>1000</v>
      </c>
      <c r="Y38" s="327">
        <v>1000</v>
      </c>
      <c r="Z38" s="327">
        <v>1000</v>
      </c>
      <c r="AA38" s="327">
        <v>1000</v>
      </c>
      <c r="AB38" s="327">
        <v>1000</v>
      </c>
      <c r="AC38" s="327">
        <v>1000</v>
      </c>
      <c r="AD38" s="432">
        <v>1000</v>
      </c>
      <c r="AE38" s="385">
        <v>1000</v>
      </c>
      <c r="AF38" s="327">
        <v>1000</v>
      </c>
      <c r="AG38" s="327">
        <v>1000</v>
      </c>
      <c r="AH38" s="327">
        <v>1000</v>
      </c>
      <c r="AI38" s="327">
        <v>1000</v>
      </c>
      <c r="AJ38" s="327">
        <v>1000</v>
      </c>
      <c r="AK38" s="327">
        <v>1000</v>
      </c>
      <c r="AL38" s="327">
        <v>1000</v>
      </c>
      <c r="AM38" s="327">
        <v>1000</v>
      </c>
      <c r="AN38" s="327">
        <v>1000</v>
      </c>
      <c r="AO38" s="327">
        <v>1000</v>
      </c>
      <c r="AP38" s="432">
        <v>1000</v>
      </c>
      <c r="AQ38" s="385">
        <v>1000</v>
      </c>
      <c r="AR38" s="327">
        <v>1000</v>
      </c>
      <c r="AS38" s="327">
        <v>1000</v>
      </c>
      <c r="AT38" s="327">
        <v>1000</v>
      </c>
      <c r="AU38" s="327">
        <v>1000</v>
      </c>
      <c r="AV38" s="327">
        <v>1000</v>
      </c>
      <c r="AW38" s="327">
        <v>1000</v>
      </c>
      <c r="AX38" s="327">
        <v>1000</v>
      </c>
      <c r="AY38" s="327">
        <v>1000</v>
      </c>
      <c r="AZ38" s="327">
        <v>1000</v>
      </c>
      <c r="BA38" s="327">
        <v>1000</v>
      </c>
      <c r="BB38" s="432">
        <v>1000</v>
      </c>
      <c r="BC38" s="385">
        <v>1000</v>
      </c>
      <c r="BD38" s="327">
        <v>1000</v>
      </c>
      <c r="BE38" s="327">
        <v>1000</v>
      </c>
      <c r="BF38" s="327">
        <v>1000</v>
      </c>
      <c r="BG38" s="327">
        <v>1000</v>
      </c>
      <c r="BH38" s="327">
        <v>1000</v>
      </c>
      <c r="BI38" s="327">
        <v>1000</v>
      </c>
      <c r="BJ38" s="327">
        <v>1000</v>
      </c>
      <c r="BK38" s="327">
        <v>1000</v>
      </c>
      <c r="BL38" s="327">
        <v>1000</v>
      </c>
      <c r="BM38" s="327">
        <v>1000</v>
      </c>
      <c r="BN38" s="432">
        <v>1000</v>
      </c>
      <c r="BO38" s="385">
        <v>1000</v>
      </c>
      <c r="BP38" s="327">
        <v>1000</v>
      </c>
      <c r="BQ38" s="327">
        <v>1000</v>
      </c>
      <c r="BR38" s="447">
        <v>1000</v>
      </c>
      <c r="BS38" s="327">
        <v>1000</v>
      </c>
      <c r="BT38" s="327">
        <v>1000</v>
      </c>
      <c r="BU38" s="327">
        <v>1000</v>
      </c>
      <c r="BV38" s="327">
        <v>1000</v>
      </c>
      <c r="BW38" s="327">
        <v>1000</v>
      </c>
      <c r="BX38" s="327">
        <v>1000</v>
      </c>
      <c r="BY38" s="327">
        <v>1000</v>
      </c>
      <c r="BZ38" s="327">
        <v>1000</v>
      </c>
      <c r="CA38" s="154">
        <v>1000</v>
      </c>
      <c r="CB38" s="154">
        <v>1000</v>
      </c>
      <c r="CC38" s="537">
        <v>1000</v>
      </c>
      <c r="CD38" s="629">
        <v>1000</v>
      </c>
      <c r="CE38" s="154">
        <v>1000</v>
      </c>
      <c r="CF38" s="154">
        <v>1000</v>
      </c>
      <c r="CG38" s="154">
        <v>1000</v>
      </c>
      <c r="CH38" s="154">
        <v>1000</v>
      </c>
      <c r="CI38" s="154">
        <v>1000</v>
      </c>
      <c r="CJ38" s="154">
        <v>1000</v>
      </c>
      <c r="CK38" s="154">
        <v>1000</v>
      </c>
      <c r="CL38" s="154">
        <v>1000</v>
      </c>
      <c r="CM38" s="327">
        <v>1000</v>
      </c>
      <c r="CN38" s="327">
        <v>1000</v>
      </c>
      <c r="CO38" s="448">
        <v>1000</v>
      </c>
      <c r="CP38" s="447">
        <v>1000</v>
      </c>
      <c r="CQ38" s="327">
        <v>1000</v>
      </c>
      <c r="CR38" s="327">
        <v>1000</v>
      </c>
      <c r="CS38" s="327">
        <v>1000</v>
      </c>
      <c r="CT38" s="327">
        <v>1000</v>
      </c>
      <c r="CU38" s="327">
        <v>1000</v>
      </c>
      <c r="CV38" s="327">
        <v>1000</v>
      </c>
      <c r="CW38" s="327">
        <v>1000</v>
      </c>
      <c r="CX38" s="327">
        <v>1000</v>
      </c>
      <c r="CY38" s="327">
        <v>1000</v>
      </c>
      <c r="CZ38" s="327">
        <v>1000</v>
      </c>
      <c r="DA38" s="448">
        <v>1000</v>
      </c>
    </row>
    <row r="39" spans="1:105" x14ac:dyDescent="0.25">
      <c r="A39" s="1051" t="s">
        <v>340</v>
      </c>
      <c r="B39" s="1052">
        <f>+SUM(D39:D41)/SUM(E39:E41)</f>
        <v>1</v>
      </c>
      <c r="C39" s="329" t="s">
        <v>162</v>
      </c>
      <c r="D39" s="322">
        <f t="shared" si="5"/>
        <v>87000</v>
      </c>
      <c r="E39" s="322">
        <f t="shared" si="6"/>
        <v>87000</v>
      </c>
      <c r="F39" s="699">
        <f t="shared" si="7"/>
        <v>0</v>
      </c>
      <c r="G39" s="327">
        <v>1000</v>
      </c>
      <c r="H39" s="327">
        <v>1000</v>
      </c>
      <c r="I39" s="327">
        <v>1000</v>
      </c>
      <c r="J39" s="327">
        <v>1000</v>
      </c>
      <c r="K39" s="327">
        <v>1000</v>
      </c>
      <c r="L39" s="327">
        <v>1000</v>
      </c>
      <c r="M39" s="327">
        <v>1000</v>
      </c>
      <c r="N39" s="327">
        <v>1000</v>
      </c>
      <c r="O39" s="327">
        <v>1000</v>
      </c>
      <c r="P39" s="327">
        <v>1000</v>
      </c>
      <c r="Q39" s="327">
        <v>1000</v>
      </c>
      <c r="R39" s="432">
        <v>1000</v>
      </c>
      <c r="S39" s="385">
        <v>1000</v>
      </c>
      <c r="T39" s="327">
        <v>1000</v>
      </c>
      <c r="U39" s="327">
        <v>1000</v>
      </c>
      <c r="V39" s="327">
        <v>1000</v>
      </c>
      <c r="W39" s="327">
        <v>1000</v>
      </c>
      <c r="X39" s="327">
        <v>1000</v>
      </c>
      <c r="Y39" s="327">
        <v>1000</v>
      </c>
      <c r="Z39" s="327">
        <v>1000</v>
      </c>
      <c r="AA39" s="327">
        <v>1000</v>
      </c>
      <c r="AB39" s="327">
        <v>1000</v>
      </c>
      <c r="AC39" s="327">
        <v>1000</v>
      </c>
      <c r="AD39" s="432">
        <v>1000</v>
      </c>
      <c r="AE39" s="385">
        <v>1000</v>
      </c>
      <c r="AF39" s="327">
        <v>1000</v>
      </c>
      <c r="AG39" s="327">
        <v>1000</v>
      </c>
      <c r="AH39" s="327">
        <v>1000</v>
      </c>
      <c r="AI39" s="327">
        <v>1000</v>
      </c>
      <c r="AJ39" s="327">
        <v>1000</v>
      </c>
      <c r="AK39" s="327">
        <v>1000</v>
      </c>
      <c r="AL39" s="327">
        <v>1000</v>
      </c>
      <c r="AM39" s="327">
        <v>1000</v>
      </c>
      <c r="AN39" s="327">
        <v>1000</v>
      </c>
      <c r="AO39" s="327">
        <v>1000</v>
      </c>
      <c r="AP39" s="432">
        <v>1000</v>
      </c>
      <c r="AQ39" s="385">
        <v>1000</v>
      </c>
      <c r="AR39" s="327">
        <v>1000</v>
      </c>
      <c r="AS39" s="327">
        <v>1000</v>
      </c>
      <c r="AT39" s="327">
        <v>1000</v>
      </c>
      <c r="AU39" s="327">
        <v>1000</v>
      </c>
      <c r="AV39" s="327">
        <v>1000</v>
      </c>
      <c r="AW39" s="327">
        <v>1000</v>
      </c>
      <c r="AX39" s="327">
        <v>1000</v>
      </c>
      <c r="AY39" s="327">
        <v>1000</v>
      </c>
      <c r="AZ39" s="327">
        <v>1000</v>
      </c>
      <c r="BA39" s="327">
        <v>1000</v>
      </c>
      <c r="BB39" s="432">
        <v>1000</v>
      </c>
      <c r="BC39" s="385">
        <v>1000</v>
      </c>
      <c r="BD39" s="327">
        <v>1000</v>
      </c>
      <c r="BE39" s="327">
        <v>1000</v>
      </c>
      <c r="BF39" s="327">
        <v>1000</v>
      </c>
      <c r="BG39" s="327">
        <v>1000</v>
      </c>
      <c r="BH39" s="327">
        <v>1000</v>
      </c>
      <c r="BI39" s="327">
        <v>1000</v>
      </c>
      <c r="BJ39" s="327">
        <v>1000</v>
      </c>
      <c r="BK39" s="327">
        <v>1000</v>
      </c>
      <c r="BL39" s="327">
        <v>1000</v>
      </c>
      <c r="BM39" s="327">
        <v>1000</v>
      </c>
      <c r="BN39" s="432">
        <v>1000</v>
      </c>
      <c r="BO39" s="385">
        <v>1000</v>
      </c>
      <c r="BP39" s="327">
        <v>1000</v>
      </c>
      <c r="BQ39" s="327">
        <v>1000</v>
      </c>
      <c r="BR39" s="447">
        <v>1000</v>
      </c>
      <c r="BS39" s="327">
        <v>1000</v>
      </c>
      <c r="BT39" s="327">
        <v>1000</v>
      </c>
      <c r="BU39" s="327">
        <v>1000</v>
      </c>
      <c r="BV39" s="327">
        <v>1000</v>
      </c>
      <c r="BW39" s="327">
        <v>1000</v>
      </c>
      <c r="BX39" s="327">
        <v>1000</v>
      </c>
      <c r="BY39" s="327">
        <v>1000</v>
      </c>
      <c r="BZ39" s="327">
        <v>1000</v>
      </c>
      <c r="CA39" s="327">
        <v>1000</v>
      </c>
      <c r="CB39" s="327">
        <v>1000</v>
      </c>
      <c r="CC39" s="448">
        <v>1000</v>
      </c>
      <c r="CD39" s="447">
        <v>1000</v>
      </c>
      <c r="CE39" s="327">
        <v>1000</v>
      </c>
      <c r="CF39" s="327">
        <v>1000</v>
      </c>
      <c r="CG39" s="327">
        <v>1000</v>
      </c>
      <c r="CH39" s="327">
        <v>1000</v>
      </c>
      <c r="CI39" s="327">
        <v>1000</v>
      </c>
      <c r="CJ39" s="327">
        <v>1000</v>
      </c>
      <c r="CK39" s="327">
        <v>1000</v>
      </c>
      <c r="CL39" s="327">
        <v>1000</v>
      </c>
      <c r="CM39" s="327">
        <v>1000</v>
      </c>
      <c r="CN39" s="327">
        <v>1000</v>
      </c>
      <c r="CO39" s="448">
        <v>1000</v>
      </c>
      <c r="CP39" s="447"/>
      <c r="CQ39" s="327"/>
      <c r="CR39" s="327"/>
      <c r="CS39" s="327"/>
      <c r="CT39" s="327"/>
      <c r="CU39" s="327"/>
      <c r="CV39" s="327"/>
      <c r="CW39" s="327"/>
      <c r="CX39" s="327"/>
      <c r="CY39" s="327"/>
      <c r="CZ39" s="327"/>
      <c r="DA39" s="448"/>
    </row>
    <row r="40" spans="1:105" x14ac:dyDescent="0.25">
      <c r="A40" s="1051"/>
      <c r="B40" s="1052"/>
      <c r="C40" s="329" t="s">
        <v>163</v>
      </c>
      <c r="D40" s="322">
        <f t="shared" si="5"/>
        <v>32000</v>
      </c>
      <c r="E40" s="322">
        <f t="shared" si="6"/>
        <v>32000</v>
      </c>
      <c r="F40" s="699">
        <f t="shared" si="7"/>
        <v>0</v>
      </c>
      <c r="G40" s="326"/>
      <c r="H40" s="326"/>
      <c r="I40" s="326"/>
      <c r="J40" s="326"/>
      <c r="K40" s="326"/>
      <c r="L40" s="326"/>
      <c r="M40" s="326"/>
      <c r="N40" s="326"/>
      <c r="O40" s="326"/>
      <c r="P40" s="326"/>
      <c r="Q40" s="326"/>
      <c r="R40" s="434"/>
      <c r="S40" s="433"/>
      <c r="T40" s="326"/>
      <c r="U40" s="326"/>
      <c r="V40" s="326"/>
      <c r="W40" s="326"/>
      <c r="X40" s="326"/>
      <c r="Y40" s="326"/>
      <c r="Z40" s="326"/>
      <c r="AA40" s="326"/>
      <c r="AB40" s="326"/>
      <c r="AC40" s="326"/>
      <c r="AD40" s="434"/>
      <c r="AE40" s="433"/>
      <c r="AF40" s="326"/>
      <c r="AG40" s="326"/>
      <c r="AH40" s="326"/>
      <c r="AI40" s="326"/>
      <c r="AJ40" s="326"/>
      <c r="AK40" s="326"/>
      <c r="AL40" s="326"/>
      <c r="AM40" s="326"/>
      <c r="AN40" s="326"/>
      <c r="AO40" s="326"/>
      <c r="AP40" s="434"/>
      <c r="AQ40" s="433"/>
      <c r="AR40" s="326"/>
      <c r="AS40" s="326"/>
      <c r="AT40" s="326"/>
      <c r="AU40" s="326"/>
      <c r="AV40" s="326"/>
      <c r="AW40" s="326"/>
      <c r="AX40" s="326"/>
      <c r="AY40" s="326"/>
      <c r="AZ40" s="326"/>
      <c r="BA40" s="326"/>
      <c r="BB40" s="434"/>
      <c r="BC40" s="433"/>
      <c r="BD40" s="326"/>
      <c r="BE40" s="326"/>
      <c r="BF40" s="326"/>
      <c r="BG40" s="326"/>
      <c r="BH40" s="326"/>
      <c r="BI40" s="326"/>
      <c r="BJ40" s="327">
        <v>1000</v>
      </c>
      <c r="BK40" s="327">
        <v>1000</v>
      </c>
      <c r="BL40" s="327">
        <v>1000</v>
      </c>
      <c r="BM40" s="327">
        <v>1000</v>
      </c>
      <c r="BN40" s="432">
        <v>1000</v>
      </c>
      <c r="BO40" s="385">
        <v>1000</v>
      </c>
      <c r="BP40" s="327">
        <v>1000</v>
      </c>
      <c r="BQ40" s="327">
        <v>1000</v>
      </c>
      <c r="BR40" s="447">
        <v>1000</v>
      </c>
      <c r="BS40" s="327">
        <v>1000</v>
      </c>
      <c r="BT40" s="327">
        <v>1000</v>
      </c>
      <c r="BU40" s="327">
        <v>1000</v>
      </c>
      <c r="BV40" s="327">
        <v>1000</v>
      </c>
      <c r="BW40" s="327">
        <v>1000</v>
      </c>
      <c r="BX40" s="327">
        <v>1000</v>
      </c>
      <c r="BY40" s="327">
        <v>1000</v>
      </c>
      <c r="BZ40" s="327">
        <v>1000</v>
      </c>
      <c r="CA40" s="327">
        <v>1000</v>
      </c>
      <c r="CB40" s="327">
        <v>1000</v>
      </c>
      <c r="CC40" s="448">
        <v>1000</v>
      </c>
      <c r="CD40" s="447">
        <v>1000</v>
      </c>
      <c r="CE40" s="327">
        <v>1000</v>
      </c>
      <c r="CF40" s="327">
        <v>1000</v>
      </c>
      <c r="CG40" s="327">
        <v>1000</v>
      </c>
      <c r="CH40" s="327">
        <v>1000</v>
      </c>
      <c r="CI40" s="327">
        <v>1000</v>
      </c>
      <c r="CJ40" s="327">
        <v>1000</v>
      </c>
      <c r="CK40" s="327">
        <v>1000</v>
      </c>
      <c r="CL40" s="327">
        <v>1000</v>
      </c>
      <c r="CM40" s="327">
        <v>1000</v>
      </c>
      <c r="CN40" s="327">
        <v>1000</v>
      </c>
      <c r="CO40" s="448">
        <v>1000</v>
      </c>
      <c r="CP40" s="447"/>
      <c r="CQ40" s="327"/>
      <c r="CR40" s="327"/>
      <c r="CS40" s="327"/>
      <c r="CT40" s="327"/>
      <c r="CU40" s="327"/>
      <c r="CV40" s="327"/>
      <c r="CW40" s="327"/>
      <c r="CX40" s="327"/>
      <c r="CY40" s="327"/>
      <c r="CZ40" s="327"/>
      <c r="DA40" s="448"/>
    </row>
    <row r="41" spans="1:105" x14ac:dyDescent="0.25">
      <c r="A41" s="1051"/>
      <c r="B41" s="1052"/>
      <c r="C41" s="329" t="s">
        <v>164</v>
      </c>
      <c r="D41" s="322">
        <f t="shared" si="5"/>
        <v>32000</v>
      </c>
      <c r="E41" s="322">
        <f t="shared" si="6"/>
        <v>32000</v>
      </c>
      <c r="F41" s="699">
        <f t="shared" si="7"/>
        <v>0</v>
      </c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434"/>
      <c r="S41" s="433"/>
      <c r="T41" s="326"/>
      <c r="U41" s="326"/>
      <c r="V41" s="326"/>
      <c r="W41" s="326"/>
      <c r="X41" s="326"/>
      <c r="Y41" s="326"/>
      <c r="Z41" s="326"/>
      <c r="AA41" s="326"/>
      <c r="AB41" s="326"/>
      <c r="AC41" s="326"/>
      <c r="AD41" s="434"/>
      <c r="AE41" s="433"/>
      <c r="AF41" s="326"/>
      <c r="AG41" s="326"/>
      <c r="AH41" s="326"/>
      <c r="AI41" s="326"/>
      <c r="AJ41" s="326"/>
      <c r="AK41" s="326"/>
      <c r="AL41" s="326"/>
      <c r="AM41" s="326"/>
      <c r="AN41" s="326"/>
      <c r="AO41" s="326"/>
      <c r="AP41" s="434"/>
      <c r="AQ41" s="433"/>
      <c r="AR41" s="326"/>
      <c r="AS41" s="326"/>
      <c r="AT41" s="326"/>
      <c r="AU41" s="326"/>
      <c r="AV41" s="326"/>
      <c r="AW41" s="326"/>
      <c r="AX41" s="326"/>
      <c r="AY41" s="326"/>
      <c r="AZ41" s="326"/>
      <c r="BA41" s="326"/>
      <c r="BB41" s="434"/>
      <c r="BC41" s="433"/>
      <c r="BD41" s="326"/>
      <c r="BE41" s="326"/>
      <c r="BF41" s="326"/>
      <c r="BG41" s="326"/>
      <c r="BH41" s="326"/>
      <c r="BI41" s="326"/>
      <c r="BJ41" s="327">
        <v>1000</v>
      </c>
      <c r="BK41" s="327">
        <v>1000</v>
      </c>
      <c r="BL41" s="327">
        <v>1000</v>
      </c>
      <c r="BM41" s="327">
        <v>1000</v>
      </c>
      <c r="BN41" s="432">
        <v>1000</v>
      </c>
      <c r="BO41" s="385">
        <v>1000</v>
      </c>
      <c r="BP41" s="327">
        <v>1000</v>
      </c>
      <c r="BQ41" s="327">
        <v>1000</v>
      </c>
      <c r="BR41" s="447">
        <v>1000</v>
      </c>
      <c r="BS41" s="327">
        <v>1000</v>
      </c>
      <c r="BT41" s="327">
        <v>1000</v>
      </c>
      <c r="BU41" s="327">
        <v>1000</v>
      </c>
      <c r="BV41" s="327">
        <v>1000</v>
      </c>
      <c r="BW41" s="327">
        <v>1000</v>
      </c>
      <c r="BX41" s="327">
        <v>1000</v>
      </c>
      <c r="BY41" s="327">
        <v>1000</v>
      </c>
      <c r="BZ41" s="327">
        <v>1000</v>
      </c>
      <c r="CA41" s="327">
        <v>1000</v>
      </c>
      <c r="CB41" s="327">
        <v>1000</v>
      </c>
      <c r="CC41" s="448">
        <v>1000</v>
      </c>
      <c r="CD41" s="447">
        <v>1000</v>
      </c>
      <c r="CE41" s="327">
        <v>1000</v>
      </c>
      <c r="CF41" s="327">
        <v>1000</v>
      </c>
      <c r="CG41" s="327">
        <v>1000</v>
      </c>
      <c r="CH41" s="327">
        <v>1000</v>
      </c>
      <c r="CI41" s="327">
        <v>1000</v>
      </c>
      <c r="CJ41" s="327">
        <v>1000</v>
      </c>
      <c r="CK41" s="327">
        <v>1000</v>
      </c>
      <c r="CL41" s="327">
        <v>1000</v>
      </c>
      <c r="CM41" s="327">
        <v>1000</v>
      </c>
      <c r="CN41" s="327">
        <v>1000</v>
      </c>
      <c r="CO41" s="448">
        <v>1000</v>
      </c>
      <c r="CP41" s="447"/>
      <c r="CQ41" s="327"/>
      <c r="CR41" s="327"/>
      <c r="CS41" s="327"/>
      <c r="CT41" s="327"/>
      <c r="CU41" s="327"/>
      <c r="CV41" s="327"/>
      <c r="CW41" s="327"/>
      <c r="CX41" s="327"/>
      <c r="CY41" s="327"/>
      <c r="CZ41" s="327"/>
      <c r="DA41" s="448"/>
    </row>
    <row r="42" spans="1:105" ht="18" x14ac:dyDescent="0.25">
      <c r="A42" s="330" t="s">
        <v>342</v>
      </c>
      <c r="B42" s="723">
        <f>+D42/E42</f>
        <v>1</v>
      </c>
      <c r="C42" s="329" t="s">
        <v>165</v>
      </c>
      <c r="D42" s="322">
        <f t="shared" si="5"/>
        <v>87000</v>
      </c>
      <c r="E42" s="322">
        <f t="shared" si="6"/>
        <v>87000</v>
      </c>
      <c r="F42" s="699">
        <f t="shared" si="7"/>
        <v>0</v>
      </c>
      <c r="G42" s="327">
        <v>1000</v>
      </c>
      <c r="H42" s="327">
        <v>1000</v>
      </c>
      <c r="I42" s="327">
        <v>1000</v>
      </c>
      <c r="J42" s="327">
        <v>1000</v>
      </c>
      <c r="K42" s="327">
        <v>1000</v>
      </c>
      <c r="L42" s="327">
        <v>1000</v>
      </c>
      <c r="M42" s="327">
        <v>1000</v>
      </c>
      <c r="N42" s="327">
        <v>1000</v>
      </c>
      <c r="O42" s="327">
        <v>1000</v>
      </c>
      <c r="P42" s="327">
        <v>1000</v>
      </c>
      <c r="Q42" s="327">
        <v>1000</v>
      </c>
      <c r="R42" s="432">
        <v>1000</v>
      </c>
      <c r="S42" s="385">
        <v>1000</v>
      </c>
      <c r="T42" s="327">
        <v>1000</v>
      </c>
      <c r="U42" s="327">
        <v>1000</v>
      </c>
      <c r="V42" s="327">
        <v>1000</v>
      </c>
      <c r="W42" s="327">
        <v>1000</v>
      </c>
      <c r="X42" s="327">
        <v>1000</v>
      </c>
      <c r="Y42" s="327">
        <v>1000</v>
      </c>
      <c r="Z42" s="327">
        <v>1000</v>
      </c>
      <c r="AA42" s="327">
        <v>1000</v>
      </c>
      <c r="AB42" s="327">
        <v>1000</v>
      </c>
      <c r="AC42" s="327">
        <v>1000</v>
      </c>
      <c r="AD42" s="432">
        <v>1000</v>
      </c>
      <c r="AE42" s="385">
        <v>1000</v>
      </c>
      <c r="AF42" s="327">
        <v>1000</v>
      </c>
      <c r="AG42" s="327">
        <v>1000</v>
      </c>
      <c r="AH42" s="327">
        <v>1000</v>
      </c>
      <c r="AI42" s="327">
        <v>1000</v>
      </c>
      <c r="AJ42" s="327">
        <v>1000</v>
      </c>
      <c r="AK42" s="327">
        <v>1000</v>
      </c>
      <c r="AL42" s="327">
        <v>1000</v>
      </c>
      <c r="AM42" s="327">
        <v>1000</v>
      </c>
      <c r="AN42" s="327">
        <v>1000</v>
      </c>
      <c r="AO42" s="327">
        <v>1000</v>
      </c>
      <c r="AP42" s="432">
        <v>1000</v>
      </c>
      <c r="AQ42" s="385">
        <v>1000</v>
      </c>
      <c r="AR42" s="327">
        <v>1000</v>
      </c>
      <c r="AS42" s="327">
        <v>1000</v>
      </c>
      <c r="AT42" s="327">
        <v>1000</v>
      </c>
      <c r="AU42" s="327">
        <v>1000</v>
      </c>
      <c r="AV42" s="327">
        <v>1000</v>
      </c>
      <c r="AW42" s="327">
        <v>1000</v>
      </c>
      <c r="AX42" s="327">
        <v>1000</v>
      </c>
      <c r="AY42" s="327">
        <v>1000</v>
      </c>
      <c r="AZ42" s="327">
        <v>1000</v>
      </c>
      <c r="BA42" s="327">
        <v>1000</v>
      </c>
      <c r="BB42" s="432">
        <v>1000</v>
      </c>
      <c r="BC42" s="385">
        <v>1000</v>
      </c>
      <c r="BD42" s="327">
        <v>1000</v>
      </c>
      <c r="BE42" s="327">
        <v>1000</v>
      </c>
      <c r="BF42" s="327">
        <v>1000</v>
      </c>
      <c r="BG42" s="327">
        <v>1000</v>
      </c>
      <c r="BH42" s="327">
        <v>1000</v>
      </c>
      <c r="BI42" s="327">
        <v>1000</v>
      </c>
      <c r="BJ42" s="327">
        <v>1000</v>
      </c>
      <c r="BK42" s="327">
        <v>1000</v>
      </c>
      <c r="BL42" s="327">
        <v>1000</v>
      </c>
      <c r="BM42" s="327">
        <v>1000</v>
      </c>
      <c r="BN42" s="432">
        <v>1000</v>
      </c>
      <c r="BO42" s="385">
        <v>1000</v>
      </c>
      <c r="BP42" s="327">
        <v>1000</v>
      </c>
      <c r="BQ42" s="327">
        <v>1000</v>
      </c>
      <c r="BR42" s="447">
        <v>1000</v>
      </c>
      <c r="BS42" s="327">
        <v>1000</v>
      </c>
      <c r="BT42" s="327">
        <v>1000</v>
      </c>
      <c r="BU42" s="327">
        <v>1000</v>
      </c>
      <c r="BV42" s="327">
        <v>1000</v>
      </c>
      <c r="BW42" s="327">
        <v>1000</v>
      </c>
      <c r="BX42" s="327">
        <v>1000</v>
      </c>
      <c r="BY42" s="327">
        <v>1000</v>
      </c>
      <c r="BZ42" s="327">
        <v>1000</v>
      </c>
      <c r="CA42" s="327">
        <v>1000</v>
      </c>
      <c r="CB42" s="327">
        <v>1000</v>
      </c>
      <c r="CC42" s="448">
        <v>1000</v>
      </c>
      <c r="CD42" s="629">
        <v>1000</v>
      </c>
      <c r="CE42" s="154">
        <v>1000</v>
      </c>
      <c r="CF42" s="154">
        <v>1000</v>
      </c>
      <c r="CG42" s="154">
        <v>1000</v>
      </c>
      <c r="CH42" s="154">
        <v>1000</v>
      </c>
      <c r="CI42" s="154">
        <v>1000</v>
      </c>
      <c r="CJ42" s="327">
        <v>1000</v>
      </c>
      <c r="CK42" s="327">
        <v>1000</v>
      </c>
      <c r="CL42" s="327">
        <v>1000</v>
      </c>
      <c r="CM42" s="327">
        <v>1000</v>
      </c>
      <c r="CN42" s="327">
        <v>1000</v>
      </c>
      <c r="CO42" s="448">
        <v>1000</v>
      </c>
      <c r="CP42" s="447"/>
      <c r="CQ42" s="327"/>
      <c r="CR42" s="327"/>
      <c r="CS42" s="327"/>
      <c r="CT42" s="327"/>
      <c r="CU42" s="327"/>
      <c r="CV42" s="327"/>
      <c r="CW42" s="327"/>
      <c r="CX42" s="327"/>
      <c r="CY42" s="327"/>
      <c r="CZ42" s="327"/>
      <c r="DA42" s="448"/>
    </row>
    <row r="43" spans="1:105" x14ac:dyDescent="0.25">
      <c r="A43" s="1051" t="s">
        <v>342</v>
      </c>
      <c r="B43" s="1052">
        <f>+SUM(D43:D45)/SUM(E43:E45)</f>
        <v>1</v>
      </c>
      <c r="C43" s="325" t="s">
        <v>458</v>
      </c>
      <c r="D43" s="322">
        <f t="shared" si="5"/>
        <v>15000</v>
      </c>
      <c r="E43" s="322">
        <f t="shared" si="6"/>
        <v>15000</v>
      </c>
      <c r="F43" s="699">
        <f>+IF((D43+E43)=0,"No Aplica",+D43/E43-1)</f>
        <v>0</v>
      </c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434"/>
      <c r="S43" s="433"/>
      <c r="T43" s="326"/>
      <c r="U43" s="326"/>
      <c r="V43" s="326"/>
      <c r="W43" s="326"/>
      <c r="X43" s="326"/>
      <c r="Y43" s="326"/>
      <c r="Z43" s="326"/>
      <c r="AA43" s="326"/>
      <c r="AB43" s="326"/>
      <c r="AC43" s="326"/>
      <c r="AD43" s="434"/>
      <c r="AE43" s="433"/>
      <c r="AF43" s="326"/>
      <c r="AG43" s="326"/>
      <c r="AH43" s="326"/>
      <c r="AI43" s="326"/>
      <c r="AJ43" s="326"/>
      <c r="AK43" s="326"/>
      <c r="AL43" s="326"/>
      <c r="AM43" s="326"/>
      <c r="AN43" s="326"/>
      <c r="AO43" s="326"/>
      <c r="AP43" s="434"/>
      <c r="AQ43" s="433"/>
      <c r="AR43" s="326"/>
      <c r="AS43" s="326"/>
      <c r="AT43" s="326"/>
      <c r="AU43" s="326"/>
      <c r="AV43" s="326"/>
      <c r="AW43" s="326"/>
      <c r="AX43" s="326"/>
      <c r="AY43" s="326"/>
      <c r="AZ43" s="326"/>
      <c r="BA43" s="326"/>
      <c r="BB43" s="434"/>
      <c r="BC43" s="433"/>
      <c r="BD43" s="326"/>
      <c r="BE43" s="326"/>
      <c r="BF43" s="326"/>
      <c r="BG43" s="326"/>
      <c r="BH43" s="326"/>
      <c r="BI43" s="326"/>
      <c r="BJ43" s="326"/>
      <c r="BK43" s="326"/>
      <c r="BL43" s="326"/>
      <c r="BM43" s="326"/>
      <c r="BN43" s="434"/>
      <c r="BO43" s="433"/>
      <c r="BP43" s="326"/>
      <c r="BQ43" s="326"/>
      <c r="BR43" s="449"/>
      <c r="BS43" s="326"/>
      <c r="BT43" s="326"/>
      <c r="BU43" s="326"/>
      <c r="BV43" s="326"/>
      <c r="BW43" s="326"/>
      <c r="BX43" s="326"/>
      <c r="BY43" s="326"/>
      <c r="BZ43" s="326"/>
      <c r="CA43" s="154">
        <v>1000</v>
      </c>
      <c r="CB43" s="154">
        <v>1000</v>
      </c>
      <c r="CC43" s="537">
        <v>1000</v>
      </c>
      <c r="CD43" s="629">
        <v>1000</v>
      </c>
      <c r="CE43" s="154">
        <v>1000</v>
      </c>
      <c r="CF43" s="154">
        <v>1000</v>
      </c>
      <c r="CG43" s="154">
        <v>1000</v>
      </c>
      <c r="CH43" s="154">
        <v>1000</v>
      </c>
      <c r="CI43" s="154">
        <v>1000</v>
      </c>
      <c r="CJ43" s="327">
        <v>1000</v>
      </c>
      <c r="CK43" s="327">
        <v>1000</v>
      </c>
      <c r="CL43" s="327">
        <v>1000</v>
      </c>
      <c r="CM43" s="327">
        <v>1000</v>
      </c>
      <c r="CN43" s="327">
        <v>1000</v>
      </c>
      <c r="CO43" s="448">
        <v>1000</v>
      </c>
      <c r="CP43" s="447"/>
      <c r="CQ43" s="327"/>
      <c r="CR43" s="327"/>
      <c r="CS43" s="327"/>
      <c r="CT43" s="327"/>
      <c r="CU43" s="327"/>
      <c r="CV43" s="327"/>
      <c r="CW43" s="327"/>
      <c r="CX43" s="327"/>
      <c r="CY43" s="327"/>
      <c r="CZ43" s="327"/>
      <c r="DA43" s="448"/>
    </row>
    <row r="44" spans="1:105" x14ac:dyDescent="0.25">
      <c r="A44" s="1051"/>
      <c r="B44" s="1052"/>
      <c r="C44" s="325" t="s">
        <v>459</v>
      </c>
      <c r="D44" s="322">
        <f t="shared" si="5"/>
        <v>15000</v>
      </c>
      <c r="E44" s="322">
        <f t="shared" si="6"/>
        <v>15000</v>
      </c>
      <c r="F44" s="699">
        <f>+IF((D44+E44)=0,"No Aplica",+D44/E44-1)</f>
        <v>0</v>
      </c>
      <c r="G44" s="326"/>
      <c r="H44" s="326"/>
      <c r="I44" s="326"/>
      <c r="J44" s="326"/>
      <c r="K44" s="326"/>
      <c r="L44" s="326"/>
      <c r="M44" s="326"/>
      <c r="N44" s="326"/>
      <c r="O44" s="326"/>
      <c r="P44" s="326"/>
      <c r="Q44" s="326"/>
      <c r="R44" s="434"/>
      <c r="S44" s="433"/>
      <c r="T44" s="326"/>
      <c r="U44" s="326"/>
      <c r="V44" s="326"/>
      <c r="W44" s="326"/>
      <c r="X44" s="326"/>
      <c r="Y44" s="326"/>
      <c r="Z44" s="326"/>
      <c r="AA44" s="326"/>
      <c r="AB44" s="326"/>
      <c r="AC44" s="326"/>
      <c r="AD44" s="434"/>
      <c r="AE44" s="433"/>
      <c r="AF44" s="326"/>
      <c r="AG44" s="326"/>
      <c r="AH44" s="326"/>
      <c r="AI44" s="326"/>
      <c r="AJ44" s="326"/>
      <c r="AK44" s="326"/>
      <c r="AL44" s="326"/>
      <c r="AM44" s="326"/>
      <c r="AN44" s="326"/>
      <c r="AO44" s="326"/>
      <c r="AP44" s="434"/>
      <c r="AQ44" s="433"/>
      <c r="AR44" s="326"/>
      <c r="AS44" s="326"/>
      <c r="AT44" s="326"/>
      <c r="AU44" s="326"/>
      <c r="AV44" s="326"/>
      <c r="AW44" s="326"/>
      <c r="AX44" s="326"/>
      <c r="AY44" s="326"/>
      <c r="AZ44" s="326"/>
      <c r="BA44" s="326"/>
      <c r="BB44" s="434"/>
      <c r="BC44" s="433"/>
      <c r="BD44" s="326"/>
      <c r="BE44" s="326"/>
      <c r="BF44" s="326"/>
      <c r="BG44" s="326"/>
      <c r="BH44" s="326"/>
      <c r="BI44" s="326"/>
      <c r="BJ44" s="326"/>
      <c r="BK44" s="326"/>
      <c r="BL44" s="326"/>
      <c r="BM44" s="326"/>
      <c r="BN44" s="434"/>
      <c r="BO44" s="433"/>
      <c r="BP44" s="326"/>
      <c r="BQ44" s="326"/>
      <c r="BR44" s="449"/>
      <c r="BS44" s="326"/>
      <c r="BT44" s="326"/>
      <c r="BU44" s="326"/>
      <c r="BV44" s="326"/>
      <c r="BW44" s="326"/>
      <c r="BX44" s="326"/>
      <c r="BY44" s="326"/>
      <c r="BZ44" s="326"/>
      <c r="CA44" s="154">
        <v>1000</v>
      </c>
      <c r="CB44" s="154">
        <v>1000</v>
      </c>
      <c r="CC44" s="537">
        <v>1000</v>
      </c>
      <c r="CD44" s="629">
        <v>1000</v>
      </c>
      <c r="CE44" s="154">
        <v>1000</v>
      </c>
      <c r="CF44" s="154">
        <v>1000</v>
      </c>
      <c r="CG44" s="154">
        <v>1000</v>
      </c>
      <c r="CH44" s="154">
        <v>1000</v>
      </c>
      <c r="CI44" s="154">
        <v>1000</v>
      </c>
      <c r="CJ44" s="327">
        <v>1000</v>
      </c>
      <c r="CK44" s="327">
        <v>1000</v>
      </c>
      <c r="CL44" s="327">
        <v>1000</v>
      </c>
      <c r="CM44" s="327">
        <v>1000</v>
      </c>
      <c r="CN44" s="327">
        <v>1000</v>
      </c>
      <c r="CO44" s="448">
        <v>1000</v>
      </c>
      <c r="CP44" s="447"/>
      <c r="CQ44" s="327"/>
      <c r="CR44" s="327"/>
      <c r="CS44" s="327"/>
      <c r="CT44" s="327"/>
      <c r="CU44" s="327"/>
      <c r="CV44" s="327"/>
      <c r="CW44" s="327"/>
      <c r="CX44" s="327"/>
      <c r="CY44" s="327"/>
      <c r="CZ44" s="327"/>
      <c r="DA44" s="448"/>
    </row>
    <row r="45" spans="1:105" x14ac:dyDescent="0.25">
      <c r="A45" s="1051"/>
      <c r="B45" s="1052"/>
      <c r="C45" s="329" t="s">
        <v>131</v>
      </c>
      <c r="D45" s="322">
        <f t="shared" si="5"/>
        <v>87000</v>
      </c>
      <c r="E45" s="322">
        <f t="shared" si="6"/>
        <v>87000</v>
      </c>
      <c r="F45" s="699">
        <f t="shared" si="7"/>
        <v>0</v>
      </c>
      <c r="G45" s="327">
        <v>1000</v>
      </c>
      <c r="H45" s="327">
        <v>1000</v>
      </c>
      <c r="I45" s="327">
        <v>1000</v>
      </c>
      <c r="J45" s="327">
        <v>1000</v>
      </c>
      <c r="K45" s="327">
        <v>1000</v>
      </c>
      <c r="L45" s="327">
        <v>1000</v>
      </c>
      <c r="M45" s="327">
        <v>1000</v>
      </c>
      <c r="N45" s="327">
        <v>1000</v>
      </c>
      <c r="O45" s="327">
        <v>1000</v>
      </c>
      <c r="P45" s="327">
        <v>1000</v>
      </c>
      <c r="Q45" s="327">
        <v>1000</v>
      </c>
      <c r="R45" s="432">
        <v>1000</v>
      </c>
      <c r="S45" s="385">
        <v>1000</v>
      </c>
      <c r="T45" s="327">
        <v>1000</v>
      </c>
      <c r="U45" s="327">
        <v>1000</v>
      </c>
      <c r="V45" s="327">
        <v>1000</v>
      </c>
      <c r="W45" s="327">
        <v>1000</v>
      </c>
      <c r="X45" s="327">
        <v>1000</v>
      </c>
      <c r="Y45" s="327">
        <v>1000</v>
      </c>
      <c r="Z45" s="327">
        <v>1000</v>
      </c>
      <c r="AA45" s="327">
        <v>1000</v>
      </c>
      <c r="AB45" s="327">
        <v>1000</v>
      </c>
      <c r="AC45" s="327">
        <v>1000</v>
      </c>
      <c r="AD45" s="432">
        <v>1000</v>
      </c>
      <c r="AE45" s="385">
        <v>1000</v>
      </c>
      <c r="AF45" s="327">
        <v>1000</v>
      </c>
      <c r="AG45" s="327">
        <v>1000</v>
      </c>
      <c r="AH45" s="327">
        <v>1000</v>
      </c>
      <c r="AI45" s="327">
        <v>1000</v>
      </c>
      <c r="AJ45" s="327">
        <v>1000</v>
      </c>
      <c r="AK45" s="327">
        <v>1000</v>
      </c>
      <c r="AL45" s="327">
        <v>1000</v>
      </c>
      <c r="AM45" s="327">
        <v>1000</v>
      </c>
      <c r="AN45" s="327">
        <v>1000</v>
      </c>
      <c r="AO45" s="327">
        <v>1000</v>
      </c>
      <c r="AP45" s="432">
        <v>1000</v>
      </c>
      <c r="AQ45" s="385">
        <v>1000</v>
      </c>
      <c r="AR45" s="327">
        <v>1000</v>
      </c>
      <c r="AS45" s="327">
        <v>1000</v>
      </c>
      <c r="AT45" s="327">
        <v>1000</v>
      </c>
      <c r="AU45" s="327">
        <v>1000</v>
      </c>
      <c r="AV45" s="327">
        <v>1000</v>
      </c>
      <c r="AW45" s="327">
        <v>1000</v>
      </c>
      <c r="AX45" s="327">
        <v>1000</v>
      </c>
      <c r="AY45" s="327">
        <v>1000</v>
      </c>
      <c r="AZ45" s="327">
        <v>1000</v>
      </c>
      <c r="BA45" s="327">
        <v>1000</v>
      </c>
      <c r="BB45" s="432">
        <v>1000</v>
      </c>
      <c r="BC45" s="385">
        <v>1000</v>
      </c>
      <c r="BD45" s="327">
        <v>1000</v>
      </c>
      <c r="BE45" s="327">
        <v>1000</v>
      </c>
      <c r="BF45" s="327">
        <v>1000</v>
      </c>
      <c r="BG45" s="327">
        <v>1000</v>
      </c>
      <c r="BH45" s="327">
        <v>1000</v>
      </c>
      <c r="BI45" s="327">
        <v>1000</v>
      </c>
      <c r="BJ45" s="327">
        <v>1000</v>
      </c>
      <c r="BK45" s="327">
        <v>1000</v>
      </c>
      <c r="BL45" s="327">
        <v>1000</v>
      </c>
      <c r="BM45" s="327">
        <v>1000</v>
      </c>
      <c r="BN45" s="432">
        <v>1000</v>
      </c>
      <c r="BO45" s="385">
        <v>1000</v>
      </c>
      <c r="BP45" s="327">
        <v>1000</v>
      </c>
      <c r="BQ45" s="327">
        <v>1000</v>
      </c>
      <c r="BR45" s="447">
        <v>1000</v>
      </c>
      <c r="BS45" s="327">
        <v>1000</v>
      </c>
      <c r="BT45" s="327">
        <v>1000</v>
      </c>
      <c r="BU45" s="327">
        <v>1000</v>
      </c>
      <c r="BV45" s="327">
        <v>1000</v>
      </c>
      <c r="BW45" s="327">
        <v>1000</v>
      </c>
      <c r="BX45" s="327">
        <v>1000</v>
      </c>
      <c r="BY45" s="327">
        <v>1000</v>
      </c>
      <c r="BZ45" s="327">
        <v>1000</v>
      </c>
      <c r="CA45" s="327">
        <v>1000</v>
      </c>
      <c r="CB45" s="327">
        <v>1000</v>
      </c>
      <c r="CC45" s="448">
        <v>1000</v>
      </c>
      <c r="CD45" s="629">
        <v>1000</v>
      </c>
      <c r="CE45" s="154">
        <v>1000</v>
      </c>
      <c r="CF45" s="154">
        <v>1000</v>
      </c>
      <c r="CG45" s="154">
        <v>1000</v>
      </c>
      <c r="CH45" s="154">
        <v>1000</v>
      </c>
      <c r="CI45" s="154">
        <v>1000</v>
      </c>
      <c r="CJ45" s="327">
        <v>1000</v>
      </c>
      <c r="CK45" s="327">
        <v>1000</v>
      </c>
      <c r="CL45" s="327">
        <v>1000</v>
      </c>
      <c r="CM45" s="327">
        <v>1000</v>
      </c>
      <c r="CN45" s="327">
        <v>1000</v>
      </c>
      <c r="CO45" s="448">
        <v>1000</v>
      </c>
      <c r="CP45" s="447"/>
      <c r="CQ45" s="327"/>
      <c r="CR45" s="327"/>
      <c r="CS45" s="327"/>
      <c r="CT45" s="327"/>
      <c r="CU45" s="327"/>
      <c r="CV45" s="327"/>
      <c r="CW45" s="327"/>
      <c r="CX45" s="327"/>
      <c r="CY45" s="327"/>
      <c r="CZ45" s="327"/>
      <c r="DA45" s="448"/>
    </row>
    <row r="46" spans="1:105" ht="15" customHeight="1" x14ac:dyDescent="0.25">
      <c r="A46" s="1051" t="s">
        <v>343</v>
      </c>
      <c r="B46" s="1052">
        <f>+SUM(D46:D48)/SUM(E46:E48)</f>
        <v>0.98098859315589348</v>
      </c>
      <c r="C46" s="325" t="s">
        <v>168</v>
      </c>
      <c r="D46" s="322">
        <f t="shared" ref="D46:D56" si="8">SUM(G46:DA46)</f>
        <v>88000</v>
      </c>
      <c r="E46" s="322">
        <f t="shared" ref="E46:E56" si="9">+COUNTA(G46:DA46)*1000</f>
        <v>88000</v>
      </c>
      <c r="F46" s="699">
        <f t="shared" si="7"/>
        <v>0</v>
      </c>
      <c r="G46" s="327">
        <v>1000</v>
      </c>
      <c r="H46" s="327">
        <v>1000</v>
      </c>
      <c r="I46" s="327">
        <v>1000</v>
      </c>
      <c r="J46" s="327">
        <v>1000</v>
      </c>
      <c r="K46" s="327">
        <v>1000</v>
      </c>
      <c r="L46" s="327">
        <v>1000</v>
      </c>
      <c r="M46" s="327">
        <v>1000</v>
      </c>
      <c r="N46" s="327">
        <v>1000</v>
      </c>
      <c r="O46" s="327">
        <v>1000</v>
      </c>
      <c r="P46" s="327">
        <v>1000</v>
      </c>
      <c r="Q46" s="327">
        <v>1000</v>
      </c>
      <c r="R46" s="432">
        <v>1000</v>
      </c>
      <c r="S46" s="385">
        <v>1000</v>
      </c>
      <c r="T46" s="327">
        <v>1000</v>
      </c>
      <c r="U46" s="327">
        <v>1000</v>
      </c>
      <c r="V46" s="327">
        <v>1000</v>
      </c>
      <c r="W46" s="327">
        <v>1000</v>
      </c>
      <c r="X46" s="327">
        <v>1000</v>
      </c>
      <c r="Y46" s="327">
        <v>1000</v>
      </c>
      <c r="Z46" s="327">
        <v>1000</v>
      </c>
      <c r="AA46" s="327">
        <v>1000</v>
      </c>
      <c r="AB46" s="327">
        <v>1000</v>
      </c>
      <c r="AC46" s="327">
        <v>1000</v>
      </c>
      <c r="AD46" s="432">
        <v>1000</v>
      </c>
      <c r="AE46" s="385">
        <v>1000</v>
      </c>
      <c r="AF46" s="327">
        <v>1000</v>
      </c>
      <c r="AG46" s="327">
        <v>1000</v>
      </c>
      <c r="AH46" s="327">
        <v>1000</v>
      </c>
      <c r="AI46" s="327">
        <v>1000</v>
      </c>
      <c r="AJ46" s="327">
        <v>1000</v>
      </c>
      <c r="AK46" s="327">
        <v>1000</v>
      </c>
      <c r="AL46" s="327">
        <v>1000</v>
      </c>
      <c r="AM46" s="327">
        <v>1000</v>
      </c>
      <c r="AN46" s="327">
        <v>1000</v>
      </c>
      <c r="AO46" s="327">
        <v>1000</v>
      </c>
      <c r="AP46" s="432">
        <v>1000</v>
      </c>
      <c r="AQ46" s="385">
        <v>1000</v>
      </c>
      <c r="AR46" s="327">
        <v>1000</v>
      </c>
      <c r="AS46" s="327">
        <v>1000</v>
      </c>
      <c r="AT46" s="327">
        <v>1000</v>
      </c>
      <c r="AU46" s="327">
        <v>1000</v>
      </c>
      <c r="AV46" s="327">
        <v>1000</v>
      </c>
      <c r="AW46" s="327">
        <v>1000</v>
      </c>
      <c r="AX46" s="327">
        <v>1000</v>
      </c>
      <c r="AY46" s="327">
        <v>1000</v>
      </c>
      <c r="AZ46" s="327">
        <v>1000</v>
      </c>
      <c r="BA46" s="327">
        <v>1000</v>
      </c>
      <c r="BB46" s="432">
        <v>1000</v>
      </c>
      <c r="BC46" s="385">
        <v>1000</v>
      </c>
      <c r="BD46" s="327">
        <v>1000</v>
      </c>
      <c r="BE46" s="327">
        <v>1000</v>
      </c>
      <c r="BF46" s="327">
        <v>1000</v>
      </c>
      <c r="BG46" s="327">
        <v>1000</v>
      </c>
      <c r="BH46" s="327">
        <v>1000</v>
      </c>
      <c r="BI46" s="327">
        <v>1000</v>
      </c>
      <c r="BJ46" s="327">
        <v>1000</v>
      </c>
      <c r="BK46" s="327">
        <v>1000</v>
      </c>
      <c r="BL46" s="327">
        <v>1000</v>
      </c>
      <c r="BM46" s="327">
        <v>1000</v>
      </c>
      <c r="BN46" s="432">
        <v>1000</v>
      </c>
      <c r="BO46" s="385">
        <v>1000</v>
      </c>
      <c r="BP46" s="327">
        <v>1000</v>
      </c>
      <c r="BQ46" s="327">
        <v>1000</v>
      </c>
      <c r="BR46" s="447">
        <v>1000</v>
      </c>
      <c r="BS46" s="327">
        <v>1000</v>
      </c>
      <c r="BT46" s="327">
        <v>1000</v>
      </c>
      <c r="BU46" s="327">
        <v>1000</v>
      </c>
      <c r="BV46" s="327">
        <v>1000</v>
      </c>
      <c r="BW46" s="327">
        <v>1000</v>
      </c>
      <c r="BX46" s="327">
        <v>1000</v>
      </c>
      <c r="BY46" s="154">
        <v>1000</v>
      </c>
      <c r="BZ46" s="154">
        <v>1000</v>
      </c>
      <c r="CA46" s="154">
        <v>1000</v>
      </c>
      <c r="CB46" s="154">
        <v>1000</v>
      </c>
      <c r="CC46" s="537">
        <v>1000</v>
      </c>
      <c r="CD46" s="447">
        <v>1000</v>
      </c>
      <c r="CE46" s="327">
        <v>1000</v>
      </c>
      <c r="CF46" s="327">
        <v>1000</v>
      </c>
      <c r="CG46" s="327">
        <v>1000</v>
      </c>
      <c r="CH46" s="327">
        <v>1000</v>
      </c>
      <c r="CI46" s="327">
        <v>1000</v>
      </c>
      <c r="CJ46" s="327">
        <v>1000</v>
      </c>
      <c r="CK46" s="327">
        <v>1000</v>
      </c>
      <c r="CL46" s="327">
        <v>1000</v>
      </c>
      <c r="CM46" s="327">
        <v>1000</v>
      </c>
      <c r="CN46" s="327">
        <v>1000</v>
      </c>
      <c r="CO46" s="448">
        <v>1000</v>
      </c>
      <c r="CP46" s="447">
        <v>1000</v>
      </c>
      <c r="CQ46" s="327"/>
      <c r="CR46" s="327"/>
      <c r="CS46" s="327"/>
      <c r="CT46" s="327"/>
      <c r="CU46" s="327"/>
      <c r="CV46" s="327"/>
      <c r="CW46" s="327"/>
      <c r="CX46" s="327"/>
      <c r="CY46" s="327"/>
      <c r="CZ46" s="327"/>
      <c r="DA46" s="448"/>
    </row>
    <row r="47" spans="1:105" ht="15" customHeight="1" x14ac:dyDescent="0.25">
      <c r="A47" s="1051"/>
      <c r="B47" s="1052"/>
      <c r="C47" s="325" t="s">
        <v>169</v>
      </c>
      <c r="D47" s="322">
        <f t="shared" si="8"/>
        <v>88000</v>
      </c>
      <c r="E47" s="322">
        <f t="shared" si="9"/>
        <v>88000</v>
      </c>
      <c r="F47" s="699">
        <f t="shared" si="7"/>
        <v>0</v>
      </c>
      <c r="G47" s="327">
        <v>1000</v>
      </c>
      <c r="H47" s="327">
        <v>1000</v>
      </c>
      <c r="I47" s="327">
        <v>1000</v>
      </c>
      <c r="J47" s="327">
        <v>1000</v>
      </c>
      <c r="K47" s="327">
        <v>1000</v>
      </c>
      <c r="L47" s="327">
        <v>1000</v>
      </c>
      <c r="M47" s="327">
        <v>1000</v>
      </c>
      <c r="N47" s="327">
        <v>1000</v>
      </c>
      <c r="O47" s="327">
        <v>1000</v>
      </c>
      <c r="P47" s="327">
        <v>1000</v>
      </c>
      <c r="Q47" s="327">
        <v>1000</v>
      </c>
      <c r="R47" s="432">
        <v>1000</v>
      </c>
      <c r="S47" s="385">
        <v>1000</v>
      </c>
      <c r="T47" s="327">
        <v>1000</v>
      </c>
      <c r="U47" s="327">
        <v>1000</v>
      </c>
      <c r="V47" s="327">
        <v>1000</v>
      </c>
      <c r="W47" s="327">
        <v>1000</v>
      </c>
      <c r="X47" s="327">
        <v>1000</v>
      </c>
      <c r="Y47" s="327">
        <v>1000</v>
      </c>
      <c r="Z47" s="327">
        <v>1000</v>
      </c>
      <c r="AA47" s="327">
        <v>1000</v>
      </c>
      <c r="AB47" s="327">
        <v>1000</v>
      </c>
      <c r="AC47" s="327">
        <v>1000</v>
      </c>
      <c r="AD47" s="432">
        <v>1000</v>
      </c>
      <c r="AE47" s="385">
        <v>1000</v>
      </c>
      <c r="AF47" s="327">
        <v>1000</v>
      </c>
      <c r="AG47" s="327">
        <v>1000</v>
      </c>
      <c r="AH47" s="327">
        <v>1000</v>
      </c>
      <c r="AI47" s="327">
        <v>1000</v>
      </c>
      <c r="AJ47" s="327">
        <v>1000</v>
      </c>
      <c r="AK47" s="327">
        <v>1000</v>
      </c>
      <c r="AL47" s="327">
        <v>1000</v>
      </c>
      <c r="AM47" s="327">
        <v>1000</v>
      </c>
      <c r="AN47" s="327">
        <v>1000</v>
      </c>
      <c r="AO47" s="327">
        <v>1000</v>
      </c>
      <c r="AP47" s="432">
        <v>1000</v>
      </c>
      <c r="AQ47" s="385">
        <v>1000</v>
      </c>
      <c r="AR47" s="327">
        <v>1000</v>
      </c>
      <c r="AS47" s="327">
        <v>1000</v>
      </c>
      <c r="AT47" s="327">
        <v>1000</v>
      </c>
      <c r="AU47" s="327">
        <v>1000</v>
      </c>
      <c r="AV47" s="327">
        <v>1000</v>
      </c>
      <c r="AW47" s="327">
        <v>1000</v>
      </c>
      <c r="AX47" s="327">
        <v>1000</v>
      </c>
      <c r="AY47" s="327">
        <v>1000</v>
      </c>
      <c r="AZ47" s="327">
        <v>1000</v>
      </c>
      <c r="BA47" s="327">
        <v>1000</v>
      </c>
      <c r="BB47" s="432">
        <v>1000</v>
      </c>
      <c r="BC47" s="385">
        <v>1000</v>
      </c>
      <c r="BD47" s="327">
        <v>1000</v>
      </c>
      <c r="BE47" s="327">
        <v>1000</v>
      </c>
      <c r="BF47" s="327">
        <v>1000</v>
      </c>
      <c r="BG47" s="327">
        <v>1000</v>
      </c>
      <c r="BH47" s="327">
        <v>1000</v>
      </c>
      <c r="BI47" s="327">
        <v>1000</v>
      </c>
      <c r="BJ47" s="327">
        <v>1000</v>
      </c>
      <c r="BK47" s="327">
        <v>1000</v>
      </c>
      <c r="BL47" s="327">
        <v>1000</v>
      </c>
      <c r="BM47" s="327">
        <v>1000</v>
      </c>
      <c r="BN47" s="432">
        <v>1000</v>
      </c>
      <c r="BO47" s="385">
        <v>1000</v>
      </c>
      <c r="BP47" s="327">
        <v>1000</v>
      </c>
      <c r="BQ47" s="327">
        <v>1000</v>
      </c>
      <c r="BR47" s="447">
        <v>1000</v>
      </c>
      <c r="BS47" s="327">
        <v>1000</v>
      </c>
      <c r="BT47" s="327">
        <v>1000</v>
      </c>
      <c r="BU47" s="327">
        <v>1000</v>
      </c>
      <c r="BV47" s="327">
        <v>1000</v>
      </c>
      <c r="BW47" s="327">
        <v>1000</v>
      </c>
      <c r="BX47" s="327">
        <v>1000</v>
      </c>
      <c r="BY47" s="154">
        <v>1000</v>
      </c>
      <c r="BZ47" s="154">
        <v>1000</v>
      </c>
      <c r="CA47" s="154">
        <v>1000</v>
      </c>
      <c r="CB47" s="154">
        <v>1000</v>
      </c>
      <c r="CC47" s="537">
        <v>1000</v>
      </c>
      <c r="CD47" s="447">
        <v>1000</v>
      </c>
      <c r="CE47" s="327">
        <v>1000</v>
      </c>
      <c r="CF47" s="327">
        <v>1000</v>
      </c>
      <c r="CG47" s="327">
        <v>1000</v>
      </c>
      <c r="CH47" s="327">
        <v>1000</v>
      </c>
      <c r="CI47" s="327">
        <v>1000</v>
      </c>
      <c r="CJ47" s="327">
        <v>1000</v>
      </c>
      <c r="CK47" s="327">
        <v>1000</v>
      </c>
      <c r="CL47" s="327">
        <v>1000</v>
      </c>
      <c r="CM47" s="327">
        <v>1000</v>
      </c>
      <c r="CN47" s="327">
        <v>1000</v>
      </c>
      <c r="CO47" s="448">
        <v>1000</v>
      </c>
      <c r="CP47" s="447">
        <v>1000</v>
      </c>
      <c r="CQ47" s="327"/>
      <c r="CR47" s="327"/>
      <c r="CS47" s="327"/>
      <c r="CT47" s="327"/>
      <c r="CU47" s="327"/>
      <c r="CV47" s="327"/>
      <c r="CW47" s="327"/>
      <c r="CX47" s="327"/>
      <c r="CY47" s="327"/>
      <c r="CZ47" s="327"/>
      <c r="DA47" s="448"/>
    </row>
    <row r="48" spans="1:105" ht="15" customHeight="1" x14ac:dyDescent="0.25">
      <c r="A48" s="1051"/>
      <c r="B48" s="1052"/>
      <c r="C48" s="329" t="s">
        <v>344</v>
      </c>
      <c r="D48" s="322">
        <f t="shared" si="8"/>
        <v>82000</v>
      </c>
      <c r="E48" s="322">
        <f t="shared" si="9"/>
        <v>87000</v>
      </c>
      <c r="F48" s="699">
        <f t="shared" si="7"/>
        <v>-5.7471264367816133E-2</v>
      </c>
      <c r="G48" s="327">
        <v>1000</v>
      </c>
      <c r="H48" s="327">
        <v>1000</v>
      </c>
      <c r="I48" s="327">
        <v>1000</v>
      </c>
      <c r="J48" s="327">
        <v>1000</v>
      </c>
      <c r="K48" s="327">
        <v>1000</v>
      </c>
      <c r="L48" s="327">
        <v>1000</v>
      </c>
      <c r="M48" s="327">
        <v>1000</v>
      </c>
      <c r="N48" s="327">
        <v>1000</v>
      </c>
      <c r="O48" s="327">
        <v>1000</v>
      </c>
      <c r="P48" s="327">
        <v>1000</v>
      </c>
      <c r="Q48" s="327">
        <v>1000</v>
      </c>
      <c r="R48" s="432">
        <v>1000</v>
      </c>
      <c r="S48" s="385">
        <v>1000</v>
      </c>
      <c r="T48" s="327">
        <v>1000</v>
      </c>
      <c r="U48" s="327">
        <v>1000</v>
      </c>
      <c r="V48" s="327">
        <v>1000</v>
      </c>
      <c r="W48" s="327">
        <v>1000</v>
      </c>
      <c r="X48" s="327">
        <v>1000</v>
      </c>
      <c r="Y48" s="327">
        <v>1000</v>
      </c>
      <c r="Z48" s="327">
        <v>1000</v>
      </c>
      <c r="AA48" s="327">
        <v>1000</v>
      </c>
      <c r="AB48" s="327">
        <v>1000</v>
      </c>
      <c r="AC48" s="327">
        <v>1000</v>
      </c>
      <c r="AD48" s="432">
        <v>1000</v>
      </c>
      <c r="AE48" s="385">
        <v>1000</v>
      </c>
      <c r="AF48" s="327">
        <v>1000</v>
      </c>
      <c r="AG48" s="327">
        <v>1000</v>
      </c>
      <c r="AH48" s="327">
        <v>1000</v>
      </c>
      <c r="AI48" s="327">
        <v>1000</v>
      </c>
      <c r="AJ48" s="327">
        <v>1000</v>
      </c>
      <c r="AK48" s="327">
        <v>1000</v>
      </c>
      <c r="AL48" s="327">
        <v>1000</v>
      </c>
      <c r="AM48" s="327">
        <v>1000</v>
      </c>
      <c r="AN48" s="327">
        <v>1000</v>
      </c>
      <c r="AO48" s="327">
        <v>1000</v>
      </c>
      <c r="AP48" s="432">
        <v>1000</v>
      </c>
      <c r="AQ48" s="385">
        <v>1000</v>
      </c>
      <c r="AR48" s="327">
        <v>1000</v>
      </c>
      <c r="AS48" s="327">
        <v>1000</v>
      </c>
      <c r="AT48" s="327">
        <v>1000</v>
      </c>
      <c r="AU48" s="327">
        <v>1000</v>
      </c>
      <c r="AV48" s="327">
        <v>1000</v>
      </c>
      <c r="AW48" s="327">
        <v>1000</v>
      </c>
      <c r="AX48" s="327">
        <v>1000</v>
      </c>
      <c r="AY48" s="327">
        <v>1000</v>
      </c>
      <c r="AZ48" s="327">
        <v>1000</v>
      </c>
      <c r="BA48" s="327">
        <v>1000</v>
      </c>
      <c r="BB48" s="432">
        <v>1000</v>
      </c>
      <c r="BC48" s="385">
        <v>1000</v>
      </c>
      <c r="BD48" s="327">
        <v>1000</v>
      </c>
      <c r="BE48" s="327">
        <v>1000</v>
      </c>
      <c r="BF48" s="327">
        <v>1000</v>
      </c>
      <c r="BG48" s="327">
        <v>1000</v>
      </c>
      <c r="BH48" s="327">
        <v>1000</v>
      </c>
      <c r="BI48" s="327">
        <v>1000</v>
      </c>
      <c r="BJ48" s="327">
        <v>1000</v>
      </c>
      <c r="BK48" s="327">
        <v>1000</v>
      </c>
      <c r="BL48" s="327">
        <v>1000</v>
      </c>
      <c r="BM48" s="327">
        <v>1000</v>
      </c>
      <c r="BN48" s="432">
        <v>1000</v>
      </c>
      <c r="BO48" s="385">
        <v>1000</v>
      </c>
      <c r="BP48" s="327">
        <v>1000</v>
      </c>
      <c r="BQ48" s="327">
        <v>1000</v>
      </c>
      <c r="BR48" s="447">
        <v>1000</v>
      </c>
      <c r="BS48" s="327">
        <v>1000</v>
      </c>
      <c r="BT48" s="327">
        <v>1000</v>
      </c>
      <c r="BU48" s="327">
        <v>1000</v>
      </c>
      <c r="BV48" s="327">
        <v>1000</v>
      </c>
      <c r="BW48" s="327">
        <v>1000</v>
      </c>
      <c r="BX48" s="327">
        <v>1000</v>
      </c>
      <c r="BY48" s="154">
        <v>1000</v>
      </c>
      <c r="BZ48" s="154">
        <v>1000</v>
      </c>
      <c r="CA48" s="154">
        <v>1000</v>
      </c>
      <c r="CB48" s="154">
        <v>1000</v>
      </c>
      <c r="CC48" s="537">
        <v>1000</v>
      </c>
      <c r="CD48" s="447">
        <v>1000</v>
      </c>
      <c r="CE48" s="327">
        <v>1000</v>
      </c>
      <c r="CF48" s="327">
        <v>1000</v>
      </c>
      <c r="CG48" s="327">
        <v>1000</v>
      </c>
      <c r="CH48" s="327">
        <v>1000</v>
      </c>
      <c r="CI48" s="327">
        <v>1000</v>
      </c>
      <c r="CJ48" s="327">
        <v>1000</v>
      </c>
      <c r="CK48" s="327">
        <v>0</v>
      </c>
      <c r="CL48" s="327">
        <v>0</v>
      </c>
      <c r="CM48" s="327">
        <v>0</v>
      </c>
      <c r="CN48" s="327">
        <v>0</v>
      </c>
      <c r="CO48" s="448">
        <v>0</v>
      </c>
      <c r="CP48" s="447"/>
      <c r="CQ48" s="327"/>
      <c r="CR48" s="327"/>
      <c r="CS48" s="327"/>
      <c r="CT48" s="327"/>
      <c r="CU48" s="327"/>
      <c r="CV48" s="327"/>
      <c r="CW48" s="327"/>
      <c r="CX48" s="327"/>
      <c r="CY48" s="327"/>
      <c r="CZ48" s="327"/>
      <c r="DA48" s="448"/>
    </row>
    <row r="49" spans="1:105" ht="15" customHeight="1" x14ac:dyDescent="0.25">
      <c r="A49" s="1051" t="s">
        <v>346</v>
      </c>
      <c r="B49" s="1052">
        <f>+SUM(D49:D51)/SUM(E49:E51)</f>
        <v>0.79411764705882348</v>
      </c>
      <c r="C49" s="329" t="s">
        <v>347</v>
      </c>
      <c r="D49" s="322">
        <f t="shared" si="8"/>
        <v>64000</v>
      </c>
      <c r="E49" s="322">
        <f t="shared" si="9"/>
        <v>87000</v>
      </c>
      <c r="F49" s="699">
        <f t="shared" si="7"/>
        <v>-0.26436781609195403</v>
      </c>
      <c r="G49" s="327">
        <v>1000</v>
      </c>
      <c r="H49" s="327">
        <v>1000</v>
      </c>
      <c r="I49" s="327">
        <v>1000</v>
      </c>
      <c r="J49" s="327">
        <v>1000</v>
      </c>
      <c r="K49" s="327">
        <v>1000</v>
      </c>
      <c r="L49" s="327">
        <v>1000</v>
      </c>
      <c r="M49" s="327">
        <v>1000</v>
      </c>
      <c r="N49" s="327">
        <v>1000</v>
      </c>
      <c r="O49" s="327">
        <v>1000</v>
      </c>
      <c r="P49" s="327">
        <v>1000</v>
      </c>
      <c r="Q49" s="327">
        <v>1000</v>
      </c>
      <c r="R49" s="432">
        <v>1000</v>
      </c>
      <c r="S49" s="385">
        <v>1000</v>
      </c>
      <c r="T49" s="327">
        <v>1000</v>
      </c>
      <c r="U49" s="327">
        <v>1000</v>
      </c>
      <c r="V49" s="327">
        <v>1000</v>
      </c>
      <c r="W49" s="327">
        <v>1000</v>
      </c>
      <c r="X49" s="327">
        <v>1000</v>
      </c>
      <c r="Y49" s="327">
        <v>1000</v>
      </c>
      <c r="Z49" s="327">
        <v>1000</v>
      </c>
      <c r="AA49" s="327">
        <v>1000</v>
      </c>
      <c r="AB49" s="327">
        <v>1000</v>
      </c>
      <c r="AC49" s="327">
        <v>1000</v>
      </c>
      <c r="AD49" s="432">
        <v>1000</v>
      </c>
      <c r="AE49" s="385">
        <v>1000</v>
      </c>
      <c r="AF49" s="327">
        <v>1000</v>
      </c>
      <c r="AG49" s="327">
        <v>1000</v>
      </c>
      <c r="AH49" s="327">
        <v>1000</v>
      </c>
      <c r="AI49" s="327">
        <v>1000</v>
      </c>
      <c r="AJ49" s="327">
        <v>1000</v>
      </c>
      <c r="AK49" s="327">
        <v>1000</v>
      </c>
      <c r="AL49" s="327">
        <v>1000</v>
      </c>
      <c r="AM49" s="327">
        <v>1000</v>
      </c>
      <c r="AN49" s="327">
        <v>1000</v>
      </c>
      <c r="AO49" s="327">
        <v>1000</v>
      </c>
      <c r="AP49" s="432">
        <v>1000</v>
      </c>
      <c r="AQ49" s="385">
        <v>1000</v>
      </c>
      <c r="AR49" s="327">
        <v>1000</v>
      </c>
      <c r="AS49" s="327">
        <v>1000</v>
      </c>
      <c r="AT49" s="327">
        <v>1000</v>
      </c>
      <c r="AU49" s="327">
        <v>1000</v>
      </c>
      <c r="AV49" s="327">
        <v>1000</v>
      </c>
      <c r="AW49" s="327">
        <v>1000</v>
      </c>
      <c r="AX49" s="327">
        <v>1000</v>
      </c>
      <c r="AY49" s="327">
        <v>1000</v>
      </c>
      <c r="AZ49" s="327">
        <v>1000</v>
      </c>
      <c r="BA49" s="327">
        <v>1000</v>
      </c>
      <c r="BB49" s="432">
        <v>1000</v>
      </c>
      <c r="BC49" s="385">
        <v>1000</v>
      </c>
      <c r="BD49" s="327">
        <v>1000</v>
      </c>
      <c r="BE49" s="327">
        <v>1000</v>
      </c>
      <c r="BF49" s="327">
        <v>1000</v>
      </c>
      <c r="BG49" s="327">
        <v>1000</v>
      </c>
      <c r="BH49" s="327">
        <v>1000</v>
      </c>
      <c r="BI49" s="327">
        <v>1000</v>
      </c>
      <c r="BJ49" s="327">
        <v>1000</v>
      </c>
      <c r="BK49" s="327">
        <v>1000</v>
      </c>
      <c r="BL49" s="327">
        <v>1000</v>
      </c>
      <c r="BM49" s="327">
        <v>1000</v>
      </c>
      <c r="BN49" s="432">
        <v>1000</v>
      </c>
      <c r="BO49" s="385">
        <v>1000</v>
      </c>
      <c r="BP49" s="327">
        <v>1000</v>
      </c>
      <c r="BQ49" s="327">
        <v>1000</v>
      </c>
      <c r="BR49" s="447">
        <v>1000</v>
      </c>
      <c r="BS49" s="327">
        <v>0</v>
      </c>
      <c r="BT49" s="327">
        <v>0</v>
      </c>
      <c r="BU49" s="327">
        <v>0</v>
      </c>
      <c r="BV49" s="327">
        <v>0</v>
      </c>
      <c r="BW49" s="327">
        <v>0</v>
      </c>
      <c r="BX49" s="327">
        <v>0</v>
      </c>
      <c r="BY49" s="327">
        <v>0</v>
      </c>
      <c r="BZ49" s="327">
        <v>0</v>
      </c>
      <c r="CA49" s="327">
        <v>0</v>
      </c>
      <c r="CB49" s="327">
        <v>0</v>
      </c>
      <c r="CC49" s="448">
        <v>0</v>
      </c>
      <c r="CD49" s="447">
        <v>0</v>
      </c>
      <c r="CE49" s="327">
        <v>0</v>
      </c>
      <c r="CF49" s="327">
        <v>0</v>
      </c>
      <c r="CG49" s="327">
        <v>0</v>
      </c>
      <c r="CH49" s="327">
        <v>0</v>
      </c>
      <c r="CI49" s="327">
        <v>0</v>
      </c>
      <c r="CJ49" s="327">
        <v>0</v>
      </c>
      <c r="CK49" s="327">
        <v>0</v>
      </c>
      <c r="CL49" s="327">
        <v>0</v>
      </c>
      <c r="CM49" s="327">
        <v>0</v>
      </c>
      <c r="CN49" s="327">
        <v>0</v>
      </c>
      <c r="CO49" s="448">
        <v>0</v>
      </c>
      <c r="CP49" s="447"/>
      <c r="CQ49" s="327"/>
      <c r="CR49" s="327"/>
      <c r="CS49" s="327"/>
      <c r="CT49" s="327"/>
      <c r="CU49" s="327"/>
      <c r="CV49" s="327"/>
      <c r="CW49" s="327"/>
      <c r="CX49" s="327"/>
      <c r="CY49" s="327"/>
      <c r="CZ49" s="327"/>
      <c r="DA49" s="448"/>
    </row>
    <row r="50" spans="1:105" ht="15" customHeight="1" x14ac:dyDescent="0.25">
      <c r="A50" s="1051"/>
      <c r="B50" s="1052"/>
      <c r="C50" s="325" t="s">
        <v>174</v>
      </c>
      <c r="D50" s="322">
        <f t="shared" si="8"/>
        <v>53000</v>
      </c>
      <c r="E50" s="322">
        <f t="shared" si="9"/>
        <v>59000</v>
      </c>
      <c r="F50" s="699">
        <f t="shared" si="7"/>
        <v>-0.10169491525423724</v>
      </c>
      <c r="G50" s="326"/>
      <c r="H50" s="326"/>
      <c r="I50" s="326"/>
      <c r="J50" s="326"/>
      <c r="K50" s="326"/>
      <c r="L50" s="326"/>
      <c r="M50" s="326"/>
      <c r="N50" s="326"/>
      <c r="O50" s="326"/>
      <c r="P50" s="326"/>
      <c r="Q50" s="326"/>
      <c r="R50" s="434"/>
      <c r="S50" s="433"/>
      <c r="T50" s="326"/>
      <c r="U50" s="326"/>
      <c r="V50" s="326"/>
      <c r="W50" s="326"/>
      <c r="X50" s="326"/>
      <c r="Y50" s="326"/>
      <c r="Z50" s="326"/>
      <c r="AA50" s="326"/>
      <c r="AB50" s="326"/>
      <c r="AC50" s="326"/>
      <c r="AD50" s="434"/>
      <c r="AE50" s="433"/>
      <c r="AF50" s="326"/>
      <c r="AG50" s="326"/>
      <c r="AH50" s="326"/>
      <c r="AI50" s="327">
        <v>1000</v>
      </c>
      <c r="AJ50" s="327">
        <v>1000</v>
      </c>
      <c r="AK50" s="327">
        <v>1000</v>
      </c>
      <c r="AL50" s="327">
        <v>1000</v>
      </c>
      <c r="AM50" s="327">
        <v>1000</v>
      </c>
      <c r="AN50" s="327">
        <v>1000</v>
      </c>
      <c r="AO50" s="327">
        <v>1000</v>
      </c>
      <c r="AP50" s="432">
        <v>1000</v>
      </c>
      <c r="AQ50" s="385">
        <v>1000</v>
      </c>
      <c r="AR50" s="327">
        <v>1000</v>
      </c>
      <c r="AS50" s="327">
        <v>1000</v>
      </c>
      <c r="AT50" s="327">
        <v>1000</v>
      </c>
      <c r="AU50" s="327">
        <v>1000</v>
      </c>
      <c r="AV50" s="327">
        <v>1000</v>
      </c>
      <c r="AW50" s="327">
        <v>1000</v>
      </c>
      <c r="AX50" s="327">
        <v>1000</v>
      </c>
      <c r="AY50" s="327">
        <v>1000</v>
      </c>
      <c r="AZ50" s="327">
        <v>1000</v>
      </c>
      <c r="BA50" s="327">
        <v>1000</v>
      </c>
      <c r="BB50" s="432">
        <v>1000</v>
      </c>
      <c r="BC50" s="385">
        <v>1000</v>
      </c>
      <c r="BD50" s="327">
        <v>1000</v>
      </c>
      <c r="BE50" s="327">
        <v>1000</v>
      </c>
      <c r="BF50" s="327">
        <v>1000</v>
      </c>
      <c r="BG50" s="327">
        <v>1000</v>
      </c>
      <c r="BH50" s="327">
        <v>1000</v>
      </c>
      <c r="BI50" s="327">
        <v>1000</v>
      </c>
      <c r="BJ50" s="327">
        <v>1000</v>
      </c>
      <c r="BK50" s="327">
        <v>1000</v>
      </c>
      <c r="BL50" s="327">
        <v>1000</v>
      </c>
      <c r="BM50" s="327">
        <v>1000</v>
      </c>
      <c r="BN50" s="432">
        <v>1000</v>
      </c>
      <c r="BO50" s="385">
        <v>1000</v>
      </c>
      <c r="BP50" s="327">
        <v>1000</v>
      </c>
      <c r="BQ50" s="327">
        <v>1000</v>
      </c>
      <c r="BR50" s="447">
        <v>1000</v>
      </c>
      <c r="BS50" s="327">
        <v>1000</v>
      </c>
      <c r="BT50" s="327">
        <v>1000</v>
      </c>
      <c r="BU50" s="327">
        <v>1000</v>
      </c>
      <c r="BV50" s="327">
        <v>1000</v>
      </c>
      <c r="BW50" s="327">
        <v>1000</v>
      </c>
      <c r="BX50" s="327">
        <v>1000</v>
      </c>
      <c r="BY50" s="327">
        <v>1000</v>
      </c>
      <c r="BZ50" s="327">
        <v>1000</v>
      </c>
      <c r="CA50" s="327">
        <v>1000</v>
      </c>
      <c r="CB50" s="327">
        <v>1000</v>
      </c>
      <c r="CC50" s="448">
        <v>1000</v>
      </c>
      <c r="CD50" s="447">
        <v>1000</v>
      </c>
      <c r="CE50" s="327">
        <v>1000</v>
      </c>
      <c r="CF50" s="327">
        <v>1000</v>
      </c>
      <c r="CG50" s="327">
        <v>1000</v>
      </c>
      <c r="CH50" s="327">
        <v>1000</v>
      </c>
      <c r="CI50" s="327">
        <v>1000</v>
      </c>
      <c r="CJ50" s="327">
        <v>0</v>
      </c>
      <c r="CK50" s="327">
        <v>0</v>
      </c>
      <c r="CL50" s="327">
        <v>0</v>
      </c>
      <c r="CM50" s="327">
        <v>0</v>
      </c>
      <c r="CN50" s="327">
        <v>0</v>
      </c>
      <c r="CO50" s="448">
        <v>0</v>
      </c>
      <c r="CP50" s="447"/>
      <c r="CQ50" s="327"/>
      <c r="CR50" s="327"/>
      <c r="CS50" s="327"/>
      <c r="CT50" s="327"/>
      <c r="CU50" s="327"/>
      <c r="CV50" s="327"/>
      <c r="CW50" s="327"/>
      <c r="CX50" s="327"/>
      <c r="CY50" s="327"/>
      <c r="CZ50" s="327"/>
      <c r="DA50" s="448"/>
    </row>
    <row r="51" spans="1:105" ht="15" customHeight="1" x14ac:dyDescent="0.25">
      <c r="A51" s="1051"/>
      <c r="B51" s="1052"/>
      <c r="C51" s="325" t="s">
        <v>421</v>
      </c>
      <c r="D51" s="322">
        <f t="shared" si="8"/>
        <v>18000</v>
      </c>
      <c r="E51" s="322">
        <f t="shared" si="9"/>
        <v>24000</v>
      </c>
      <c r="F51" s="699">
        <f>+IF((D51+E51)=0,"No Aplica",+D51/E51-1)</f>
        <v>-0.25</v>
      </c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434"/>
      <c r="S51" s="433"/>
      <c r="T51" s="326"/>
      <c r="U51" s="326"/>
      <c r="V51" s="326"/>
      <c r="W51" s="326"/>
      <c r="X51" s="326"/>
      <c r="Y51" s="326"/>
      <c r="Z51" s="326"/>
      <c r="AA51" s="326"/>
      <c r="AB51" s="326"/>
      <c r="AC51" s="326"/>
      <c r="AD51" s="434"/>
      <c r="AE51" s="433"/>
      <c r="AF51" s="326"/>
      <c r="AG51" s="326"/>
      <c r="AH51" s="326"/>
      <c r="AI51" s="326"/>
      <c r="AJ51" s="326"/>
      <c r="AK51" s="326"/>
      <c r="AL51" s="326"/>
      <c r="AM51" s="326"/>
      <c r="AN51" s="326"/>
      <c r="AO51" s="326"/>
      <c r="AP51" s="434"/>
      <c r="AQ51" s="433"/>
      <c r="AR51" s="326"/>
      <c r="AS51" s="326"/>
      <c r="AT51" s="326"/>
      <c r="AU51" s="326"/>
      <c r="AV51" s="326"/>
      <c r="AW51" s="326"/>
      <c r="AX51" s="326"/>
      <c r="AY51" s="326"/>
      <c r="AZ51" s="326"/>
      <c r="BA51" s="326"/>
      <c r="BB51" s="434"/>
      <c r="BC51" s="433"/>
      <c r="BD51" s="326"/>
      <c r="BE51" s="326"/>
      <c r="BF51" s="326"/>
      <c r="BG51" s="326"/>
      <c r="BH51" s="326"/>
      <c r="BI51" s="326"/>
      <c r="BJ51" s="326"/>
      <c r="BK51" s="326"/>
      <c r="BL51" s="326"/>
      <c r="BM51" s="326"/>
      <c r="BN51" s="434"/>
      <c r="BO51" s="433"/>
      <c r="BP51" s="326"/>
      <c r="BQ51" s="326"/>
      <c r="BR51" s="447">
        <v>1000</v>
      </c>
      <c r="BS51" s="327">
        <v>1000</v>
      </c>
      <c r="BT51" s="327">
        <v>1000</v>
      </c>
      <c r="BU51" s="327">
        <v>1000</v>
      </c>
      <c r="BV51" s="327">
        <v>1000</v>
      </c>
      <c r="BW51" s="327">
        <v>1000</v>
      </c>
      <c r="BX51" s="327">
        <v>1000</v>
      </c>
      <c r="BY51" s="327">
        <v>1000</v>
      </c>
      <c r="BZ51" s="327">
        <v>1000</v>
      </c>
      <c r="CA51" s="327">
        <v>1000</v>
      </c>
      <c r="CB51" s="327">
        <v>1000</v>
      </c>
      <c r="CC51" s="448">
        <v>1000</v>
      </c>
      <c r="CD51" s="447">
        <v>1000</v>
      </c>
      <c r="CE51" s="327">
        <v>1000</v>
      </c>
      <c r="CF51" s="327">
        <v>1000</v>
      </c>
      <c r="CG51" s="327">
        <v>1000</v>
      </c>
      <c r="CH51" s="327">
        <v>1000</v>
      </c>
      <c r="CI51" s="327">
        <v>1000</v>
      </c>
      <c r="CJ51" s="327">
        <v>0</v>
      </c>
      <c r="CK51" s="327">
        <v>0</v>
      </c>
      <c r="CL51" s="327">
        <v>0</v>
      </c>
      <c r="CM51" s="327">
        <v>0</v>
      </c>
      <c r="CN51" s="327">
        <v>0</v>
      </c>
      <c r="CO51" s="448">
        <v>0</v>
      </c>
      <c r="CP51" s="447"/>
      <c r="CQ51" s="327"/>
      <c r="CR51" s="327"/>
      <c r="CS51" s="327"/>
      <c r="CT51" s="327"/>
      <c r="CU51" s="327"/>
      <c r="CV51" s="327"/>
      <c r="CW51" s="327"/>
      <c r="CX51" s="327"/>
      <c r="CY51" s="327"/>
      <c r="CZ51" s="327"/>
      <c r="DA51" s="448"/>
    </row>
    <row r="52" spans="1:105" x14ac:dyDescent="0.25">
      <c r="A52" s="1051" t="s">
        <v>354</v>
      </c>
      <c r="B52" s="1052">
        <f>+SUM(D52:D54)/SUM(E52:E54)</f>
        <v>1</v>
      </c>
      <c r="C52" s="325" t="s">
        <v>176</v>
      </c>
      <c r="D52" s="322">
        <f t="shared" si="8"/>
        <v>33000</v>
      </c>
      <c r="E52" s="322">
        <f t="shared" si="9"/>
        <v>33000</v>
      </c>
      <c r="F52" s="699">
        <f t="shared" si="7"/>
        <v>0</v>
      </c>
      <c r="G52" s="326"/>
      <c r="H52" s="326"/>
      <c r="I52" s="326"/>
      <c r="J52" s="326"/>
      <c r="K52" s="326"/>
      <c r="L52" s="326"/>
      <c r="M52" s="326"/>
      <c r="N52" s="326"/>
      <c r="O52" s="326"/>
      <c r="P52" s="326"/>
      <c r="Q52" s="326"/>
      <c r="R52" s="434"/>
      <c r="S52" s="433"/>
      <c r="T52" s="326"/>
      <c r="U52" s="326"/>
      <c r="V52" s="326"/>
      <c r="W52" s="326"/>
      <c r="X52" s="326"/>
      <c r="Y52" s="326"/>
      <c r="Z52" s="326"/>
      <c r="AA52" s="326"/>
      <c r="AB52" s="326"/>
      <c r="AC52" s="326"/>
      <c r="AD52" s="434"/>
      <c r="AE52" s="433"/>
      <c r="AF52" s="326"/>
      <c r="AG52" s="326"/>
      <c r="AH52" s="326"/>
      <c r="AI52" s="326"/>
      <c r="AJ52" s="326"/>
      <c r="AK52" s="326"/>
      <c r="AL52" s="326"/>
      <c r="AM52" s="326"/>
      <c r="AN52" s="326"/>
      <c r="AO52" s="326"/>
      <c r="AP52" s="434"/>
      <c r="AQ52" s="433"/>
      <c r="AR52" s="326"/>
      <c r="AS52" s="326"/>
      <c r="AT52" s="326"/>
      <c r="AU52" s="326"/>
      <c r="AV52" s="326"/>
      <c r="AW52" s="326"/>
      <c r="AX52" s="326"/>
      <c r="AY52" s="326"/>
      <c r="AZ52" s="326"/>
      <c r="BA52" s="326"/>
      <c r="BB52" s="434"/>
      <c r="BC52" s="433"/>
      <c r="BD52" s="326"/>
      <c r="BE52" s="326"/>
      <c r="BF52" s="326"/>
      <c r="BG52" s="326"/>
      <c r="BH52" s="326"/>
      <c r="BI52" s="327">
        <v>1000</v>
      </c>
      <c r="BJ52" s="327">
        <v>1000</v>
      </c>
      <c r="BK52" s="327">
        <v>1000</v>
      </c>
      <c r="BL52" s="327">
        <v>1000</v>
      </c>
      <c r="BM52" s="327">
        <v>1000</v>
      </c>
      <c r="BN52" s="432">
        <v>1000</v>
      </c>
      <c r="BO52" s="385">
        <v>1000</v>
      </c>
      <c r="BP52" s="327">
        <v>1000</v>
      </c>
      <c r="BQ52" s="327">
        <v>1000</v>
      </c>
      <c r="BR52" s="447">
        <v>1000</v>
      </c>
      <c r="BS52" s="327">
        <v>1000</v>
      </c>
      <c r="BT52" s="327">
        <v>1000</v>
      </c>
      <c r="BU52" s="327">
        <v>1000</v>
      </c>
      <c r="BV52" s="327">
        <v>1000</v>
      </c>
      <c r="BW52" s="327">
        <v>1000</v>
      </c>
      <c r="BX52" s="327">
        <v>1000</v>
      </c>
      <c r="BY52" s="327">
        <v>1000</v>
      </c>
      <c r="BZ52" s="327">
        <v>1000</v>
      </c>
      <c r="CA52" s="154">
        <v>1000</v>
      </c>
      <c r="CB52" s="154">
        <v>1000</v>
      </c>
      <c r="CC52" s="537">
        <v>1000</v>
      </c>
      <c r="CD52" s="629">
        <v>1000</v>
      </c>
      <c r="CE52" s="327">
        <v>1000</v>
      </c>
      <c r="CF52" s="327">
        <v>1000</v>
      </c>
      <c r="CG52" s="327">
        <v>1000</v>
      </c>
      <c r="CH52" s="327">
        <v>1000</v>
      </c>
      <c r="CI52" s="327">
        <v>1000</v>
      </c>
      <c r="CJ52" s="327">
        <v>1000</v>
      </c>
      <c r="CK52" s="327">
        <v>1000</v>
      </c>
      <c r="CL52" s="327">
        <v>1000</v>
      </c>
      <c r="CM52" s="327">
        <v>1000</v>
      </c>
      <c r="CN52" s="327">
        <v>1000</v>
      </c>
      <c r="CO52" s="448">
        <v>1000</v>
      </c>
      <c r="CP52" s="447"/>
      <c r="CQ52" s="327"/>
      <c r="CR52" s="327"/>
      <c r="CS52" s="327"/>
      <c r="CT52" s="327"/>
      <c r="CU52" s="327"/>
      <c r="CV52" s="327"/>
      <c r="CW52" s="327"/>
      <c r="CX52" s="327"/>
      <c r="CY52" s="327"/>
      <c r="CZ52" s="327"/>
      <c r="DA52" s="448"/>
    </row>
    <row r="53" spans="1:105" x14ac:dyDescent="0.25">
      <c r="A53" s="1051"/>
      <c r="B53" s="1052"/>
      <c r="C53" s="325" t="s">
        <v>355</v>
      </c>
      <c r="D53" s="322">
        <f t="shared" si="8"/>
        <v>33000</v>
      </c>
      <c r="E53" s="322">
        <f t="shared" si="9"/>
        <v>33000</v>
      </c>
      <c r="F53" s="699">
        <f t="shared" si="7"/>
        <v>0</v>
      </c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434"/>
      <c r="S53" s="433"/>
      <c r="T53" s="326"/>
      <c r="U53" s="326"/>
      <c r="V53" s="326"/>
      <c r="W53" s="326"/>
      <c r="X53" s="326"/>
      <c r="Y53" s="326"/>
      <c r="Z53" s="326"/>
      <c r="AA53" s="326"/>
      <c r="AB53" s="326"/>
      <c r="AC53" s="326"/>
      <c r="AD53" s="434"/>
      <c r="AE53" s="433"/>
      <c r="AF53" s="326"/>
      <c r="AG53" s="326"/>
      <c r="AH53" s="326"/>
      <c r="AI53" s="326"/>
      <c r="AJ53" s="326"/>
      <c r="AK53" s="326"/>
      <c r="AL53" s="326"/>
      <c r="AM53" s="326"/>
      <c r="AN53" s="326"/>
      <c r="AO53" s="326"/>
      <c r="AP53" s="434"/>
      <c r="AQ53" s="433"/>
      <c r="AR53" s="326"/>
      <c r="AS53" s="326"/>
      <c r="AT53" s="326"/>
      <c r="AU53" s="326"/>
      <c r="AV53" s="326"/>
      <c r="AW53" s="326"/>
      <c r="AX53" s="326"/>
      <c r="AY53" s="326"/>
      <c r="AZ53" s="326"/>
      <c r="BA53" s="326"/>
      <c r="BB53" s="434"/>
      <c r="BC53" s="433"/>
      <c r="BD53" s="326"/>
      <c r="BE53" s="326"/>
      <c r="BF53" s="326"/>
      <c r="BG53" s="326"/>
      <c r="BH53" s="326"/>
      <c r="BI53" s="327">
        <v>1000</v>
      </c>
      <c r="BJ53" s="327">
        <v>1000</v>
      </c>
      <c r="BK53" s="327">
        <v>1000</v>
      </c>
      <c r="BL53" s="327">
        <v>1000</v>
      </c>
      <c r="BM53" s="327">
        <v>1000</v>
      </c>
      <c r="BN53" s="432">
        <v>1000</v>
      </c>
      <c r="BO53" s="385">
        <v>1000</v>
      </c>
      <c r="BP53" s="327">
        <v>1000</v>
      </c>
      <c r="BQ53" s="327">
        <v>1000</v>
      </c>
      <c r="BR53" s="447">
        <v>1000</v>
      </c>
      <c r="BS53" s="327">
        <v>1000</v>
      </c>
      <c r="BT53" s="327">
        <v>1000</v>
      </c>
      <c r="BU53" s="327">
        <v>1000</v>
      </c>
      <c r="BV53" s="327">
        <v>1000</v>
      </c>
      <c r="BW53" s="327">
        <v>1000</v>
      </c>
      <c r="BX53" s="327">
        <v>1000</v>
      </c>
      <c r="BY53" s="327">
        <v>1000</v>
      </c>
      <c r="BZ53" s="327">
        <v>1000</v>
      </c>
      <c r="CA53" s="154">
        <v>1000</v>
      </c>
      <c r="CB53" s="154">
        <v>1000</v>
      </c>
      <c r="CC53" s="537">
        <v>1000</v>
      </c>
      <c r="CD53" s="629">
        <v>1000</v>
      </c>
      <c r="CE53" s="327">
        <v>1000</v>
      </c>
      <c r="CF53" s="327">
        <v>1000</v>
      </c>
      <c r="CG53" s="327">
        <v>1000</v>
      </c>
      <c r="CH53" s="327">
        <v>1000</v>
      </c>
      <c r="CI53" s="327">
        <v>1000</v>
      </c>
      <c r="CJ53" s="327">
        <v>1000</v>
      </c>
      <c r="CK53" s="327">
        <v>1000</v>
      </c>
      <c r="CL53" s="327">
        <v>1000</v>
      </c>
      <c r="CM53" s="327">
        <v>1000</v>
      </c>
      <c r="CN53" s="327">
        <v>1000</v>
      </c>
      <c r="CO53" s="448">
        <v>1000</v>
      </c>
      <c r="CP53" s="447"/>
      <c r="CQ53" s="327"/>
      <c r="CR53" s="327"/>
      <c r="CS53" s="327"/>
      <c r="CT53" s="327"/>
      <c r="CU53" s="327"/>
      <c r="CV53" s="327"/>
      <c r="CW53" s="327"/>
      <c r="CX53" s="327"/>
      <c r="CY53" s="327"/>
      <c r="CZ53" s="327"/>
      <c r="DA53" s="448"/>
    </row>
    <row r="54" spans="1:105" x14ac:dyDescent="0.25">
      <c r="A54" s="1051"/>
      <c r="B54" s="1052"/>
      <c r="C54" s="325" t="s">
        <v>228</v>
      </c>
      <c r="D54" s="322">
        <f t="shared" si="8"/>
        <v>25000</v>
      </c>
      <c r="E54" s="322">
        <f t="shared" si="9"/>
        <v>25000</v>
      </c>
      <c r="F54" s="699">
        <f t="shared" si="7"/>
        <v>0</v>
      </c>
      <c r="G54" s="326"/>
      <c r="H54" s="326"/>
      <c r="I54" s="326"/>
      <c r="J54" s="326"/>
      <c r="K54" s="326"/>
      <c r="L54" s="326"/>
      <c r="M54" s="326"/>
      <c r="N54" s="326"/>
      <c r="O54" s="326"/>
      <c r="P54" s="326"/>
      <c r="Q54" s="326"/>
      <c r="R54" s="434"/>
      <c r="S54" s="433"/>
      <c r="T54" s="326"/>
      <c r="U54" s="326"/>
      <c r="V54" s="326"/>
      <c r="W54" s="326"/>
      <c r="X54" s="326"/>
      <c r="Y54" s="326"/>
      <c r="Z54" s="326"/>
      <c r="AA54" s="326"/>
      <c r="AB54" s="326"/>
      <c r="AC54" s="326"/>
      <c r="AD54" s="434"/>
      <c r="AE54" s="433"/>
      <c r="AF54" s="326"/>
      <c r="AG54" s="326"/>
      <c r="AH54" s="326"/>
      <c r="AI54" s="326"/>
      <c r="AJ54" s="326"/>
      <c r="AK54" s="326"/>
      <c r="AL54" s="326"/>
      <c r="AM54" s="326"/>
      <c r="AN54" s="326"/>
      <c r="AO54" s="326"/>
      <c r="AP54" s="434"/>
      <c r="AQ54" s="433"/>
      <c r="AR54" s="326"/>
      <c r="AS54" s="326"/>
      <c r="AT54" s="326"/>
      <c r="AU54" s="326"/>
      <c r="AV54" s="326"/>
      <c r="AW54" s="326"/>
      <c r="AX54" s="326"/>
      <c r="AY54" s="326"/>
      <c r="AZ54" s="326"/>
      <c r="BA54" s="326"/>
      <c r="BB54" s="434"/>
      <c r="BC54" s="433"/>
      <c r="BD54" s="326"/>
      <c r="BE54" s="326"/>
      <c r="BF54" s="326"/>
      <c r="BG54" s="326"/>
      <c r="BH54" s="326"/>
      <c r="BI54" s="326"/>
      <c r="BJ54" s="326"/>
      <c r="BK54" s="326"/>
      <c r="BL54" s="326"/>
      <c r="BM54" s="326"/>
      <c r="BN54" s="434"/>
      <c r="BO54" s="433"/>
      <c r="BP54" s="326"/>
      <c r="BQ54" s="327">
        <v>1000</v>
      </c>
      <c r="BR54" s="447">
        <v>1000</v>
      </c>
      <c r="BS54" s="327">
        <v>1000</v>
      </c>
      <c r="BT54" s="327">
        <v>1000</v>
      </c>
      <c r="BU54" s="327">
        <v>1000</v>
      </c>
      <c r="BV54" s="327">
        <v>1000</v>
      </c>
      <c r="BW54" s="327">
        <v>1000</v>
      </c>
      <c r="BX54" s="327">
        <v>1000</v>
      </c>
      <c r="BY54" s="327">
        <v>1000</v>
      </c>
      <c r="BZ54" s="327">
        <v>1000</v>
      </c>
      <c r="CA54" s="154">
        <v>1000</v>
      </c>
      <c r="CB54" s="154">
        <v>1000</v>
      </c>
      <c r="CC54" s="537">
        <v>1000</v>
      </c>
      <c r="CD54" s="629">
        <v>1000</v>
      </c>
      <c r="CE54" s="327">
        <v>1000</v>
      </c>
      <c r="CF54" s="327">
        <v>1000</v>
      </c>
      <c r="CG54" s="327">
        <v>1000</v>
      </c>
      <c r="CH54" s="327">
        <v>1000</v>
      </c>
      <c r="CI54" s="327">
        <v>1000</v>
      </c>
      <c r="CJ54" s="327">
        <v>1000</v>
      </c>
      <c r="CK54" s="327">
        <v>1000</v>
      </c>
      <c r="CL54" s="327">
        <v>1000</v>
      </c>
      <c r="CM54" s="327">
        <v>1000</v>
      </c>
      <c r="CN54" s="327">
        <v>1000</v>
      </c>
      <c r="CO54" s="448">
        <v>1000</v>
      </c>
      <c r="CP54" s="447"/>
      <c r="CQ54" s="327"/>
      <c r="CR54" s="327"/>
      <c r="CS54" s="327"/>
      <c r="CT54" s="327"/>
      <c r="CU54" s="327"/>
      <c r="CV54" s="327"/>
      <c r="CW54" s="327"/>
      <c r="CX54" s="327"/>
      <c r="CY54" s="327"/>
      <c r="CZ54" s="327"/>
      <c r="DA54" s="448"/>
    </row>
    <row r="55" spans="1:105" ht="15" customHeight="1" x14ac:dyDescent="0.25">
      <c r="A55" s="1051" t="s">
        <v>357</v>
      </c>
      <c r="B55" s="1052">
        <f>+SUM(D55:D56)/SUM(E55:E56)</f>
        <v>1</v>
      </c>
      <c r="C55" s="325" t="s">
        <v>132</v>
      </c>
      <c r="D55" s="322">
        <f t="shared" si="8"/>
        <v>87000</v>
      </c>
      <c r="E55" s="322">
        <f t="shared" si="9"/>
        <v>87000</v>
      </c>
      <c r="F55" s="699">
        <f t="shared" si="7"/>
        <v>0</v>
      </c>
      <c r="G55" s="327">
        <v>1000</v>
      </c>
      <c r="H55" s="327">
        <v>1000</v>
      </c>
      <c r="I55" s="327">
        <v>1000</v>
      </c>
      <c r="J55" s="327">
        <v>1000</v>
      </c>
      <c r="K55" s="327">
        <v>1000</v>
      </c>
      <c r="L55" s="327">
        <v>1000</v>
      </c>
      <c r="M55" s="327">
        <v>1000</v>
      </c>
      <c r="N55" s="327">
        <v>1000</v>
      </c>
      <c r="O55" s="327">
        <v>1000</v>
      </c>
      <c r="P55" s="327">
        <v>1000</v>
      </c>
      <c r="Q55" s="327">
        <v>1000</v>
      </c>
      <c r="R55" s="432">
        <v>1000</v>
      </c>
      <c r="S55" s="385">
        <v>1000</v>
      </c>
      <c r="T55" s="327">
        <v>1000</v>
      </c>
      <c r="U55" s="327">
        <v>1000</v>
      </c>
      <c r="V55" s="327">
        <v>1000</v>
      </c>
      <c r="W55" s="327">
        <v>1000</v>
      </c>
      <c r="X55" s="327">
        <v>1000</v>
      </c>
      <c r="Y55" s="327">
        <v>1000</v>
      </c>
      <c r="Z55" s="327">
        <v>1000</v>
      </c>
      <c r="AA55" s="327">
        <v>1000</v>
      </c>
      <c r="AB55" s="327">
        <v>1000</v>
      </c>
      <c r="AC55" s="327">
        <v>1000</v>
      </c>
      <c r="AD55" s="432">
        <v>1000</v>
      </c>
      <c r="AE55" s="385">
        <v>1000</v>
      </c>
      <c r="AF55" s="327">
        <v>1000</v>
      </c>
      <c r="AG55" s="327">
        <v>1000</v>
      </c>
      <c r="AH55" s="327">
        <v>1000</v>
      </c>
      <c r="AI55" s="327">
        <v>1000</v>
      </c>
      <c r="AJ55" s="327">
        <v>1000</v>
      </c>
      <c r="AK55" s="327">
        <v>1000</v>
      </c>
      <c r="AL55" s="327">
        <v>1000</v>
      </c>
      <c r="AM55" s="327">
        <v>1000</v>
      </c>
      <c r="AN55" s="327">
        <v>1000</v>
      </c>
      <c r="AO55" s="327">
        <v>1000</v>
      </c>
      <c r="AP55" s="432">
        <v>1000</v>
      </c>
      <c r="AQ55" s="385">
        <v>1000</v>
      </c>
      <c r="AR55" s="327">
        <v>1000</v>
      </c>
      <c r="AS55" s="327">
        <v>1000</v>
      </c>
      <c r="AT55" s="327">
        <v>1000</v>
      </c>
      <c r="AU55" s="327">
        <v>1000</v>
      </c>
      <c r="AV55" s="327">
        <v>1000</v>
      </c>
      <c r="AW55" s="327">
        <v>1000</v>
      </c>
      <c r="AX55" s="327">
        <v>1000</v>
      </c>
      <c r="AY55" s="327">
        <v>1000</v>
      </c>
      <c r="AZ55" s="327">
        <v>1000</v>
      </c>
      <c r="BA55" s="327">
        <v>1000</v>
      </c>
      <c r="BB55" s="432">
        <v>1000</v>
      </c>
      <c r="BC55" s="385">
        <v>1000</v>
      </c>
      <c r="BD55" s="327">
        <v>1000</v>
      </c>
      <c r="BE55" s="327">
        <v>1000</v>
      </c>
      <c r="BF55" s="327">
        <v>1000</v>
      </c>
      <c r="BG55" s="327">
        <v>1000</v>
      </c>
      <c r="BH55" s="327">
        <v>1000</v>
      </c>
      <c r="BI55" s="327">
        <v>1000</v>
      </c>
      <c r="BJ55" s="327">
        <v>1000</v>
      </c>
      <c r="BK55" s="327">
        <v>1000</v>
      </c>
      <c r="BL55" s="327">
        <v>1000</v>
      </c>
      <c r="BM55" s="327">
        <v>1000</v>
      </c>
      <c r="BN55" s="432">
        <v>1000</v>
      </c>
      <c r="BO55" s="385">
        <v>1000</v>
      </c>
      <c r="BP55" s="327">
        <v>1000</v>
      </c>
      <c r="BQ55" s="327">
        <v>1000</v>
      </c>
      <c r="BR55" s="447">
        <v>1000</v>
      </c>
      <c r="BS55" s="327">
        <v>1000</v>
      </c>
      <c r="BT55" s="327">
        <v>1000</v>
      </c>
      <c r="BU55" s="327">
        <v>1000</v>
      </c>
      <c r="BV55" s="327">
        <v>1000</v>
      </c>
      <c r="BW55" s="327">
        <v>1000</v>
      </c>
      <c r="BX55" s="327">
        <v>1000</v>
      </c>
      <c r="BY55" s="327">
        <v>1000</v>
      </c>
      <c r="BZ55" s="327">
        <v>1000</v>
      </c>
      <c r="CA55" s="154">
        <v>1000</v>
      </c>
      <c r="CB55" s="154">
        <v>1000</v>
      </c>
      <c r="CC55" s="537">
        <v>1000</v>
      </c>
      <c r="CD55" s="629">
        <v>1000</v>
      </c>
      <c r="CE55" s="327">
        <v>1000</v>
      </c>
      <c r="CF55" s="327">
        <v>1000</v>
      </c>
      <c r="CG55" s="327">
        <v>1000</v>
      </c>
      <c r="CH55" s="327">
        <v>1000</v>
      </c>
      <c r="CI55" s="327">
        <v>1000</v>
      </c>
      <c r="CJ55" s="327">
        <v>1000</v>
      </c>
      <c r="CK55" s="327">
        <v>1000</v>
      </c>
      <c r="CL55" s="327">
        <v>1000</v>
      </c>
      <c r="CM55" s="327">
        <v>1000</v>
      </c>
      <c r="CN55" s="327">
        <v>1000</v>
      </c>
      <c r="CO55" s="448">
        <v>1000</v>
      </c>
      <c r="CP55" s="447"/>
      <c r="CQ55" s="327"/>
      <c r="CR55" s="327"/>
      <c r="CS55" s="327"/>
      <c r="CT55" s="327"/>
      <c r="CU55" s="327"/>
      <c r="CV55" s="327"/>
      <c r="CW55" s="327"/>
      <c r="CX55" s="327"/>
      <c r="CY55" s="327"/>
      <c r="CZ55" s="327"/>
      <c r="DA55" s="448"/>
    </row>
    <row r="56" spans="1:105" ht="15.75" customHeight="1" thickBot="1" x14ac:dyDescent="0.3">
      <c r="A56" s="1051"/>
      <c r="B56" s="1052"/>
      <c r="C56" s="329" t="s">
        <v>178</v>
      </c>
      <c r="D56" s="322">
        <f t="shared" si="8"/>
        <v>87000</v>
      </c>
      <c r="E56" s="322">
        <f t="shared" si="9"/>
        <v>87000</v>
      </c>
      <c r="F56" s="699">
        <f t="shared" si="7"/>
        <v>0</v>
      </c>
      <c r="G56" s="384">
        <v>1000</v>
      </c>
      <c r="H56" s="384">
        <v>1000</v>
      </c>
      <c r="I56" s="384">
        <v>1000</v>
      </c>
      <c r="J56" s="384">
        <v>1000</v>
      </c>
      <c r="K56" s="384">
        <v>1000</v>
      </c>
      <c r="L56" s="384">
        <v>1000</v>
      </c>
      <c r="M56" s="384">
        <v>1000</v>
      </c>
      <c r="N56" s="384">
        <v>1000</v>
      </c>
      <c r="O56" s="384">
        <v>1000</v>
      </c>
      <c r="P56" s="384">
        <v>1000</v>
      </c>
      <c r="Q56" s="384">
        <v>1000</v>
      </c>
      <c r="R56" s="436">
        <v>1000</v>
      </c>
      <c r="S56" s="435">
        <v>1000</v>
      </c>
      <c r="T56" s="384">
        <v>1000</v>
      </c>
      <c r="U56" s="384">
        <v>1000</v>
      </c>
      <c r="V56" s="384">
        <v>1000</v>
      </c>
      <c r="W56" s="384">
        <v>1000</v>
      </c>
      <c r="X56" s="384">
        <v>1000</v>
      </c>
      <c r="Y56" s="384">
        <v>1000</v>
      </c>
      <c r="Z56" s="384">
        <v>1000</v>
      </c>
      <c r="AA56" s="384">
        <v>1000</v>
      </c>
      <c r="AB56" s="384">
        <v>1000</v>
      </c>
      <c r="AC56" s="384">
        <v>1000</v>
      </c>
      <c r="AD56" s="436">
        <v>1000</v>
      </c>
      <c r="AE56" s="435">
        <v>1000</v>
      </c>
      <c r="AF56" s="384">
        <v>1000</v>
      </c>
      <c r="AG56" s="384">
        <v>1000</v>
      </c>
      <c r="AH56" s="384">
        <v>1000</v>
      </c>
      <c r="AI56" s="384">
        <v>1000</v>
      </c>
      <c r="AJ56" s="384">
        <v>1000</v>
      </c>
      <c r="AK56" s="384">
        <v>1000</v>
      </c>
      <c r="AL56" s="384">
        <v>1000</v>
      </c>
      <c r="AM56" s="384">
        <v>1000</v>
      </c>
      <c r="AN56" s="384">
        <v>1000</v>
      </c>
      <c r="AO56" s="384">
        <v>1000</v>
      </c>
      <c r="AP56" s="436">
        <v>1000</v>
      </c>
      <c r="AQ56" s="435">
        <v>1000</v>
      </c>
      <c r="AR56" s="384">
        <v>1000</v>
      </c>
      <c r="AS56" s="384">
        <v>1000</v>
      </c>
      <c r="AT56" s="384">
        <v>1000</v>
      </c>
      <c r="AU56" s="384">
        <v>1000</v>
      </c>
      <c r="AV56" s="384">
        <v>1000</v>
      </c>
      <c r="AW56" s="384">
        <v>1000</v>
      </c>
      <c r="AX56" s="384">
        <v>1000</v>
      </c>
      <c r="AY56" s="384">
        <v>1000</v>
      </c>
      <c r="AZ56" s="384">
        <v>1000</v>
      </c>
      <c r="BA56" s="384">
        <v>1000</v>
      </c>
      <c r="BB56" s="436">
        <v>1000</v>
      </c>
      <c r="BC56" s="435">
        <v>1000</v>
      </c>
      <c r="BD56" s="384">
        <v>1000</v>
      </c>
      <c r="BE56" s="384">
        <v>1000</v>
      </c>
      <c r="BF56" s="384">
        <v>1000</v>
      </c>
      <c r="BG56" s="384">
        <v>1000</v>
      </c>
      <c r="BH56" s="384">
        <v>1000</v>
      </c>
      <c r="BI56" s="384">
        <v>1000</v>
      </c>
      <c r="BJ56" s="384">
        <v>1000</v>
      </c>
      <c r="BK56" s="384">
        <v>1000</v>
      </c>
      <c r="BL56" s="384">
        <v>1000</v>
      </c>
      <c r="BM56" s="384">
        <v>1000</v>
      </c>
      <c r="BN56" s="436">
        <v>1000</v>
      </c>
      <c r="BO56" s="435">
        <v>1000</v>
      </c>
      <c r="BP56" s="384">
        <v>1000</v>
      </c>
      <c r="BQ56" s="384">
        <v>1000</v>
      </c>
      <c r="BR56" s="515">
        <v>1000</v>
      </c>
      <c r="BS56" s="451">
        <v>1000</v>
      </c>
      <c r="BT56" s="451">
        <v>1000</v>
      </c>
      <c r="BU56" s="451">
        <v>1000</v>
      </c>
      <c r="BV56" s="451">
        <v>1000</v>
      </c>
      <c r="BW56" s="451">
        <v>1000</v>
      </c>
      <c r="BX56" s="451">
        <v>1000</v>
      </c>
      <c r="BY56" s="451">
        <v>1000</v>
      </c>
      <c r="BZ56" s="451">
        <v>1000</v>
      </c>
      <c r="CA56" s="451">
        <v>1000</v>
      </c>
      <c r="CB56" s="451">
        <v>1000</v>
      </c>
      <c r="CC56" s="452">
        <v>1000</v>
      </c>
      <c r="CD56" s="515">
        <v>1000</v>
      </c>
      <c r="CE56" s="451">
        <v>1000</v>
      </c>
      <c r="CF56" s="451">
        <v>1000</v>
      </c>
      <c r="CG56" s="451">
        <v>1000</v>
      </c>
      <c r="CH56" s="451">
        <v>1000</v>
      </c>
      <c r="CI56" s="451">
        <v>1000</v>
      </c>
      <c r="CJ56" s="451">
        <v>1000</v>
      </c>
      <c r="CK56" s="451">
        <v>1000</v>
      </c>
      <c r="CL56" s="451">
        <v>1000</v>
      </c>
      <c r="CM56" s="451">
        <v>1000</v>
      </c>
      <c r="CN56" s="451">
        <v>1000</v>
      </c>
      <c r="CO56" s="452">
        <v>1000</v>
      </c>
      <c r="CP56" s="515"/>
      <c r="CQ56" s="451"/>
      <c r="CR56" s="451"/>
      <c r="CS56" s="451"/>
      <c r="CT56" s="451"/>
      <c r="CU56" s="451"/>
      <c r="CV56" s="451"/>
      <c r="CW56" s="451"/>
      <c r="CX56" s="451"/>
      <c r="CY56" s="451"/>
      <c r="CZ56" s="451"/>
      <c r="DA56" s="452"/>
    </row>
    <row r="57" spans="1:105" ht="18.75" x14ac:dyDescent="0.3">
      <c r="A57" s="334"/>
      <c r="B57" s="394"/>
      <c r="C57" s="335"/>
      <c r="D57" s="328"/>
      <c r="E57" s="328"/>
      <c r="F57" s="631"/>
      <c r="BR57" s="1057"/>
      <c r="BS57" s="1057"/>
      <c r="BY57" s="327">
        <v>1000</v>
      </c>
      <c r="BZ57" s="327">
        <f>+COUNTIF(G3:$DA$56,$BY$57)</f>
        <v>2645</v>
      </c>
    </row>
    <row r="58" spans="1:105" x14ac:dyDescent="0.25">
      <c r="A58" s="722"/>
      <c r="D58" s="337"/>
      <c r="E58" s="337"/>
      <c r="F58" s="632"/>
      <c r="BY58" s="1055">
        <f>+BZ57*1000</f>
        <v>2645000</v>
      </c>
      <c r="BZ58" s="1055"/>
    </row>
    <row r="59" spans="1:105" x14ac:dyDescent="0.25">
      <c r="D59" s="338"/>
      <c r="E59" s="338"/>
      <c r="F59" s="633"/>
      <c r="BY59" s="1055">
        <f>+BY58-A1</f>
        <v>0</v>
      </c>
      <c r="BZ59" s="1055"/>
    </row>
    <row r="63" spans="1:105" x14ac:dyDescent="0.25">
      <c r="CI63" s="327"/>
    </row>
  </sheetData>
  <mergeCells count="40">
    <mergeCell ref="BY59:BZ59"/>
    <mergeCell ref="CN1:CO1"/>
    <mergeCell ref="CB1:CC1"/>
    <mergeCell ref="CZ1:DA1"/>
    <mergeCell ref="A8:A10"/>
    <mergeCell ref="B8:B10"/>
    <mergeCell ref="G1:H1"/>
    <mergeCell ref="S1:T1"/>
    <mergeCell ref="AE1:AF1"/>
    <mergeCell ref="AQ1:AR1"/>
    <mergeCell ref="BC1:BD1"/>
    <mergeCell ref="BO1:BP1"/>
    <mergeCell ref="B5:B7"/>
    <mergeCell ref="B27:B29"/>
    <mergeCell ref="A5:A7"/>
    <mergeCell ref="A16:A18"/>
    <mergeCell ref="B16:B18"/>
    <mergeCell ref="BY58:BZ58"/>
    <mergeCell ref="A21:A23"/>
    <mergeCell ref="B21:B23"/>
    <mergeCell ref="BR57:BS57"/>
    <mergeCell ref="B49:B51"/>
    <mergeCell ref="A49:A51"/>
    <mergeCell ref="A52:A54"/>
    <mergeCell ref="B52:B54"/>
    <mergeCell ref="A39:A41"/>
    <mergeCell ref="B39:B41"/>
    <mergeCell ref="A46:A48"/>
    <mergeCell ref="B46:B48"/>
    <mergeCell ref="A30:A32"/>
    <mergeCell ref="B55:B56"/>
    <mergeCell ref="A55:A56"/>
    <mergeCell ref="A27:A29"/>
    <mergeCell ref="A43:A45"/>
    <mergeCell ref="B43:B45"/>
    <mergeCell ref="B36:B38"/>
    <mergeCell ref="A36:A38"/>
    <mergeCell ref="B30:B32"/>
    <mergeCell ref="A33:A35"/>
    <mergeCell ref="B33:B35"/>
  </mergeCells>
  <conditionalFormatting sqref="B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{0ED4A36B-A5BE-4545-AE4E-E6832E9E7434}</x14:id>
        </ext>
      </extLst>
    </cfRule>
  </conditionalFormatting>
  <conditionalFormatting sqref="B3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{D8CEFE45-B5DB-471E-8B59-A9885AB4938A}</x14:id>
        </ext>
      </extLst>
    </cfRule>
  </conditionalFormatting>
  <conditionalFormatting sqref="B27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{E07ED1D6-E118-4AD7-9C8E-AC5960BE532F}</x14:id>
        </ext>
      </extLst>
    </cfRule>
  </conditionalFormatting>
  <conditionalFormatting sqref="B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{095606AB-3D1E-426D-B99F-2A6F63D946A9}</x14:id>
        </ext>
      </extLst>
    </cfRule>
  </conditionalFormatting>
  <conditionalFormatting sqref="B8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{30E98535-1162-4603-9060-BA40CCAF5313}</x14:id>
        </ext>
      </extLst>
    </cfRule>
  </conditionalFormatting>
  <conditionalFormatting sqref="B30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{31C82AD6-FD7F-4BB0-9DA8-ACCEBE9EAACE}</x14:id>
        </ext>
      </extLst>
    </cfRule>
  </conditionalFormatting>
  <conditionalFormatting sqref="B33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{0B6DA73E-95E7-4AD7-8B32-91C6D7B3C939}</x14:id>
        </ext>
      </extLst>
    </cfRule>
  </conditionalFormatting>
  <conditionalFormatting sqref="B36:B37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{91E36F48-C1C2-4037-8E89-31671E0C31A8}</x14:id>
        </ext>
      </extLst>
    </cfRule>
  </conditionalFormatting>
  <conditionalFormatting sqref="B39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{EB0784CF-F1F4-49F4-B563-449A29CA3FCC}</x14:id>
        </ext>
      </extLst>
    </cfRule>
  </conditionalFormatting>
  <conditionalFormatting sqref="B12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{ADFEE072-D2BA-40DE-8038-B026F243CDC5}</x14:id>
        </ext>
      </extLst>
    </cfRule>
  </conditionalFormatting>
  <conditionalFormatting sqref="B42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{D36EE7F8-E065-4FAF-8D1E-4B021CD59EEA}</x14:id>
        </ext>
      </extLst>
    </cfRule>
  </conditionalFormatting>
  <conditionalFormatting sqref="B43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{1525304D-1988-459A-B2E8-E511759AC6E2}</x14:id>
        </ext>
      </extLst>
    </cfRule>
  </conditionalFormatting>
  <conditionalFormatting sqref="B14:B1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{1CAF0F72-3D67-4CA4-85E2-92773CF6E993}</x14:id>
        </ext>
      </extLst>
    </cfRule>
  </conditionalFormatting>
  <conditionalFormatting sqref="B11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{4821C624-BF2A-433C-B7D1-B0775C80888F}</x14:id>
        </ext>
      </extLst>
    </cfRule>
  </conditionalFormatting>
  <conditionalFormatting sqref="B19:B20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{B9BD7711-8C52-474D-94D8-BF2E0384E3E7}</x14:id>
        </ext>
      </extLst>
    </cfRule>
  </conditionalFormatting>
  <conditionalFormatting sqref="B13 B55 B52 B16:B18 B21:B26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{A267ACB5-AA9F-4CCB-92AB-101A9072B9C9}</x14:id>
        </ext>
      </extLst>
    </cfRule>
  </conditionalFormatting>
  <conditionalFormatting sqref="F3:F2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{F7D94428-4710-49B0-A7FE-FE50B7521E59}</x14:id>
        </ext>
      </extLst>
    </cfRule>
  </conditionalFormatting>
  <conditionalFormatting sqref="F27:F56">
    <cfRule type="iconSet" priority="6">
      <iconSet iconSet="3Symbols2">
        <cfvo type="percent" val="0"/>
        <cfvo type="percent" val="60"/>
        <cfvo type="percent" val="100"/>
      </iconSet>
    </cfRule>
  </conditionalFormatting>
  <conditionalFormatting sqref="A36:A38">
    <cfRule type="expression" dxfId="86" priority="3">
      <formula>"100%"</formula>
    </cfRule>
  </conditionalFormatting>
  <conditionalFormatting sqref="B4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{EDCABE34-0383-4945-82F7-8C3F19A6174D}</x14:id>
        </ext>
      </extLst>
    </cfRule>
  </conditionalFormatting>
  <conditionalFormatting sqref="B4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{DB1A453A-0900-46CE-BF3A-8A786683F9D0}</x14:id>
        </ext>
      </extLst>
    </cfRule>
  </conditionalFormatting>
  <pageMargins left="0.7" right="0.7" top="0.75" bottom="0.75" header="0.3" footer="0.3"/>
  <pageSetup orientation="portrait" r:id="rId1"/>
  <ignoredErrors>
    <ignoredError sqref="D38:E38 D49:E49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D4A36B-A5BE-4545-AE4E-E6832E9E7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D8CEFE45-B5DB-471E-8B59-A9885AB49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E07ED1D6-E118-4AD7-9C8E-AC5960BE5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</xm:sqref>
        </x14:conditionalFormatting>
        <x14:conditionalFormatting xmlns:xm="http://schemas.microsoft.com/office/excel/2006/main">
          <x14:cfRule type="dataBar" id="{095606AB-3D1E-426D-B99F-2A6F63D94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30E98535-1162-4603-9060-BA40CCAF5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B8</xm:sqref>
        </x14:conditionalFormatting>
        <x14:conditionalFormatting xmlns:xm="http://schemas.microsoft.com/office/excel/2006/main">
          <x14:cfRule type="dataBar" id="{31C82AD6-FD7F-4BB0-9DA8-ACCEBE9EAA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</xm:sqref>
        </x14:conditionalFormatting>
        <x14:conditionalFormatting xmlns:xm="http://schemas.microsoft.com/office/excel/2006/main">
          <x14:cfRule type="dataBar" id="{0B6DA73E-95E7-4AD7-8B32-91C6D7B3C9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B33</xm:sqref>
        </x14:conditionalFormatting>
        <x14:conditionalFormatting xmlns:xm="http://schemas.microsoft.com/office/excel/2006/main">
          <x14:cfRule type="dataBar" id="{91E36F48-C1C2-4037-8E89-31671E0C31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B36:B37</xm:sqref>
        </x14:conditionalFormatting>
        <x14:conditionalFormatting xmlns:xm="http://schemas.microsoft.com/office/excel/2006/main">
          <x14:cfRule type="dataBar" id="{EB0784CF-F1F4-49F4-B563-449A29CA3F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B39</xm:sqref>
        </x14:conditionalFormatting>
        <x14:conditionalFormatting xmlns:xm="http://schemas.microsoft.com/office/excel/2006/main">
          <x14:cfRule type="dataBar" id="{ADFEE072-D2BA-40DE-8038-B026F243C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B12</xm:sqref>
        </x14:conditionalFormatting>
        <x14:conditionalFormatting xmlns:xm="http://schemas.microsoft.com/office/excel/2006/main">
          <x14:cfRule type="dataBar" id="{D36EE7F8-E065-4FAF-8D1E-4B021CD59E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B42</xm:sqref>
        </x14:conditionalFormatting>
        <x14:conditionalFormatting xmlns:xm="http://schemas.microsoft.com/office/excel/2006/main">
          <x14:cfRule type="dataBar" id="{1525304D-1988-459A-B2E8-E511759AC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B43</xm:sqref>
        </x14:conditionalFormatting>
        <x14:conditionalFormatting xmlns:xm="http://schemas.microsoft.com/office/excel/2006/main">
          <x14:cfRule type="dataBar" id="{1CAF0F72-3D67-4CA4-85E2-92773CF6E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B14:B15</xm:sqref>
        </x14:conditionalFormatting>
        <x14:conditionalFormatting xmlns:xm="http://schemas.microsoft.com/office/excel/2006/main">
          <x14:cfRule type="dataBar" id="{4821C624-BF2A-433C-B7D1-B0775C8088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</xm:sqref>
        </x14:conditionalFormatting>
        <x14:conditionalFormatting xmlns:xm="http://schemas.microsoft.com/office/excel/2006/main">
          <x14:cfRule type="dataBar" id="{B9BD7711-8C52-474D-94D8-BF2E0384E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B19:B20</xm:sqref>
        </x14:conditionalFormatting>
        <x14:conditionalFormatting xmlns:xm="http://schemas.microsoft.com/office/excel/2006/main">
          <x14:cfRule type="dataBar" id="{A267ACB5-AA9F-4CCB-92AB-101A9072B9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 B55 B52 B16:B18 B21:B26</xm:sqref>
        </x14:conditionalFormatting>
        <x14:conditionalFormatting xmlns:xm="http://schemas.microsoft.com/office/excel/2006/main">
          <x14:cfRule type="dataBar" id="{F7D94428-4710-49B0-A7FE-FE50B7521E59}">
            <x14:dataBar minLength="0" maxLength="100" border="1" negativeBarColorSameAsPositive="1">
              <x14:cfvo type="autoMin"/>
              <x14:cfvo type="autoMax"/>
              <x14:borderColor rgb="FF63C384"/>
              <x14:axisColor rgb="FF000000"/>
            </x14:dataBar>
          </x14:cfRule>
          <xm:sqref>F3:F26</xm:sqref>
        </x14:conditionalFormatting>
        <x14:conditionalFormatting xmlns:xm="http://schemas.microsoft.com/office/excel/2006/main">
          <x14:cfRule type="dataBar" id="{EDCABE34-0383-4945-82F7-8C3F19A61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B46</xm:sqref>
        </x14:conditionalFormatting>
        <x14:conditionalFormatting xmlns:xm="http://schemas.microsoft.com/office/excel/2006/main">
          <x14:cfRule type="dataBar" id="{DB1A453A-0900-46CE-BF3A-8A786683F9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>
    <tabColor rgb="FF92D050"/>
  </sheetPr>
  <dimension ref="B1:AN93"/>
  <sheetViews>
    <sheetView showGridLines="0" topLeftCell="AI28" zoomScaleNormal="100" workbookViewId="0">
      <selection activeCell="AL44" sqref="AL44"/>
    </sheetView>
  </sheetViews>
  <sheetFormatPr baseColWidth="10" defaultRowHeight="15" x14ac:dyDescent="0.25"/>
  <cols>
    <col min="1" max="1" width="1.7109375" style="914" customWidth="1"/>
    <col min="2" max="2" width="17" style="914" bestFit="1" customWidth="1"/>
    <col min="3" max="3" width="13.28515625" style="145" bestFit="1" customWidth="1"/>
    <col min="4" max="4" width="9.5703125" style="915" bestFit="1" customWidth="1"/>
    <col min="5" max="5" width="10.42578125" style="153" bestFit="1" customWidth="1"/>
    <col min="6" max="6" width="9.42578125" style="914" bestFit="1" customWidth="1"/>
    <col min="7" max="7" width="1.7109375" style="914" hidden="1" customWidth="1"/>
    <col min="8" max="8" width="17" style="914" bestFit="1" customWidth="1"/>
    <col min="9" max="9" width="13.28515625" style="145" bestFit="1" customWidth="1"/>
    <col min="10" max="10" width="8.7109375" style="915" bestFit="1" customWidth="1"/>
    <col min="11" max="11" width="10.42578125" style="153" bestFit="1" customWidth="1"/>
    <col min="12" max="12" width="9.42578125" style="914" bestFit="1" customWidth="1"/>
    <col min="13" max="13" width="1.7109375" style="914" hidden="1" customWidth="1"/>
    <col min="14" max="14" width="17" style="914" bestFit="1" customWidth="1"/>
    <col min="15" max="15" width="13.28515625" style="145" bestFit="1" customWidth="1"/>
    <col min="16" max="16" width="8.7109375" style="915" bestFit="1" customWidth="1"/>
    <col min="17" max="17" width="10.42578125" style="153" bestFit="1" customWidth="1"/>
    <col min="18" max="18" width="9.42578125" style="914" bestFit="1" customWidth="1"/>
    <col min="19" max="19" width="14.7109375" style="914" bestFit="1" customWidth="1"/>
    <col min="20" max="20" width="10.42578125" style="914" bestFit="1" customWidth="1"/>
    <col min="21" max="21" width="1.7109375" style="914" customWidth="1"/>
    <col min="22" max="22" width="17" style="914" bestFit="1" customWidth="1"/>
    <col min="23" max="23" width="13.28515625" style="145" bestFit="1" customWidth="1"/>
    <col min="24" max="24" width="9.5703125" style="915" bestFit="1" customWidth="1"/>
    <col min="25" max="25" width="10.42578125" style="153" bestFit="1" customWidth="1"/>
    <col min="26" max="26" width="9.42578125" style="914" bestFit="1" customWidth="1"/>
    <col min="27" max="28" width="1.7109375" style="914" customWidth="1"/>
    <col min="29" max="29" width="17" style="914" bestFit="1" customWidth="1"/>
    <col min="30" max="30" width="13.28515625" style="145" bestFit="1" customWidth="1"/>
    <col min="31" max="31" width="9.5703125" style="915" bestFit="1" customWidth="1"/>
    <col min="32" max="32" width="10.42578125" style="153" bestFit="1" customWidth="1"/>
    <col min="33" max="33" width="9.42578125" style="914" bestFit="1" customWidth="1"/>
    <col min="34" max="34" width="7.5703125" style="914" bestFit="1" customWidth="1"/>
    <col min="35" max="35" width="1.7109375" style="914" customWidth="1"/>
    <col min="36" max="36" width="17" style="914" bestFit="1" customWidth="1"/>
    <col min="37" max="37" width="13.28515625" style="145" bestFit="1" customWidth="1"/>
    <col min="38" max="38" width="9.5703125" style="915" bestFit="1" customWidth="1"/>
    <col min="39" max="39" width="10.42578125" style="153" bestFit="1" customWidth="1"/>
    <col min="40" max="40" width="9.42578125" style="914" bestFit="1" customWidth="1"/>
    <col min="41" max="42" width="1.7109375" style="914" customWidth="1"/>
    <col min="43" max="16384" width="11.42578125" style="914"/>
  </cols>
  <sheetData>
    <row r="1" spans="2:40" x14ac:dyDescent="0.25">
      <c r="B1" s="1059" t="s">
        <v>460</v>
      </c>
      <c r="C1" s="1059"/>
      <c r="D1" s="1059"/>
      <c r="E1" s="1059"/>
      <c r="F1" s="1059"/>
      <c r="H1" s="1059" t="s">
        <v>553</v>
      </c>
      <c r="I1" s="1059"/>
      <c r="J1" s="1059"/>
      <c r="K1" s="1059"/>
      <c r="L1" s="1059"/>
      <c r="N1" s="1059" t="s">
        <v>558</v>
      </c>
      <c r="O1" s="1059"/>
      <c r="P1" s="1059"/>
      <c r="Q1" s="1059"/>
      <c r="R1" s="1059"/>
      <c r="S1" s="914" t="s">
        <v>564</v>
      </c>
      <c r="T1" s="914" t="s">
        <v>560</v>
      </c>
      <c r="V1" s="1059" t="s">
        <v>659</v>
      </c>
      <c r="W1" s="1059"/>
      <c r="X1" s="1059"/>
      <c r="Y1" s="1059"/>
      <c r="Z1" s="1059"/>
      <c r="AC1" s="1059" t="s">
        <v>668</v>
      </c>
      <c r="AD1" s="1059"/>
      <c r="AE1" s="1059"/>
      <c r="AF1" s="1059"/>
      <c r="AG1" s="1059"/>
      <c r="AJ1" s="1059" t="s">
        <v>814</v>
      </c>
      <c r="AK1" s="1059"/>
      <c r="AL1" s="1059"/>
      <c r="AM1" s="1059"/>
      <c r="AN1" s="1059"/>
    </row>
    <row r="2" spans="2:40" x14ac:dyDescent="0.25">
      <c r="B2" s="142" t="s">
        <v>227</v>
      </c>
      <c r="C2" s="142" t="s">
        <v>145</v>
      </c>
      <c r="D2" s="143" t="s">
        <v>104</v>
      </c>
      <c r="E2" s="143" t="s">
        <v>89</v>
      </c>
      <c r="F2" s="143" t="s">
        <v>4</v>
      </c>
      <c r="H2" s="142" t="s">
        <v>227</v>
      </c>
      <c r="I2" s="142" t="s">
        <v>145</v>
      </c>
      <c r="J2" s="143" t="s">
        <v>104</v>
      </c>
      <c r="K2" s="143" t="s">
        <v>89</v>
      </c>
      <c r="L2" s="143" t="s">
        <v>4</v>
      </c>
      <c r="N2" s="142" t="s">
        <v>227</v>
      </c>
      <c r="O2" s="142" t="s">
        <v>145</v>
      </c>
      <c r="P2" s="143" t="s">
        <v>104</v>
      </c>
      <c r="Q2" s="143" t="s">
        <v>89</v>
      </c>
      <c r="R2" s="143" t="s">
        <v>4</v>
      </c>
      <c r="S2" s="914" t="s">
        <v>561</v>
      </c>
      <c r="T2" s="914" t="s">
        <v>562</v>
      </c>
      <c r="V2" s="142" t="s">
        <v>227</v>
      </c>
      <c r="W2" s="142" t="s">
        <v>145</v>
      </c>
      <c r="X2" s="143" t="s">
        <v>104</v>
      </c>
      <c r="Y2" s="143" t="s">
        <v>89</v>
      </c>
      <c r="Z2" s="143" t="s">
        <v>4</v>
      </c>
      <c r="AC2" s="142" t="s">
        <v>227</v>
      </c>
      <c r="AD2" s="142" t="s">
        <v>145</v>
      </c>
      <c r="AE2" s="143" t="s">
        <v>104</v>
      </c>
      <c r="AF2" s="143" t="s">
        <v>89</v>
      </c>
      <c r="AG2" s="143" t="s">
        <v>4</v>
      </c>
      <c r="AH2" s="735" t="s">
        <v>813</v>
      </c>
      <c r="AJ2" s="142" t="s">
        <v>227</v>
      </c>
      <c r="AK2" s="142" t="s">
        <v>145</v>
      </c>
      <c r="AL2" s="143" t="s">
        <v>104</v>
      </c>
      <c r="AM2" s="143" t="s">
        <v>89</v>
      </c>
      <c r="AN2" s="143" t="s">
        <v>4</v>
      </c>
    </row>
    <row r="3" spans="2:40" x14ac:dyDescent="0.25">
      <c r="B3" s="144" t="s">
        <v>232</v>
      </c>
      <c r="C3" s="912" t="s">
        <v>143</v>
      </c>
      <c r="D3" s="76">
        <v>14000</v>
      </c>
      <c r="E3" s="76">
        <v>1000</v>
      </c>
      <c r="F3" s="339" t="s">
        <v>142</v>
      </c>
      <c r="H3" s="144" t="s">
        <v>174</v>
      </c>
      <c r="I3" s="912" t="s">
        <v>225</v>
      </c>
      <c r="J3" s="146"/>
      <c r="K3" s="146"/>
      <c r="L3" s="339" t="s">
        <v>138</v>
      </c>
      <c r="N3" s="144" t="s">
        <v>153</v>
      </c>
      <c r="O3" s="912" t="s">
        <v>220</v>
      </c>
      <c r="P3" s="146"/>
      <c r="Q3" s="146"/>
      <c r="R3" s="339" t="s">
        <v>138</v>
      </c>
      <c r="S3" s="915" t="s">
        <v>563</v>
      </c>
      <c r="T3" s="915" t="s">
        <v>563</v>
      </c>
      <c r="V3" s="144" t="s">
        <v>232</v>
      </c>
      <c r="W3" s="912" t="s">
        <v>143</v>
      </c>
      <c r="X3" s="76">
        <v>14000</v>
      </c>
      <c r="Y3" s="76">
        <v>1000</v>
      </c>
      <c r="Z3" s="339" t="s">
        <v>142</v>
      </c>
      <c r="AC3" s="144" t="s">
        <v>232</v>
      </c>
      <c r="AD3" s="912" t="s">
        <v>143</v>
      </c>
      <c r="AE3" s="76">
        <v>14000</v>
      </c>
      <c r="AF3" s="76">
        <v>1000</v>
      </c>
      <c r="AG3" s="339"/>
      <c r="AH3" s="339" t="s">
        <v>563</v>
      </c>
      <c r="AJ3" s="921" t="s">
        <v>178</v>
      </c>
      <c r="AK3" s="912" t="str">
        <f>+IF(Tabla69101213151013[[#This Row],[TIPO]]="NO ASISTE","-",+IF(AJ3&lt;&gt;0,+LOOKUP(AJ3,SOCIOS!$B$2:$B$27,SOCIOS!$C$2:$C$27),"-"))</f>
        <v>PUERTO MONTT</v>
      </c>
      <c r="AL3" s="76">
        <f>+IF(Tabla69101213151013[[#This Row],[TIPO]]="NO ASISTE","-",+IF(AJ3&lt;&gt;0,+LOOKUP(AJ3,SOCIOS!$B$2:$B$27,SOCIOS!$D$2:$D$27),"-"))</f>
        <v>14000</v>
      </c>
      <c r="AM3" s="76">
        <f>+IF(Tabla69101213151013[[#This Row],[TIPO]]="NO ASISTE","-",+IF(AJ3&lt;&gt;0,+LOOKUP(AJ3,SOCIOS!$B$2:$B$27,SOCIOS!$E$2:$E$27),"-"))</f>
        <v>1000</v>
      </c>
      <c r="AN3" s="339"/>
    </row>
    <row r="4" spans="2:40" x14ac:dyDescent="0.25">
      <c r="B4" s="144" t="s">
        <v>176</v>
      </c>
      <c r="C4" s="912" t="s">
        <v>143</v>
      </c>
      <c r="D4" s="76">
        <v>14000</v>
      </c>
      <c r="E4" s="76">
        <v>1000</v>
      </c>
      <c r="F4" s="339" t="s">
        <v>142</v>
      </c>
      <c r="H4" s="144" t="s">
        <v>128</v>
      </c>
      <c r="I4" s="912" t="s">
        <v>225</v>
      </c>
      <c r="J4" s="146"/>
      <c r="K4" s="146"/>
      <c r="L4" s="339" t="s">
        <v>138</v>
      </c>
      <c r="N4" s="144" t="s">
        <v>154</v>
      </c>
      <c r="O4" s="912" t="s">
        <v>226</v>
      </c>
      <c r="P4" s="146"/>
      <c r="Q4" s="146"/>
      <c r="R4" s="339" t="s">
        <v>138</v>
      </c>
      <c r="S4" s="915" t="s">
        <v>563</v>
      </c>
      <c r="T4" s="915" t="s">
        <v>563</v>
      </c>
      <c r="V4" s="144" t="s">
        <v>176</v>
      </c>
      <c r="W4" s="912" t="s">
        <v>143</v>
      </c>
      <c r="X4" s="76">
        <v>14000</v>
      </c>
      <c r="Y4" s="76">
        <v>1000</v>
      </c>
      <c r="Z4" s="339" t="s">
        <v>142</v>
      </c>
      <c r="AC4" s="144" t="s">
        <v>178</v>
      </c>
      <c r="AD4" s="912" t="s">
        <v>226</v>
      </c>
      <c r="AE4" s="76">
        <v>14000</v>
      </c>
      <c r="AF4" s="76">
        <v>1000</v>
      </c>
      <c r="AG4" s="339"/>
      <c r="AH4" s="339" t="s">
        <v>563</v>
      </c>
      <c r="AJ4" s="921" t="s">
        <v>132</v>
      </c>
      <c r="AK4" s="912" t="str">
        <f>+IF(Tabla69101213151013[[#This Row],[TIPO]]="NO ASISTE","-",+IF(AJ4&lt;&gt;0,+LOOKUP(AJ4,SOCIOS!$B$2:$B$27,SOCIOS!$C$2:$C$27),"-"))</f>
        <v>PUERTO MONTT</v>
      </c>
      <c r="AL4" s="76">
        <f>+IF(Tabla69101213151013[[#This Row],[TIPO]]="NO ASISTE","-",+IF(AJ4&lt;&gt;0,+LOOKUP(AJ4,SOCIOS!$B$2:$B$27,SOCIOS!$D$2:$D$27),"-"))</f>
        <v>14000</v>
      </c>
      <c r="AM4" s="76">
        <f>+IF(Tabla69101213151013[[#This Row],[TIPO]]="NO ASISTE","-",+IF(AJ4&lt;&gt;0,+LOOKUP(AJ4,SOCIOS!$B$2:$B$27,SOCIOS!$E$2:$E$27),"-"))</f>
        <v>1000</v>
      </c>
      <c r="AN4" s="339"/>
    </row>
    <row r="5" spans="2:40" x14ac:dyDescent="0.25">
      <c r="B5" s="144" t="s">
        <v>228</v>
      </c>
      <c r="C5" s="145" t="s">
        <v>143</v>
      </c>
      <c r="D5" s="146">
        <v>15000</v>
      </c>
      <c r="E5" s="146">
        <v>0</v>
      </c>
      <c r="F5" s="339" t="s">
        <v>239</v>
      </c>
      <c r="H5" s="144" t="s">
        <v>168</v>
      </c>
      <c r="I5" s="912" t="s">
        <v>224</v>
      </c>
      <c r="J5" s="146"/>
      <c r="K5" s="146"/>
      <c r="L5" s="339" t="s">
        <v>138</v>
      </c>
      <c r="N5" s="144" t="s">
        <v>174</v>
      </c>
      <c r="O5" s="912" t="s">
        <v>225</v>
      </c>
      <c r="P5" s="146"/>
      <c r="Q5" s="146"/>
      <c r="R5" s="339" t="s">
        <v>138</v>
      </c>
      <c r="S5" s="915" t="s">
        <v>563</v>
      </c>
      <c r="T5" s="915" t="s">
        <v>563</v>
      </c>
      <c r="V5" s="144" t="s">
        <v>228</v>
      </c>
      <c r="W5" s="912" t="s">
        <v>143</v>
      </c>
      <c r="X5" s="76">
        <v>14000</v>
      </c>
      <c r="Y5" s="76">
        <v>1000</v>
      </c>
      <c r="Z5" s="339" t="s">
        <v>142</v>
      </c>
      <c r="AC5" s="144" t="s">
        <v>131</v>
      </c>
      <c r="AD5" s="912" t="s">
        <v>223</v>
      </c>
      <c r="AE5" s="76">
        <v>14000</v>
      </c>
      <c r="AF5" s="76">
        <v>1000</v>
      </c>
      <c r="AG5" s="339"/>
      <c r="AH5" s="339" t="s">
        <v>563</v>
      </c>
      <c r="AJ5" s="921" t="s">
        <v>815</v>
      </c>
      <c r="AK5" s="912" t="str">
        <f>+IF(Tabla69101213151013[[#This Row],[TIPO]]="NO ASISTE","-",+IF(AJ5&lt;&gt;0,+LOOKUP(AJ5,SOCIOS!$B$2:$B$27,SOCIOS!$C$2:$C$27),"-"))</f>
        <v>PUERTO MONTT</v>
      </c>
      <c r="AL5" s="76">
        <f>+IF(Tabla69101213151013[[#This Row],[TIPO]]="NO ASISTE","-",+IF(AJ5&lt;&gt;0,+LOOKUP(AJ5,SOCIOS!$B$2:$B$27,SOCIOS!$D$2:$D$27),"-"))</f>
        <v>14000</v>
      </c>
      <c r="AM5" s="76">
        <f>+IF(Tabla69101213151013[[#This Row],[TIPO]]="NO ASISTE","-",+IF(AJ5&lt;&gt;0,+LOOKUP(AJ5,SOCIOS!$B$2:$B$27,SOCIOS!$E$2:$E$27),"-"))</f>
        <v>1000</v>
      </c>
      <c r="AN5" s="339"/>
    </row>
    <row r="6" spans="2:40" x14ac:dyDescent="0.25">
      <c r="B6" s="144" t="s">
        <v>421</v>
      </c>
      <c r="C6" s="912" t="s">
        <v>225</v>
      </c>
      <c r="D6" s="76">
        <v>14000</v>
      </c>
      <c r="E6" s="76">
        <v>1000</v>
      </c>
      <c r="F6" s="339" t="s">
        <v>137</v>
      </c>
      <c r="H6" s="144" t="s">
        <v>169</v>
      </c>
      <c r="I6" s="912" t="s">
        <v>224</v>
      </c>
      <c r="J6" s="146"/>
      <c r="K6" s="146"/>
      <c r="L6" s="339" t="s">
        <v>138</v>
      </c>
      <c r="N6" s="144" t="s">
        <v>128</v>
      </c>
      <c r="O6" s="912" t="s">
        <v>225</v>
      </c>
      <c r="P6" s="146"/>
      <c r="Q6" s="146"/>
      <c r="R6" s="339" t="s">
        <v>138</v>
      </c>
      <c r="S6" s="915" t="s">
        <v>563</v>
      </c>
      <c r="T6" s="915" t="s">
        <v>563</v>
      </c>
      <c r="V6" s="144" t="s">
        <v>163</v>
      </c>
      <c r="W6" s="912" t="s">
        <v>221</v>
      </c>
      <c r="X6" s="76">
        <v>14000</v>
      </c>
      <c r="Y6" s="76">
        <v>1000</v>
      </c>
      <c r="Z6" s="339" t="s">
        <v>138</v>
      </c>
      <c r="AC6" s="144" t="s">
        <v>163</v>
      </c>
      <c r="AD6" s="912" t="s">
        <v>221</v>
      </c>
      <c r="AE6" s="76">
        <v>14000</v>
      </c>
      <c r="AF6" s="76">
        <v>1000</v>
      </c>
      <c r="AG6" s="339"/>
      <c r="AH6" s="339" t="s">
        <v>563</v>
      </c>
      <c r="AJ6" s="921" t="s">
        <v>131</v>
      </c>
      <c r="AK6" s="912" t="str">
        <f>+IF(Tabla69101213151013[[#This Row],[TIPO]]="NO ASISTE","-",+IF(AJ6&lt;&gt;0,+LOOKUP(AJ6,SOCIOS!$B$2:$B$27,SOCIOS!$C$2:$C$27),"-"))</f>
        <v>RANCAGUA</v>
      </c>
      <c r="AL6" s="76">
        <f>+IF(Tabla69101213151013[[#This Row],[TIPO]]="NO ASISTE","-",+IF(AJ6&lt;&gt;0,+LOOKUP(AJ6,SOCIOS!$B$2:$B$27,SOCIOS!$D$2:$D$27),"-"))</f>
        <v>14000</v>
      </c>
      <c r="AM6" s="76">
        <f>+IF(Tabla69101213151013[[#This Row],[TIPO]]="NO ASISTE","-",+IF(AJ6&lt;&gt;0,+LOOKUP(AJ6,SOCIOS!$B$2:$B$27,SOCIOS!$E$2:$E$27),"-"))</f>
        <v>1000</v>
      </c>
      <c r="AN6" s="339"/>
    </row>
    <row r="7" spans="2:40" x14ac:dyDescent="0.25">
      <c r="B7" s="144" t="s">
        <v>174</v>
      </c>
      <c r="C7" s="912" t="s">
        <v>225</v>
      </c>
      <c r="D7" s="76">
        <v>14000</v>
      </c>
      <c r="E7" s="76">
        <v>1000</v>
      </c>
      <c r="F7" s="339" t="s">
        <v>137</v>
      </c>
      <c r="H7" s="144" t="s">
        <v>178</v>
      </c>
      <c r="I7" s="912" t="s">
        <v>226</v>
      </c>
      <c r="J7" s="146"/>
      <c r="K7" s="146"/>
      <c r="L7" s="339" t="s">
        <v>138</v>
      </c>
      <c r="N7" s="144" t="s">
        <v>421</v>
      </c>
      <c r="O7" s="912" t="s">
        <v>225</v>
      </c>
      <c r="P7" s="146"/>
      <c r="Q7" s="146"/>
      <c r="R7" s="339" t="s">
        <v>138</v>
      </c>
      <c r="S7" s="915" t="s">
        <v>563</v>
      </c>
      <c r="T7" s="915" t="s">
        <v>563</v>
      </c>
      <c r="V7" s="144" t="s">
        <v>164</v>
      </c>
      <c r="W7" s="912" t="s">
        <v>221</v>
      </c>
      <c r="X7" s="76">
        <v>14000</v>
      </c>
      <c r="Y7" s="76">
        <v>1000</v>
      </c>
      <c r="Z7" s="339" t="s">
        <v>138</v>
      </c>
      <c r="AC7" s="144" t="s">
        <v>168</v>
      </c>
      <c r="AD7" s="912" t="s">
        <v>224</v>
      </c>
      <c r="AE7" s="76">
        <v>14000</v>
      </c>
      <c r="AF7" s="76">
        <v>1000</v>
      </c>
      <c r="AG7" s="339"/>
      <c r="AH7" s="339" t="s">
        <v>563</v>
      </c>
      <c r="AJ7" s="921" t="s">
        <v>459</v>
      </c>
      <c r="AK7" s="912" t="str">
        <f>+IF(Tabla69101213151013[[#This Row],[TIPO]]="NO ASISTE","-",+IF(AJ7&lt;&gt;0,+LOOKUP(AJ7,SOCIOS!$B$2:$B$27,SOCIOS!$C$2:$C$27),"-"))</f>
        <v>RANCAGUA</v>
      </c>
      <c r="AL7" s="76">
        <f>+IF(Tabla69101213151013[[#This Row],[TIPO]]="NO ASISTE","-",+IF(AJ7&lt;&gt;0,+LOOKUP(AJ7,SOCIOS!$B$2:$B$27,SOCIOS!$D$2:$D$27),"-"))</f>
        <v>14000</v>
      </c>
      <c r="AM7" s="76">
        <f>+IF(Tabla69101213151013[[#This Row],[TIPO]]="NO ASISTE","-",+IF(AJ7&lt;&gt;0,+LOOKUP(AJ7,SOCIOS!$B$2:$B$27,SOCIOS!$E$2:$E$27),"-"))</f>
        <v>1000</v>
      </c>
      <c r="AN7" s="339"/>
    </row>
    <row r="8" spans="2:40" x14ac:dyDescent="0.25">
      <c r="B8" s="144" t="s">
        <v>128</v>
      </c>
      <c r="C8" s="912" t="s">
        <v>225</v>
      </c>
      <c r="D8" s="76">
        <v>14000</v>
      </c>
      <c r="E8" s="76">
        <v>1000</v>
      </c>
      <c r="F8" s="339" t="s">
        <v>137</v>
      </c>
      <c r="H8" s="144" t="s">
        <v>132</v>
      </c>
      <c r="I8" s="912" t="s">
        <v>226</v>
      </c>
      <c r="J8" s="146"/>
      <c r="K8" s="146"/>
      <c r="L8" s="339" t="s">
        <v>138</v>
      </c>
      <c r="N8" s="144" t="s">
        <v>165</v>
      </c>
      <c r="O8" s="912" t="s">
        <v>223</v>
      </c>
      <c r="P8" s="146"/>
      <c r="Q8" s="146"/>
      <c r="R8" s="339" t="s">
        <v>138</v>
      </c>
      <c r="S8" s="915" t="s">
        <v>563</v>
      </c>
      <c r="T8" s="915" t="s">
        <v>563</v>
      </c>
      <c r="V8" s="144" t="s">
        <v>391</v>
      </c>
      <c r="W8" s="912" t="s">
        <v>221</v>
      </c>
      <c r="X8" s="76">
        <v>14000</v>
      </c>
      <c r="Y8" s="76">
        <v>1000</v>
      </c>
      <c r="Z8" s="339" t="s">
        <v>138</v>
      </c>
      <c r="AC8" s="144" t="s">
        <v>132</v>
      </c>
      <c r="AD8" s="912" t="s">
        <v>226</v>
      </c>
      <c r="AE8" s="76">
        <v>14000</v>
      </c>
      <c r="AF8" s="76">
        <v>1000</v>
      </c>
      <c r="AG8" s="339"/>
      <c r="AH8" s="339" t="s">
        <v>563</v>
      </c>
      <c r="AJ8" s="921" t="s">
        <v>165</v>
      </c>
      <c r="AK8" s="912" t="str">
        <f>+IF(Tabla69101213151013[[#This Row],[TIPO]]="NO ASISTE","-",+IF(AJ8&lt;&gt;0,+LOOKUP(AJ8,SOCIOS!$B$2:$B$27,SOCIOS!$C$2:$C$27),"-"))</f>
        <v>RANCAGUA</v>
      </c>
      <c r="AL8" s="76">
        <f>+IF(Tabla69101213151013[[#This Row],[TIPO]]="NO ASISTE","-",+IF(AJ8&lt;&gt;0,+LOOKUP(AJ8,SOCIOS!$B$2:$B$27,SOCIOS!$D$2:$D$27),"-"))</f>
        <v>0</v>
      </c>
      <c r="AM8" s="76">
        <f>+IF(Tabla69101213151013[[#This Row],[TIPO]]="NO ASISTE","-",+IF(AJ8&lt;&gt;0,+LOOKUP(AJ8,SOCIOS!$B$2:$B$27,SOCIOS!$E$2:$E$27),"-"))</f>
        <v>1000</v>
      </c>
      <c r="AN8" s="339"/>
    </row>
    <row r="9" spans="2:40" x14ac:dyDescent="0.25">
      <c r="B9" s="144" t="s">
        <v>168</v>
      </c>
      <c r="C9" s="912" t="s">
        <v>224</v>
      </c>
      <c r="D9" s="76">
        <v>14000</v>
      </c>
      <c r="E9" s="76">
        <v>1000</v>
      </c>
      <c r="F9" s="339" t="s">
        <v>138</v>
      </c>
      <c r="H9" s="144" t="s">
        <v>158</v>
      </c>
      <c r="I9" s="912" t="s">
        <v>220</v>
      </c>
      <c r="J9" s="146"/>
      <c r="K9" s="146"/>
      <c r="L9" s="339" t="s">
        <v>138</v>
      </c>
      <c r="N9" s="144" t="s">
        <v>131</v>
      </c>
      <c r="O9" s="912" t="s">
        <v>223</v>
      </c>
      <c r="P9" s="146"/>
      <c r="Q9" s="146"/>
      <c r="R9" s="339" t="s">
        <v>138</v>
      </c>
      <c r="S9" s="915" t="s">
        <v>563</v>
      </c>
      <c r="T9" s="915" t="s">
        <v>563</v>
      </c>
      <c r="V9" s="144" t="s">
        <v>131</v>
      </c>
      <c r="W9" s="912" t="s">
        <v>223</v>
      </c>
      <c r="X9" s="76">
        <v>14000</v>
      </c>
      <c r="Y9" s="76">
        <v>1000</v>
      </c>
      <c r="Z9" s="339" t="s">
        <v>137</v>
      </c>
      <c r="AC9" s="144" t="s">
        <v>148</v>
      </c>
      <c r="AD9" s="912" t="s">
        <v>216</v>
      </c>
      <c r="AE9" s="76">
        <v>14000</v>
      </c>
      <c r="AF9" s="76">
        <v>1000</v>
      </c>
      <c r="AG9" s="339"/>
      <c r="AH9" s="339" t="s">
        <v>563</v>
      </c>
      <c r="AJ9" s="921" t="s">
        <v>163</v>
      </c>
      <c r="AK9" s="912" t="str">
        <f>+IF(Tabla69101213151013[[#This Row],[TIPO]]="NO ASISTE","-",+IF(AJ9&lt;&gt;0,+LOOKUP(AJ9,SOCIOS!$B$2:$B$27,SOCIOS!$C$2:$C$27),"-"))</f>
        <v>COSTANERA</v>
      </c>
      <c r="AL9" s="76">
        <f>+IF(Tabla69101213151013[[#This Row],[TIPO]]="NO ASISTE","-",+IF(AJ9&lt;&gt;0,+LOOKUP(AJ9,SOCIOS!$B$2:$B$27,SOCIOS!$D$2:$D$27),"-"))</f>
        <v>14000</v>
      </c>
      <c r="AM9" s="76">
        <f>+IF(Tabla69101213151013[[#This Row],[TIPO]]="NO ASISTE","-",+IF(AJ9&lt;&gt;0,+LOOKUP(AJ9,SOCIOS!$B$2:$B$27,SOCIOS!$E$2:$E$27),"-"))</f>
        <v>1000</v>
      </c>
      <c r="AN9" s="339"/>
    </row>
    <row r="10" spans="2:40" x14ac:dyDescent="0.25">
      <c r="B10" s="144" t="s">
        <v>169</v>
      </c>
      <c r="C10" s="912" t="s">
        <v>224</v>
      </c>
      <c r="D10" s="76">
        <v>14000</v>
      </c>
      <c r="E10" s="76">
        <v>1000</v>
      </c>
      <c r="F10" s="339" t="s">
        <v>138</v>
      </c>
      <c r="H10" s="144" t="s">
        <v>130</v>
      </c>
      <c r="I10" s="912" t="s">
        <v>221</v>
      </c>
      <c r="J10" s="146"/>
      <c r="K10" s="146"/>
      <c r="L10" s="339" t="s">
        <v>138</v>
      </c>
      <c r="N10" s="144" t="s">
        <v>459</v>
      </c>
      <c r="O10" s="912" t="s">
        <v>223</v>
      </c>
      <c r="P10" s="146"/>
      <c r="Q10" s="146"/>
      <c r="R10" s="339" t="s">
        <v>138</v>
      </c>
      <c r="S10" s="915" t="s">
        <v>563</v>
      </c>
      <c r="T10" s="915" t="s">
        <v>563</v>
      </c>
      <c r="V10" s="144" t="s">
        <v>458</v>
      </c>
      <c r="W10" s="912" t="s">
        <v>223</v>
      </c>
      <c r="X10" s="76">
        <v>14000</v>
      </c>
      <c r="Y10" s="76">
        <v>1000</v>
      </c>
      <c r="Z10" s="339" t="s">
        <v>137</v>
      </c>
      <c r="AC10" s="144" t="s">
        <v>228</v>
      </c>
      <c r="AD10" s="912" t="s">
        <v>143</v>
      </c>
      <c r="AE10" s="76">
        <v>14000</v>
      </c>
      <c r="AF10" s="76">
        <v>1000</v>
      </c>
      <c r="AG10" s="339"/>
      <c r="AH10" s="339" t="s">
        <v>563</v>
      </c>
      <c r="AJ10" s="921" t="s">
        <v>391</v>
      </c>
      <c r="AK10" s="912" t="str">
        <f>+IF(Tabla69101213151013[[#This Row],[TIPO]]="NO ASISTE","-",+IF(AJ10&lt;&gt;0,+LOOKUP(AJ10,SOCIOS!$B$2:$B$27,SOCIOS!$C$2:$C$27),"-"))</f>
        <v>COSTANERA</v>
      </c>
      <c r="AL10" s="76">
        <f>+IF(Tabla69101213151013[[#This Row],[TIPO]]="NO ASISTE","-",+IF(AJ10&lt;&gt;0,+LOOKUP(AJ10,SOCIOS!$B$2:$B$27,SOCIOS!$D$2:$D$27),"-"))</f>
        <v>14000</v>
      </c>
      <c r="AM10" s="76">
        <f>+IF(Tabla69101213151013[[#This Row],[TIPO]]="NO ASISTE","-",+IF(AJ10&lt;&gt;0,+LOOKUP(AJ10,SOCIOS!$B$2:$B$27,SOCIOS!$E$2:$E$27),"-"))</f>
        <v>1000</v>
      </c>
      <c r="AN10" s="339"/>
    </row>
    <row r="11" spans="2:40" x14ac:dyDescent="0.25">
      <c r="B11" s="144" t="s">
        <v>178</v>
      </c>
      <c r="C11" s="912" t="s">
        <v>226</v>
      </c>
      <c r="D11" s="76">
        <v>14000</v>
      </c>
      <c r="E11" s="76">
        <v>1000</v>
      </c>
      <c r="F11" s="339" t="s">
        <v>138</v>
      </c>
      <c r="H11" s="144" t="s">
        <v>165</v>
      </c>
      <c r="I11" s="912" t="s">
        <v>223</v>
      </c>
      <c r="J11" s="146"/>
      <c r="K11" s="146"/>
      <c r="L11" s="339" t="s">
        <v>138</v>
      </c>
      <c r="N11" s="144" t="s">
        <v>458</v>
      </c>
      <c r="O11" s="912" t="s">
        <v>223</v>
      </c>
      <c r="P11" s="146"/>
      <c r="Q11" s="146"/>
      <c r="R11" s="339" t="s">
        <v>138</v>
      </c>
      <c r="S11" s="915" t="s">
        <v>563</v>
      </c>
      <c r="T11" s="915" t="s">
        <v>563</v>
      </c>
      <c r="V11" s="144" t="s">
        <v>459</v>
      </c>
      <c r="W11" s="912" t="s">
        <v>223</v>
      </c>
      <c r="X11" s="76">
        <v>14000</v>
      </c>
      <c r="Y11" s="76">
        <v>1000</v>
      </c>
      <c r="Z11" s="339" t="s">
        <v>137</v>
      </c>
      <c r="AC11" s="144" t="s">
        <v>176</v>
      </c>
      <c r="AD11" s="912" t="s">
        <v>143</v>
      </c>
      <c r="AE11" s="76">
        <v>14000</v>
      </c>
      <c r="AF11" s="76">
        <v>1000</v>
      </c>
      <c r="AG11" s="339"/>
      <c r="AH11" s="339" t="s">
        <v>563</v>
      </c>
      <c r="AJ11" s="921" t="s">
        <v>160</v>
      </c>
      <c r="AK11" s="912" t="str">
        <f>+IF(Tabla69101213151013[[#This Row],[TIPO]]="NO ASISTE","-",+IF(AJ11&lt;&gt;0,+LOOKUP(AJ11,SOCIOS!$B$2:$B$27,SOCIOS!$C$2:$C$27),"-"))</f>
        <v>PLAZA NORTE</v>
      </c>
      <c r="AL11" s="76">
        <f>+IF(Tabla69101213151013[[#This Row],[TIPO]]="NO ASISTE","-",+IF(AJ11&lt;&gt;0,+LOOKUP(AJ11,SOCIOS!$B$2:$B$27,SOCIOS!$D$2:$D$27),"-"))</f>
        <v>14000</v>
      </c>
      <c r="AM11" s="76">
        <f>+IF(Tabla69101213151013[[#This Row],[TIPO]]="NO ASISTE","-",+IF(AJ11&lt;&gt;0,+LOOKUP(AJ11,SOCIOS!$B$2:$B$27,SOCIOS!$E$2:$E$27),"-"))</f>
        <v>1000</v>
      </c>
      <c r="AN11" s="339"/>
    </row>
    <row r="12" spans="2:40" ht="15" customHeight="1" x14ac:dyDescent="0.25">
      <c r="B12" s="144" t="s">
        <v>132</v>
      </c>
      <c r="C12" s="912" t="s">
        <v>226</v>
      </c>
      <c r="D12" s="76">
        <v>14000</v>
      </c>
      <c r="E12" s="76">
        <v>1000</v>
      </c>
      <c r="F12" s="339" t="s">
        <v>138</v>
      </c>
      <c r="H12" s="144" t="s">
        <v>131</v>
      </c>
      <c r="I12" s="912" t="s">
        <v>223</v>
      </c>
      <c r="J12" s="146"/>
      <c r="K12" s="146"/>
      <c r="L12" s="339" t="s">
        <v>138</v>
      </c>
      <c r="N12" s="144" t="s">
        <v>178</v>
      </c>
      <c r="O12" s="912" t="s">
        <v>226</v>
      </c>
      <c r="P12" s="146"/>
      <c r="Q12" s="146"/>
      <c r="R12" s="339" t="s">
        <v>138</v>
      </c>
      <c r="S12" s="915" t="s">
        <v>563</v>
      </c>
      <c r="T12" s="915" t="s">
        <v>563</v>
      </c>
      <c r="V12" s="144" t="s">
        <v>165</v>
      </c>
      <c r="W12" s="912" t="s">
        <v>223</v>
      </c>
      <c r="X12" s="76">
        <v>0</v>
      </c>
      <c r="Y12" s="76">
        <v>1000</v>
      </c>
      <c r="Z12" s="339"/>
      <c r="AC12" s="144" t="s">
        <v>174</v>
      </c>
      <c r="AD12" s="912" t="s">
        <v>225</v>
      </c>
      <c r="AE12" s="76">
        <v>14000</v>
      </c>
      <c r="AF12" s="76">
        <v>1000</v>
      </c>
      <c r="AG12" s="339"/>
      <c r="AH12" s="339" t="s">
        <v>563</v>
      </c>
      <c r="AJ12" s="921" t="s">
        <v>158</v>
      </c>
      <c r="AK12" s="912" t="str">
        <f>+IF(Tabla69101213151013[[#This Row],[TIPO]]="NO ASISTE","-",+IF(AJ12&lt;&gt;0,+LOOKUP(AJ12,SOCIOS!$B$2:$B$27,SOCIOS!$C$2:$C$27),"-"))</f>
        <v>PLAZA NORTE</v>
      </c>
      <c r="AL12" s="76">
        <f>+IF(Tabla69101213151013[[#This Row],[TIPO]]="NO ASISTE","-",+IF(AJ12&lt;&gt;0,+LOOKUP(AJ12,SOCIOS!$B$2:$B$27,SOCIOS!$D$2:$D$27),"-"))</f>
        <v>14000</v>
      </c>
      <c r="AM12" s="76">
        <f>+IF(Tabla69101213151013[[#This Row],[TIPO]]="NO ASISTE","-",+IF(AJ12&lt;&gt;0,+LOOKUP(AJ12,SOCIOS!$B$2:$B$27,SOCIOS!$E$2:$E$27),"-"))</f>
        <v>1000</v>
      </c>
      <c r="AN12" s="339"/>
    </row>
    <row r="13" spans="2:40" x14ac:dyDescent="0.25">
      <c r="B13" s="144" t="s">
        <v>160</v>
      </c>
      <c r="C13" s="912" t="s">
        <v>220</v>
      </c>
      <c r="D13" s="76">
        <v>14000</v>
      </c>
      <c r="E13" s="76">
        <v>1000</v>
      </c>
      <c r="F13" s="339" t="s">
        <v>138</v>
      </c>
      <c r="H13" s="144" t="s">
        <v>459</v>
      </c>
      <c r="I13" s="912" t="s">
        <v>223</v>
      </c>
      <c r="J13" s="146"/>
      <c r="K13" s="146"/>
      <c r="L13" s="339" t="s">
        <v>138</v>
      </c>
      <c r="N13" s="144" t="s">
        <v>132</v>
      </c>
      <c r="O13" s="912" t="s">
        <v>226</v>
      </c>
      <c r="P13" s="146"/>
      <c r="Q13" s="146"/>
      <c r="R13" s="339" t="s">
        <v>138</v>
      </c>
      <c r="S13" s="915" t="s">
        <v>563</v>
      </c>
      <c r="T13" s="915" t="s">
        <v>563</v>
      </c>
      <c r="V13" s="144" t="s">
        <v>421</v>
      </c>
      <c r="W13" s="912" t="s">
        <v>225</v>
      </c>
      <c r="X13" s="76">
        <v>14000</v>
      </c>
      <c r="Y13" s="76">
        <v>1000</v>
      </c>
      <c r="Z13" s="339" t="s">
        <v>137</v>
      </c>
      <c r="AC13" s="144" t="s">
        <v>169</v>
      </c>
      <c r="AD13" s="912" t="s">
        <v>224</v>
      </c>
      <c r="AE13" s="76">
        <v>14000</v>
      </c>
      <c r="AF13" s="76">
        <v>1000</v>
      </c>
      <c r="AG13" s="339"/>
      <c r="AH13" s="339" t="s">
        <v>563</v>
      </c>
      <c r="AJ13" s="921" t="s">
        <v>767</v>
      </c>
      <c r="AK13" s="912" t="str">
        <f>+IF(Tabla69101213151013[[#This Row],[TIPO]]="NO ASISTE","-",+IF(AJ13&lt;&gt;0,+LOOKUP(AJ13,SOCIOS!$B$2:$B$27,SOCIOS!$C$2:$C$27),"-"))</f>
        <v>PLAZA NORTE</v>
      </c>
      <c r="AL13" s="76">
        <f>+IF(Tabla69101213151013[[#This Row],[TIPO]]="NO ASISTE","-",+IF(AJ13&lt;&gt;0,+LOOKUP(AJ13,SOCIOS!$B$2:$B$27,SOCIOS!$D$2:$D$27),"-"))</f>
        <v>14000</v>
      </c>
      <c r="AM13" s="76">
        <f>+IF(Tabla69101213151013[[#This Row],[TIPO]]="NO ASISTE","-",+IF(AJ13&lt;&gt;0,+LOOKUP(AJ13,SOCIOS!$B$2:$B$27,SOCIOS!$E$2:$E$27),"-"))</f>
        <v>1000</v>
      </c>
      <c r="AN13" s="339"/>
    </row>
    <row r="14" spans="2:40" x14ac:dyDescent="0.25">
      <c r="B14" s="144" t="s">
        <v>158</v>
      </c>
      <c r="C14" s="912" t="s">
        <v>220</v>
      </c>
      <c r="D14" s="76">
        <v>14000</v>
      </c>
      <c r="E14" s="76">
        <v>1000</v>
      </c>
      <c r="F14" s="339" t="s">
        <v>138</v>
      </c>
      <c r="H14" s="144" t="s">
        <v>176</v>
      </c>
      <c r="I14" s="912" t="s">
        <v>143</v>
      </c>
      <c r="J14" s="146"/>
      <c r="K14" s="146"/>
      <c r="L14" s="339" t="s">
        <v>138</v>
      </c>
      <c r="N14" s="144" t="s">
        <v>158</v>
      </c>
      <c r="O14" s="912" t="s">
        <v>220</v>
      </c>
      <c r="P14" s="146"/>
      <c r="Q14" s="146"/>
      <c r="R14" s="339" t="s">
        <v>138</v>
      </c>
      <c r="S14" s="915" t="s">
        <v>563</v>
      </c>
      <c r="T14" s="915" t="s">
        <v>563</v>
      </c>
      <c r="V14" s="144" t="s">
        <v>128</v>
      </c>
      <c r="W14" s="912" t="s">
        <v>225</v>
      </c>
      <c r="X14" s="76">
        <v>14000</v>
      </c>
      <c r="Y14" s="76">
        <v>1000</v>
      </c>
      <c r="Z14" s="339" t="s">
        <v>137</v>
      </c>
      <c r="AC14" s="144" t="s">
        <v>459</v>
      </c>
      <c r="AD14" s="912" t="s">
        <v>223</v>
      </c>
      <c r="AE14" s="76">
        <v>14000</v>
      </c>
      <c r="AF14" s="76">
        <v>1000</v>
      </c>
      <c r="AG14" s="339"/>
      <c r="AH14" s="339" t="s">
        <v>563</v>
      </c>
      <c r="AJ14" s="921" t="s">
        <v>168</v>
      </c>
      <c r="AK14" s="912" t="str">
        <f>+IF(Tabla69101213151013[[#This Row],[TIPO]]="NO ASISTE","-",+IF(AJ14&lt;&gt;0,+LOOKUP(AJ14,SOCIOS!$B$2:$B$27,SOCIOS!$C$2:$C$27),"-"))</f>
        <v>CURICO</v>
      </c>
      <c r="AL14" s="76">
        <f>+IF(Tabla69101213151013[[#This Row],[TIPO]]="NO ASISTE","-",+IF(AJ14&lt;&gt;0,+LOOKUP(AJ14,SOCIOS!$B$2:$B$27,SOCIOS!$D$2:$D$27),"-"))</f>
        <v>14000</v>
      </c>
      <c r="AM14" s="76">
        <f>+IF(Tabla69101213151013[[#This Row],[TIPO]]="NO ASISTE","-",+IF(AJ14&lt;&gt;0,+LOOKUP(AJ14,SOCIOS!$B$2:$B$27,SOCIOS!$E$2:$E$27),"-"))</f>
        <v>1000</v>
      </c>
      <c r="AN14" s="339"/>
    </row>
    <row r="15" spans="2:40" x14ac:dyDescent="0.25">
      <c r="B15" s="144" t="s">
        <v>130</v>
      </c>
      <c r="C15" s="912" t="s">
        <v>221</v>
      </c>
      <c r="D15" s="76">
        <v>14000</v>
      </c>
      <c r="E15" s="76">
        <v>1000</v>
      </c>
      <c r="F15" s="339" t="s">
        <v>142</v>
      </c>
      <c r="H15" s="144" t="s">
        <v>232</v>
      </c>
      <c r="I15" s="912" t="s">
        <v>143</v>
      </c>
      <c r="J15" s="146"/>
      <c r="K15" s="146"/>
      <c r="L15" s="339" t="s">
        <v>138</v>
      </c>
      <c r="N15" s="144" t="s">
        <v>160</v>
      </c>
      <c r="O15" s="912" t="s">
        <v>220</v>
      </c>
      <c r="P15" s="146"/>
      <c r="Q15" s="146"/>
      <c r="R15" s="339" t="s">
        <v>138</v>
      </c>
      <c r="S15" s="915" t="s">
        <v>563</v>
      </c>
      <c r="T15" s="915" t="s">
        <v>563</v>
      </c>
      <c r="V15" s="144" t="s">
        <v>174</v>
      </c>
      <c r="W15" s="912" t="s">
        <v>225</v>
      </c>
      <c r="X15" s="76">
        <v>14000</v>
      </c>
      <c r="Y15" s="76">
        <v>1000</v>
      </c>
      <c r="Z15" s="339" t="s">
        <v>137</v>
      </c>
      <c r="AC15" s="144" t="s">
        <v>458</v>
      </c>
      <c r="AD15" s="912" t="s">
        <v>223</v>
      </c>
      <c r="AE15" s="76">
        <v>14000</v>
      </c>
      <c r="AF15" s="76">
        <v>1000</v>
      </c>
      <c r="AG15" s="339"/>
      <c r="AH15" s="339" t="s">
        <v>563</v>
      </c>
      <c r="AJ15" s="921" t="s">
        <v>169</v>
      </c>
      <c r="AK15" s="912" t="str">
        <f>+IF(Tabla69101213151013[[#This Row],[TIPO]]="NO ASISTE","-",+IF(AJ15&lt;&gt;0,+LOOKUP(AJ15,SOCIOS!$B$2:$B$27,SOCIOS!$C$2:$C$27),"-"))</f>
        <v>CURICO</v>
      </c>
      <c r="AL15" s="76">
        <f>+IF(Tabla69101213151013[[#This Row],[TIPO]]="NO ASISTE","-",+IF(AJ15&lt;&gt;0,+LOOKUP(AJ15,SOCIOS!$B$2:$B$27,SOCIOS!$D$2:$D$27),"-"))</f>
        <v>14000</v>
      </c>
      <c r="AM15" s="76">
        <f>+IF(Tabla69101213151013[[#This Row],[TIPO]]="NO ASISTE","-",+IF(AJ15&lt;&gt;0,+LOOKUP(AJ15,SOCIOS!$B$2:$B$27,SOCIOS!$E$2:$E$27),"-"))</f>
        <v>1000</v>
      </c>
      <c r="AN15" s="339"/>
    </row>
    <row r="16" spans="2:40" x14ac:dyDescent="0.25">
      <c r="B16" s="144" t="s">
        <v>154</v>
      </c>
      <c r="C16" s="912" t="s">
        <v>226</v>
      </c>
      <c r="D16" s="76">
        <v>14000</v>
      </c>
      <c r="E16" s="76">
        <v>1000</v>
      </c>
      <c r="F16" s="339" t="s">
        <v>142</v>
      </c>
      <c r="H16" s="144" t="s">
        <v>228</v>
      </c>
      <c r="I16" s="912" t="s">
        <v>143</v>
      </c>
      <c r="J16" s="146"/>
      <c r="K16" s="146"/>
      <c r="L16" s="339" t="s">
        <v>138</v>
      </c>
      <c r="N16" s="144" t="s">
        <v>168</v>
      </c>
      <c r="O16" s="912" t="s">
        <v>224</v>
      </c>
      <c r="P16" s="146"/>
      <c r="Q16" s="146"/>
      <c r="R16" s="339" t="s">
        <v>138</v>
      </c>
      <c r="S16" s="915" t="s">
        <v>563</v>
      </c>
      <c r="T16" s="915" t="s">
        <v>563</v>
      </c>
      <c r="V16" s="144" t="s">
        <v>148</v>
      </c>
      <c r="W16" s="912" t="s">
        <v>216</v>
      </c>
      <c r="X16" s="76">
        <v>14000</v>
      </c>
      <c r="Y16" s="76">
        <v>1000</v>
      </c>
      <c r="Z16" s="339" t="s">
        <v>138</v>
      </c>
      <c r="AC16" s="144" t="s">
        <v>164</v>
      </c>
      <c r="AD16" s="912" t="s">
        <v>221</v>
      </c>
      <c r="AE16" s="76">
        <v>14000</v>
      </c>
      <c r="AF16" s="76">
        <v>1000</v>
      </c>
      <c r="AG16" s="339"/>
      <c r="AH16" s="339" t="s">
        <v>563</v>
      </c>
      <c r="AJ16" s="921" t="s">
        <v>228</v>
      </c>
      <c r="AK16" s="913" t="str">
        <f>+IF(Tabla69101213151013[[#This Row],[TIPO]]="NO ASISTE","-",+IF(AJ16&lt;&gt;0,+LOOKUP(AJ16,SOCIOS!$B$2:$B$27,SOCIOS!$C$2:$C$27),"-"))</f>
        <v>CONCEPCION</v>
      </c>
      <c r="AL16" s="76">
        <f>+IF(Tabla69101213151013[[#This Row],[TIPO]]="NO ASISTE","-",+IF(AJ16&lt;&gt;0,+LOOKUP(AJ16,SOCIOS!$B$2:$B$27,SOCIOS!$D$2:$D$27),"-"))</f>
        <v>14000</v>
      </c>
      <c r="AM16" s="76">
        <f>+IF(Tabla69101213151013[[#This Row],[TIPO]]="NO ASISTE","-",+IF(AJ16&lt;&gt;0,+LOOKUP(AJ16,SOCIOS!$B$2:$B$27,SOCIOS!$E$2:$E$27),"-"))</f>
        <v>1000</v>
      </c>
      <c r="AN16" s="339" t="s">
        <v>142</v>
      </c>
    </row>
    <row r="17" spans="2:40" x14ac:dyDescent="0.25">
      <c r="B17" s="144" t="s">
        <v>165</v>
      </c>
      <c r="C17" s="912" t="s">
        <v>223</v>
      </c>
      <c r="D17" s="76">
        <v>0</v>
      </c>
      <c r="E17" s="76">
        <v>1000</v>
      </c>
      <c r="F17" s="339" t="s">
        <v>138</v>
      </c>
      <c r="H17" s="144" t="s">
        <v>164</v>
      </c>
      <c r="I17" s="912" t="s">
        <v>221</v>
      </c>
      <c r="J17" s="146"/>
      <c r="K17" s="146"/>
      <c r="L17" s="339" t="s">
        <v>138</v>
      </c>
      <c r="N17" s="144" t="s">
        <v>169</v>
      </c>
      <c r="O17" s="912" t="s">
        <v>224</v>
      </c>
      <c r="P17" s="146"/>
      <c r="Q17" s="146"/>
      <c r="R17" s="339" t="s">
        <v>138</v>
      </c>
      <c r="S17" s="915" t="s">
        <v>563</v>
      </c>
      <c r="T17" s="915" t="s">
        <v>563</v>
      </c>
      <c r="V17" s="144" t="s">
        <v>149</v>
      </c>
      <c r="W17" s="912" t="s">
        <v>216</v>
      </c>
      <c r="X17" s="76">
        <v>14000</v>
      </c>
      <c r="Y17" s="76">
        <v>1000</v>
      </c>
      <c r="Z17" s="339" t="s">
        <v>138</v>
      </c>
      <c r="AC17" s="144" t="s">
        <v>165</v>
      </c>
      <c r="AD17" s="912" t="s">
        <v>223</v>
      </c>
      <c r="AE17" s="76">
        <v>0</v>
      </c>
      <c r="AF17" s="76">
        <v>1000</v>
      </c>
      <c r="AG17" s="339"/>
      <c r="AH17" s="339" t="s">
        <v>563</v>
      </c>
      <c r="AJ17" s="921" t="s">
        <v>232</v>
      </c>
      <c r="AK17" s="913" t="str">
        <f>+IF(Tabla69101213151013[[#This Row],[TIPO]]="NO ASISTE","-",+IF(AJ17&lt;&gt;0,+LOOKUP(AJ17,SOCIOS!$B$2:$B$27,SOCIOS!$C$2:$C$27),"-"))</f>
        <v>CONCEPCION</v>
      </c>
      <c r="AL17" s="76">
        <f>+IF(Tabla69101213151013[[#This Row],[TIPO]]="NO ASISTE","-",+IF(AJ17&lt;&gt;0,+LOOKUP(AJ17,SOCIOS!$B$2:$B$27,SOCIOS!$D$2:$D$27),"-"))</f>
        <v>14000</v>
      </c>
      <c r="AM17" s="76">
        <f>+IF(Tabla69101213151013[[#This Row],[TIPO]]="NO ASISTE","-",+IF(AJ17&lt;&gt;0,+LOOKUP(AJ17,SOCIOS!$B$2:$B$27,SOCIOS!$E$2:$E$27),"-"))</f>
        <v>1000</v>
      </c>
      <c r="AN17" s="339" t="s">
        <v>142</v>
      </c>
    </row>
    <row r="18" spans="2:40" ht="15" customHeight="1" x14ac:dyDescent="0.25">
      <c r="B18" s="144" t="s">
        <v>458</v>
      </c>
      <c r="C18" s="912" t="s">
        <v>223</v>
      </c>
      <c r="D18" s="76">
        <v>14000</v>
      </c>
      <c r="E18" s="76">
        <v>1000</v>
      </c>
      <c r="F18" s="339" t="s">
        <v>138</v>
      </c>
      <c r="H18" s="144" t="s">
        <v>160</v>
      </c>
      <c r="I18" s="912" t="s">
        <v>253</v>
      </c>
      <c r="J18" s="146"/>
      <c r="K18" s="146"/>
      <c r="L18" s="339" t="s">
        <v>239</v>
      </c>
      <c r="N18" s="144" t="s">
        <v>234</v>
      </c>
      <c r="O18" s="912" t="s">
        <v>224</v>
      </c>
      <c r="P18" s="146"/>
      <c r="Q18" s="146"/>
      <c r="R18" s="339" t="s">
        <v>138</v>
      </c>
      <c r="S18" s="915" t="s">
        <v>563</v>
      </c>
      <c r="T18" s="915" t="s">
        <v>563</v>
      </c>
      <c r="V18" s="144" t="s">
        <v>178</v>
      </c>
      <c r="W18" s="912" t="s">
        <v>226</v>
      </c>
      <c r="X18" s="76">
        <v>14000</v>
      </c>
      <c r="Y18" s="76">
        <v>1000</v>
      </c>
      <c r="Z18" s="339" t="s">
        <v>142</v>
      </c>
      <c r="AC18" s="144" t="s">
        <v>234</v>
      </c>
      <c r="AD18" s="912" t="s">
        <v>224</v>
      </c>
      <c r="AE18" s="76">
        <v>14000</v>
      </c>
      <c r="AF18" s="76">
        <v>1000</v>
      </c>
      <c r="AG18" s="339"/>
      <c r="AH18" s="339" t="s">
        <v>563</v>
      </c>
      <c r="AJ18" s="921" t="s">
        <v>176</v>
      </c>
      <c r="AK18" s="913" t="str">
        <f>+IF(Tabla69101213151013[[#This Row],[TIPO]]="NO ASISTE","-",+IF(AJ18&lt;&gt;0,+LOOKUP(AJ18,SOCIOS!$B$2:$B$27,SOCIOS!$C$2:$C$27),"-"))</f>
        <v>CONCEPCION</v>
      </c>
      <c r="AL18" s="76">
        <f>+IF(Tabla69101213151013[[#This Row],[TIPO]]="NO ASISTE","-",+IF(AJ18&lt;&gt;0,+LOOKUP(AJ18,SOCIOS!$B$2:$B$27,SOCIOS!$D$2:$D$27),"-"))</f>
        <v>14000</v>
      </c>
      <c r="AM18" s="76">
        <f>+IF(Tabla69101213151013[[#This Row],[TIPO]]="NO ASISTE","-",+IF(AJ18&lt;&gt;0,+LOOKUP(AJ18,SOCIOS!$B$2:$B$27,SOCIOS!$E$2:$E$27),"-"))</f>
        <v>1000</v>
      </c>
      <c r="AN18" s="339" t="s">
        <v>142</v>
      </c>
    </row>
    <row r="19" spans="2:40" x14ac:dyDescent="0.25">
      <c r="B19" s="144" t="s">
        <v>131</v>
      </c>
      <c r="C19" s="912" t="s">
        <v>223</v>
      </c>
      <c r="D19" s="76">
        <v>14000</v>
      </c>
      <c r="E19" s="76">
        <v>1000</v>
      </c>
      <c r="F19" s="339" t="s">
        <v>138</v>
      </c>
      <c r="H19" s="144" t="s">
        <v>421</v>
      </c>
      <c r="I19" s="912" t="s">
        <v>253</v>
      </c>
      <c r="J19" s="146"/>
      <c r="K19" s="146"/>
      <c r="L19" s="339" t="s">
        <v>239</v>
      </c>
      <c r="N19" s="144" t="s">
        <v>176</v>
      </c>
      <c r="O19" s="912" t="s">
        <v>143</v>
      </c>
      <c r="P19" s="146"/>
      <c r="Q19" s="146"/>
      <c r="R19" s="339" t="s">
        <v>138</v>
      </c>
      <c r="S19" s="915" t="s">
        <v>563</v>
      </c>
      <c r="T19" s="915" t="s">
        <v>563</v>
      </c>
      <c r="V19" s="144" t="s">
        <v>132</v>
      </c>
      <c r="W19" s="912" t="s">
        <v>226</v>
      </c>
      <c r="X19" s="76">
        <v>14000</v>
      </c>
      <c r="Y19" s="76">
        <v>1000</v>
      </c>
      <c r="Z19" s="339" t="s">
        <v>142</v>
      </c>
      <c r="AC19" s="144" t="s">
        <v>160</v>
      </c>
      <c r="AD19" s="912" t="s">
        <v>220</v>
      </c>
      <c r="AE19" s="76">
        <v>14000</v>
      </c>
      <c r="AF19" s="76">
        <v>1000</v>
      </c>
      <c r="AG19" s="339"/>
      <c r="AH19" s="339" t="s">
        <v>563</v>
      </c>
      <c r="AJ19" s="921" t="s">
        <v>128</v>
      </c>
      <c r="AK19" s="912" t="str">
        <f>+IF(Tabla69101213151013[[#This Row],[TIPO]]="NO ASISTE","-",+IF(AJ19&lt;&gt;0,+LOOKUP(AJ19,SOCIOS!$B$2:$B$27,SOCIOS!$C$2:$C$27),"-"))</f>
        <v>TREBOL</v>
      </c>
      <c r="AL19" s="76">
        <f>+IF(Tabla69101213151013[[#This Row],[TIPO]]="NO ASISTE","-",+IF(AJ19&lt;&gt;0,+LOOKUP(AJ19,SOCIOS!$B$2:$B$27,SOCIOS!$D$2:$D$27),"-"))</f>
        <v>14000</v>
      </c>
      <c r="AM19" s="76">
        <f>+IF(Tabla69101213151013[[#This Row],[TIPO]]="NO ASISTE","-",+IF(AJ19&lt;&gt;0,+LOOKUP(AJ19,SOCIOS!$B$2:$B$27,SOCIOS!$E$2:$E$27),"-"))</f>
        <v>1000</v>
      </c>
      <c r="AN19" s="339"/>
    </row>
    <row r="20" spans="2:40" x14ac:dyDescent="0.25">
      <c r="B20" s="144" t="s">
        <v>459</v>
      </c>
      <c r="C20" s="912" t="s">
        <v>223</v>
      </c>
      <c r="D20" s="76">
        <v>14000</v>
      </c>
      <c r="E20" s="76">
        <v>1000</v>
      </c>
      <c r="F20" s="339" t="s">
        <v>138</v>
      </c>
      <c r="H20" s="144" t="s">
        <v>154</v>
      </c>
      <c r="I20" s="912" t="s">
        <v>253</v>
      </c>
      <c r="J20" s="146"/>
      <c r="K20" s="146"/>
      <c r="L20" s="339" t="s">
        <v>239</v>
      </c>
      <c r="N20" s="144" t="s">
        <v>232</v>
      </c>
      <c r="O20" s="912" t="s">
        <v>143</v>
      </c>
      <c r="P20" s="146"/>
      <c r="Q20" s="146"/>
      <c r="R20" s="339" t="s">
        <v>138</v>
      </c>
      <c r="S20" s="915" t="s">
        <v>563</v>
      </c>
      <c r="T20" s="915" t="s">
        <v>563</v>
      </c>
      <c r="V20" s="144" t="s">
        <v>169</v>
      </c>
      <c r="W20" s="912" t="s">
        <v>224</v>
      </c>
      <c r="X20" s="76">
        <v>14000</v>
      </c>
      <c r="Y20" s="76">
        <v>1000</v>
      </c>
      <c r="Z20" s="339" t="s">
        <v>138</v>
      </c>
      <c r="AC20" s="144" t="s">
        <v>158</v>
      </c>
      <c r="AD20" s="912" t="s">
        <v>220</v>
      </c>
      <c r="AE20" s="76">
        <v>14000</v>
      </c>
      <c r="AF20" s="76">
        <v>1000</v>
      </c>
      <c r="AG20" s="339"/>
      <c r="AH20" s="339" t="s">
        <v>563</v>
      </c>
      <c r="AJ20" s="921" t="s">
        <v>174</v>
      </c>
      <c r="AK20" s="912" t="str">
        <f>+IF(Tabla69101213151013[[#This Row],[TIPO]]="NO ASISTE","-",+IF(AJ20&lt;&gt;0,+LOOKUP(AJ20,SOCIOS!$B$2:$B$27,SOCIOS!$C$2:$C$27),"-"))</f>
        <v>TREBOL</v>
      </c>
      <c r="AL20" s="76">
        <f>+IF(Tabla69101213151013[[#This Row],[TIPO]]="NO ASISTE","-",+IF(AJ20&lt;&gt;0,+LOOKUP(AJ20,SOCIOS!$B$2:$B$27,SOCIOS!$D$2:$D$27),"-"))</f>
        <v>14000</v>
      </c>
      <c r="AM20" s="76">
        <f>+IF(Tabla69101213151013[[#This Row],[TIPO]]="NO ASISTE","-",+IF(AJ20&lt;&gt;0,+LOOKUP(AJ20,SOCIOS!$B$2:$B$27,SOCIOS!$E$2:$E$27),"-"))</f>
        <v>1000</v>
      </c>
      <c r="AN20" s="339"/>
    </row>
    <row r="21" spans="2:40" x14ac:dyDescent="0.25">
      <c r="B21" s="144" t="s">
        <v>391</v>
      </c>
      <c r="C21" s="912" t="s">
        <v>253</v>
      </c>
      <c r="D21" s="76" t="s">
        <v>253</v>
      </c>
      <c r="E21" s="76" t="s">
        <v>253</v>
      </c>
      <c r="F21" s="339" t="s">
        <v>239</v>
      </c>
      <c r="H21" s="144" t="s">
        <v>458</v>
      </c>
      <c r="I21" s="912" t="s">
        <v>253</v>
      </c>
      <c r="J21" s="146"/>
      <c r="K21" s="146"/>
      <c r="L21" s="339" t="s">
        <v>239</v>
      </c>
      <c r="N21" s="144" t="s">
        <v>228</v>
      </c>
      <c r="O21" s="912" t="s">
        <v>143</v>
      </c>
      <c r="P21" s="146"/>
      <c r="Q21" s="146"/>
      <c r="R21" s="339" t="s">
        <v>138</v>
      </c>
      <c r="S21" s="915" t="s">
        <v>563</v>
      </c>
      <c r="T21" s="915" t="s">
        <v>563</v>
      </c>
      <c r="V21" s="144" t="s">
        <v>168</v>
      </c>
      <c r="W21" s="912" t="s">
        <v>224</v>
      </c>
      <c r="X21" s="76">
        <v>14000</v>
      </c>
      <c r="Y21" s="76">
        <v>1000</v>
      </c>
      <c r="Z21" s="339" t="s">
        <v>138</v>
      </c>
      <c r="AC21" s="144"/>
      <c r="AD21" s="912" t="s">
        <v>253</v>
      </c>
      <c r="AE21" s="76" t="s">
        <v>253</v>
      </c>
      <c r="AF21" s="76" t="s">
        <v>253</v>
      </c>
      <c r="AG21" s="339"/>
      <c r="AH21" s="339"/>
      <c r="AJ21" s="144" t="s">
        <v>421</v>
      </c>
      <c r="AK21" s="912" t="str">
        <f>+IF(Tabla69101213151013[[#This Row],[TIPO]]="NO ASISTE","-",+IF(AJ21&lt;&gt;0,+LOOKUP(AJ21,SOCIOS!$B$2:$B$27,SOCIOS!$C$2:$C$27),"-"))</f>
        <v>-</v>
      </c>
      <c r="AL21" s="76" t="str">
        <f>+IF(Tabla69101213151013[[#This Row],[TIPO]]="NO ASISTE","-",+IF(AJ21&lt;&gt;0,+LOOKUP(AJ21,SOCIOS!$B$2:$B$27,SOCIOS!$D$2:$D$27),"-"))</f>
        <v>-</v>
      </c>
      <c r="AM21" s="76" t="str">
        <f>+IF(Tabla69101213151013[[#This Row],[TIPO]]="NO ASISTE","-",+IF(AJ21&lt;&gt;0,+LOOKUP(AJ21,SOCIOS!$B$2:$B$27,SOCIOS!$E$2:$E$27),"-"))</f>
        <v>-</v>
      </c>
      <c r="AN21" s="339" t="s">
        <v>239</v>
      </c>
    </row>
    <row r="22" spans="2:40" x14ac:dyDescent="0.25">
      <c r="B22" s="144" t="s">
        <v>164</v>
      </c>
      <c r="C22" s="912" t="s">
        <v>253</v>
      </c>
      <c r="D22" s="76" t="s">
        <v>253</v>
      </c>
      <c r="E22" s="76" t="s">
        <v>253</v>
      </c>
      <c r="F22" s="339" t="s">
        <v>239</v>
      </c>
      <c r="H22" s="144" t="s">
        <v>391</v>
      </c>
      <c r="I22" s="912" t="s">
        <v>253</v>
      </c>
      <c r="J22" s="146"/>
      <c r="K22" s="146"/>
      <c r="L22" s="339" t="s">
        <v>239</v>
      </c>
      <c r="N22" s="144" t="s">
        <v>130</v>
      </c>
      <c r="O22" s="912" t="s">
        <v>253</v>
      </c>
      <c r="P22" s="146"/>
      <c r="Q22" s="146"/>
      <c r="R22" s="339" t="s">
        <v>239</v>
      </c>
      <c r="V22" s="144" t="s">
        <v>158</v>
      </c>
      <c r="W22" s="912" t="s">
        <v>220</v>
      </c>
      <c r="X22" s="76">
        <v>14000</v>
      </c>
      <c r="Y22" s="76">
        <v>1000</v>
      </c>
      <c r="Z22" s="339" t="s">
        <v>138</v>
      </c>
      <c r="AC22" s="144"/>
      <c r="AD22" s="912" t="s">
        <v>253</v>
      </c>
      <c r="AE22" s="76" t="s">
        <v>253</v>
      </c>
      <c r="AF22" s="76" t="s">
        <v>253</v>
      </c>
      <c r="AG22" s="339"/>
      <c r="AH22" s="339"/>
      <c r="AJ22" s="144" t="s">
        <v>148</v>
      </c>
      <c r="AK22" s="912" t="str">
        <f>+IF(Tabla69101213151013[[#This Row],[TIPO]]="NO ASISTE","-",+IF(AJ22&lt;&gt;0,+LOOKUP(AJ22,SOCIOS!$B$2:$B$27,SOCIOS!$C$2:$C$27),"-"))</f>
        <v>-</v>
      </c>
      <c r="AL22" s="76" t="str">
        <f>+IF(Tabla69101213151013[[#This Row],[TIPO]]="NO ASISTE","-",+IF(AJ22&lt;&gt;0,+LOOKUP(AJ22,SOCIOS!$B$2:$B$27,SOCIOS!$D$2:$D$27),"-"))</f>
        <v>-</v>
      </c>
      <c r="AM22" s="76" t="str">
        <f>+IF(Tabla69101213151013[[#This Row],[TIPO]]="NO ASISTE","-",+IF(AJ22&lt;&gt;0,+LOOKUP(AJ22,SOCIOS!$B$2:$B$27,SOCIOS!$E$2:$E$27),"-"))</f>
        <v>-</v>
      </c>
      <c r="AN22" s="339" t="s">
        <v>239</v>
      </c>
    </row>
    <row r="23" spans="2:40" x14ac:dyDescent="0.25">
      <c r="B23" s="144" t="s">
        <v>157</v>
      </c>
      <c r="C23" s="912" t="s">
        <v>253</v>
      </c>
      <c r="D23" s="76" t="s">
        <v>253</v>
      </c>
      <c r="E23" s="76" t="s">
        <v>253</v>
      </c>
      <c r="F23" s="339" t="s">
        <v>239</v>
      </c>
      <c r="H23" s="144" t="s">
        <v>157</v>
      </c>
      <c r="I23" s="912" t="s">
        <v>253</v>
      </c>
      <c r="J23" s="146"/>
      <c r="K23" s="146"/>
      <c r="L23" s="339" t="s">
        <v>239</v>
      </c>
      <c r="N23" s="144" t="s">
        <v>164</v>
      </c>
      <c r="O23" s="912" t="s">
        <v>253</v>
      </c>
      <c r="P23" s="146"/>
      <c r="Q23" s="146"/>
      <c r="R23" s="339" t="s">
        <v>239</v>
      </c>
      <c r="V23" s="144" t="s">
        <v>160</v>
      </c>
      <c r="W23" s="912" t="s">
        <v>220</v>
      </c>
      <c r="X23" s="76">
        <v>14000</v>
      </c>
      <c r="Y23" s="76">
        <v>1000</v>
      </c>
      <c r="Z23" s="339" t="s">
        <v>138</v>
      </c>
      <c r="AC23" s="144"/>
      <c r="AD23" s="912" t="s">
        <v>253</v>
      </c>
      <c r="AE23" s="76" t="s">
        <v>253</v>
      </c>
      <c r="AF23" s="76" t="s">
        <v>253</v>
      </c>
      <c r="AG23" s="339"/>
      <c r="AH23" s="339"/>
      <c r="AJ23" s="144" t="s">
        <v>149</v>
      </c>
      <c r="AK23" s="912" t="str">
        <f>+IF(Tabla69101213151013[[#This Row],[TIPO]]="NO ASISTE","-",+IF(AJ23&lt;&gt;0,+LOOKUP(AJ23,SOCIOS!$B$2:$B$27,SOCIOS!$C$2:$C$27),"-"))</f>
        <v>-</v>
      </c>
      <c r="AL23" s="76" t="str">
        <f>+IF(Tabla69101213151013[[#This Row],[TIPO]]="NO ASISTE","-",+IF(AJ23&lt;&gt;0,+LOOKUP(AJ23,SOCIOS!$B$2:$B$27,SOCIOS!$D$2:$D$27),"-"))</f>
        <v>-</v>
      </c>
      <c r="AM23" s="76" t="str">
        <f>+IF(Tabla69101213151013[[#This Row],[TIPO]]="NO ASISTE","-",+IF(AJ23&lt;&gt;0,+LOOKUP(AJ23,SOCIOS!$B$2:$B$27,SOCIOS!$E$2:$E$27),"-"))</f>
        <v>-</v>
      </c>
      <c r="AN23" s="339" t="s">
        <v>239</v>
      </c>
    </row>
    <row r="24" spans="2:40" x14ac:dyDescent="0.25">
      <c r="B24" s="144" t="s">
        <v>156</v>
      </c>
      <c r="C24" s="912" t="s">
        <v>253</v>
      </c>
      <c r="D24" s="76" t="s">
        <v>253</v>
      </c>
      <c r="E24" s="76" t="s">
        <v>253</v>
      </c>
      <c r="F24" s="339" t="s">
        <v>239</v>
      </c>
      <c r="H24" s="144" t="s">
        <v>156</v>
      </c>
      <c r="I24" s="912" t="s">
        <v>253</v>
      </c>
      <c r="J24" s="146"/>
      <c r="K24" s="146"/>
      <c r="L24" s="339" t="s">
        <v>239</v>
      </c>
      <c r="N24" s="144" t="s">
        <v>391</v>
      </c>
      <c r="O24" s="912" t="s">
        <v>253</v>
      </c>
      <c r="P24" s="146"/>
      <c r="Q24" s="146"/>
      <c r="R24" s="339" t="s">
        <v>239</v>
      </c>
      <c r="V24" s="144" t="s">
        <v>178</v>
      </c>
      <c r="W24" s="912" t="s">
        <v>226</v>
      </c>
      <c r="X24" s="76">
        <v>14000</v>
      </c>
      <c r="Y24" s="76">
        <v>1000</v>
      </c>
      <c r="Z24" s="339" t="s">
        <v>138</v>
      </c>
      <c r="AC24" s="144"/>
      <c r="AD24" s="912" t="s">
        <v>253</v>
      </c>
      <c r="AE24" s="76" t="s">
        <v>253</v>
      </c>
      <c r="AF24" s="76" t="s">
        <v>253</v>
      </c>
      <c r="AG24" s="339"/>
      <c r="AH24" s="339"/>
      <c r="AJ24" s="144" t="s">
        <v>458</v>
      </c>
      <c r="AK24" s="912" t="str">
        <f>+IF(Tabla69101213151013[[#This Row],[TIPO]]="NO ASISTE","-",+IF(AJ24&lt;&gt;0,+LOOKUP(AJ24,SOCIOS!$B$2:$B$27,SOCIOS!$C$2:$C$27),"-"))</f>
        <v>-</v>
      </c>
      <c r="AL24" s="76" t="str">
        <f>+IF(Tabla69101213151013[[#This Row],[TIPO]]="NO ASISTE","-",+IF(AJ24&lt;&gt;0,+LOOKUP(AJ24,SOCIOS!$B$2:$B$27,SOCIOS!$D$2:$D$27),"-"))</f>
        <v>-</v>
      </c>
      <c r="AM24" s="76" t="str">
        <f>+IF(Tabla69101213151013[[#This Row],[TIPO]]="NO ASISTE","-",+IF(AJ24&lt;&gt;0,+LOOKUP(AJ24,SOCIOS!$B$2:$B$27,SOCIOS!$E$2:$E$27),"-"))</f>
        <v>-</v>
      </c>
      <c r="AN24" s="339" t="s">
        <v>239</v>
      </c>
    </row>
    <row r="25" spans="2:40" x14ac:dyDescent="0.25">
      <c r="B25" s="144" t="s">
        <v>155</v>
      </c>
      <c r="C25" s="912" t="s">
        <v>253</v>
      </c>
      <c r="D25" s="76" t="s">
        <v>253</v>
      </c>
      <c r="E25" s="76" t="s">
        <v>253</v>
      </c>
      <c r="F25" s="339" t="s">
        <v>239</v>
      </c>
      <c r="H25" s="144" t="s">
        <v>155</v>
      </c>
      <c r="I25" s="912" t="s">
        <v>253</v>
      </c>
      <c r="J25" s="146"/>
      <c r="K25" s="146"/>
      <c r="L25" s="339" t="s">
        <v>239</v>
      </c>
      <c r="N25" s="144" t="s">
        <v>157</v>
      </c>
      <c r="O25" s="912" t="s">
        <v>253</v>
      </c>
      <c r="P25" s="146"/>
      <c r="Q25" s="146"/>
      <c r="R25" s="339" t="s">
        <v>239</v>
      </c>
      <c r="V25" s="144"/>
      <c r="W25" s="912" t="s">
        <v>253</v>
      </c>
      <c r="X25" s="76" t="s">
        <v>253</v>
      </c>
      <c r="Y25" s="76" t="s">
        <v>253</v>
      </c>
      <c r="Z25" s="339"/>
      <c r="AC25" s="144"/>
      <c r="AD25" s="912" t="s">
        <v>253</v>
      </c>
      <c r="AE25" s="76" t="s">
        <v>253</v>
      </c>
      <c r="AF25" s="76" t="s">
        <v>253</v>
      </c>
      <c r="AG25" s="339"/>
      <c r="AH25" s="339"/>
      <c r="AJ25" s="144" t="s">
        <v>164</v>
      </c>
      <c r="AK25" s="912" t="str">
        <f>+IF(Tabla69101213151013[[#This Row],[TIPO]]="NO ASISTE","-",+IF(AJ25&lt;&gt;0,+LOOKUP(AJ25,SOCIOS!$B$2:$B$27,SOCIOS!$C$2:$C$27),"-"))</f>
        <v>-</v>
      </c>
      <c r="AL25" s="76" t="str">
        <f>+IF(Tabla69101213151013[[#This Row],[TIPO]]="NO ASISTE","-",+IF(AJ25&lt;&gt;0,+LOOKUP(AJ25,SOCIOS!$B$2:$B$27,SOCIOS!$D$2:$D$27),"-"))</f>
        <v>-</v>
      </c>
      <c r="AM25" s="76" t="str">
        <f>+IF(Tabla69101213151013[[#This Row],[TIPO]]="NO ASISTE","-",+IF(AJ25&lt;&gt;0,+LOOKUP(AJ25,SOCIOS!$B$2:$B$27,SOCIOS!$E$2:$E$27),"-"))</f>
        <v>-</v>
      </c>
      <c r="AN25" s="339" t="s">
        <v>239</v>
      </c>
    </row>
    <row r="26" spans="2:40" x14ac:dyDescent="0.25">
      <c r="B26" s="144" t="s">
        <v>159</v>
      </c>
      <c r="C26" s="912" t="s">
        <v>253</v>
      </c>
      <c r="D26" s="76" t="s">
        <v>253</v>
      </c>
      <c r="E26" s="76" t="s">
        <v>253</v>
      </c>
      <c r="F26" s="339" t="s">
        <v>239</v>
      </c>
      <c r="H26" s="144" t="s">
        <v>159</v>
      </c>
      <c r="I26" s="912" t="s">
        <v>253</v>
      </c>
      <c r="J26" s="146"/>
      <c r="K26" s="146"/>
      <c r="L26" s="339" t="s">
        <v>239</v>
      </c>
      <c r="N26" s="144" t="s">
        <v>156</v>
      </c>
      <c r="O26" s="912" t="s">
        <v>253</v>
      </c>
      <c r="P26" s="146"/>
      <c r="Q26" s="146"/>
      <c r="R26" s="339" t="s">
        <v>239</v>
      </c>
      <c r="V26" s="144"/>
      <c r="W26" s="912" t="s">
        <v>253</v>
      </c>
      <c r="X26" s="76" t="s">
        <v>253</v>
      </c>
      <c r="Y26" s="76" t="s">
        <v>253</v>
      </c>
      <c r="Z26" s="339"/>
      <c r="AC26" s="144"/>
      <c r="AD26" s="912" t="s">
        <v>253</v>
      </c>
      <c r="AE26" s="76" t="s">
        <v>253</v>
      </c>
      <c r="AF26" s="76" t="s">
        <v>253</v>
      </c>
      <c r="AG26" s="339"/>
      <c r="AH26" s="339"/>
      <c r="AJ26" s="144" t="s">
        <v>234</v>
      </c>
      <c r="AK26" s="912" t="str">
        <f>+IF(Tabla69101213151013[[#This Row],[TIPO]]="NO ASISTE","-",+IF(AJ26&lt;&gt;0,+LOOKUP(AJ26,SOCIOS!$B$2:$B$27,SOCIOS!$C$2:$C$27),"-"))</f>
        <v>-</v>
      </c>
      <c r="AL26" s="76" t="str">
        <f>+IF(Tabla69101213151013[[#This Row],[TIPO]]="NO ASISTE","-",+IF(AJ26&lt;&gt;0,+LOOKUP(AJ26,SOCIOS!$B$2:$B$27,SOCIOS!$D$2:$D$27),"-"))</f>
        <v>-</v>
      </c>
      <c r="AM26" s="76" t="str">
        <f>+IF(Tabla69101213151013[[#This Row],[TIPO]]="NO ASISTE","-",+IF(AJ26&lt;&gt;0,+LOOKUP(AJ26,SOCIOS!$B$2:$B$27,SOCIOS!$E$2:$E$27),"-"))</f>
        <v>-</v>
      </c>
      <c r="AN26" s="339" t="s">
        <v>239</v>
      </c>
    </row>
    <row r="27" spans="2:40" x14ac:dyDescent="0.25">
      <c r="B27" s="144" t="s">
        <v>231</v>
      </c>
      <c r="C27" s="912" t="s">
        <v>253</v>
      </c>
      <c r="D27" s="76" t="s">
        <v>253</v>
      </c>
      <c r="E27" s="76" t="s">
        <v>253</v>
      </c>
      <c r="F27" s="339" t="s">
        <v>239</v>
      </c>
      <c r="H27" s="144" t="s">
        <v>148</v>
      </c>
      <c r="I27" s="912" t="s">
        <v>253</v>
      </c>
      <c r="J27" s="146"/>
      <c r="K27" s="146"/>
      <c r="L27" s="339" t="s">
        <v>239</v>
      </c>
      <c r="N27" s="144" t="s">
        <v>155</v>
      </c>
      <c r="O27" s="912" t="s">
        <v>253</v>
      </c>
      <c r="P27" s="146"/>
      <c r="Q27" s="146"/>
      <c r="R27" s="339" t="s">
        <v>239</v>
      </c>
      <c r="V27" s="144"/>
      <c r="W27" s="912" t="s">
        <v>253</v>
      </c>
      <c r="X27" s="76" t="s">
        <v>253</v>
      </c>
      <c r="Y27" s="76" t="s">
        <v>253</v>
      </c>
      <c r="Z27" s="339"/>
      <c r="AC27" s="144"/>
      <c r="AD27" s="912" t="s">
        <v>253</v>
      </c>
      <c r="AE27" s="76" t="s">
        <v>253</v>
      </c>
      <c r="AF27" s="76" t="s">
        <v>253</v>
      </c>
      <c r="AG27" s="339"/>
      <c r="AH27" s="339"/>
      <c r="AJ27" s="144" t="s">
        <v>161</v>
      </c>
      <c r="AK27" s="912" t="str">
        <f>+IF(Tabla69101213151013[[#This Row],[TIPO]]="NO ASISTE","-",+IF(AJ27&lt;&gt;0,+LOOKUP(AJ27,SOCIOS!$B$2:$B$27,SOCIOS!$C$2:$C$27),"-"))</f>
        <v>-</v>
      </c>
      <c r="AL27" s="76" t="str">
        <f>+IF(Tabla69101213151013[[#This Row],[TIPO]]="NO ASISTE","-",+IF(AJ27&lt;&gt;0,+LOOKUP(AJ27,SOCIOS!$B$2:$B$27,SOCIOS!$D$2:$D$27),"-"))</f>
        <v>-</v>
      </c>
      <c r="AM27" s="76" t="str">
        <f>+IF(Tabla69101213151013[[#This Row],[TIPO]]="NO ASISTE","-",+IF(AJ27&lt;&gt;0,+LOOKUP(AJ27,SOCIOS!$B$2:$B$27,SOCIOS!$E$2:$E$27),"-"))</f>
        <v>-</v>
      </c>
      <c r="AN27" s="339" t="s">
        <v>239</v>
      </c>
    </row>
    <row r="28" spans="2:40" x14ac:dyDescent="0.25">
      <c r="B28" s="144" t="s">
        <v>148</v>
      </c>
      <c r="C28" s="912" t="s">
        <v>253</v>
      </c>
      <c r="D28" s="76" t="s">
        <v>253</v>
      </c>
      <c r="E28" s="76" t="s">
        <v>253</v>
      </c>
      <c r="F28" s="339" t="s">
        <v>239</v>
      </c>
      <c r="H28" s="144" t="s">
        <v>163</v>
      </c>
      <c r="I28" s="912" t="s">
        <v>253</v>
      </c>
      <c r="J28" s="146"/>
      <c r="K28" s="146"/>
      <c r="L28" s="339" t="s">
        <v>239</v>
      </c>
      <c r="N28" s="144" t="s">
        <v>159</v>
      </c>
      <c r="O28" s="912" t="s">
        <v>253</v>
      </c>
      <c r="P28" s="146"/>
      <c r="Q28" s="146"/>
      <c r="R28" s="339" t="s">
        <v>239</v>
      </c>
      <c r="V28" s="144"/>
      <c r="W28" s="912" t="s">
        <v>253</v>
      </c>
      <c r="X28" s="76" t="s">
        <v>253</v>
      </c>
      <c r="Y28" s="76" t="s">
        <v>253</v>
      </c>
      <c r="Z28" s="339"/>
      <c r="AC28" s="144"/>
      <c r="AD28" s="912" t="s">
        <v>253</v>
      </c>
      <c r="AE28" s="76" t="s">
        <v>253</v>
      </c>
      <c r="AF28" s="76" t="s">
        <v>253</v>
      </c>
      <c r="AG28" s="339"/>
      <c r="AH28" s="339"/>
      <c r="AJ28" s="144"/>
      <c r="AK28" s="912" t="str">
        <f>+IF(Tabla69101213151013[[#This Row],[TIPO]]="NO ASISTE","-",+IF(AJ28&lt;&gt;0,+LOOKUP(AJ28,SOCIOS!$B$2:$B$27,SOCIOS!$C$2:$C$27),"-"))</f>
        <v>-</v>
      </c>
      <c r="AL28" s="76" t="str">
        <f>+IF(Tabla69101213151013[[#This Row],[TIPO]]="NO ASISTE","-",+IF(AJ28&lt;&gt;0,+LOOKUP(AJ28,SOCIOS!$B$2:$B$27,SOCIOS!$D$2:$D$27),"-"))</f>
        <v>-</v>
      </c>
      <c r="AM28" s="76" t="str">
        <f>+IF(Tabla69101213151013[[#This Row],[TIPO]]="NO ASISTE","-",+IF(AJ28&lt;&gt;0,+LOOKUP(AJ28,SOCIOS!$B$2:$B$27,SOCIOS!$E$2:$E$27),"-"))</f>
        <v>-</v>
      </c>
      <c r="AN28" s="339"/>
    </row>
    <row r="29" spans="2:40" x14ac:dyDescent="0.25">
      <c r="B29" s="144" t="s">
        <v>163</v>
      </c>
      <c r="C29" s="912" t="s">
        <v>253</v>
      </c>
      <c r="D29" s="76" t="s">
        <v>253</v>
      </c>
      <c r="E29" s="76" t="s">
        <v>253</v>
      </c>
      <c r="F29" s="339" t="s">
        <v>239</v>
      </c>
      <c r="H29" s="144" t="s">
        <v>161</v>
      </c>
      <c r="I29" s="912" t="s">
        <v>253</v>
      </c>
      <c r="J29" s="146"/>
      <c r="K29" s="146"/>
      <c r="L29" s="339" t="s">
        <v>239</v>
      </c>
      <c r="N29" s="144" t="s">
        <v>148</v>
      </c>
      <c r="O29" s="912" t="s">
        <v>253</v>
      </c>
      <c r="P29" s="146"/>
      <c r="Q29" s="146"/>
      <c r="R29" s="339" t="s">
        <v>239</v>
      </c>
      <c r="V29" s="144"/>
      <c r="W29" s="912" t="s">
        <v>253</v>
      </c>
      <c r="X29" s="76" t="s">
        <v>253</v>
      </c>
      <c r="Y29" s="76" t="s">
        <v>253</v>
      </c>
      <c r="Z29" s="339"/>
      <c r="AC29" s="144"/>
      <c r="AD29" s="912" t="s">
        <v>253</v>
      </c>
      <c r="AE29" s="76" t="s">
        <v>253</v>
      </c>
      <c r="AF29" s="76" t="s">
        <v>253</v>
      </c>
      <c r="AG29" s="339"/>
      <c r="AH29" s="339"/>
      <c r="AJ29" s="144"/>
      <c r="AK29" s="912" t="str">
        <f>+IF(Tabla69101213151013[[#This Row],[TIPO]]="NO ASISTE","-",+IF(AJ29&lt;&gt;0,+LOOKUP(AJ29,SOCIOS!$B$2:$B$27,SOCIOS!$C$2:$C$27),"-"))</f>
        <v>-</v>
      </c>
      <c r="AL29" s="76" t="str">
        <f>+IF(Tabla69101213151013[[#This Row],[TIPO]]="NO ASISTE","-",+IF(AJ29&lt;&gt;0,+LOOKUP(AJ29,SOCIOS!$B$2:$B$27,SOCIOS!$D$2:$D$27),"-"))</f>
        <v>-</v>
      </c>
      <c r="AM29" s="76" t="str">
        <f>+IF(Tabla69101213151013[[#This Row],[TIPO]]="NO ASISTE","-",+IF(AJ29&lt;&gt;0,+LOOKUP(AJ29,SOCIOS!$B$2:$B$27,SOCIOS!$E$2:$E$27),"-"))</f>
        <v>-</v>
      </c>
      <c r="AN29" s="339"/>
    </row>
    <row r="30" spans="2:40" x14ac:dyDescent="0.25">
      <c r="B30" s="144" t="s">
        <v>161</v>
      </c>
      <c r="C30" s="912" t="s">
        <v>253</v>
      </c>
      <c r="D30" s="76" t="s">
        <v>253</v>
      </c>
      <c r="E30" s="76" t="s">
        <v>253</v>
      </c>
      <c r="F30" s="339" t="s">
        <v>239</v>
      </c>
      <c r="H30" s="144" t="s">
        <v>177</v>
      </c>
      <c r="I30" s="912" t="s">
        <v>253</v>
      </c>
      <c r="J30" s="146"/>
      <c r="K30" s="146"/>
      <c r="L30" s="339" t="s">
        <v>239</v>
      </c>
      <c r="N30" s="144" t="s">
        <v>163</v>
      </c>
      <c r="O30" s="912" t="s">
        <v>253</v>
      </c>
      <c r="P30" s="146"/>
      <c r="Q30" s="146"/>
      <c r="R30" s="339" t="s">
        <v>239</v>
      </c>
      <c r="V30" s="144"/>
      <c r="W30" s="912" t="s">
        <v>253</v>
      </c>
      <c r="X30" s="76" t="s">
        <v>253</v>
      </c>
      <c r="Y30" s="76" t="s">
        <v>253</v>
      </c>
      <c r="Z30" s="339"/>
      <c r="AC30" s="144"/>
      <c r="AD30" s="912" t="s">
        <v>253</v>
      </c>
      <c r="AE30" s="76" t="s">
        <v>253</v>
      </c>
      <c r="AF30" s="76" t="s">
        <v>253</v>
      </c>
      <c r="AG30" s="339"/>
      <c r="AH30" s="339"/>
      <c r="AJ30" s="144"/>
      <c r="AK30" s="912" t="str">
        <f>+IF(Tabla69101213151013[[#This Row],[TIPO]]="NO ASISTE","-",+IF(AJ30&lt;&gt;0,+LOOKUP(AJ30,SOCIOS!$B$2:$B$27,SOCIOS!$C$2:$C$27),"-"))</f>
        <v>-</v>
      </c>
      <c r="AL30" s="76" t="str">
        <f>+IF(Tabla69101213151013[[#This Row],[TIPO]]="NO ASISTE","-",+IF(AJ30&lt;&gt;0,+LOOKUP(AJ30,SOCIOS!$B$2:$B$27,SOCIOS!$D$2:$D$27),"-"))</f>
        <v>-</v>
      </c>
      <c r="AM30" s="76" t="str">
        <f>+IF(Tabla69101213151013[[#This Row],[TIPO]]="NO ASISTE","-",+IF(AJ30&lt;&gt;0,+LOOKUP(AJ30,SOCIOS!$B$2:$B$27,SOCIOS!$E$2:$E$27),"-"))</f>
        <v>-</v>
      </c>
      <c r="AN30" s="339"/>
    </row>
    <row r="31" spans="2:40" x14ac:dyDescent="0.25">
      <c r="B31" s="144" t="s">
        <v>177</v>
      </c>
      <c r="C31" s="912" t="s">
        <v>253</v>
      </c>
      <c r="D31" s="76" t="s">
        <v>253</v>
      </c>
      <c r="E31" s="76" t="s">
        <v>253</v>
      </c>
      <c r="F31" s="339" t="s">
        <v>239</v>
      </c>
      <c r="H31" s="144" t="s">
        <v>234</v>
      </c>
      <c r="I31" s="912" t="s">
        <v>253</v>
      </c>
      <c r="J31" s="146"/>
      <c r="K31" s="146"/>
      <c r="L31" s="339" t="s">
        <v>239</v>
      </c>
      <c r="N31" s="144" t="s">
        <v>161</v>
      </c>
      <c r="O31" s="912" t="s">
        <v>253</v>
      </c>
      <c r="P31" s="146"/>
      <c r="Q31" s="146"/>
      <c r="R31" s="339" t="s">
        <v>239</v>
      </c>
      <c r="V31" s="144"/>
      <c r="W31" s="912" t="s">
        <v>253</v>
      </c>
      <c r="X31" s="76" t="s">
        <v>253</v>
      </c>
      <c r="Y31" s="76" t="s">
        <v>253</v>
      </c>
      <c r="Z31" s="339"/>
      <c r="AC31" s="144"/>
      <c r="AD31" s="912" t="s">
        <v>253</v>
      </c>
      <c r="AE31" s="76" t="s">
        <v>253</v>
      </c>
      <c r="AF31" s="76" t="s">
        <v>253</v>
      </c>
      <c r="AG31" s="339"/>
      <c r="AH31" s="339"/>
      <c r="AJ31" s="144"/>
      <c r="AK31" s="912" t="str">
        <f>+IF(Tabla69101213151013[[#This Row],[TIPO]]="NO ASISTE","-",+IF(AJ31&lt;&gt;0,+LOOKUP(AJ31,SOCIOS!$B$2:$B$27,SOCIOS!$C$2:$C$27),"-"))</f>
        <v>-</v>
      </c>
      <c r="AL31" s="76" t="str">
        <f>+IF(Tabla69101213151013[[#This Row],[TIPO]]="NO ASISTE","-",+IF(AJ31&lt;&gt;0,+LOOKUP(AJ31,SOCIOS!$B$2:$B$27,SOCIOS!$D$2:$D$27),"-"))</f>
        <v>-</v>
      </c>
      <c r="AM31" s="76" t="str">
        <f>+IF(Tabla69101213151013[[#This Row],[TIPO]]="NO ASISTE","-",+IF(AJ31&lt;&gt;0,+LOOKUP(AJ31,SOCIOS!$B$2:$B$27,SOCIOS!$E$2:$E$27),"-"))</f>
        <v>-</v>
      </c>
      <c r="AN31" s="339"/>
    </row>
    <row r="32" spans="2:40" x14ac:dyDescent="0.25">
      <c r="B32" s="144" t="s">
        <v>234</v>
      </c>
      <c r="C32" s="912" t="s">
        <v>253</v>
      </c>
      <c r="D32" s="76" t="s">
        <v>253</v>
      </c>
      <c r="E32" s="76" t="s">
        <v>253</v>
      </c>
      <c r="F32" s="339" t="s">
        <v>239</v>
      </c>
      <c r="H32" s="144" t="s">
        <v>153</v>
      </c>
      <c r="I32" s="912" t="s">
        <v>253</v>
      </c>
      <c r="J32" s="146"/>
      <c r="K32" s="146"/>
      <c r="L32" s="339" t="s">
        <v>239</v>
      </c>
      <c r="N32" s="144" t="s">
        <v>177</v>
      </c>
      <c r="O32" s="912" t="s">
        <v>253</v>
      </c>
      <c r="P32" s="146"/>
      <c r="Q32" s="146"/>
      <c r="R32" s="339" t="s">
        <v>239</v>
      </c>
      <c r="V32" s="144"/>
      <c r="W32" s="912" t="s">
        <v>253</v>
      </c>
      <c r="X32" s="76" t="s">
        <v>253</v>
      </c>
      <c r="Y32" s="76" t="s">
        <v>253</v>
      </c>
      <c r="Z32" s="339"/>
      <c r="AC32" s="144"/>
      <c r="AD32" s="912" t="s">
        <v>253</v>
      </c>
      <c r="AE32" s="76" t="s">
        <v>253</v>
      </c>
      <c r="AF32" s="76" t="s">
        <v>253</v>
      </c>
      <c r="AG32" s="339"/>
      <c r="AH32" s="339"/>
      <c r="AJ32" s="144"/>
      <c r="AK32" s="912" t="str">
        <f>+IF(Tabla69101213151013[[#This Row],[TIPO]]="NO ASISTE","-",+IF(AJ32&lt;&gt;0,+LOOKUP(AJ32,SOCIOS!$B$2:$B$27,SOCIOS!$C$2:$C$27),"-"))</f>
        <v>-</v>
      </c>
      <c r="AL32" s="76" t="str">
        <f>+IF(Tabla69101213151013[[#This Row],[TIPO]]="NO ASISTE","-",+IF(AJ32&lt;&gt;0,+LOOKUP(AJ32,SOCIOS!$B$2:$B$27,SOCIOS!$D$2:$D$27),"-"))</f>
        <v>-</v>
      </c>
      <c r="AM32" s="76" t="str">
        <f>+IF(Tabla69101213151013[[#This Row],[TIPO]]="NO ASISTE","-",+IF(AJ32&lt;&gt;0,+LOOKUP(AJ32,SOCIOS!$B$2:$B$27,SOCIOS!$E$2:$E$27),"-"))</f>
        <v>-</v>
      </c>
      <c r="AN32" s="339"/>
    </row>
    <row r="33" spans="2:40" x14ac:dyDescent="0.25">
      <c r="B33" s="144" t="s">
        <v>153</v>
      </c>
      <c r="C33" s="912" t="s">
        <v>253</v>
      </c>
      <c r="D33" s="76" t="s">
        <v>253</v>
      </c>
      <c r="E33" s="76" t="s">
        <v>253</v>
      </c>
      <c r="F33" s="339" t="s">
        <v>239</v>
      </c>
      <c r="H33" s="144" t="s">
        <v>149</v>
      </c>
      <c r="I33" s="916" t="s">
        <v>253</v>
      </c>
      <c r="J33" s="146"/>
      <c r="K33" s="146"/>
      <c r="L33" s="339" t="s">
        <v>239</v>
      </c>
      <c r="N33" s="144" t="s">
        <v>149</v>
      </c>
      <c r="O33" s="916" t="s">
        <v>253</v>
      </c>
      <c r="P33" s="146"/>
      <c r="Q33" s="146"/>
      <c r="R33" s="339" t="s">
        <v>239</v>
      </c>
      <c r="V33" s="144"/>
      <c r="W33" s="912" t="s">
        <v>253</v>
      </c>
      <c r="X33" s="76" t="s">
        <v>253</v>
      </c>
      <c r="Y33" s="76" t="s">
        <v>253</v>
      </c>
      <c r="Z33" s="339"/>
      <c r="AC33" s="144"/>
      <c r="AD33" s="912" t="s">
        <v>253</v>
      </c>
      <c r="AE33" s="76" t="s">
        <v>253</v>
      </c>
      <c r="AF33" s="76" t="s">
        <v>253</v>
      </c>
      <c r="AG33" s="339"/>
      <c r="AH33" s="339"/>
      <c r="AJ33" s="144"/>
      <c r="AK33" s="912" t="str">
        <f>+IF(Tabla69101213151013[[#This Row],[TIPO]]="NO ASISTE","-",+IF(AJ33&lt;&gt;0,+LOOKUP(AJ33,SOCIOS!$B$2:$B$27,SOCIOS!$C$2:$C$27),"-"))</f>
        <v>-</v>
      </c>
      <c r="AL33" s="76" t="str">
        <f>+IF(Tabla69101213151013[[#This Row],[TIPO]]="NO ASISTE","-",+IF(AJ33&lt;&gt;0,+LOOKUP(AJ33,SOCIOS!$B$2:$B$27,SOCIOS!$D$2:$D$27),"-"))</f>
        <v>-</v>
      </c>
      <c r="AM33" s="76" t="str">
        <f>+IF(Tabla69101213151013[[#This Row],[TIPO]]="NO ASISTE","-",+IF(AJ33&lt;&gt;0,+LOOKUP(AJ33,SOCIOS!$B$2:$B$27,SOCIOS!$E$2:$E$27),"-"))</f>
        <v>-</v>
      </c>
      <c r="AN33" s="339"/>
    </row>
    <row r="34" spans="2:40" x14ac:dyDescent="0.25">
      <c r="B34" s="144" t="s">
        <v>149</v>
      </c>
      <c r="C34" s="916" t="s">
        <v>253</v>
      </c>
      <c r="D34" s="76" t="s">
        <v>253</v>
      </c>
      <c r="E34" s="76" t="s">
        <v>253</v>
      </c>
      <c r="F34" s="339" t="s">
        <v>239</v>
      </c>
      <c r="H34" s="144" t="s">
        <v>147</v>
      </c>
      <c r="I34" s="916" t="s">
        <v>253</v>
      </c>
      <c r="J34" s="146"/>
      <c r="K34" s="146"/>
      <c r="L34" s="339" t="s">
        <v>239</v>
      </c>
      <c r="N34" s="144" t="s">
        <v>147</v>
      </c>
      <c r="O34" s="916" t="s">
        <v>253</v>
      </c>
      <c r="P34" s="146"/>
      <c r="Q34" s="146"/>
      <c r="R34" s="339" t="s">
        <v>239</v>
      </c>
      <c r="V34" s="144"/>
      <c r="W34" s="916" t="s">
        <v>253</v>
      </c>
      <c r="X34" s="76" t="s">
        <v>253</v>
      </c>
      <c r="Y34" s="76" t="s">
        <v>253</v>
      </c>
      <c r="Z34" s="339"/>
      <c r="AC34" s="144"/>
      <c r="AD34" s="916" t="s">
        <v>253</v>
      </c>
      <c r="AE34" s="76" t="s">
        <v>253</v>
      </c>
      <c r="AF34" s="76" t="s">
        <v>253</v>
      </c>
      <c r="AG34" s="339"/>
      <c r="AH34" s="339"/>
      <c r="AJ34" s="144"/>
      <c r="AK34" s="916" t="str">
        <f>+IF(Tabla69101213151013[[#This Row],[TIPO]]="NO ASISTE","-",+IF(AJ34&lt;&gt;0,+LOOKUP(AJ34,SOCIOS!$B$2:$B$27,SOCIOS!$C$2:$C$27),"-"))</f>
        <v>-</v>
      </c>
      <c r="AL34" s="76" t="str">
        <f>+IF(Tabla69101213151013[[#This Row],[TIPO]]="NO ASISTE","-",+IF(AJ34&lt;&gt;0,+LOOKUP(AJ34,SOCIOS!$B$2:$B$27,SOCIOS!$D$2:$D$27),"-"))</f>
        <v>-</v>
      </c>
      <c r="AM34" s="76" t="str">
        <f>+IF(Tabla69101213151013[[#This Row],[TIPO]]="NO ASISTE","-",+IF(AJ34&lt;&gt;0,+LOOKUP(AJ34,SOCIOS!$B$2:$B$27,SOCIOS!$E$2:$E$27),"-"))</f>
        <v>-</v>
      </c>
      <c r="AN34" s="339"/>
    </row>
    <row r="35" spans="2:40" x14ac:dyDescent="0.25">
      <c r="B35" s="144" t="s">
        <v>147</v>
      </c>
      <c r="C35" s="916" t="s">
        <v>253</v>
      </c>
      <c r="D35" s="76" t="s">
        <v>253</v>
      </c>
      <c r="E35" s="76" t="s">
        <v>253</v>
      </c>
      <c r="F35" s="339" t="s">
        <v>239</v>
      </c>
      <c r="H35" s="147">
        <v>32</v>
      </c>
      <c r="I35" s="148"/>
      <c r="J35" s="149"/>
      <c r="K35" s="149"/>
      <c r="N35" s="147">
        <v>32</v>
      </c>
      <c r="O35" s="148"/>
      <c r="P35" s="149"/>
      <c r="Q35" s="149"/>
      <c r="V35" s="144"/>
      <c r="W35" s="916" t="s">
        <v>253</v>
      </c>
      <c r="X35" s="76" t="s">
        <v>253</v>
      </c>
      <c r="Y35" s="76" t="s">
        <v>253</v>
      </c>
      <c r="Z35" s="339"/>
      <c r="AC35" s="144"/>
      <c r="AD35" s="916" t="s">
        <v>253</v>
      </c>
      <c r="AE35" s="76" t="s">
        <v>253</v>
      </c>
      <c r="AF35" s="76" t="s">
        <v>253</v>
      </c>
      <c r="AG35" s="339"/>
      <c r="AH35" s="339"/>
      <c r="AJ35" s="144"/>
      <c r="AK35" s="916" t="str">
        <f>+IF(Tabla69101213151013[[#This Row],[TIPO]]="NO ASISTE","-",+IF(AJ35&lt;&gt;0,+LOOKUP(AJ35,SOCIOS!$B$2:$B$27,SOCIOS!$C$2:$C$27),"-"))</f>
        <v>-</v>
      </c>
      <c r="AL35" s="76" t="str">
        <f>+IF(Tabla69101213151013[[#This Row],[TIPO]]="NO ASISTE","-",+IF(AJ35&lt;&gt;0,+LOOKUP(AJ35,SOCIOS!$B$2:$B$27,SOCIOS!$D$2:$D$27),"-"))</f>
        <v>-</v>
      </c>
      <c r="AM35" s="76" t="str">
        <f>+IF(Tabla69101213151013[[#This Row],[TIPO]]="NO ASISTE","-",+IF(AJ35&lt;&gt;0,+LOOKUP(AJ35,SOCIOS!$B$2:$B$27,SOCIOS!$E$2:$E$27),"-"))</f>
        <v>-</v>
      </c>
      <c r="AN35" s="339"/>
    </row>
    <row r="36" spans="2:40" x14ac:dyDescent="0.25">
      <c r="B36" s="147">
        <v>33</v>
      </c>
      <c r="C36" s="148"/>
      <c r="D36" s="149">
        <v>239000</v>
      </c>
      <c r="E36" s="149">
        <v>17000</v>
      </c>
      <c r="H36" s="150" t="s">
        <v>238</v>
      </c>
      <c r="I36" s="151"/>
      <c r="J36" s="152"/>
      <c r="K36" s="152"/>
      <c r="L36" s="152" t="s">
        <v>138</v>
      </c>
      <c r="N36" s="150" t="s">
        <v>238</v>
      </c>
      <c r="O36" s="151"/>
      <c r="P36" s="152"/>
      <c r="Q36" s="152"/>
      <c r="R36" s="152" t="s">
        <v>138</v>
      </c>
      <c r="V36" s="147">
        <v>22</v>
      </c>
      <c r="W36" s="148"/>
      <c r="X36" s="149">
        <v>294000</v>
      </c>
      <c r="Y36" s="149">
        <v>22000</v>
      </c>
      <c r="AC36" s="147">
        <v>18</v>
      </c>
      <c r="AD36" s="148"/>
      <c r="AE36" s="149">
        <v>238000</v>
      </c>
      <c r="AF36" s="149">
        <v>18000</v>
      </c>
      <c r="AJ36" s="147">
        <f>SUBTOTAL(103,Tabla69101213151013[DIRECTOR])</f>
        <v>25</v>
      </c>
      <c r="AK36" s="148"/>
      <c r="AL36" s="149">
        <f>SUBTOTAL(109,Tabla69101213151013[CUOTA])</f>
        <v>238000</v>
      </c>
      <c r="AM36" s="149">
        <f>SUBTOTAL(109,Tabla69101213151013[PROPINA])</f>
        <v>18000</v>
      </c>
    </row>
    <row r="37" spans="2:40" x14ac:dyDescent="0.25">
      <c r="B37" s="150" t="s">
        <v>238</v>
      </c>
      <c r="C37" s="151"/>
      <c r="D37" s="152"/>
      <c r="E37" s="152">
        <v>32000</v>
      </c>
      <c r="F37" s="152" t="s">
        <v>138</v>
      </c>
      <c r="I37" s="914"/>
      <c r="J37" s="914"/>
      <c r="K37" s="917"/>
      <c r="O37" s="914"/>
      <c r="P37" s="914"/>
      <c r="Q37" s="917"/>
      <c r="V37" s="150" t="s">
        <v>238</v>
      </c>
      <c r="W37" s="151"/>
      <c r="X37" s="152"/>
      <c r="Y37" s="152">
        <v>37000</v>
      </c>
      <c r="Z37" s="152" t="s">
        <v>138</v>
      </c>
      <c r="AC37" s="150" t="s">
        <v>238</v>
      </c>
      <c r="AD37" s="151"/>
      <c r="AE37" s="152"/>
      <c r="AF37" s="152">
        <v>33000</v>
      </c>
      <c r="AG37" s="152" t="s">
        <v>138</v>
      </c>
      <c r="AJ37" s="150" t="s">
        <v>238</v>
      </c>
      <c r="AK37" s="151"/>
      <c r="AL37" s="152"/>
      <c r="AM37" s="152">
        <f>+Tabla69101213151013[[#Totals],[PROPINA]]+15000</f>
        <v>33000</v>
      </c>
      <c r="AN37" s="152" t="s">
        <v>138</v>
      </c>
    </row>
    <row r="38" spans="2:40" x14ac:dyDescent="0.25">
      <c r="C38" s="914"/>
      <c r="D38" s="914"/>
      <c r="E38" s="917">
        <v>256000</v>
      </c>
      <c r="H38" s="918" t="s">
        <v>240</v>
      </c>
      <c r="I38" s="919">
        <v>15</v>
      </c>
      <c r="J38" s="918" t="s">
        <v>237</v>
      </c>
      <c r="K38" s="1060" t="s">
        <v>559</v>
      </c>
      <c r="L38" s="1060"/>
      <c r="N38" s="918" t="s">
        <v>240</v>
      </c>
      <c r="O38" s="919">
        <v>19</v>
      </c>
      <c r="P38" s="918" t="s">
        <v>237</v>
      </c>
      <c r="Q38" s="1060" t="s">
        <v>559</v>
      </c>
      <c r="R38" s="1060"/>
      <c r="W38" s="914"/>
      <c r="X38" s="914"/>
      <c r="Y38" s="917">
        <v>316000</v>
      </c>
      <c r="AD38" s="914"/>
      <c r="AE38" s="914"/>
      <c r="AF38" s="917">
        <v>256000</v>
      </c>
      <c r="AK38" s="914"/>
      <c r="AL38" s="914"/>
      <c r="AM38" s="917">
        <f>+Tabla69101213151013[[#Totals],[CUOTA]]+Tabla69101213151013[[#Totals],[PROPINA]]</f>
        <v>256000</v>
      </c>
    </row>
    <row r="39" spans="2:40" x14ac:dyDescent="0.25">
      <c r="B39" s="918" t="s">
        <v>240</v>
      </c>
      <c r="C39" s="919">
        <v>17</v>
      </c>
      <c r="D39" s="918" t="s">
        <v>237</v>
      </c>
      <c r="E39" s="1060" t="s">
        <v>184</v>
      </c>
      <c r="F39" s="1060"/>
      <c r="H39" s="918" t="s">
        <v>241</v>
      </c>
      <c r="I39" s="919">
        <v>17</v>
      </c>
      <c r="J39" s="918" t="s">
        <v>236</v>
      </c>
      <c r="K39" s="1060" t="s">
        <v>554</v>
      </c>
      <c r="L39" s="1060"/>
      <c r="N39" s="918" t="s">
        <v>241</v>
      </c>
      <c r="O39" s="919">
        <v>13</v>
      </c>
      <c r="P39" s="918" t="s">
        <v>236</v>
      </c>
      <c r="Q39" s="1060" t="s">
        <v>554</v>
      </c>
      <c r="R39" s="1060"/>
      <c r="V39" s="918" t="s">
        <v>240</v>
      </c>
      <c r="W39" s="919">
        <v>22</v>
      </c>
      <c r="X39" s="918" t="s">
        <v>237</v>
      </c>
      <c r="Y39" s="1060" t="s">
        <v>184</v>
      </c>
      <c r="Z39" s="1060"/>
      <c r="AC39" s="918" t="s">
        <v>240</v>
      </c>
      <c r="AD39" s="919">
        <v>18</v>
      </c>
      <c r="AE39" s="918" t="s">
        <v>237</v>
      </c>
      <c r="AF39" s="1060" t="s">
        <v>184</v>
      </c>
      <c r="AG39" s="1060"/>
      <c r="AJ39" s="918" t="s">
        <v>240</v>
      </c>
      <c r="AK39" s="919">
        <f>+AK41-AK40</f>
        <v>18</v>
      </c>
      <c r="AL39" s="918" t="s">
        <v>237</v>
      </c>
      <c r="AM39" s="1060" t="s">
        <v>184</v>
      </c>
      <c r="AN39" s="1060"/>
    </row>
    <row r="40" spans="2:40" x14ac:dyDescent="0.25">
      <c r="B40" s="918" t="s">
        <v>241</v>
      </c>
      <c r="C40" s="919">
        <v>16</v>
      </c>
      <c r="D40" s="918" t="s">
        <v>236</v>
      </c>
      <c r="E40" s="1060" t="s">
        <v>235</v>
      </c>
      <c r="F40" s="1060"/>
      <c r="H40" s="918" t="s">
        <v>29</v>
      </c>
      <c r="I40" s="919">
        <v>32</v>
      </c>
      <c r="J40" s="918" t="s">
        <v>179</v>
      </c>
      <c r="K40" s="1061">
        <v>45055</v>
      </c>
      <c r="L40" s="1060"/>
      <c r="N40" s="918" t="s">
        <v>29</v>
      </c>
      <c r="O40" s="919">
        <v>32</v>
      </c>
      <c r="P40" s="918" t="s">
        <v>179</v>
      </c>
      <c r="Q40" s="1061">
        <v>45447</v>
      </c>
      <c r="R40" s="1060"/>
      <c r="V40" s="918" t="s">
        <v>241</v>
      </c>
      <c r="W40" s="919">
        <v>0</v>
      </c>
      <c r="X40" s="918" t="s">
        <v>236</v>
      </c>
      <c r="Y40" s="1060" t="s">
        <v>660</v>
      </c>
      <c r="Z40" s="1060"/>
      <c r="AC40" s="918" t="s">
        <v>241</v>
      </c>
      <c r="AD40" s="919">
        <v>0</v>
      </c>
      <c r="AE40" s="918" t="s">
        <v>236</v>
      </c>
      <c r="AF40" s="1060" t="s">
        <v>13</v>
      </c>
      <c r="AG40" s="1060"/>
      <c r="AJ40" s="918" t="s">
        <v>241</v>
      </c>
      <c r="AK40" s="919">
        <f>+COUNTIF(Tabla69101213151013[TIPO],"NO ASISTE")</f>
        <v>7</v>
      </c>
      <c r="AL40" s="918" t="s">
        <v>236</v>
      </c>
      <c r="AM40" s="1060" t="s">
        <v>660</v>
      </c>
      <c r="AN40" s="1060"/>
    </row>
    <row r="41" spans="2:40" x14ac:dyDescent="0.25">
      <c r="B41" s="918" t="s">
        <v>29</v>
      </c>
      <c r="C41" s="919">
        <v>33</v>
      </c>
      <c r="D41" s="918" t="s">
        <v>179</v>
      </c>
      <c r="E41" s="1061" t="s">
        <v>465</v>
      </c>
      <c r="F41" s="1060"/>
      <c r="H41" s="920"/>
      <c r="N41" s="920"/>
      <c r="V41" s="918" t="s">
        <v>29</v>
      </c>
      <c r="W41" s="919">
        <v>22</v>
      </c>
      <c r="X41" s="918" t="s">
        <v>179</v>
      </c>
      <c r="Y41" s="1061" t="s">
        <v>661</v>
      </c>
      <c r="Z41" s="1060"/>
      <c r="AC41" s="918" t="s">
        <v>29</v>
      </c>
      <c r="AD41" s="919">
        <v>18</v>
      </c>
      <c r="AE41" s="918" t="s">
        <v>179</v>
      </c>
      <c r="AF41" s="1061">
        <v>45594</v>
      </c>
      <c r="AG41" s="1060"/>
      <c r="AJ41" s="918" t="s">
        <v>29</v>
      </c>
      <c r="AK41" s="919">
        <f>+Tabla69101213151013[[#Totals],[DIRECTOR]]</f>
        <v>25</v>
      </c>
      <c r="AL41" s="918" t="s">
        <v>179</v>
      </c>
      <c r="AM41" s="1061" t="s">
        <v>661</v>
      </c>
      <c r="AN41" s="1060"/>
    </row>
    <row r="42" spans="2:40" x14ac:dyDescent="0.25">
      <c r="B42" s="920" t="s">
        <v>537</v>
      </c>
      <c r="V42" s="920"/>
      <c r="AC42" s="920"/>
      <c r="AJ42" s="920"/>
    </row>
    <row r="44" spans="2:40" x14ac:dyDescent="0.25">
      <c r="K44" s="154"/>
      <c r="Q44" s="154"/>
    </row>
    <row r="45" spans="2:40" x14ac:dyDescent="0.25">
      <c r="E45" s="154"/>
      <c r="K45" s="154"/>
      <c r="Q45" s="154"/>
      <c r="Y45" s="154"/>
      <c r="AF45" s="154"/>
      <c r="AM45" s="154"/>
    </row>
    <row r="46" spans="2:40" x14ac:dyDescent="0.25">
      <c r="E46" s="154"/>
      <c r="K46" s="154"/>
      <c r="Q46" s="154"/>
      <c r="Y46" s="154"/>
      <c r="AF46" s="154"/>
      <c r="AM46" s="154"/>
    </row>
    <row r="47" spans="2:40" x14ac:dyDescent="0.25">
      <c r="E47" s="154"/>
      <c r="K47" s="154"/>
      <c r="Q47" s="154"/>
      <c r="Y47" s="154"/>
      <c r="AF47" s="154"/>
      <c r="AM47" s="154"/>
    </row>
    <row r="48" spans="2:40" x14ac:dyDescent="0.25">
      <c r="E48" s="154"/>
      <c r="K48" s="154"/>
      <c r="Q48" s="154"/>
      <c r="Y48" s="154"/>
      <c r="AF48" s="154"/>
      <c r="AM48" s="154"/>
    </row>
    <row r="49" spans="5:39" x14ac:dyDescent="0.25">
      <c r="E49" s="154"/>
      <c r="K49" s="154"/>
      <c r="Q49" s="154"/>
      <c r="Y49" s="154"/>
      <c r="AF49" s="154"/>
      <c r="AM49" s="154"/>
    </row>
    <row r="50" spans="5:39" x14ac:dyDescent="0.25">
      <c r="E50" s="154"/>
      <c r="K50" s="154"/>
      <c r="Q50" s="154"/>
      <c r="Y50" s="154"/>
      <c r="AF50" s="154"/>
      <c r="AM50" s="154"/>
    </row>
    <row r="51" spans="5:39" x14ac:dyDescent="0.25">
      <c r="E51" s="154"/>
      <c r="K51" s="154"/>
      <c r="Q51" s="154"/>
      <c r="Y51" s="154"/>
      <c r="AF51" s="154"/>
      <c r="AM51" s="154"/>
    </row>
    <row r="52" spans="5:39" x14ac:dyDescent="0.25">
      <c r="E52" s="154"/>
      <c r="K52" s="154"/>
      <c r="Q52" s="154"/>
      <c r="Y52" s="154"/>
      <c r="AF52" s="154"/>
      <c r="AM52" s="154"/>
    </row>
    <row r="53" spans="5:39" x14ac:dyDescent="0.25">
      <c r="E53" s="154"/>
      <c r="K53" s="154"/>
      <c r="Q53" s="154"/>
      <c r="Y53" s="154"/>
      <c r="AF53" s="154"/>
      <c r="AM53" s="154"/>
    </row>
    <row r="54" spans="5:39" x14ac:dyDescent="0.25">
      <c r="E54" s="154"/>
      <c r="K54" s="154"/>
      <c r="Q54" s="154"/>
      <c r="Y54" s="154"/>
      <c r="AF54" s="154"/>
      <c r="AM54" s="154"/>
    </row>
    <row r="55" spans="5:39" x14ac:dyDescent="0.25">
      <c r="E55" s="154"/>
      <c r="K55" s="154"/>
      <c r="Q55" s="154"/>
      <c r="Y55" s="154"/>
      <c r="AF55" s="154"/>
      <c r="AM55" s="154"/>
    </row>
    <row r="56" spans="5:39" x14ac:dyDescent="0.25">
      <c r="E56" s="154"/>
      <c r="K56" s="154"/>
      <c r="Q56" s="154"/>
      <c r="Y56" s="154"/>
      <c r="AF56" s="154"/>
      <c r="AM56" s="154"/>
    </row>
    <row r="57" spans="5:39" x14ac:dyDescent="0.25">
      <c r="E57" s="154"/>
      <c r="K57" s="154"/>
      <c r="Q57" s="154"/>
      <c r="Y57" s="154"/>
      <c r="AF57" s="154"/>
      <c r="AM57" s="154"/>
    </row>
    <row r="58" spans="5:39" x14ac:dyDescent="0.25">
      <c r="E58" s="154"/>
      <c r="K58" s="154"/>
      <c r="Q58" s="154"/>
      <c r="Y58" s="154"/>
      <c r="AF58" s="154"/>
      <c r="AM58" s="154"/>
    </row>
    <row r="59" spans="5:39" x14ac:dyDescent="0.25">
      <c r="E59" s="154"/>
      <c r="K59" s="154"/>
      <c r="Q59" s="154"/>
      <c r="Y59" s="154"/>
      <c r="AF59" s="154"/>
      <c r="AM59" s="154"/>
    </row>
    <row r="60" spans="5:39" x14ac:dyDescent="0.25">
      <c r="E60" s="154"/>
      <c r="K60" s="154"/>
      <c r="Q60" s="154"/>
      <c r="Y60" s="154"/>
      <c r="AF60" s="154"/>
      <c r="AM60" s="154"/>
    </row>
    <row r="61" spans="5:39" x14ac:dyDescent="0.25">
      <c r="E61" s="154"/>
      <c r="K61" s="154"/>
      <c r="Q61" s="154"/>
      <c r="Y61" s="154"/>
      <c r="AF61" s="154"/>
      <c r="AM61" s="154"/>
    </row>
    <row r="62" spans="5:39" x14ac:dyDescent="0.25">
      <c r="E62" s="154"/>
      <c r="K62" s="154"/>
      <c r="Q62" s="154"/>
      <c r="Y62" s="154"/>
      <c r="AF62" s="154"/>
      <c r="AM62" s="154"/>
    </row>
    <row r="63" spans="5:39" x14ac:dyDescent="0.25">
      <c r="E63" s="154"/>
      <c r="K63" s="154"/>
      <c r="Q63" s="154"/>
      <c r="Y63" s="154"/>
      <c r="AF63" s="154"/>
      <c r="AM63" s="154"/>
    </row>
    <row r="64" spans="5:39" x14ac:dyDescent="0.25">
      <c r="E64" s="154"/>
      <c r="K64" s="154"/>
      <c r="Q64" s="154"/>
      <c r="Y64" s="154"/>
      <c r="AF64" s="154"/>
      <c r="AM64" s="154"/>
    </row>
    <row r="65" spans="5:39" x14ac:dyDescent="0.25">
      <c r="E65" s="154"/>
      <c r="K65" s="154"/>
      <c r="Q65" s="154"/>
      <c r="Y65" s="154"/>
      <c r="AF65" s="154"/>
      <c r="AM65" s="154"/>
    </row>
    <row r="66" spans="5:39" x14ac:dyDescent="0.25">
      <c r="E66" s="154"/>
      <c r="K66" s="154"/>
      <c r="Q66" s="154"/>
      <c r="Y66" s="154"/>
      <c r="AF66" s="154"/>
      <c r="AM66" s="154"/>
    </row>
    <row r="67" spans="5:39" x14ac:dyDescent="0.25">
      <c r="E67" s="154"/>
      <c r="K67" s="154"/>
      <c r="Q67" s="154"/>
      <c r="Y67" s="154"/>
      <c r="AF67" s="154"/>
      <c r="AM67" s="154"/>
    </row>
    <row r="68" spans="5:39" x14ac:dyDescent="0.25">
      <c r="E68" s="154"/>
      <c r="K68" s="154"/>
      <c r="Q68" s="154"/>
      <c r="Y68" s="154"/>
      <c r="AF68" s="154"/>
      <c r="AM68" s="154"/>
    </row>
    <row r="69" spans="5:39" x14ac:dyDescent="0.25">
      <c r="E69" s="154"/>
      <c r="K69" s="154"/>
      <c r="Q69" s="154"/>
      <c r="Y69" s="154"/>
      <c r="AF69" s="154"/>
      <c r="AM69" s="154"/>
    </row>
    <row r="70" spans="5:39" x14ac:dyDescent="0.25">
      <c r="E70" s="154"/>
      <c r="K70" s="154"/>
      <c r="Q70" s="154"/>
      <c r="Y70" s="154"/>
      <c r="AF70" s="154"/>
      <c r="AM70" s="154"/>
    </row>
    <row r="71" spans="5:39" x14ac:dyDescent="0.25">
      <c r="E71" s="154"/>
      <c r="K71" s="154"/>
      <c r="Q71" s="154"/>
      <c r="Y71" s="154"/>
      <c r="AF71" s="154"/>
      <c r="AM71" s="154"/>
    </row>
    <row r="72" spans="5:39" x14ac:dyDescent="0.25">
      <c r="E72" s="154"/>
      <c r="K72" s="154"/>
      <c r="Q72" s="154"/>
      <c r="Y72" s="154"/>
      <c r="AF72" s="154"/>
      <c r="AM72" s="154"/>
    </row>
    <row r="73" spans="5:39" x14ac:dyDescent="0.25">
      <c r="E73" s="154"/>
      <c r="K73" s="154"/>
      <c r="Q73" s="154"/>
      <c r="Y73" s="154"/>
      <c r="AF73" s="154"/>
      <c r="AM73" s="154"/>
    </row>
    <row r="74" spans="5:39" x14ac:dyDescent="0.25">
      <c r="E74" s="154"/>
      <c r="K74" s="154"/>
      <c r="Q74" s="154"/>
      <c r="Y74" s="154"/>
      <c r="AF74" s="154"/>
      <c r="AM74" s="154"/>
    </row>
    <row r="75" spans="5:39" x14ac:dyDescent="0.25">
      <c r="E75" s="154"/>
      <c r="K75" s="154"/>
      <c r="Q75" s="154"/>
      <c r="Y75" s="154"/>
      <c r="AF75" s="154"/>
      <c r="AM75" s="154"/>
    </row>
    <row r="76" spans="5:39" x14ac:dyDescent="0.25">
      <c r="E76" s="154"/>
      <c r="K76" s="154"/>
      <c r="Q76" s="154"/>
      <c r="Y76" s="154"/>
      <c r="AF76" s="154"/>
      <c r="AM76" s="154"/>
    </row>
    <row r="77" spans="5:39" x14ac:dyDescent="0.25">
      <c r="E77" s="154"/>
      <c r="K77" s="154"/>
      <c r="Q77" s="154"/>
      <c r="Y77" s="154"/>
      <c r="AF77" s="154"/>
      <c r="AM77" s="154"/>
    </row>
    <row r="78" spans="5:39" x14ac:dyDescent="0.25">
      <c r="E78" s="154"/>
      <c r="K78" s="154"/>
      <c r="Q78" s="154"/>
      <c r="Y78" s="154"/>
      <c r="AF78" s="154"/>
      <c r="AM78" s="154"/>
    </row>
    <row r="79" spans="5:39" x14ac:dyDescent="0.25">
      <c r="E79" s="154"/>
      <c r="K79" s="154"/>
      <c r="Q79" s="154"/>
      <c r="Y79" s="154"/>
      <c r="AF79" s="154"/>
      <c r="AM79" s="154"/>
    </row>
    <row r="80" spans="5:39" x14ac:dyDescent="0.25">
      <c r="E80" s="154"/>
      <c r="K80" s="154"/>
      <c r="Q80" s="154"/>
      <c r="Y80" s="154"/>
      <c r="AF80" s="154"/>
      <c r="AM80" s="154"/>
    </row>
    <row r="81" spans="5:39" x14ac:dyDescent="0.25">
      <c r="E81" s="154"/>
      <c r="K81" s="154"/>
      <c r="Q81" s="154"/>
      <c r="Y81" s="154"/>
      <c r="AF81" s="154"/>
      <c r="AM81" s="154"/>
    </row>
    <row r="82" spans="5:39" x14ac:dyDescent="0.25">
      <c r="E82" s="154"/>
      <c r="K82" s="154"/>
      <c r="Q82" s="154"/>
      <c r="Y82" s="154"/>
      <c r="AF82" s="154"/>
      <c r="AM82" s="154"/>
    </row>
    <row r="83" spans="5:39" x14ac:dyDescent="0.25">
      <c r="E83" s="154"/>
      <c r="K83" s="154"/>
      <c r="Q83" s="154"/>
      <c r="Y83" s="154"/>
      <c r="AF83" s="154"/>
      <c r="AM83" s="154"/>
    </row>
    <row r="84" spans="5:39" x14ac:dyDescent="0.25">
      <c r="E84" s="154"/>
      <c r="K84" s="154"/>
      <c r="Q84" s="154"/>
      <c r="Y84" s="154"/>
      <c r="AF84" s="154"/>
      <c r="AM84" s="154"/>
    </row>
    <row r="85" spans="5:39" x14ac:dyDescent="0.25">
      <c r="E85" s="154"/>
      <c r="K85" s="154"/>
      <c r="Q85" s="154"/>
      <c r="Y85" s="154"/>
      <c r="AF85" s="154"/>
      <c r="AM85" s="154"/>
    </row>
    <row r="86" spans="5:39" x14ac:dyDescent="0.25">
      <c r="E86" s="154"/>
      <c r="K86" s="154"/>
      <c r="Q86" s="154"/>
      <c r="Y86" s="154"/>
      <c r="AF86" s="154"/>
      <c r="AM86" s="154"/>
    </row>
    <row r="87" spans="5:39" x14ac:dyDescent="0.25">
      <c r="E87" s="154"/>
      <c r="K87" s="154"/>
      <c r="Q87" s="154"/>
      <c r="Y87" s="154"/>
      <c r="AF87" s="154"/>
      <c r="AM87" s="154"/>
    </row>
    <row r="88" spans="5:39" x14ac:dyDescent="0.25">
      <c r="E88" s="154"/>
      <c r="K88" s="154"/>
      <c r="Q88" s="154"/>
      <c r="Y88" s="154"/>
      <c r="AF88" s="154"/>
      <c r="AM88" s="154"/>
    </row>
    <row r="89" spans="5:39" x14ac:dyDescent="0.25">
      <c r="E89" s="154"/>
      <c r="K89" s="154"/>
      <c r="Q89" s="154"/>
      <c r="Y89" s="154"/>
      <c r="AF89" s="154"/>
      <c r="AM89" s="154"/>
    </row>
    <row r="90" spans="5:39" x14ac:dyDescent="0.25">
      <c r="E90" s="154"/>
      <c r="K90" s="154"/>
      <c r="Q90" s="154"/>
      <c r="Y90" s="154"/>
      <c r="AF90" s="154"/>
      <c r="AM90" s="154"/>
    </row>
    <row r="91" spans="5:39" x14ac:dyDescent="0.25">
      <c r="E91" s="154"/>
      <c r="K91" s="154"/>
      <c r="Q91" s="154"/>
      <c r="Y91" s="154"/>
      <c r="AF91" s="154"/>
      <c r="AM91" s="154"/>
    </row>
    <row r="92" spans="5:39" x14ac:dyDescent="0.25">
      <c r="E92" s="154"/>
      <c r="K92" s="154"/>
      <c r="Q92" s="154"/>
      <c r="Y92" s="154"/>
      <c r="AF92" s="154"/>
      <c r="AM92" s="154"/>
    </row>
    <row r="93" spans="5:39" x14ac:dyDescent="0.25">
      <c r="E93" s="154"/>
      <c r="Y93" s="154"/>
      <c r="AF93" s="154"/>
      <c r="AM93" s="154"/>
    </row>
  </sheetData>
  <mergeCells count="24">
    <mergeCell ref="B1:F1"/>
    <mergeCell ref="E39:F39"/>
    <mergeCell ref="E40:F40"/>
    <mergeCell ref="E41:F41"/>
    <mergeCell ref="H1:L1"/>
    <mergeCell ref="K38:L38"/>
    <mergeCell ref="K39:L39"/>
    <mergeCell ref="K40:L40"/>
    <mergeCell ref="AJ1:AN1"/>
    <mergeCell ref="AM39:AN39"/>
    <mergeCell ref="AM40:AN40"/>
    <mergeCell ref="AM41:AN41"/>
    <mergeCell ref="N1:R1"/>
    <mergeCell ref="Q38:R38"/>
    <mergeCell ref="Q39:R39"/>
    <mergeCell ref="Q40:R40"/>
    <mergeCell ref="AC1:AG1"/>
    <mergeCell ref="AF39:AG39"/>
    <mergeCell ref="AF40:AG40"/>
    <mergeCell ref="AF41:AG41"/>
    <mergeCell ref="V1:Z1"/>
    <mergeCell ref="Y39:Z39"/>
    <mergeCell ref="Y40:Z40"/>
    <mergeCell ref="Y41:Z41"/>
  </mergeCells>
  <phoneticPr fontId="31" type="noConversion"/>
  <printOptions horizontalCentered="1"/>
  <pageMargins left="0.70866141732283472" right="0.70866141732283472" top="0.74803149606299213" bottom="0.74803149606299213" header="0.31496062992125984" footer="0.31496062992125984"/>
  <pageSetup scale="114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D8A7378-A075-4B90-8427-73EF7EAF60F6}">
          <x14:formula1>
            <xm:f>SOCIOS!$A$1:$A$4</xm:f>
          </x14:formula1>
          <xm:sqref>F37 F3:F35 L36 L3:L34 R36 R3:R34 Z37 Z3:Z35 AG37 AG3:AG35 AN37 AN3:AN35</xm:sqref>
        </x14:dataValidation>
        <x14:dataValidation type="list" allowBlank="1" showInputMessage="1" showErrorMessage="1" xr:uid="{0EF10FD6-9849-46A4-B502-796EE81AC26A}">
          <x14:formula1>
            <xm:f>SOCIOS!$B$2:$B$26</xm:f>
          </x14:formula1>
          <xm:sqref>AJ3:AJ35 AC3:AC35 V3:V35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C5407-BDE7-4E37-B6E9-5A13B148083F}">
  <sheetPr codeName="Hoja11">
    <tabColor rgb="FF92D050"/>
  </sheetPr>
  <dimension ref="A1:L27"/>
  <sheetViews>
    <sheetView showGridLines="0" workbookViewId="0">
      <selection activeCell="B2" sqref="B2"/>
    </sheetView>
  </sheetViews>
  <sheetFormatPr baseColWidth="10" defaultRowHeight="15" x14ac:dyDescent="0.25"/>
  <cols>
    <col min="2" max="2" width="17.85546875" style="94" bestFit="1" customWidth="1"/>
    <col min="3" max="3" width="13.28515625" style="94" bestFit="1" customWidth="1"/>
    <col min="4" max="4" width="9.7109375" style="94" customWidth="1"/>
    <col min="5" max="5" width="11.42578125" style="94" customWidth="1"/>
    <col min="6" max="6" width="10.42578125" customWidth="1"/>
    <col min="7" max="7" width="2.140625" customWidth="1"/>
    <col min="9" max="9" width="16.5703125" bestFit="1" customWidth="1"/>
    <col min="10" max="10" width="13.7109375" bestFit="1" customWidth="1"/>
    <col min="11" max="11" width="10.28515625" bestFit="1" customWidth="1"/>
  </cols>
  <sheetData>
    <row r="1" spans="1:12" x14ac:dyDescent="0.25">
      <c r="A1" t="s">
        <v>137</v>
      </c>
      <c r="B1" s="139" t="s">
        <v>227</v>
      </c>
      <c r="C1" s="139" t="s">
        <v>145</v>
      </c>
      <c r="D1" s="139" t="s">
        <v>104</v>
      </c>
      <c r="E1" s="139" t="s">
        <v>89</v>
      </c>
      <c r="F1" s="139" t="s">
        <v>229</v>
      </c>
    </row>
    <row r="2" spans="1:12" x14ac:dyDescent="0.25">
      <c r="A2" t="s">
        <v>138</v>
      </c>
      <c r="B2" s="140" t="s">
        <v>232</v>
      </c>
      <c r="C2" s="141" t="s">
        <v>143</v>
      </c>
      <c r="D2" s="140">
        <v>14000</v>
      </c>
      <c r="E2" s="140">
        <v>1000</v>
      </c>
      <c r="F2" t="s">
        <v>230</v>
      </c>
      <c r="I2" t="s">
        <v>171</v>
      </c>
      <c r="J2" t="s">
        <v>222</v>
      </c>
      <c r="K2" t="s">
        <v>393</v>
      </c>
      <c r="L2" s="166"/>
    </row>
    <row r="3" spans="1:12" x14ac:dyDescent="0.25">
      <c r="A3" t="s">
        <v>142</v>
      </c>
      <c r="B3" s="140" t="s">
        <v>178</v>
      </c>
      <c r="C3" s="141" t="s">
        <v>226</v>
      </c>
      <c r="D3" s="140">
        <v>14000</v>
      </c>
      <c r="E3" s="140">
        <v>1000</v>
      </c>
      <c r="F3" t="s">
        <v>230</v>
      </c>
      <c r="I3" t="s">
        <v>170</v>
      </c>
      <c r="J3" t="s">
        <v>222</v>
      </c>
      <c r="K3" t="s">
        <v>393</v>
      </c>
    </row>
    <row r="4" spans="1:12" x14ac:dyDescent="0.25">
      <c r="A4" t="s">
        <v>239</v>
      </c>
      <c r="B4" s="140" t="s">
        <v>131</v>
      </c>
      <c r="C4" s="141" t="s">
        <v>223</v>
      </c>
      <c r="D4" s="140">
        <v>14000</v>
      </c>
      <c r="E4" s="140">
        <v>1000</v>
      </c>
      <c r="F4" t="s">
        <v>230</v>
      </c>
      <c r="I4" t="s">
        <v>172</v>
      </c>
      <c r="J4" t="s">
        <v>222</v>
      </c>
      <c r="K4" t="s">
        <v>393</v>
      </c>
    </row>
    <row r="5" spans="1:12" x14ac:dyDescent="0.25">
      <c r="B5" s="140" t="s">
        <v>163</v>
      </c>
      <c r="C5" s="141" t="s">
        <v>221</v>
      </c>
      <c r="D5" s="140">
        <v>14000</v>
      </c>
      <c r="E5" s="140">
        <v>1000</v>
      </c>
      <c r="F5" t="s">
        <v>230</v>
      </c>
      <c r="I5" t="s">
        <v>151</v>
      </c>
      <c r="J5" t="s">
        <v>218</v>
      </c>
      <c r="K5" t="s">
        <v>393</v>
      </c>
    </row>
    <row r="6" spans="1:12" x14ac:dyDescent="0.25">
      <c r="B6" s="140" t="s">
        <v>421</v>
      </c>
      <c r="C6" s="141" t="s">
        <v>225</v>
      </c>
      <c r="D6" s="140">
        <v>14000</v>
      </c>
      <c r="E6" s="140">
        <v>1000</v>
      </c>
      <c r="F6" t="s">
        <v>230</v>
      </c>
      <c r="I6" t="s">
        <v>152</v>
      </c>
      <c r="J6" t="s">
        <v>218</v>
      </c>
      <c r="K6" t="s">
        <v>393</v>
      </c>
    </row>
    <row r="7" spans="1:12" x14ac:dyDescent="0.25">
      <c r="B7" s="140" t="s">
        <v>815</v>
      </c>
      <c r="C7" s="141" t="s">
        <v>226</v>
      </c>
      <c r="D7" s="140">
        <v>14000</v>
      </c>
      <c r="E7" s="140">
        <v>1000</v>
      </c>
      <c r="F7" t="s">
        <v>230</v>
      </c>
      <c r="I7" t="s">
        <v>181</v>
      </c>
      <c r="J7" t="s">
        <v>218</v>
      </c>
      <c r="K7" t="s">
        <v>393</v>
      </c>
    </row>
    <row r="8" spans="1:12" x14ac:dyDescent="0.25">
      <c r="B8" s="140" t="s">
        <v>168</v>
      </c>
      <c r="C8" s="141" t="s">
        <v>224</v>
      </c>
      <c r="D8" s="140">
        <v>14000</v>
      </c>
      <c r="E8" s="140">
        <v>1000</v>
      </c>
      <c r="F8" t="s">
        <v>230</v>
      </c>
      <c r="I8" t="s">
        <v>173</v>
      </c>
      <c r="J8" t="s">
        <v>225</v>
      </c>
      <c r="K8" t="s">
        <v>393</v>
      </c>
    </row>
    <row r="9" spans="1:12" x14ac:dyDescent="0.25">
      <c r="B9" s="140" t="s">
        <v>132</v>
      </c>
      <c r="C9" s="141" t="s">
        <v>226</v>
      </c>
      <c r="D9" s="140">
        <v>14000</v>
      </c>
      <c r="E9" s="140">
        <v>1000</v>
      </c>
      <c r="F9" t="s">
        <v>230</v>
      </c>
      <c r="I9" t="s">
        <v>175</v>
      </c>
      <c r="J9" t="s">
        <v>225</v>
      </c>
      <c r="K9" t="s">
        <v>393</v>
      </c>
    </row>
    <row r="10" spans="1:12" x14ac:dyDescent="0.25">
      <c r="B10" s="140" t="s">
        <v>148</v>
      </c>
      <c r="C10" s="141" t="s">
        <v>216</v>
      </c>
      <c r="D10" s="140">
        <v>14000</v>
      </c>
      <c r="E10" s="140">
        <v>1000</v>
      </c>
      <c r="F10" t="s">
        <v>230</v>
      </c>
      <c r="I10" t="s">
        <v>394</v>
      </c>
      <c r="J10" t="s">
        <v>217</v>
      </c>
      <c r="K10" t="s">
        <v>393</v>
      </c>
    </row>
    <row r="11" spans="1:12" x14ac:dyDescent="0.25">
      <c r="B11" s="140" t="s">
        <v>228</v>
      </c>
      <c r="C11" s="141" t="s">
        <v>143</v>
      </c>
      <c r="D11" s="140">
        <v>14000</v>
      </c>
      <c r="E11" s="140">
        <v>1000</v>
      </c>
      <c r="F11" t="s">
        <v>230</v>
      </c>
      <c r="I11" t="s">
        <v>233</v>
      </c>
      <c r="J11" t="s">
        <v>217</v>
      </c>
      <c r="K11" t="s">
        <v>393</v>
      </c>
    </row>
    <row r="12" spans="1:12" x14ac:dyDescent="0.25">
      <c r="B12" s="140" t="s">
        <v>176</v>
      </c>
      <c r="C12" s="141" t="s">
        <v>143</v>
      </c>
      <c r="D12" s="140">
        <v>14000</v>
      </c>
      <c r="E12" s="140">
        <v>1000</v>
      </c>
      <c r="F12" t="s">
        <v>230</v>
      </c>
      <c r="I12" t="s">
        <v>150</v>
      </c>
      <c r="J12" t="s">
        <v>217</v>
      </c>
      <c r="K12" t="s">
        <v>393</v>
      </c>
    </row>
    <row r="13" spans="1:12" x14ac:dyDescent="0.25">
      <c r="B13" s="140" t="s">
        <v>174</v>
      </c>
      <c r="C13" s="141" t="s">
        <v>225</v>
      </c>
      <c r="D13" s="140">
        <v>14000</v>
      </c>
      <c r="E13" s="140">
        <v>1000</v>
      </c>
      <c r="F13" t="s">
        <v>230</v>
      </c>
      <c r="I13" t="s">
        <v>146</v>
      </c>
      <c r="J13" t="s">
        <v>216</v>
      </c>
      <c r="K13" t="s">
        <v>393</v>
      </c>
    </row>
    <row r="14" spans="1:12" x14ac:dyDescent="0.25">
      <c r="B14" s="140" t="s">
        <v>161</v>
      </c>
      <c r="C14" s="141" t="s">
        <v>221</v>
      </c>
      <c r="D14" s="140">
        <v>0</v>
      </c>
      <c r="E14" s="140">
        <v>1000</v>
      </c>
      <c r="F14" t="s">
        <v>230</v>
      </c>
      <c r="I14" t="s">
        <v>166</v>
      </c>
      <c r="J14" t="s">
        <v>223</v>
      </c>
      <c r="K14" t="s">
        <v>393</v>
      </c>
    </row>
    <row r="15" spans="1:12" x14ac:dyDescent="0.25">
      <c r="B15" s="140" t="s">
        <v>169</v>
      </c>
      <c r="C15" s="141" t="s">
        <v>224</v>
      </c>
      <c r="D15" s="140">
        <v>14000</v>
      </c>
      <c r="E15" s="140">
        <v>1000</v>
      </c>
      <c r="F15" t="s">
        <v>230</v>
      </c>
      <c r="I15" t="s">
        <v>167</v>
      </c>
      <c r="J15" t="s">
        <v>223</v>
      </c>
      <c r="K15" t="s">
        <v>393</v>
      </c>
    </row>
    <row r="16" spans="1:12" x14ac:dyDescent="0.25">
      <c r="B16" s="140" t="s">
        <v>158</v>
      </c>
      <c r="C16" s="141" t="s">
        <v>220</v>
      </c>
      <c r="D16" s="140">
        <v>14000</v>
      </c>
      <c r="E16" s="140">
        <v>1000</v>
      </c>
      <c r="F16" t="s">
        <v>230</v>
      </c>
      <c r="I16" t="s">
        <v>662</v>
      </c>
      <c r="J16" t="s">
        <v>219</v>
      </c>
      <c r="K16" t="s">
        <v>393</v>
      </c>
    </row>
    <row r="17" spans="2:11" x14ac:dyDescent="0.25">
      <c r="B17" s="140" t="s">
        <v>459</v>
      </c>
      <c r="C17" s="141" t="s">
        <v>223</v>
      </c>
      <c r="D17" s="140">
        <v>14000</v>
      </c>
      <c r="E17" s="140">
        <v>1000</v>
      </c>
      <c r="F17" t="s">
        <v>230</v>
      </c>
      <c r="I17" t="s">
        <v>663</v>
      </c>
      <c r="J17" t="s">
        <v>219</v>
      </c>
      <c r="K17" t="s">
        <v>393</v>
      </c>
    </row>
    <row r="18" spans="2:11" x14ac:dyDescent="0.25">
      <c r="B18" s="140" t="s">
        <v>458</v>
      </c>
      <c r="C18" s="141" t="s">
        <v>223</v>
      </c>
      <c r="D18" s="140">
        <v>14000</v>
      </c>
      <c r="E18" s="140">
        <v>1000</v>
      </c>
      <c r="F18" t="s">
        <v>230</v>
      </c>
      <c r="I18" t="s">
        <v>664</v>
      </c>
      <c r="J18" t="s">
        <v>219</v>
      </c>
      <c r="K18" t="s">
        <v>393</v>
      </c>
    </row>
    <row r="19" spans="2:11" x14ac:dyDescent="0.25">
      <c r="B19" s="140" t="s">
        <v>164</v>
      </c>
      <c r="C19" s="141" t="s">
        <v>221</v>
      </c>
      <c r="D19" s="140">
        <v>14000</v>
      </c>
      <c r="E19" s="140">
        <v>1000</v>
      </c>
      <c r="F19" t="s">
        <v>230</v>
      </c>
      <c r="I19" t="s">
        <v>157</v>
      </c>
      <c r="J19" t="s">
        <v>141</v>
      </c>
      <c r="K19" t="s">
        <v>393</v>
      </c>
    </row>
    <row r="20" spans="2:11" x14ac:dyDescent="0.25">
      <c r="B20" s="140" t="s">
        <v>165</v>
      </c>
      <c r="C20" s="141" t="s">
        <v>223</v>
      </c>
      <c r="D20" s="140">
        <v>0</v>
      </c>
      <c r="E20" s="140">
        <v>1000</v>
      </c>
      <c r="F20" t="s">
        <v>230</v>
      </c>
      <c r="I20" t="s">
        <v>159</v>
      </c>
      <c r="J20" t="s">
        <v>220</v>
      </c>
      <c r="K20" t="s">
        <v>393</v>
      </c>
    </row>
    <row r="21" spans="2:11" x14ac:dyDescent="0.25">
      <c r="B21" s="140" t="s">
        <v>767</v>
      </c>
      <c r="C21" s="141" t="s">
        <v>220</v>
      </c>
      <c r="D21" s="140">
        <v>14000</v>
      </c>
      <c r="E21" s="140">
        <v>1000</v>
      </c>
      <c r="F21" t="s">
        <v>230</v>
      </c>
      <c r="I21" t="s">
        <v>155</v>
      </c>
      <c r="J21" t="s">
        <v>141</v>
      </c>
      <c r="K21" t="s">
        <v>393</v>
      </c>
    </row>
    <row r="22" spans="2:11" x14ac:dyDescent="0.25">
      <c r="B22" s="140" t="s">
        <v>128</v>
      </c>
      <c r="C22" s="141" t="s">
        <v>225</v>
      </c>
      <c r="D22" s="140">
        <v>14000</v>
      </c>
      <c r="E22" s="140">
        <v>1000</v>
      </c>
      <c r="F22" t="s">
        <v>230</v>
      </c>
      <c r="I22" t="s">
        <v>156</v>
      </c>
      <c r="J22" t="s">
        <v>141</v>
      </c>
      <c r="K22" t="s">
        <v>393</v>
      </c>
    </row>
    <row r="23" spans="2:11" x14ac:dyDescent="0.25">
      <c r="B23" s="140" t="s">
        <v>234</v>
      </c>
      <c r="C23" s="141" t="s">
        <v>224</v>
      </c>
      <c r="D23" s="140">
        <v>14000</v>
      </c>
      <c r="E23" s="140">
        <v>1000</v>
      </c>
      <c r="F23" t="s">
        <v>230</v>
      </c>
      <c r="I23" t="s">
        <v>177</v>
      </c>
      <c r="J23" t="s">
        <v>226</v>
      </c>
      <c r="K23" t="s">
        <v>393</v>
      </c>
    </row>
    <row r="24" spans="2:11" x14ac:dyDescent="0.25">
      <c r="B24" s="140" t="s">
        <v>160</v>
      </c>
      <c r="C24" s="141" t="s">
        <v>220</v>
      </c>
      <c r="D24" s="140">
        <v>14000</v>
      </c>
      <c r="E24" s="140">
        <v>1000</v>
      </c>
      <c r="F24" t="s">
        <v>230</v>
      </c>
    </row>
    <row r="25" spans="2:11" x14ac:dyDescent="0.25">
      <c r="B25" s="140" t="s">
        <v>149</v>
      </c>
      <c r="C25" s="141" t="s">
        <v>216</v>
      </c>
      <c r="D25" s="140">
        <v>14000</v>
      </c>
      <c r="E25" s="140">
        <v>1000</v>
      </c>
      <c r="F25" t="s">
        <v>230</v>
      </c>
    </row>
    <row r="26" spans="2:11" x14ac:dyDescent="0.25">
      <c r="B26" s="140" t="s">
        <v>391</v>
      </c>
      <c r="C26" s="141" t="s">
        <v>221</v>
      </c>
      <c r="D26" s="140">
        <v>14000</v>
      </c>
      <c r="E26" s="140">
        <v>1000</v>
      </c>
      <c r="F26" t="s">
        <v>230</v>
      </c>
    </row>
    <row r="27" spans="2:11" x14ac:dyDescent="0.25">
      <c r="B27" s="140" t="s">
        <v>147</v>
      </c>
      <c r="C27" s="141" t="s">
        <v>216</v>
      </c>
      <c r="D27" s="140">
        <v>14000</v>
      </c>
      <c r="E27" s="140">
        <v>1000</v>
      </c>
      <c r="F27" t="s">
        <v>230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4226-E668-44F9-A123-43B5B092089B}">
  <sheetPr codeName="Hoja12"/>
  <dimension ref="A1:G100"/>
  <sheetViews>
    <sheetView showGridLines="0" zoomScale="90" zoomScaleNormal="90" workbookViewId="0"/>
  </sheetViews>
  <sheetFormatPr baseColWidth="10" defaultRowHeight="15" x14ac:dyDescent="0.25"/>
  <cols>
    <col min="1" max="1" width="4.7109375" style="342" customWidth="1"/>
    <col min="2" max="2" width="10.140625" style="358" bestFit="1" customWidth="1"/>
    <col min="3" max="3" width="10.7109375" style="359" bestFit="1" customWidth="1"/>
    <col min="4" max="4" width="12.42578125" style="360" bestFit="1" customWidth="1"/>
    <col min="5" max="5" width="51.85546875" style="361" bestFit="1" customWidth="1"/>
    <col min="6" max="6" width="64.5703125" style="362" customWidth="1"/>
    <col min="7" max="7" width="48.5703125" style="362" bestFit="1" customWidth="1"/>
    <col min="8" max="16384" width="11.42578125" style="348"/>
  </cols>
  <sheetData>
    <row r="1" spans="1:7" ht="15.75" x14ac:dyDescent="0.25">
      <c r="B1" s="343" t="s">
        <v>0</v>
      </c>
      <c r="C1" s="344" t="s">
        <v>182</v>
      </c>
      <c r="D1" s="345" t="s">
        <v>262</v>
      </c>
      <c r="E1" s="346" t="s">
        <v>261</v>
      </c>
      <c r="F1" s="347" t="s">
        <v>183</v>
      </c>
      <c r="G1" s="347" t="s">
        <v>263</v>
      </c>
    </row>
    <row r="2" spans="1:7" ht="15.75" x14ac:dyDescent="0.25">
      <c r="A2" s="342" t="s">
        <v>79</v>
      </c>
      <c r="B2" s="349">
        <v>43340</v>
      </c>
      <c r="C2" s="350" t="s">
        <v>264</v>
      </c>
      <c r="D2" s="351" t="s">
        <v>184</v>
      </c>
      <c r="E2" s="340" t="s">
        <v>395</v>
      </c>
      <c r="F2" s="352" t="s">
        <v>265</v>
      </c>
      <c r="G2" s="352" t="s">
        <v>266</v>
      </c>
    </row>
    <row r="3" spans="1:7" ht="31.5" x14ac:dyDescent="0.25">
      <c r="A3" s="342" t="s">
        <v>79</v>
      </c>
      <c r="B3" s="349">
        <v>43432</v>
      </c>
      <c r="C3" s="350" t="s">
        <v>264</v>
      </c>
      <c r="D3" s="351" t="s">
        <v>184</v>
      </c>
      <c r="E3" s="340" t="s">
        <v>396</v>
      </c>
      <c r="F3" s="352" t="s">
        <v>267</v>
      </c>
      <c r="G3" s="353" t="s">
        <v>268</v>
      </c>
    </row>
    <row r="4" spans="1:7" ht="63" x14ac:dyDescent="0.25">
      <c r="A4" s="342" t="s">
        <v>79</v>
      </c>
      <c r="B4" s="349">
        <v>43550</v>
      </c>
      <c r="C4" s="350" t="s">
        <v>264</v>
      </c>
      <c r="D4" s="351" t="s">
        <v>184</v>
      </c>
      <c r="E4" s="340" t="s">
        <v>397</v>
      </c>
      <c r="F4" s="352" t="s">
        <v>269</v>
      </c>
      <c r="G4" s="353" t="s">
        <v>270</v>
      </c>
    </row>
    <row r="5" spans="1:7" ht="31.5" x14ac:dyDescent="0.25">
      <c r="A5" s="342" t="s">
        <v>79</v>
      </c>
      <c r="B5" s="349">
        <v>43697</v>
      </c>
      <c r="C5" s="350" t="s">
        <v>264</v>
      </c>
      <c r="D5" s="351" t="s">
        <v>184</v>
      </c>
      <c r="E5" s="414" t="s">
        <v>401</v>
      </c>
      <c r="F5" s="352" t="s">
        <v>271</v>
      </c>
      <c r="G5" s="352" t="s">
        <v>272</v>
      </c>
    </row>
    <row r="6" spans="1:7" ht="31.5" x14ac:dyDescent="0.25">
      <c r="A6" s="342" t="s">
        <v>79</v>
      </c>
      <c r="B6" s="349">
        <v>43943</v>
      </c>
      <c r="C6" s="350" t="s">
        <v>257</v>
      </c>
      <c r="D6" s="351" t="s">
        <v>273</v>
      </c>
      <c r="E6" s="340" t="s">
        <v>398</v>
      </c>
      <c r="F6" s="352" t="s">
        <v>274</v>
      </c>
      <c r="G6" s="352" t="s">
        <v>275</v>
      </c>
    </row>
    <row r="7" spans="1:7" ht="47.25" x14ac:dyDescent="0.25">
      <c r="A7" s="342" t="s">
        <v>79</v>
      </c>
      <c r="B7" s="349">
        <v>44506</v>
      </c>
      <c r="C7" s="350" t="s">
        <v>257</v>
      </c>
      <c r="D7" s="351" t="s">
        <v>256</v>
      </c>
      <c r="E7" s="340" t="s">
        <v>399</v>
      </c>
      <c r="F7" s="352" t="s">
        <v>276</v>
      </c>
      <c r="G7" s="352" t="s">
        <v>277</v>
      </c>
    </row>
    <row r="8" spans="1:7" ht="15.75" x14ac:dyDescent="0.25">
      <c r="A8" s="342" t="s">
        <v>79</v>
      </c>
      <c r="B8" s="349">
        <v>44507</v>
      </c>
      <c r="C8" s="350" t="s">
        <v>257</v>
      </c>
      <c r="D8" s="351" t="s">
        <v>256</v>
      </c>
      <c r="E8" s="340" t="s">
        <v>400</v>
      </c>
      <c r="F8" s="352" t="s">
        <v>278</v>
      </c>
      <c r="G8" s="352" t="s">
        <v>279</v>
      </c>
    </row>
    <row r="9" spans="1:7" ht="15.75" x14ac:dyDescent="0.25">
      <c r="A9" s="342" t="s">
        <v>79</v>
      </c>
      <c r="B9" s="349">
        <v>44508</v>
      </c>
      <c r="C9" s="350" t="s">
        <v>257</v>
      </c>
      <c r="D9" s="351" t="s">
        <v>256</v>
      </c>
      <c r="E9" s="413" t="s">
        <v>402</v>
      </c>
      <c r="F9" s="352" t="s">
        <v>280</v>
      </c>
      <c r="G9" s="352" t="s">
        <v>281</v>
      </c>
    </row>
    <row r="10" spans="1:7" ht="63" x14ac:dyDescent="0.25">
      <c r="A10" s="342" t="s">
        <v>79</v>
      </c>
      <c r="B10" s="349">
        <v>44513</v>
      </c>
      <c r="C10" s="350" t="s">
        <v>257</v>
      </c>
      <c r="D10" s="351" t="s">
        <v>256</v>
      </c>
      <c r="E10" s="414" t="s">
        <v>403</v>
      </c>
      <c r="F10" s="352" t="s">
        <v>282</v>
      </c>
      <c r="G10" s="352" t="s">
        <v>283</v>
      </c>
    </row>
    <row r="11" spans="1:7" ht="63" x14ac:dyDescent="0.25">
      <c r="A11" s="342" t="s">
        <v>79</v>
      </c>
      <c r="B11" s="349">
        <v>44515</v>
      </c>
      <c r="C11" s="350" t="s">
        <v>257</v>
      </c>
      <c r="D11" s="351" t="s">
        <v>256</v>
      </c>
      <c r="E11" s="416" t="s">
        <v>417</v>
      </c>
      <c r="F11" s="352" t="s">
        <v>284</v>
      </c>
      <c r="G11" s="352" t="s">
        <v>285</v>
      </c>
    </row>
    <row r="12" spans="1:7" ht="31.5" x14ac:dyDescent="0.25">
      <c r="A12" s="342" t="s">
        <v>79</v>
      </c>
      <c r="B12" s="349">
        <v>44634</v>
      </c>
      <c r="C12" s="350" t="s">
        <v>257</v>
      </c>
      <c r="D12" s="351" t="s">
        <v>256</v>
      </c>
      <c r="E12" s="414" t="s">
        <v>404</v>
      </c>
      <c r="F12" s="352" t="s">
        <v>286</v>
      </c>
      <c r="G12" s="352"/>
    </row>
    <row r="13" spans="1:7" ht="15.75" x14ac:dyDescent="0.25">
      <c r="A13" s="342" t="s">
        <v>79</v>
      </c>
      <c r="B13" s="349">
        <v>44637</v>
      </c>
      <c r="C13" s="350" t="s">
        <v>257</v>
      </c>
      <c r="D13" s="351" t="s">
        <v>256</v>
      </c>
      <c r="E13" s="415" t="s">
        <v>405</v>
      </c>
      <c r="F13" s="352" t="s">
        <v>287</v>
      </c>
      <c r="G13" s="352"/>
    </row>
    <row r="14" spans="1:7" ht="47.25" x14ac:dyDescent="0.25">
      <c r="A14" s="342" t="s">
        <v>79</v>
      </c>
      <c r="B14" s="349">
        <v>44638</v>
      </c>
      <c r="C14" s="350" t="s">
        <v>257</v>
      </c>
      <c r="D14" s="351" t="s">
        <v>273</v>
      </c>
      <c r="E14" s="414" t="s">
        <v>406</v>
      </c>
      <c r="F14" s="352" t="s">
        <v>288</v>
      </c>
      <c r="G14" s="352" t="s">
        <v>289</v>
      </c>
    </row>
    <row r="15" spans="1:7" ht="31.5" x14ac:dyDescent="0.25">
      <c r="A15" s="342" t="s">
        <v>79</v>
      </c>
      <c r="B15" s="349">
        <v>44648</v>
      </c>
      <c r="C15" s="350" t="s">
        <v>257</v>
      </c>
      <c r="D15" s="351" t="s">
        <v>256</v>
      </c>
      <c r="E15" s="416" t="s">
        <v>418</v>
      </c>
      <c r="F15" s="352" t="s">
        <v>290</v>
      </c>
      <c r="G15" s="352" t="s">
        <v>291</v>
      </c>
    </row>
    <row r="16" spans="1:7" ht="63" x14ac:dyDescent="0.25">
      <c r="A16" s="342" t="s">
        <v>79</v>
      </c>
      <c r="B16" s="349">
        <v>44651</v>
      </c>
      <c r="C16" s="350" t="s">
        <v>264</v>
      </c>
      <c r="D16" s="351" t="s">
        <v>184</v>
      </c>
      <c r="E16" s="416" t="s">
        <v>419</v>
      </c>
      <c r="F16" s="352" t="s">
        <v>292</v>
      </c>
      <c r="G16" s="353" t="s">
        <v>293</v>
      </c>
    </row>
    <row r="17" spans="1:7" ht="63" x14ac:dyDescent="0.25">
      <c r="A17" s="342" t="s">
        <v>79</v>
      </c>
      <c r="B17" s="349">
        <v>44691</v>
      </c>
      <c r="C17" s="350" t="s">
        <v>264</v>
      </c>
      <c r="D17" s="351" t="s">
        <v>184</v>
      </c>
      <c r="E17" s="414" t="s">
        <v>407</v>
      </c>
      <c r="F17" s="352" t="s">
        <v>294</v>
      </c>
      <c r="G17" s="353" t="s">
        <v>295</v>
      </c>
    </row>
    <row r="18" spans="1:7" ht="15.75" x14ac:dyDescent="0.25">
      <c r="B18" s="349">
        <v>44697</v>
      </c>
      <c r="C18" s="350" t="s">
        <v>264</v>
      </c>
      <c r="D18" s="351" t="s">
        <v>256</v>
      </c>
      <c r="E18" s="341" t="s">
        <v>296</v>
      </c>
      <c r="F18" s="352" t="s">
        <v>297</v>
      </c>
      <c r="G18" s="352" t="s">
        <v>298</v>
      </c>
    </row>
    <row r="19" spans="1:7" ht="15.75" x14ac:dyDescent="0.25">
      <c r="B19" s="349">
        <v>44699</v>
      </c>
      <c r="C19" s="350" t="s">
        <v>264</v>
      </c>
      <c r="D19" s="351"/>
      <c r="E19" s="341" t="s">
        <v>299</v>
      </c>
      <c r="F19" s="354" t="s">
        <v>130</v>
      </c>
      <c r="G19" s="352"/>
    </row>
    <row r="20" spans="1:7" ht="15.75" x14ac:dyDescent="0.25">
      <c r="B20" s="349">
        <v>44705</v>
      </c>
      <c r="C20" s="350" t="s">
        <v>257</v>
      </c>
      <c r="D20" s="351"/>
      <c r="E20" s="341" t="s">
        <v>300</v>
      </c>
      <c r="F20" s="354" t="s">
        <v>301</v>
      </c>
      <c r="G20" s="352"/>
    </row>
    <row r="21" spans="1:7" ht="15.75" x14ac:dyDescent="0.25">
      <c r="B21" s="349">
        <v>44706</v>
      </c>
      <c r="C21" s="350" t="s">
        <v>264</v>
      </c>
      <c r="D21" s="351"/>
      <c r="E21" s="341" t="s">
        <v>302</v>
      </c>
      <c r="F21" s="354" t="s">
        <v>303</v>
      </c>
      <c r="G21" s="352"/>
    </row>
    <row r="22" spans="1:7" ht="15.75" x14ac:dyDescent="0.25">
      <c r="B22" s="349">
        <v>44711</v>
      </c>
      <c r="C22" s="350" t="s">
        <v>257</v>
      </c>
      <c r="D22" s="351"/>
      <c r="E22" s="341" t="s">
        <v>300</v>
      </c>
      <c r="F22" s="354" t="s">
        <v>301</v>
      </c>
      <c r="G22" s="352"/>
    </row>
    <row r="23" spans="1:7" ht="15.75" x14ac:dyDescent="0.25">
      <c r="B23" s="349">
        <v>44712</v>
      </c>
      <c r="C23" s="350" t="s">
        <v>264</v>
      </c>
      <c r="D23" s="351"/>
      <c r="E23" s="341" t="s">
        <v>299</v>
      </c>
      <c r="F23" s="354" t="s">
        <v>130</v>
      </c>
      <c r="G23" s="352"/>
    </row>
    <row r="24" spans="1:7" ht="15.75" x14ac:dyDescent="0.25">
      <c r="A24" s="342" t="s">
        <v>79</v>
      </c>
      <c r="B24" s="349">
        <v>44713</v>
      </c>
      <c r="C24" s="350" t="s">
        <v>257</v>
      </c>
      <c r="D24" s="351" t="s">
        <v>256</v>
      </c>
      <c r="E24" s="413" t="s">
        <v>408</v>
      </c>
      <c r="F24" s="352"/>
      <c r="G24" s="352"/>
    </row>
    <row r="25" spans="1:7" ht="15.75" x14ac:dyDescent="0.25">
      <c r="B25" s="349">
        <v>44720</v>
      </c>
      <c r="C25" s="350" t="s">
        <v>257</v>
      </c>
      <c r="D25" s="351"/>
      <c r="E25" s="341" t="s">
        <v>302</v>
      </c>
      <c r="F25" s="354" t="s">
        <v>303</v>
      </c>
      <c r="G25" s="352"/>
    </row>
    <row r="26" spans="1:7" ht="15.75" x14ac:dyDescent="0.25">
      <c r="B26" s="349">
        <v>44728</v>
      </c>
      <c r="C26" s="350" t="s">
        <v>257</v>
      </c>
      <c r="D26" s="351"/>
      <c r="E26" s="341" t="s">
        <v>304</v>
      </c>
      <c r="F26" s="354" t="s">
        <v>303</v>
      </c>
      <c r="G26" s="352"/>
    </row>
    <row r="27" spans="1:7" ht="15.75" x14ac:dyDescent="0.25">
      <c r="B27" s="349">
        <v>44729</v>
      </c>
      <c r="C27" s="350" t="s">
        <v>257</v>
      </c>
      <c r="D27" s="351"/>
      <c r="E27" s="341" t="s">
        <v>300</v>
      </c>
      <c r="F27" s="354" t="s">
        <v>301</v>
      </c>
      <c r="G27" s="352"/>
    </row>
    <row r="28" spans="1:7" ht="15.75" x14ac:dyDescent="0.25">
      <c r="B28" s="349">
        <v>44732</v>
      </c>
      <c r="C28" s="350" t="s">
        <v>257</v>
      </c>
      <c r="D28" s="351"/>
      <c r="E28" s="341" t="s">
        <v>304</v>
      </c>
      <c r="F28" s="354" t="s">
        <v>303</v>
      </c>
      <c r="G28" s="352"/>
    </row>
    <row r="29" spans="1:7" ht="15.75" x14ac:dyDescent="0.25">
      <c r="B29" s="349">
        <v>44743</v>
      </c>
      <c r="C29" s="350" t="s">
        <v>257</v>
      </c>
      <c r="D29" s="351"/>
      <c r="E29" s="341" t="s">
        <v>304</v>
      </c>
      <c r="F29" s="354" t="s">
        <v>303</v>
      </c>
      <c r="G29" s="352"/>
    </row>
    <row r="30" spans="1:7" ht="15.75" x14ac:dyDescent="0.25">
      <c r="B30" s="349">
        <v>44746</v>
      </c>
      <c r="C30" s="350" t="s">
        <v>257</v>
      </c>
      <c r="D30" s="351"/>
      <c r="E30" s="341" t="s">
        <v>305</v>
      </c>
      <c r="F30" s="354" t="s">
        <v>303</v>
      </c>
      <c r="G30" s="352"/>
    </row>
    <row r="31" spans="1:7" ht="15.75" x14ac:dyDescent="0.25">
      <c r="B31" s="349">
        <v>44747</v>
      </c>
      <c r="C31" s="350" t="s">
        <v>257</v>
      </c>
      <c r="D31" s="351"/>
      <c r="E31" s="341" t="s">
        <v>306</v>
      </c>
      <c r="F31" s="354" t="s">
        <v>303</v>
      </c>
      <c r="G31" s="352"/>
    </row>
    <row r="32" spans="1:7" ht="15.75" x14ac:dyDescent="0.25">
      <c r="B32" s="349">
        <v>44757</v>
      </c>
      <c r="C32" s="350" t="s">
        <v>264</v>
      </c>
      <c r="D32" s="351" t="s">
        <v>307</v>
      </c>
      <c r="E32" s="341" t="s">
        <v>308</v>
      </c>
      <c r="F32" s="352" t="s">
        <v>309</v>
      </c>
      <c r="G32" s="352" t="s">
        <v>310</v>
      </c>
    </row>
    <row r="33" spans="1:7" ht="15.75" x14ac:dyDescent="0.25">
      <c r="B33" s="349">
        <v>44762</v>
      </c>
      <c r="C33" s="350" t="s">
        <v>264</v>
      </c>
      <c r="D33" s="351" t="s">
        <v>307</v>
      </c>
      <c r="E33" s="341" t="s">
        <v>311</v>
      </c>
      <c r="F33" s="352" t="s">
        <v>309</v>
      </c>
      <c r="G33" s="352" t="s">
        <v>312</v>
      </c>
    </row>
    <row r="34" spans="1:7" ht="15.75" x14ac:dyDescent="0.25">
      <c r="B34" s="349">
        <v>44767</v>
      </c>
      <c r="C34" s="350" t="s">
        <v>257</v>
      </c>
      <c r="D34" s="351"/>
      <c r="E34" s="341" t="s">
        <v>313</v>
      </c>
      <c r="F34" s="354" t="s">
        <v>303</v>
      </c>
      <c r="G34" s="352"/>
    </row>
    <row r="35" spans="1:7" ht="15.75" x14ac:dyDescent="0.25">
      <c r="A35" s="342" t="s">
        <v>79</v>
      </c>
      <c r="B35" s="349">
        <v>44768</v>
      </c>
      <c r="C35" s="350" t="s">
        <v>314</v>
      </c>
      <c r="D35" s="351" t="s">
        <v>184</v>
      </c>
      <c r="E35" s="413" t="s">
        <v>315</v>
      </c>
      <c r="F35" s="352"/>
      <c r="G35" s="353"/>
    </row>
    <row r="36" spans="1:7" ht="15.75" x14ac:dyDescent="0.25">
      <c r="B36" s="349">
        <v>44774</v>
      </c>
      <c r="C36" s="350" t="s">
        <v>257</v>
      </c>
      <c r="D36" s="351"/>
      <c r="E36" s="341" t="s">
        <v>316</v>
      </c>
      <c r="F36" s="354" t="s">
        <v>303</v>
      </c>
      <c r="G36" s="352"/>
    </row>
    <row r="37" spans="1:7" ht="15.75" x14ac:dyDescent="0.25">
      <c r="B37" s="349">
        <v>44774</v>
      </c>
      <c r="C37" s="350" t="s">
        <v>257</v>
      </c>
      <c r="D37" s="351"/>
      <c r="E37" s="341" t="s">
        <v>304</v>
      </c>
      <c r="F37" s="354" t="s">
        <v>317</v>
      </c>
      <c r="G37" s="352"/>
    </row>
    <row r="38" spans="1:7" ht="15.75" x14ac:dyDescent="0.25">
      <c r="B38" s="349">
        <v>44775</v>
      </c>
      <c r="C38" s="350" t="s">
        <v>257</v>
      </c>
      <c r="D38" s="351"/>
      <c r="E38" s="341" t="s">
        <v>305</v>
      </c>
      <c r="F38" s="354" t="s">
        <v>303</v>
      </c>
      <c r="G38" s="352"/>
    </row>
    <row r="39" spans="1:7" ht="15.75" x14ac:dyDescent="0.25">
      <c r="B39" s="349">
        <v>44783</v>
      </c>
      <c r="C39" s="350" t="s">
        <v>264</v>
      </c>
      <c r="D39" s="351"/>
      <c r="E39" s="341" t="s">
        <v>318</v>
      </c>
      <c r="F39" s="354" t="s">
        <v>303</v>
      </c>
      <c r="G39" s="352"/>
    </row>
    <row r="40" spans="1:7" ht="15.75" x14ac:dyDescent="0.25">
      <c r="B40" s="349">
        <v>44784</v>
      </c>
      <c r="C40" s="350" t="s">
        <v>264</v>
      </c>
      <c r="D40" s="351"/>
      <c r="E40" s="341" t="s">
        <v>299</v>
      </c>
      <c r="F40" s="354" t="s">
        <v>130</v>
      </c>
      <c r="G40" s="352"/>
    </row>
    <row r="41" spans="1:7" ht="15.75" x14ac:dyDescent="0.25">
      <c r="B41" s="349">
        <v>44785</v>
      </c>
      <c r="C41" s="350" t="s">
        <v>257</v>
      </c>
      <c r="D41" s="351"/>
      <c r="E41" s="341" t="s">
        <v>304</v>
      </c>
      <c r="F41" s="354" t="s">
        <v>303</v>
      </c>
      <c r="G41" s="352"/>
    </row>
    <row r="42" spans="1:7" ht="15.75" x14ac:dyDescent="0.25">
      <c r="A42" s="342" t="s">
        <v>79</v>
      </c>
      <c r="B42" s="349">
        <v>44786</v>
      </c>
      <c r="C42" s="350" t="s">
        <v>257</v>
      </c>
      <c r="D42" s="351" t="s">
        <v>273</v>
      </c>
      <c r="E42" s="413" t="s">
        <v>409</v>
      </c>
      <c r="F42" s="352" t="s">
        <v>319</v>
      </c>
      <c r="G42" s="352"/>
    </row>
    <row r="43" spans="1:7" ht="15.75" x14ac:dyDescent="0.25">
      <c r="A43" s="342" t="s">
        <v>79</v>
      </c>
      <c r="B43" s="349">
        <v>44789</v>
      </c>
      <c r="C43" s="350" t="s">
        <v>264</v>
      </c>
      <c r="D43" s="351" t="s">
        <v>256</v>
      </c>
      <c r="E43" s="413" t="s">
        <v>410</v>
      </c>
      <c r="F43" s="352"/>
      <c r="G43" s="352"/>
    </row>
    <row r="44" spans="1:7" ht="15.75" x14ac:dyDescent="0.25">
      <c r="B44" s="349">
        <v>44795</v>
      </c>
      <c r="C44" s="350" t="s">
        <v>264</v>
      </c>
      <c r="D44" s="351" t="s">
        <v>256</v>
      </c>
      <c r="E44" s="341" t="s">
        <v>304</v>
      </c>
      <c r="F44" s="354" t="s">
        <v>303</v>
      </c>
      <c r="G44" s="352"/>
    </row>
    <row r="45" spans="1:7" ht="15.75" x14ac:dyDescent="0.25">
      <c r="A45" s="342" t="s">
        <v>79</v>
      </c>
      <c r="B45" s="349">
        <v>44796</v>
      </c>
      <c r="C45" s="350" t="s">
        <v>264</v>
      </c>
      <c r="D45" s="351" t="s">
        <v>256</v>
      </c>
      <c r="E45" s="413" t="s">
        <v>411</v>
      </c>
      <c r="F45" s="352"/>
      <c r="G45" s="352"/>
    </row>
    <row r="46" spans="1:7" ht="15.75" x14ac:dyDescent="0.25">
      <c r="B46" s="349">
        <v>44802</v>
      </c>
      <c r="C46" s="350" t="s">
        <v>257</v>
      </c>
      <c r="D46" s="351"/>
      <c r="E46" s="341" t="s">
        <v>304</v>
      </c>
      <c r="F46" s="354" t="s">
        <v>303</v>
      </c>
      <c r="G46" s="352"/>
    </row>
    <row r="47" spans="1:7" ht="15.75" x14ac:dyDescent="0.25">
      <c r="A47" s="342" t="s">
        <v>79</v>
      </c>
      <c r="B47" s="349">
        <v>44804</v>
      </c>
      <c r="C47" s="350" t="s">
        <v>264</v>
      </c>
      <c r="D47" s="351" t="s">
        <v>307</v>
      </c>
      <c r="E47" s="413" t="s">
        <v>412</v>
      </c>
      <c r="F47" s="352"/>
      <c r="G47" s="352"/>
    </row>
    <row r="48" spans="1:7" ht="15.75" x14ac:dyDescent="0.25">
      <c r="B48" s="349">
        <v>44805</v>
      </c>
      <c r="C48" s="350" t="s">
        <v>264</v>
      </c>
      <c r="D48" s="351"/>
      <c r="E48" s="341" t="s">
        <v>320</v>
      </c>
      <c r="F48" s="354" t="s">
        <v>301</v>
      </c>
      <c r="G48" s="352"/>
    </row>
    <row r="49" spans="1:7" ht="15.75" x14ac:dyDescent="0.25">
      <c r="A49" s="342" t="s">
        <v>79</v>
      </c>
      <c r="B49" s="349">
        <v>44819</v>
      </c>
      <c r="C49" s="350" t="s">
        <v>257</v>
      </c>
      <c r="D49" s="351" t="s">
        <v>256</v>
      </c>
      <c r="E49" s="415" t="s">
        <v>413</v>
      </c>
      <c r="F49" s="352"/>
      <c r="G49" s="352"/>
    </row>
    <row r="50" spans="1:7" ht="15.75" x14ac:dyDescent="0.25">
      <c r="A50" s="342" t="s">
        <v>79</v>
      </c>
      <c r="B50" s="349">
        <v>44838</v>
      </c>
      <c r="C50" s="350" t="s">
        <v>257</v>
      </c>
      <c r="D50" s="351" t="s">
        <v>273</v>
      </c>
      <c r="E50" s="413" t="s">
        <v>321</v>
      </c>
      <c r="F50" s="352"/>
      <c r="G50" s="352"/>
    </row>
    <row r="51" spans="1:7" ht="15.75" x14ac:dyDescent="0.25">
      <c r="A51" s="342" t="s">
        <v>79</v>
      </c>
      <c r="B51" s="349">
        <v>44869</v>
      </c>
      <c r="C51" s="350" t="s">
        <v>257</v>
      </c>
      <c r="D51" s="351" t="s">
        <v>256</v>
      </c>
      <c r="E51" s="413" t="s">
        <v>414</v>
      </c>
      <c r="F51" s="352"/>
      <c r="G51" s="352"/>
    </row>
    <row r="52" spans="1:7" ht="15.75" x14ac:dyDescent="0.25">
      <c r="A52" s="342" t="s">
        <v>79</v>
      </c>
      <c r="B52" s="349">
        <v>44872</v>
      </c>
      <c r="C52" s="350" t="s">
        <v>257</v>
      </c>
      <c r="D52" s="351" t="s">
        <v>256</v>
      </c>
      <c r="E52" s="413" t="s">
        <v>415</v>
      </c>
      <c r="F52" s="352"/>
      <c r="G52" s="352"/>
    </row>
    <row r="53" spans="1:7" ht="15.75" x14ac:dyDescent="0.25">
      <c r="B53" s="355">
        <v>44879</v>
      </c>
      <c r="C53" s="356" t="s">
        <v>264</v>
      </c>
      <c r="D53" s="357" t="s">
        <v>184</v>
      </c>
      <c r="E53" s="341" t="s">
        <v>322</v>
      </c>
      <c r="F53" s="354" t="s">
        <v>323</v>
      </c>
      <c r="G53" s="352"/>
    </row>
    <row r="54" spans="1:7" ht="31.5" x14ac:dyDescent="0.25">
      <c r="B54" s="349">
        <v>44882</v>
      </c>
      <c r="C54" s="350" t="s">
        <v>257</v>
      </c>
      <c r="D54" s="351" t="s">
        <v>256</v>
      </c>
      <c r="E54" s="341" t="s">
        <v>324</v>
      </c>
      <c r="F54" s="352" t="s">
        <v>325</v>
      </c>
      <c r="G54" s="352" t="s">
        <v>326</v>
      </c>
    </row>
    <row r="55" spans="1:7" ht="15.75" x14ac:dyDescent="0.25">
      <c r="A55" s="342" t="s">
        <v>79</v>
      </c>
      <c r="B55" s="349">
        <v>44886</v>
      </c>
      <c r="C55" s="350" t="s">
        <v>264</v>
      </c>
      <c r="D55" s="351" t="s">
        <v>307</v>
      </c>
      <c r="E55" s="413" t="s">
        <v>416</v>
      </c>
      <c r="F55" s="352" t="s">
        <v>327</v>
      </c>
      <c r="G55" s="352"/>
    </row>
    <row r="56" spans="1:7" ht="15.75" x14ac:dyDescent="0.25">
      <c r="B56" s="349">
        <v>44889</v>
      </c>
      <c r="C56" s="350" t="s">
        <v>257</v>
      </c>
      <c r="D56" s="351" t="s">
        <v>273</v>
      </c>
      <c r="E56" s="341" t="s">
        <v>328</v>
      </c>
      <c r="F56" s="354"/>
      <c r="G56" s="352"/>
    </row>
    <row r="57" spans="1:7" ht="15.75" x14ac:dyDescent="0.25">
      <c r="B57" s="349">
        <v>44896</v>
      </c>
      <c r="C57" s="350" t="s">
        <v>264</v>
      </c>
      <c r="D57" s="351" t="s">
        <v>256</v>
      </c>
      <c r="E57" s="341" t="s">
        <v>329</v>
      </c>
      <c r="F57" s="354"/>
      <c r="G57" s="352"/>
    </row>
    <row r="58" spans="1:7" ht="15.75" x14ac:dyDescent="0.25">
      <c r="B58" s="349">
        <v>44901</v>
      </c>
      <c r="C58" s="350" t="s">
        <v>264</v>
      </c>
      <c r="D58" s="351" t="s">
        <v>256</v>
      </c>
      <c r="E58" s="341" t="s">
        <v>329</v>
      </c>
      <c r="F58" s="354"/>
      <c r="G58" s="352"/>
    </row>
    <row r="59" spans="1:7" ht="15.75" x14ac:dyDescent="0.25">
      <c r="B59" s="349">
        <v>44902</v>
      </c>
      <c r="C59" s="350" t="s">
        <v>264</v>
      </c>
      <c r="D59" s="351" t="s">
        <v>256</v>
      </c>
      <c r="E59" s="341" t="s">
        <v>329</v>
      </c>
      <c r="F59" s="354"/>
      <c r="G59" s="352"/>
    </row>
    <row r="60" spans="1:7" ht="15.75" x14ac:dyDescent="0.25">
      <c r="B60" s="349">
        <v>44904</v>
      </c>
      <c r="C60" s="350" t="s">
        <v>257</v>
      </c>
      <c r="D60" s="351" t="s">
        <v>256</v>
      </c>
      <c r="E60" s="341" t="s">
        <v>258</v>
      </c>
      <c r="F60" s="354"/>
      <c r="G60" s="352"/>
    </row>
    <row r="61" spans="1:7" ht="15.75" x14ac:dyDescent="0.25">
      <c r="B61" s="349">
        <v>44907</v>
      </c>
      <c r="C61" s="350" t="s">
        <v>330</v>
      </c>
      <c r="D61" s="351" t="s">
        <v>256</v>
      </c>
      <c r="E61" s="341" t="s">
        <v>259</v>
      </c>
      <c r="F61" s="354"/>
      <c r="G61" s="352"/>
    </row>
    <row r="62" spans="1:7" ht="15.75" x14ac:dyDescent="0.25">
      <c r="B62" s="349">
        <v>44907</v>
      </c>
      <c r="C62" s="350" t="s">
        <v>330</v>
      </c>
      <c r="D62" s="351" t="s">
        <v>256</v>
      </c>
      <c r="E62" s="341" t="s">
        <v>329</v>
      </c>
      <c r="F62" s="354"/>
      <c r="G62" s="352"/>
    </row>
    <row r="63" spans="1:7" ht="15.75" x14ac:dyDescent="0.25">
      <c r="B63" s="349">
        <v>44908</v>
      </c>
      <c r="C63" s="350" t="s">
        <v>330</v>
      </c>
      <c r="D63" s="351" t="s">
        <v>256</v>
      </c>
      <c r="E63" s="341" t="s">
        <v>329</v>
      </c>
      <c r="F63" s="354"/>
      <c r="G63" s="352"/>
    </row>
    <row r="64" spans="1:7" x14ac:dyDescent="0.25">
      <c r="E64" s="174"/>
    </row>
    <row r="65" spans="5:5" x14ac:dyDescent="0.25">
      <c r="E65" s="174"/>
    </row>
    <row r="66" spans="5:5" x14ac:dyDescent="0.25">
      <c r="E66" s="174"/>
    </row>
    <row r="67" spans="5:5" x14ac:dyDescent="0.25">
      <c r="E67" s="174"/>
    </row>
    <row r="68" spans="5:5" x14ac:dyDescent="0.25">
      <c r="E68" s="174"/>
    </row>
    <row r="69" spans="5:5" x14ac:dyDescent="0.25">
      <c r="E69" s="174"/>
    </row>
    <row r="70" spans="5:5" x14ac:dyDescent="0.25">
      <c r="E70" s="174"/>
    </row>
    <row r="71" spans="5:5" x14ac:dyDescent="0.25">
      <c r="E71" s="174"/>
    </row>
    <row r="72" spans="5:5" x14ac:dyDescent="0.25">
      <c r="E72" s="174"/>
    </row>
    <row r="73" spans="5:5" x14ac:dyDescent="0.25">
      <c r="E73" s="174"/>
    </row>
    <row r="74" spans="5:5" x14ac:dyDescent="0.25">
      <c r="E74" s="174"/>
    </row>
    <row r="75" spans="5:5" x14ac:dyDescent="0.25">
      <c r="E75" s="174"/>
    </row>
    <row r="76" spans="5:5" x14ac:dyDescent="0.25">
      <c r="E76" s="174"/>
    </row>
    <row r="77" spans="5:5" x14ac:dyDescent="0.25">
      <c r="E77" s="174"/>
    </row>
    <row r="78" spans="5:5" x14ac:dyDescent="0.25">
      <c r="E78" s="174"/>
    </row>
    <row r="79" spans="5:5" x14ac:dyDescent="0.25">
      <c r="E79" s="174"/>
    </row>
    <row r="80" spans="5:5" x14ac:dyDescent="0.25">
      <c r="E80" s="174"/>
    </row>
    <row r="81" spans="5:5" x14ac:dyDescent="0.25">
      <c r="E81" s="174"/>
    </row>
    <row r="82" spans="5:5" x14ac:dyDescent="0.25">
      <c r="E82" s="174"/>
    </row>
    <row r="83" spans="5:5" x14ac:dyDescent="0.25">
      <c r="E83" s="174"/>
    </row>
    <row r="84" spans="5:5" x14ac:dyDescent="0.25">
      <c r="E84" s="174"/>
    </row>
    <row r="85" spans="5:5" x14ac:dyDescent="0.25">
      <c r="E85" s="174"/>
    </row>
    <row r="86" spans="5:5" x14ac:dyDescent="0.25">
      <c r="E86" s="174"/>
    </row>
    <row r="87" spans="5:5" x14ac:dyDescent="0.25">
      <c r="E87" s="174"/>
    </row>
    <row r="88" spans="5:5" x14ac:dyDescent="0.25">
      <c r="E88" s="174"/>
    </row>
    <row r="89" spans="5:5" x14ac:dyDescent="0.25">
      <c r="E89" s="174"/>
    </row>
    <row r="90" spans="5:5" x14ac:dyDescent="0.25">
      <c r="E90" s="174"/>
    </row>
    <row r="91" spans="5:5" x14ac:dyDescent="0.25">
      <c r="E91" s="174"/>
    </row>
    <row r="92" spans="5:5" x14ac:dyDescent="0.25">
      <c r="E92" s="174"/>
    </row>
    <row r="93" spans="5:5" x14ac:dyDescent="0.25">
      <c r="E93" s="174"/>
    </row>
    <row r="94" spans="5:5" x14ac:dyDescent="0.25">
      <c r="E94" s="174"/>
    </row>
    <row r="95" spans="5:5" x14ac:dyDescent="0.25">
      <c r="E95" s="174"/>
    </row>
    <row r="96" spans="5:5" x14ac:dyDescent="0.25">
      <c r="E96" s="174"/>
    </row>
    <row r="97" spans="5:5" x14ac:dyDescent="0.25">
      <c r="E97" s="174"/>
    </row>
    <row r="98" spans="5:5" x14ac:dyDescent="0.25">
      <c r="E98" s="174"/>
    </row>
    <row r="99" spans="5:5" x14ac:dyDescent="0.25">
      <c r="E99" s="174"/>
    </row>
    <row r="100" spans="5:5" x14ac:dyDescent="0.25">
      <c r="E100" s="174"/>
    </row>
  </sheetData>
  <sheetProtection sheet="1" objects="1" scenarios="1"/>
  <autoFilter ref="B1:G56" xr:uid="{00000000-0009-0000-0000-000012000000}"/>
  <hyperlinks>
    <hyperlink ref="E4" r:id="rId1" xr:uid="{F0EC6769-7184-4AF1-BEF2-1782380335A7}"/>
    <hyperlink ref="E2" r:id="rId2" xr:uid="{A38F0A0E-9D99-48EF-AACD-EDB048774ED5}"/>
    <hyperlink ref="E3" r:id="rId3" xr:uid="{0AE531B3-DAAA-4A35-9357-208089A6A83B}"/>
    <hyperlink ref="E7" r:id="rId4" xr:uid="{C6923A84-E0A0-4EA4-A974-2407773D26F5}"/>
    <hyperlink ref="E8" r:id="rId5" xr:uid="{BF704602-EBDB-4DF3-B672-8398984E4338}"/>
    <hyperlink ref="E6" r:id="rId6" xr:uid="{B38A472A-CF9B-41FD-8572-3F30AEDC3B44}"/>
    <hyperlink ref="E5" r:id="rId7" xr:uid="{AA20B24E-079A-4325-AE27-9D40315EAA61}"/>
    <hyperlink ref="E9" r:id="rId8" xr:uid="{5AF834BA-E010-4F14-95A9-A91667EBF09E}"/>
    <hyperlink ref="E10" r:id="rId9" xr:uid="{496864EF-EB88-4A54-8A4E-0F828A14AD78}"/>
    <hyperlink ref="E12" r:id="rId10" xr:uid="{73B6FF55-ECD1-48B4-90A6-71D5E303F975}"/>
    <hyperlink ref="E13" r:id="rId11" xr:uid="{E3AA2D34-23BD-4B52-8F51-484EC023CA76}"/>
    <hyperlink ref="E14" r:id="rId12" xr:uid="{BF1E9B96-5262-4F81-A4A6-C73051B6B89D}"/>
    <hyperlink ref="E17" r:id="rId13" xr:uid="{A9039ED6-CA09-4606-A052-F5050F73A209}"/>
    <hyperlink ref="E24" r:id="rId14" xr:uid="{0CB019B5-7D96-4F9D-9627-EAB28738CB50}"/>
    <hyperlink ref="E35" r:id="rId15" xr:uid="{49CACF83-F749-40A0-B1FC-8D5AE82A3924}"/>
    <hyperlink ref="E42" r:id="rId16" xr:uid="{2E384836-7EDA-4614-B383-A66BC65992AC}"/>
    <hyperlink ref="E43" r:id="rId17" xr:uid="{01A1AAB4-B544-4218-9E24-05B6CD780D08}"/>
    <hyperlink ref="E45" r:id="rId18" xr:uid="{B6813E23-6212-4B66-9857-8977941F7EF4}"/>
    <hyperlink ref="E47" r:id="rId19" xr:uid="{69101E6D-63D7-41F6-87E6-20B9C9C9E91F}"/>
    <hyperlink ref="E49" r:id="rId20" xr:uid="{FB26A85A-063F-4F82-B2A9-A42ECAD1B853}"/>
    <hyperlink ref="E50" r:id="rId21" xr:uid="{9242679B-D89C-48D5-A68B-DA2C59A3A882}"/>
    <hyperlink ref="E51" r:id="rId22" xr:uid="{E0FDD218-DE99-4AC8-A3CA-5F3E8C95D9F2}"/>
    <hyperlink ref="E52" r:id="rId23" xr:uid="{1C006748-6757-4B0A-852C-F33B6D399817}"/>
    <hyperlink ref="E55" r:id="rId24" xr:uid="{B889CD35-2442-45D2-ACC5-D8B02F0C0CF4}"/>
    <hyperlink ref="E11" r:id="rId25" xr:uid="{6984C09A-CF1F-4C69-8485-1C37F90C44FB}"/>
    <hyperlink ref="E15" r:id="rId26" xr:uid="{3D89C683-0896-4223-A838-199331D265E0}"/>
    <hyperlink ref="E16" r:id="rId27" xr:uid="{C2A23FB0-0B2E-4D45-A105-D82D82FCAF39}"/>
  </hyperlinks>
  <pageMargins left="0.7" right="0.7" top="0.75" bottom="0.75" header="0.3" footer="0.3"/>
  <pageSetup orientation="portrait" r:id="rId28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3430-616C-49A5-A49B-4FFA72D64393}">
  <sheetPr codeName="Hoja13"/>
  <dimension ref="A1:Q129"/>
  <sheetViews>
    <sheetView showGridLines="0" zoomScale="80" zoomScaleNormal="80" workbookViewId="0">
      <selection activeCell="A2" sqref="A2"/>
    </sheetView>
  </sheetViews>
  <sheetFormatPr baseColWidth="10" defaultRowHeight="15" x14ac:dyDescent="0.25"/>
  <cols>
    <col min="1" max="1" width="10.140625" style="95" bestFit="1" customWidth="1"/>
    <col min="2" max="2" width="24.42578125" style="95" bestFit="1" customWidth="1"/>
    <col min="3" max="3" width="3.5703125" style="95" customWidth="1"/>
    <col min="4" max="4" width="12.42578125" style="95" bestFit="1" customWidth="1"/>
    <col min="5" max="5" width="20.28515625" style="95" bestFit="1" customWidth="1"/>
    <col min="6" max="6" width="5.140625" style="95" customWidth="1"/>
    <col min="7" max="7" width="10.140625" style="95" bestFit="1" customWidth="1"/>
    <col min="8" max="8" width="24.42578125" style="95" bestFit="1" customWidth="1"/>
    <col min="9" max="9" width="3.5703125" style="95" customWidth="1"/>
    <col min="10" max="10" width="12.42578125" style="95" bestFit="1" customWidth="1"/>
    <col min="11" max="11" width="20.28515625" style="95" bestFit="1" customWidth="1"/>
    <col min="12" max="12" width="5.140625" style="95" customWidth="1"/>
    <col min="13" max="13" width="10.140625" style="95" bestFit="1" customWidth="1"/>
    <col min="14" max="14" width="24.42578125" style="95" bestFit="1" customWidth="1"/>
    <col min="15" max="15" width="3.5703125" style="95" customWidth="1"/>
    <col min="16" max="16" width="12.42578125" style="95" bestFit="1" customWidth="1"/>
    <col min="17" max="17" width="20.28515625" style="95" bestFit="1" customWidth="1"/>
    <col min="18" max="16384" width="11.42578125" style="95"/>
  </cols>
  <sheetData>
    <row r="1" spans="1:17" ht="18.75" x14ac:dyDescent="0.3">
      <c r="A1" s="400" t="s">
        <v>538</v>
      </c>
      <c r="B1" s="1065" t="s">
        <v>358</v>
      </c>
      <c r="C1" s="1066"/>
      <c r="D1" s="1066"/>
      <c r="E1" s="1067"/>
      <c r="G1" s="363"/>
      <c r="H1" s="1062" t="s">
        <v>358</v>
      </c>
      <c r="I1" s="1063"/>
      <c r="J1" s="1063"/>
      <c r="K1" s="1064"/>
      <c r="M1" s="363"/>
      <c r="N1" s="1062" t="s">
        <v>358</v>
      </c>
      <c r="O1" s="1063"/>
      <c r="P1" s="1063"/>
      <c r="Q1" s="1064"/>
    </row>
    <row r="2" spans="1:17" ht="15.75" customHeight="1" x14ac:dyDescent="0.25">
      <c r="A2" s="401" t="s">
        <v>359</v>
      </c>
      <c r="B2" s="402" t="s">
        <v>539</v>
      </c>
      <c r="C2" s="402"/>
      <c r="D2" s="402" t="s">
        <v>360</v>
      </c>
      <c r="E2" s="403" t="s">
        <v>540</v>
      </c>
      <c r="G2" s="364"/>
      <c r="H2" s="365"/>
      <c r="I2" s="365"/>
      <c r="J2" s="365"/>
      <c r="K2" s="366"/>
      <c r="M2" s="364"/>
      <c r="N2" s="365"/>
      <c r="O2" s="365"/>
      <c r="P2" s="365"/>
      <c r="Q2" s="366"/>
    </row>
    <row r="3" spans="1:17" ht="15.75" customHeight="1" x14ac:dyDescent="0.25">
      <c r="A3" s="401"/>
      <c r="B3" s="402" t="s">
        <v>541</v>
      </c>
      <c r="C3" s="402"/>
      <c r="D3" s="402"/>
      <c r="E3" s="403"/>
      <c r="G3" s="367" t="s">
        <v>359</v>
      </c>
      <c r="H3" s="368"/>
      <c r="I3" s="368"/>
      <c r="J3" s="368" t="s">
        <v>360</v>
      </c>
      <c r="K3" s="369"/>
      <c r="M3" s="367" t="s">
        <v>359</v>
      </c>
      <c r="N3" s="368"/>
      <c r="O3" s="368"/>
      <c r="P3" s="368" t="s">
        <v>360</v>
      </c>
      <c r="Q3" s="369"/>
    </row>
    <row r="4" spans="1:17" ht="15.75" x14ac:dyDescent="0.25">
      <c r="A4" s="401" t="s">
        <v>179</v>
      </c>
      <c r="B4" s="409">
        <v>45386</v>
      </c>
      <c r="C4" s="402"/>
      <c r="D4" s="402"/>
      <c r="E4" s="403"/>
      <c r="G4" s="367"/>
      <c r="H4" s="368"/>
      <c r="I4" s="368"/>
      <c r="J4" s="368"/>
      <c r="K4" s="369"/>
      <c r="M4" s="367"/>
      <c r="N4" s="368"/>
      <c r="O4" s="368"/>
      <c r="P4" s="368"/>
      <c r="Q4" s="369"/>
    </row>
    <row r="5" spans="1:17" ht="15.75" x14ac:dyDescent="0.25">
      <c r="A5" s="401" t="s">
        <v>361</v>
      </c>
      <c r="B5" s="410">
        <v>1407000</v>
      </c>
      <c r="C5" s="402"/>
      <c r="D5" s="402" t="s">
        <v>542</v>
      </c>
      <c r="E5" s="403"/>
      <c r="G5" s="367" t="s">
        <v>179</v>
      </c>
      <c r="H5" s="370"/>
      <c r="I5" s="368"/>
      <c r="J5" s="368"/>
      <c r="K5" s="369"/>
      <c r="M5" s="367" t="s">
        <v>179</v>
      </c>
      <c r="N5" s="370"/>
      <c r="O5" s="368"/>
      <c r="P5" s="368"/>
      <c r="Q5" s="369"/>
    </row>
    <row r="6" spans="1:17" ht="15.75" x14ac:dyDescent="0.25">
      <c r="A6" s="401" t="s">
        <v>605</v>
      </c>
      <c r="B6" s="410">
        <v>36060</v>
      </c>
      <c r="C6" s="402"/>
      <c r="D6" s="402"/>
      <c r="E6" s="403"/>
      <c r="G6" s="367" t="s">
        <v>361</v>
      </c>
      <c r="H6" s="371"/>
      <c r="I6" s="368"/>
      <c r="J6" s="368"/>
      <c r="K6" s="369"/>
      <c r="M6" s="367" t="s">
        <v>361</v>
      </c>
      <c r="N6" s="371"/>
      <c r="O6" s="368"/>
      <c r="P6" s="368"/>
      <c r="Q6" s="369"/>
    </row>
    <row r="7" spans="1:17" ht="15.75" x14ac:dyDescent="0.25">
      <c r="A7" s="401" t="s">
        <v>362</v>
      </c>
      <c r="B7" s="410">
        <v>15000</v>
      </c>
      <c r="C7" s="402"/>
      <c r="D7" s="402" t="s">
        <v>543</v>
      </c>
      <c r="E7" s="403"/>
      <c r="G7" s="367" t="s">
        <v>362</v>
      </c>
      <c r="H7" s="371"/>
      <c r="I7" s="368"/>
      <c r="J7" s="368"/>
      <c r="K7" s="369"/>
      <c r="M7" s="367" t="s">
        <v>362</v>
      </c>
      <c r="N7" s="371"/>
      <c r="O7" s="368"/>
      <c r="P7" s="368"/>
      <c r="Q7" s="369"/>
    </row>
    <row r="8" spans="1:17" ht="15.75" x14ac:dyDescent="0.25">
      <c r="A8" s="401" t="s">
        <v>604</v>
      </c>
      <c r="B8" s="410">
        <v>17000</v>
      </c>
      <c r="C8" s="402"/>
      <c r="D8" s="402"/>
      <c r="E8" s="403"/>
      <c r="G8" s="372" t="s">
        <v>363</v>
      </c>
      <c r="H8" s="373">
        <f>+H6+H7</f>
        <v>0</v>
      </c>
      <c r="I8" s="368"/>
      <c r="J8" s="368"/>
      <c r="K8" s="369"/>
      <c r="M8" s="372" t="s">
        <v>363</v>
      </c>
      <c r="N8" s="373">
        <f>+N6+N7</f>
        <v>0</v>
      </c>
      <c r="O8" s="368"/>
      <c r="P8" s="368"/>
      <c r="Q8" s="369"/>
    </row>
    <row r="9" spans="1:17" ht="15.75" x14ac:dyDescent="0.25">
      <c r="A9" s="404" t="s">
        <v>363</v>
      </c>
      <c r="B9" s="411">
        <f>SUM(B5:B8)</f>
        <v>1475060</v>
      </c>
      <c r="C9" s="402"/>
      <c r="D9" s="402"/>
      <c r="E9" s="403"/>
      <c r="G9" s="367"/>
      <c r="H9" s="368"/>
      <c r="I9" s="368"/>
      <c r="J9" s="368"/>
      <c r="K9" s="369"/>
      <c r="M9" s="367"/>
      <c r="N9" s="368"/>
      <c r="O9" s="368"/>
      <c r="P9" s="368"/>
      <c r="Q9" s="369"/>
    </row>
    <row r="10" spans="1:17" ht="15.75" x14ac:dyDescent="0.25">
      <c r="A10" s="401" t="s">
        <v>365</v>
      </c>
      <c r="B10" s="408">
        <v>26631</v>
      </c>
      <c r="C10" s="402"/>
      <c r="D10" s="402"/>
      <c r="E10" s="403"/>
      <c r="G10" s="367" t="s">
        <v>364</v>
      </c>
      <c r="H10" s="374"/>
      <c r="I10" s="368"/>
      <c r="J10" s="368"/>
      <c r="K10" s="369"/>
      <c r="M10" s="367" t="s">
        <v>364</v>
      </c>
      <c r="N10" s="374"/>
      <c r="O10" s="368"/>
      <c r="P10" s="368"/>
      <c r="Q10" s="369"/>
    </row>
    <row r="11" spans="1:17" ht="15.75" x14ac:dyDescent="0.25">
      <c r="A11" s="401" t="s">
        <v>544</v>
      </c>
      <c r="B11" s="408" t="s">
        <v>545</v>
      </c>
      <c r="C11" s="402"/>
      <c r="D11" s="402"/>
      <c r="E11" s="403"/>
      <c r="G11" s="367" t="s">
        <v>365</v>
      </c>
      <c r="H11" s="374"/>
      <c r="I11" s="368"/>
      <c r="J11" s="368"/>
      <c r="K11" s="369"/>
      <c r="M11" s="367" t="s">
        <v>365</v>
      </c>
      <c r="N11" s="374"/>
      <c r="O11" s="368"/>
      <c r="P11" s="368"/>
      <c r="Q11" s="369"/>
    </row>
    <row r="12" spans="1:17" ht="15.75" x14ac:dyDescent="0.25">
      <c r="A12" s="405" t="s">
        <v>546</v>
      </c>
      <c r="B12" s="613" t="s">
        <v>547</v>
      </c>
      <c r="C12" s="406"/>
      <c r="D12" s="406"/>
      <c r="E12" s="407"/>
      <c r="G12" s="375"/>
      <c r="H12" s="376"/>
      <c r="I12" s="376"/>
      <c r="J12" s="376"/>
      <c r="K12" s="377"/>
      <c r="M12" s="375"/>
      <c r="N12" s="376"/>
      <c r="O12" s="376"/>
      <c r="P12" s="376"/>
      <c r="Q12" s="377"/>
    </row>
    <row r="14" spans="1:17" ht="18.75" x14ac:dyDescent="0.3">
      <c r="A14" s="363"/>
      <c r="B14" s="1062" t="s">
        <v>358</v>
      </c>
      <c r="C14" s="1063"/>
      <c r="D14" s="1063"/>
      <c r="E14" s="1064"/>
      <c r="G14" s="363"/>
      <c r="H14" s="1062" t="s">
        <v>358</v>
      </c>
      <c r="I14" s="1063"/>
      <c r="J14" s="1063"/>
      <c r="K14" s="1064"/>
      <c r="M14" s="363"/>
      <c r="N14" s="1062" t="s">
        <v>358</v>
      </c>
      <c r="O14" s="1063"/>
      <c r="P14" s="1063"/>
      <c r="Q14" s="1064"/>
    </row>
    <row r="15" spans="1:17" ht="15.75" x14ac:dyDescent="0.25">
      <c r="A15" s="364"/>
      <c r="B15" s="365"/>
      <c r="C15" s="365"/>
      <c r="D15" s="365"/>
      <c r="E15" s="366"/>
      <c r="G15" s="364"/>
      <c r="H15" s="365"/>
      <c r="I15" s="365"/>
      <c r="J15" s="365"/>
      <c r="K15" s="366"/>
      <c r="M15" s="364"/>
      <c r="N15" s="365"/>
      <c r="O15" s="365"/>
      <c r="P15" s="365"/>
      <c r="Q15" s="366"/>
    </row>
    <row r="16" spans="1:17" ht="15.75" x14ac:dyDescent="0.25">
      <c r="A16" s="367" t="s">
        <v>359</v>
      </c>
      <c r="B16" s="368"/>
      <c r="C16" s="368"/>
      <c r="D16" s="368" t="s">
        <v>360</v>
      </c>
      <c r="E16" s="369"/>
      <c r="G16" s="367" t="s">
        <v>359</v>
      </c>
      <c r="H16" s="368"/>
      <c r="I16" s="368"/>
      <c r="J16" s="368" t="s">
        <v>360</v>
      </c>
      <c r="K16" s="369"/>
      <c r="M16" s="367" t="s">
        <v>359</v>
      </c>
      <c r="N16" s="368"/>
      <c r="O16" s="368"/>
      <c r="P16" s="368" t="s">
        <v>360</v>
      </c>
      <c r="Q16" s="369"/>
    </row>
    <row r="17" spans="1:17" ht="15.75" x14ac:dyDescent="0.25">
      <c r="A17" s="367"/>
      <c r="B17" s="368"/>
      <c r="C17" s="368"/>
      <c r="D17" s="368"/>
      <c r="E17" s="369"/>
      <c r="G17" s="367"/>
      <c r="H17" s="368"/>
      <c r="I17" s="368"/>
      <c r="J17" s="368"/>
      <c r="K17" s="369"/>
      <c r="M17" s="367"/>
      <c r="N17" s="368"/>
      <c r="O17" s="368"/>
      <c r="P17" s="368"/>
      <c r="Q17" s="369"/>
    </row>
    <row r="18" spans="1:17" ht="15.75" x14ac:dyDescent="0.25">
      <c r="A18" s="367" t="s">
        <v>179</v>
      </c>
      <c r="B18" s="370"/>
      <c r="C18" s="368"/>
      <c r="D18" s="368"/>
      <c r="E18" s="369"/>
      <c r="G18" s="367" t="s">
        <v>179</v>
      </c>
      <c r="H18" s="370"/>
      <c r="I18" s="368"/>
      <c r="J18" s="368"/>
      <c r="K18" s="369"/>
      <c r="M18" s="367" t="s">
        <v>179</v>
      </c>
      <c r="N18" s="370"/>
      <c r="O18" s="368"/>
      <c r="P18" s="368"/>
      <c r="Q18" s="369"/>
    </row>
    <row r="19" spans="1:17" ht="15.75" x14ac:dyDescent="0.25">
      <c r="A19" s="367" t="s">
        <v>361</v>
      </c>
      <c r="B19" s="371"/>
      <c r="C19" s="368"/>
      <c r="D19" s="368"/>
      <c r="E19" s="369"/>
      <c r="G19" s="367" t="s">
        <v>361</v>
      </c>
      <c r="H19" s="371"/>
      <c r="I19" s="368"/>
      <c r="J19" s="368"/>
      <c r="K19" s="369"/>
      <c r="M19" s="367" t="s">
        <v>361</v>
      </c>
      <c r="N19" s="371"/>
      <c r="O19" s="368"/>
      <c r="P19" s="368"/>
      <c r="Q19" s="369"/>
    </row>
    <row r="20" spans="1:17" ht="15.75" x14ac:dyDescent="0.25">
      <c r="A20" s="367" t="s">
        <v>362</v>
      </c>
      <c r="B20" s="371"/>
      <c r="C20" s="368"/>
      <c r="D20" s="368"/>
      <c r="E20" s="369"/>
      <c r="G20" s="367" t="s">
        <v>362</v>
      </c>
      <c r="H20" s="371"/>
      <c r="I20" s="368"/>
      <c r="J20" s="368"/>
      <c r="K20" s="369"/>
      <c r="M20" s="367" t="s">
        <v>362</v>
      </c>
      <c r="N20" s="371"/>
      <c r="O20" s="368"/>
      <c r="P20" s="368"/>
      <c r="Q20" s="369"/>
    </row>
    <row r="21" spans="1:17" ht="15.75" x14ac:dyDescent="0.25">
      <c r="A21" s="372" t="s">
        <v>363</v>
      </c>
      <c r="B21" s="373">
        <f>+B19+B20</f>
        <v>0</v>
      </c>
      <c r="C21" s="368"/>
      <c r="D21" s="368"/>
      <c r="E21" s="369"/>
      <c r="G21" s="372" t="s">
        <v>363</v>
      </c>
      <c r="H21" s="373">
        <f>+H19+H20</f>
        <v>0</v>
      </c>
      <c r="I21" s="368"/>
      <c r="J21" s="368"/>
      <c r="K21" s="369"/>
      <c r="M21" s="372" t="s">
        <v>363</v>
      </c>
      <c r="N21" s="373">
        <f>+N19+N20</f>
        <v>0</v>
      </c>
      <c r="O21" s="368"/>
      <c r="P21" s="368"/>
      <c r="Q21" s="369"/>
    </row>
    <row r="22" spans="1:17" ht="15.75" x14ac:dyDescent="0.25">
      <c r="A22" s="367"/>
      <c r="B22" s="368"/>
      <c r="C22" s="368"/>
      <c r="D22" s="368"/>
      <c r="E22" s="369"/>
      <c r="G22" s="367"/>
      <c r="H22" s="368"/>
      <c r="I22" s="368"/>
      <c r="J22" s="368"/>
      <c r="K22" s="369"/>
      <c r="M22" s="367"/>
      <c r="N22" s="368"/>
      <c r="O22" s="368"/>
      <c r="P22" s="368"/>
      <c r="Q22" s="369"/>
    </row>
    <row r="23" spans="1:17" ht="15.75" x14ac:dyDescent="0.25">
      <c r="A23" s="367" t="s">
        <v>364</v>
      </c>
      <c r="B23" s="374"/>
      <c r="C23" s="368"/>
      <c r="D23" s="368"/>
      <c r="E23" s="369"/>
      <c r="G23" s="367" t="s">
        <v>364</v>
      </c>
      <c r="H23" s="374"/>
      <c r="I23" s="368"/>
      <c r="J23" s="368"/>
      <c r="K23" s="369"/>
      <c r="M23" s="367" t="s">
        <v>364</v>
      </c>
      <c r="N23" s="374"/>
      <c r="O23" s="368"/>
      <c r="P23" s="368"/>
      <c r="Q23" s="369"/>
    </row>
    <row r="24" spans="1:17" ht="15.75" x14ac:dyDescent="0.25">
      <c r="A24" s="367" t="s">
        <v>365</v>
      </c>
      <c r="B24" s="374"/>
      <c r="C24" s="368"/>
      <c r="D24" s="368"/>
      <c r="E24" s="369"/>
      <c r="G24" s="367" t="s">
        <v>365</v>
      </c>
      <c r="H24" s="374"/>
      <c r="I24" s="368"/>
      <c r="J24" s="368"/>
      <c r="K24" s="369"/>
      <c r="M24" s="367" t="s">
        <v>365</v>
      </c>
      <c r="N24" s="374"/>
      <c r="O24" s="368"/>
      <c r="P24" s="368"/>
      <c r="Q24" s="369"/>
    </row>
    <row r="25" spans="1:17" ht="15.75" x14ac:dyDescent="0.25">
      <c r="A25" s="375"/>
      <c r="B25" s="376"/>
      <c r="C25" s="376"/>
      <c r="D25" s="376"/>
      <c r="E25" s="377"/>
      <c r="G25" s="375"/>
      <c r="H25" s="376"/>
      <c r="I25" s="376"/>
      <c r="J25" s="376"/>
      <c r="K25" s="377"/>
      <c r="M25" s="375"/>
      <c r="N25" s="376"/>
      <c r="O25" s="376"/>
      <c r="P25" s="376"/>
      <c r="Q25" s="377"/>
    </row>
    <row r="27" spans="1:17" ht="18.75" x14ac:dyDescent="0.3">
      <c r="A27" s="363"/>
      <c r="B27" s="1062" t="s">
        <v>358</v>
      </c>
      <c r="C27" s="1063"/>
      <c r="D27" s="1063"/>
      <c r="E27" s="1064"/>
      <c r="G27" s="363"/>
      <c r="H27" s="1062" t="s">
        <v>358</v>
      </c>
      <c r="I27" s="1063"/>
      <c r="J27" s="1063"/>
      <c r="K27" s="1064"/>
      <c r="M27" s="363"/>
      <c r="N27" s="1062" t="s">
        <v>358</v>
      </c>
      <c r="O27" s="1063"/>
      <c r="P27" s="1063"/>
      <c r="Q27" s="1064"/>
    </row>
    <row r="28" spans="1:17" ht="15.75" x14ac:dyDescent="0.25">
      <c r="A28" s="364"/>
      <c r="B28" s="365"/>
      <c r="C28" s="365"/>
      <c r="D28" s="365"/>
      <c r="E28" s="366"/>
      <c r="G28" s="364"/>
      <c r="H28" s="365"/>
      <c r="I28" s="365"/>
      <c r="J28" s="365"/>
      <c r="K28" s="366"/>
      <c r="M28" s="364"/>
      <c r="N28" s="365"/>
      <c r="O28" s="365"/>
      <c r="P28" s="365"/>
      <c r="Q28" s="366"/>
    </row>
    <row r="29" spans="1:17" ht="15.75" x14ac:dyDescent="0.25">
      <c r="A29" s="367" t="s">
        <v>359</v>
      </c>
      <c r="B29" s="368"/>
      <c r="C29" s="368"/>
      <c r="D29" s="368" t="s">
        <v>360</v>
      </c>
      <c r="E29" s="369"/>
      <c r="G29" s="367" t="s">
        <v>359</v>
      </c>
      <c r="H29" s="368"/>
      <c r="I29" s="368"/>
      <c r="J29" s="368" t="s">
        <v>360</v>
      </c>
      <c r="K29" s="369"/>
      <c r="M29" s="367" t="s">
        <v>359</v>
      </c>
      <c r="N29" s="368"/>
      <c r="O29" s="368"/>
      <c r="P29" s="368" t="s">
        <v>360</v>
      </c>
      <c r="Q29" s="369"/>
    </row>
    <row r="30" spans="1:17" ht="15.75" x14ac:dyDescent="0.25">
      <c r="A30" s="367"/>
      <c r="B30" s="368"/>
      <c r="C30" s="368"/>
      <c r="D30" s="368"/>
      <c r="E30" s="369"/>
      <c r="G30" s="367"/>
      <c r="H30" s="368"/>
      <c r="I30" s="368"/>
      <c r="J30" s="368"/>
      <c r="K30" s="369"/>
      <c r="M30" s="367"/>
      <c r="N30" s="368"/>
      <c r="O30" s="368"/>
      <c r="P30" s="368"/>
      <c r="Q30" s="369"/>
    </row>
    <row r="31" spans="1:17" ht="15.75" x14ac:dyDescent="0.25">
      <c r="A31" s="367" t="s">
        <v>179</v>
      </c>
      <c r="B31" s="370"/>
      <c r="C31" s="368"/>
      <c r="D31" s="368"/>
      <c r="E31" s="369"/>
      <c r="G31" s="367" t="s">
        <v>179</v>
      </c>
      <c r="H31" s="370"/>
      <c r="I31" s="368"/>
      <c r="J31" s="368"/>
      <c r="K31" s="369"/>
      <c r="M31" s="367" t="s">
        <v>179</v>
      </c>
      <c r="N31" s="370"/>
      <c r="O31" s="368"/>
      <c r="P31" s="368"/>
      <c r="Q31" s="369"/>
    </row>
    <row r="32" spans="1:17" ht="15.75" x14ac:dyDescent="0.25">
      <c r="A32" s="367" t="s">
        <v>361</v>
      </c>
      <c r="B32" s="371"/>
      <c r="C32" s="368"/>
      <c r="D32" s="368"/>
      <c r="E32" s="369"/>
      <c r="G32" s="367" t="s">
        <v>361</v>
      </c>
      <c r="H32" s="371"/>
      <c r="I32" s="368"/>
      <c r="J32" s="368"/>
      <c r="K32" s="369"/>
      <c r="M32" s="367" t="s">
        <v>361</v>
      </c>
      <c r="N32" s="371"/>
      <c r="O32" s="368"/>
      <c r="P32" s="368"/>
      <c r="Q32" s="369"/>
    </row>
    <row r="33" spans="1:17" ht="15.75" x14ac:dyDescent="0.25">
      <c r="A33" s="367" t="s">
        <v>362</v>
      </c>
      <c r="B33" s="371"/>
      <c r="C33" s="368"/>
      <c r="D33" s="368"/>
      <c r="E33" s="369"/>
      <c r="G33" s="367" t="s">
        <v>362</v>
      </c>
      <c r="H33" s="371"/>
      <c r="I33" s="368"/>
      <c r="J33" s="368"/>
      <c r="K33" s="369"/>
      <c r="M33" s="367" t="s">
        <v>362</v>
      </c>
      <c r="N33" s="371"/>
      <c r="O33" s="368"/>
      <c r="P33" s="368"/>
      <c r="Q33" s="369"/>
    </row>
    <row r="34" spans="1:17" ht="15.75" x14ac:dyDescent="0.25">
      <c r="A34" s="372" t="s">
        <v>363</v>
      </c>
      <c r="B34" s="373">
        <f>+B32+B33</f>
        <v>0</v>
      </c>
      <c r="C34" s="368"/>
      <c r="D34" s="368"/>
      <c r="E34" s="369"/>
      <c r="G34" s="372" t="s">
        <v>363</v>
      </c>
      <c r="H34" s="373">
        <f>+H32+H33</f>
        <v>0</v>
      </c>
      <c r="I34" s="368"/>
      <c r="J34" s="368"/>
      <c r="K34" s="369"/>
      <c r="M34" s="372" t="s">
        <v>363</v>
      </c>
      <c r="N34" s="373">
        <f>+N32+N33</f>
        <v>0</v>
      </c>
      <c r="O34" s="368"/>
      <c r="P34" s="368"/>
      <c r="Q34" s="369"/>
    </row>
    <row r="35" spans="1:17" ht="15.75" x14ac:dyDescent="0.25">
      <c r="A35" s="367"/>
      <c r="B35" s="368"/>
      <c r="C35" s="368"/>
      <c r="D35" s="368"/>
      <c r="E35" s="369"/>
      <c r="G35" s="367"/>
      <c r="H35" s="368"/>
      <c r="I35" s="368"/>
      <c r="J35" s="368"/>
      <c r="K35" s="369"/>
      <c r="M35" s="367"/>
      <c r="N35" s="368"/>
      <c r="O35" s="368"/>
      <c r="P35" s="368"/>
      <c r="Q35" s="369"/>
    </row>
    <row r="36" spans="1:17" ht="15.75" x14ac:dyDescent="0.25">
      <c r="A36" s="367" t="s">
        <v>364</v>
      </c>
      <c r="B36" s="374"/>
      <c r="C36" s="368"/>
      <c r="D36" s="368"/>
      <c r="E36" s="369"/>
      <c r="G36" s="367" t="s">
        <v>364</v>
      </c>
      <c r="H36" s="374"/>
      <c r="I36" s="368"/>
      <c r="J36" s="368"/>
      <c r="K36" s="369"/>
      <c r="M36" s="367" t="s">
        <v>364</v>
      </c>
      <c r="N36" s="374"/>
      <c r="O36" s="368"/>
      <c r="P36" s="368"/>
      <c r="Q36" s="369"/>
    </row>
    <row r="37" spans="1:17" ht="15.75" x14ac:dyDescent="0.25">
      <c r="A37" s="367" t="s">
        <v>365</v>
      </c>
      <c r="B37" s="374"/>
      <c r="C37" s="368"/>
      <c r="D37" s="368"/>
      <c r="E37" s="369"/>
      <c r="G37" s="367" t="s">
        <v>365</v>
      </c>
      <c r="H37" s="374"/>
      <c r="I37" s="368"/>
      <c r="J37" s="368"/>
      <c r="K37" s="369"/>
      <c r="M37" s="367" t="s">
        <v>365</v>
      </c>
      <c r="N37" s="374"/>
      <c r="O37" s="368"/>
      <c r="P37" s="368"/>
      <c r="Q37" s="369"/>
    </row>
    <row r="38" spans="1:17" ht="15.75" x14ac:dyDescent="0.25">
      <c r="A38" s="375"/>
      <c r="B38" s="376"/>
      <c r="C38" s="376"/>
      <c r="D38" s="376"/>
      <c r="E38" s="377"/>
      <c r="G38" s="375"/>
      <c r="H38" s="376"/>
      <c r="I38" s="376"/>
      <c r="J38" s="376"/>
      <c r="K38" s="377"/>
      <c r="M38" s="375"/>
      <c r="N38" s="376"/>
      <c r="O38" s="376"/>
      <c r="P38" s="376"/>
      <c r="Q38" s="377"/>
    </row>
    <row r="40" spans="1:17" ht="18.75" x14ac:dyDescent="0.3">
      <c r="A40" s="363"/>
      <c r="B40" s="1062" t="s">
        <v>358</v>
      </c>
      <c r="C40" s="1063"/>
      <c r="D40" s="1063"/>
      <c r="E40" s="1064"/>
      <c r="G40" s="363"/>
      <c r="H40" s="1062" t="s">
        <v>358</v>
      </c>
      <c r="I40" s="1063"/>
      <c r="J40" s="1063"/>
      <c r="K40" s="1064"/>
      <c r="M40" s="363"/>
      <c r="N40" s="1062" t="s">
        <v>358</v>
      </c>
      <c r="O40" s="1063"/>
      <c r="P40" s="1063"/>
      <c r="Q40" s="1064"/>
    </row>
    <row r="41" spans="1:17" ht="15.75" x14ac:dyDescent="0.25">
      <c r="A41" s="364"/>
      <c r="B41" s="365"/>
      <c r="C41" s="365"/>
      <c r="D41" s="365"/>
      <c r="E41" s="366"/>
      <c r="G41" s="364"/>
      <c r="H41" s="365"/>
      <c r="I41" s="365"/>
      <c r="J41" s="365"/>
      <c r="K41" s="366"/>
      <c r="M41" s="364"/>
      <c r="N41" s="365"/>
      <c r="O41" s="365"/>
      <c r="P41" s="365"/>
      <c r="Q41" s="366"/>
    </row>
    <row r="42" spans="1:17" ht="15.75" x14ac:dyDescent="0.25">
      <c r="A42" s="367" t="s">
        <v>359</v>
      </c>
      <c r="B42" s="368"/>
      <c r="C42" s="368"/>
      <c r="D42" s="368" t="s">
        <v>360</v>
      </c>
      <c r="E42" s="369"/>
      <c r="G42" s="367" t="s">
        <v>359</v>
      </c>
      <c r="H42" s="368"/>
      <c r="I42" s="368"/>
      <c r="J42" s="368" t="s">
        <v>360</v>
      </c>
      <c r="K42" s="369"/>
      <c r="M42" s="367" t="s">
        <v>359</v>
      </c>
      <c r="N42" s="368"/>
      <c r="O42" s="368"/>
      <c r="P42" s="368" t="s">
        <v>360</v>
      </c>
      <c r="Q42" s="369"/>
    </row>
    <row r="43" spans="1:17" ht="15.75" x14ac:dyDescent="0.25">
      <c r="A43" s="367"/>
      <c r="B43" s="368"/>
      <c r="C43" s="368"/>
      <c r="D43" s="368"/>
      <c r="E43" s="369"/>
      <c r="G43" s="367"/>
      <c r="H43" s="368"/>
      <c r="I43" s="368"/>
      <c r="J43" s="368"/>
      <c r="K43" s="369"/>
      <c r="M43" s="367"/>
      <c r="N43" s="368"/>
      <c r="O43" s="368"/>
      <c r="P43" s="368"/>
      <c r="Q43" s="369"/>
    </row>
    <row r="44" spans="1:17" ht="15.75" x14ac:dyDescent="0.25">
      <c r="A44" s="367" t="s">
        <v>179</v>
      </c>
      <c r="B44" s="370"/>
      <c r="C44" s="368"/>
      <c r="D44" s="368"/>
      <c r="E44" s="369"/>
      <c r="G44" s="367" t="s">
        <v>179</v>
      </c>
      <c r="H44" s="370"/>
      <c r="I44" s="368"/>
      <c r="J44" s="368"/>
      <c r="K44" s="369"/>
      <c r="M44" s="367" t="s">
        <v>179</v>
      </c>
      <c r="N44" s="370"/>
      <c r="O44" s="368"/>
      <c r="P44" s="368"/>
      <c r="Q44" s="369"/>
    </row>
    <row r="45" spans="1:17" ht="15.75" x14ac:dyDescent="0.25">
      <c r="A45" s="367" t="s">
        <v>361</v>
      </c>
      <c r="B45" s="371"/>
      <c r="C45" s="368"/>
      <c r="D45" s="368"/>
      <c r="E45" s="369"/>
      <c r="G45" s="367" t="s">
        <v>361</v>
      </c>
      <c r="H45" s="371"/>
      <c r="I45" s="368"/>
      <c r="J45" s="368"/>
      <c r="K45" s="369"/>
      <c r="M45" s="367" t="s">
        <v>361</v>
      </c>
      <c r="N45" s="371"/>
      <c r="O45" s="368"/>
      <c r="P45" s="368"/>
      <c r="Q45" s="369"/>
    </row>
    <row r="46" spans="1:17" ht="15.75" x14ac:dyDescent="0.25">
      <c r="A46" s="367" t="s">
        <v>362</v>
      </c>
      <c r="B46" s="371"/>
      <c r="C46" s="368"/>
      <c r="D46" s="368"/>
      <c r="E46" s="369"/>
      <c r="G46" s="367" t="s">
        <v>362</v>
      </c>
      <c r="H46" s="371"/>
      <c r="I46" s="368"/>
      <c r="J46" s="368"/>
      <c r="K46" s="369"/>
      <c r="M46" s="367" t="s">
        <v>362</v>
      </c>
      <c r="N46" s="371"/>
      <c r="O46" s="368"/>
      <c r="P46" s="368"/>
      <c r="Q46" s="369"/>
    </row>
    <row r="47" spans="1:17" ht="15.75" x14ac:dyDescent="0.25">
      <c r="A47" s="372" t="s">
        <v>363</v>
      </c>
      <c r="B47" s="373">
        <f>+B45+B46</f>
        <v>0</v>
      </c>
      <c r="C47" s="368"/>
      <c r="D47" s="368"/>
      <c r="E47" s="369"/>
      <c r="G47" s="372" t="s">
        <v>363</v>
      </c>
      <c r="H47" s="373">
        <f>+H45+H46</f>
        <v>0</v>
      </c>
      <c r="I47" s="368"/>
      <c r="J47" s="368"/>
      <c r="K47" s="369"/>
      <c r="M47" s="372" t="s">
        <v>363</v>
      </c>
      <c r="N47" s="373">
        <f>+N45+N46</f>
        <v>0</v>
      </c>
      <c r="O47" s="368"/>
      <c r="P47" s="368"/>
      <c r="Q47" s="369"/>
    </row>
    <row r="48" spans="1:17" ht="15.75" x14ac:dyDescent="0.25">
      <c r="A48" s="367"/>
      <c r="B48" s="368"/>
      <c r="C48" s="368"/>
      <c r="D48" s="368"/>
      <c r="E48" s="369"/>
      <c r="G48" s="367"/>
      <c r="H48" s="368"/>
      <c r="I48" s="368"/>
      <c r="J48" s="368"/>
      <c r="K48" s="369"/>
      <c r="M48" s="367"/>
      <c r="N48" s="368"/>
      <c r="O48" s="368"/>
      <c r="P48" s="368"/>
      <c r="Q48" s="369"/>
    </row>
    <row r="49" spans="1:17" ht="15.75" x14ac:dyDescent="0.25">
      <c r="A49" s="367" t="s">
        <v>364</v>
      </c>
      <c r="B49" s="374"/>
      <c r="C49" s="368"/>
      <c r="D49" s="368"/>
      <c r="E49" s="369"/>
      <c r="G49" s="367" t="s">
        <v>364</v>
      </c>
      <c r="H49" s="374"/>
      <c r="I49" s="368"/>
      <c r="J49" s="368"/>
      <c r="K49" s="369"/>
      <c r="M49" s="367" t="s">
        <v>364</v>
      </c>
      <c r="N49" s="374"/>
      <c r="O49" s="368"/>
      <c r="P49" s="368"/>
      <c r="Q49" s="369"/>
    </row>
    <row r="50" spans="1:17" ht="15.75" x14ac:dyDescent="0.25">
      <c r="A50" s="367" t="s">
        <v>365</v>
      </c>
      <c r="B50" s="374"/>
      <c r="C50" s="368"/>
      <c r="D50" s="368"/>
      <c r="E50" s="369"/>
      <c r="G50" s="367" t="s">
        <v>365</v>
      </c>
      <c r="H50" s="374"/>
      <c r="I50" s="368"/>
      <c r="J50" s="368"/>
      <c r="K50" s="369"/>
      <c r="M50" s="367" t="s">
        <v>365</v>
      </c>
      <c r="N50" s="374"/>
      <c r="O50" s="368"/>
      <c r="P50" s="368"/>
      <c r="Q50" s="369"/>
    </row>
    <row r="51" spans="1:17" ht="15.75" x14ac:dyDescent="0.25">
      <c r="A51" s="375"/>
      <c r="B51" s="376"/>
      <c r="C51" s="376"/>
      <c r="D51" s="376"/>
      <c r="E51" s="377"/>
      <c r="G51" s="375"/>
      <c r="H51" s="376"/>
      <c r="I51" s="376"/>
      <c r="J51" s="376"/>
      <c r="K51" s="377"/>
      <c r="M51" s="375"/>
      <c r="N51" s="376"/>
      <c r="O51" s="376"/>
      <c r="P51" s="376"/>
      <c r="Q51" s="377"/>
    </row>
    <row r="53" spans="1:17" ht="18.75" x14ac:dyDescent="0.3">
      <c r="A53" s="363"/>
      <c r="B53" s="1062" t="s">
        <v>358</v>
      </c>
      <c r="C53" s="1063"/>
      <c r="D53" s="1063"/>
      <c r="E53" s="1064"/>
      <c r="G53" s="363"/>
      <c r="H53" s="1062" t="s">
        <v>358</v>
      </c>
      <c r="I53" s="1063"/>
      <c r="J53" s="1063"/>
      <c r="K53" s="1064"/>
      <c r="M53" s="363"/>
      <c r="N53" s="1062" t="s">
        <v>358</v>
      </c>
      <c r="O53" s="1063"/>
      <c r="P53" s="1063"/>
      <c r="Q53" s="1064"/>
    </row>
    <row r="54" spans="1:17" ht="15.75" customHeight="1" x14ac:dyDescent="0.25">
      <c r="A54" s="364"/>
      <c r="B54" s="365"/>
      <c r="C54" s="365"/>
      <c r="D54" s="365"/>
      <c r="E54" s="366"/>
      <c r="G54" s="364"/>
      <c r="H54" s="365"/>
      <c r="I54" s="365"/>
      <c r="J54" s="365"/>
      <c r="K54" s="366"/>
      <c r="M54" s="364"/>
      <c r="N54" s="365"/>
      <c r="O54" s="365"/>
      <c r="P54" s="365"/>
      <c r="Q54" s="366"/>
    </row>
    <row r="55" spans="1:17" ht="15.75" customHeight="1" x14ac:dyDescent="0.25">
      <c r="A55" s="367" t="s">
        <v>359</v>
      </c>
      <c r="B55" s="368"/>
      <c r="C55" s="368"/>
      <c r="D55" s="368" t="s">
        <v>360</v>
      </c>
      <c r="E55" s="369"/>
      <c r="G55" s="367" t="s">
        <v>359</v>
      </c>
      <c r="H55" s="368"/>
      <c r="I55" s="368"/>
      <c r="J55" s="368" t="s">
        <v>360</v>
      </c>
      <c r="K55" s="369"/>
      <c r="M55" s="367" t="s">
        <v>359</v>
      </c>
      <c r="N55" s="368"/>
      <c r="O55" s="368"/>
      <c r="P55" s="368" t="s">
        <v>360</v>
      </c>
      <c r="Q55" s="369"/>
    </row>
    <row r="56" spans="1:17" ht="15.75" x14ac:dyDescent="0.25">
      <c r="A56" s="367"/>
      <c r="B56" s="368"/>
      <c r="C56" s="368"/>
      <c r="D56" s="368"/>
      <c r="E56" s="369"/>
      <c r="G56" s="367"/>
      <c r="H56" s="368"/>
      <c r="I56" s="368"/>
      <c r="J56" s="368"/>
      <c r="K56" s="369"/>
      <c r="M56" s="367"/>
      <c r="N56" s="368"/>
      <c r="O56" s="368"/>
      <c r="P56" s="368"/>
      <c r="Q56" s="369"/>
    </row>
    <row r="57" spans="1:17" ht="15.75" x14ac:dyDescent="0.25">
      <c r="A57" s="367" t="s">
        <v>179</v>
      </c>
      <c r="B57" s="370"/>
      <c r="C57" s="368"/>
      <c r="D57" s="368"/>
      <c r="E57" s="369"/>
      <c r="G57" s="367" t="s">
        <v>179</v>
      </c>
      <c r="H57" s="370"/>
      <c r="I57" s="368"/>
      <c r="J57" s="368"/>
      <c r="K57" s="369"/>
      <c r="M57" s="367" t="s">
        <v>179</v>
      </c>
      <c r="N57" s="370"/>
      <c r="O57" s="368"/>
      <c r="P57" s="368"/>
      <c r="Q57" s="369"/>
    </row>
    <row r="58" spans="1:17" ht="15.75" x14ac:dyDescent="0.25">
      <c r="A58" s="367" t="s">
        <v>361</v>
      </c>
      <c r="B58" s="371"/>
      <c r="C58" s="368"/>
      <c r="D58" s="368"/>
      <c r="E58" s="369"/>
      <c r="G58" s="367" t="s">
        <v>361</v>
      </c>
      <c r="H58" s="371"/>
      <c r="I58" s="368"/>
      <c r="J58" s="368"/>
      <c r="K58" s="369"/>
      <c r="M58" s="367" t="s">
        <v>361</v>
      </c>
      <c r="N58" s="371"/>
      <c r="O58" s="368"/>
      <c r="P58" s="368"/>
      <c r="Q58" s="369"/>
    </row>
    <row r="59" spans="1:17" ht="15.75" x14ac:dyDescent="0.25">
      <c r="A59" s="367" t="s">
        <v>362</v>
      </c>
      <c r="B59" s="371"/>
      <c r="C59" s="368"/>
      <c r="D59" s="368"/>
      <c r="E59" s="369"/>
      <c r="G59" s="367" t="s">
        <v>362</v>
      </c>
      <c r="H59" s="371"/>
      <c r="I59" s="368"/>
      <c r="J59" s="368"/>
      <c r="K59" s="369"/>
      <c r="M59" s="367" t="s">
        <v>362</v>
      </c>
      <c r="N59" s="371"/>
      <c r="O59" s="368"/>
      <c r="P59" s="368"/>
      <c r="Q59" s="369"/>
    </row>
    <row r="60" spans="1:17" ht="15.75" x14ac:dyDescent="0.25">
      <c r="A60" s="372" t="s">
        <v>363</v>
      </c>
      <c r="B60" s="373">
        <f>+B58+B59</f>
        <v>0</v>
      </c>
      <c r="C60" s="368"/>
      <c r="D60" s="368"/>
      <c r="E60" s="369"/>
      <c r="G60" s="372" t="s">
        <v>363</v>
      </c>
      <c r="H60" s="373">
        <f>+H58+H59</f>
        <v>0</v>
      </c>
      <c r="I60" s="368"/>
      <c r="J60" s="368"/>
      <c r="K60" s="369"/>
      <c r="M60" s="372" t="s">
        <v>363</v>
      </c>
      <c r="N60" s="373">
        <f>+N58+N59</f>
        <v>0</v>
      </c>
      <c r="O60" s="368"/>
      <c r="P60" s="368"/>
      <c r="Q60" s="369"/>
    </row>
    <row r="61" spans="1:17" ht="15.75" x14ac:dyDescent="0.25">
      <c r="A61" s="367"/>
      <c r="B61" s="368"/>
      <c r="C61" s="368"/>
      <c r="D61" s="368"/>
      <c r="E61" s="369"/>
      <c r="G61" s="367"/>
      <c r="H61" s="368"/>
      <c r="I61" s="368"/>
      <c r="J61" s="368"/>
      <c r="K61" s="369"/>
      <c r="M61" s="367"/>
      <c r="N61" s="368"/>
      <c r="O61" s="368"/>
      <c r="P61" s="368"/>
      <c r="Q61" s="369"/>
    </row>
    <row r="62" spans="1:17" ht="15.75" x14ac:dyDescent="0.25">
      <c r="A62" s="367" t="s">
        <v>364</v>
      </c>
      <c r="B62" s="374"/>
      <c r="C62" s="368"/>
      <c r="D62" s="368"/>
      <c r="E62" s="369"/>
      <c r="G62" s="367" t="s">
        <v>364</v>
      </c>
      <c r="H62" s="374"/>
      <c r="I62" s="368"/>
      <c r="J62" s="368"/>
      <c r="K62" s="369"/>
      <c r="M62" s="367" t="s">
        <v>364</v>
      </c>
      <c r="N62" s="374"/>
      <c r="O62" s="368"/>
      <c r="P62" s="368"/>
      <c r="Q62" s="369"/>
    </row>
    <row r="63" spans="1:17" ht="15.75" x14ac:dyDescent="0.25">
      <c r="A63" s="367" t="s">
        <v>365</v>
      </c>
      <c r="B63" s="374"/>
      <c r="C63" s="368"/>
      <c r="D63" s="368"/>
      <c r="E63" s="369"/>
      <c r="G63" s="367" t="s">
        <v>365</v>
      </c>
      <c r="H63" s="374"/>
      <c r="I63" s="368"/>
      <c r="J63" s="368"/>
      <c r="K63" s="369"/>
      <c r="M63" s="367" t="s">
        <v>365</v>
      </c>
      <c r="N63" s="374"/>
      <c r="O63" s="368"/>
      <c r="P63" s="368"/>
      <c r="Q63" s="369"/>
    </row>
    <row r="64" spans="1:17" ht="15.75" x14ac:dyDescent="0.25">
      <c r="A64" s="375"/>
      <c r="B64" s="376"/>
      <c r="C64" s="376"/>
      <c r="D64" s="376"/>
      <c r="E64" s="377"/>
      <c r="G64" s="375"/>
      <c r="H64" s="376"/>
      <c r="I64" s="376"/>
      <c r="J64" s="376"/>
      <c r="K64" s="377"/>
      <c r="M64" s="375"/>
      <c r="N64" s="376"/>
      <c r="O64" s="376"/>
      <c r="P64" s="376"/>
      <c r="Q64" s="377"/>
    </row>
    <row r="66" spans="1:17" ht="18.75" x14ac:dyDescent="0.3">
      <c r="A66" s="363"/>
      <c r="B66" s="1062" t="s">
        <v>358</v>
      </c>
      <c r="C66" s="1063"/>
      <c r="D66" s="1063"/>
      <c r="E66" s="1064"/>
      <c r="G66" s="363"/>
      <c r="H66" s="1062" t="s">
        <v>358</v>
      </c>
      <c r="I66" s="1063"/>
      <c r="J66" s="1063"/>
      <c r="K66" s="1064"/>
      <c r="M66" s="363"/>
      <c r="N66" s="1062" t="s">
        <v>358</v>
      </c>
      <c r="O66" s="1063"/>
      <c r="P66" s="1063"/>
      <c r="Q66" s="1064"/>
    </row>
    <row r="67" spans="1:17" ht="15.75" x14ac:dyDescent="0.25">
      <c r="A67" s="364"/>
      <c r="B67" s="365"/>
      <c r="C67" s="365"/>
      <c r="D67" s="365"/>
      <c r="E67" s="366"/>
      <c r="G67" s="364"/>
      <c r="H67" s="365"/>
      <c r="I67" s="365"/>
      <c r="J67" s="365"/>
      <c r="K67" s="366"/>
      <c r="M67" s="364"/>
      <c r="N67" s="365"/>
      <c r="O67" s="365"/>
      <c r="P67" s="365"/>
      <c r="Q67" s="366"/>
    </row>
    <row r="68" spans="1:17" ht="15.75" x14ac:dyDescent="0.25">
      <c r="A68" s="367" t="s">
        <v>359</v>
      </c>
      <c r="B68" s="368"/>
      <c r="C68" s="368"/>
      <c r="D68" s="368" t="s">
        <v>360</v>
      </c>
      <c r="E68" s="369"/>
      <c r="G68" s="367" t="s">
        <v>359</v>
      </c>
      <c r="H68" s="368"/>
      <c r="I68" s="368"/>
      <c r="J68" s="368" t="s">
        <v>360</v>
      </c>
      <c r="K68" s="369"/>
      <c r="M68" s="367" t="s">
        <v>359</v>
      </c>
      <c r="N68" s="368"/>
      <c r="O68" s="368"/>
      <c r="P68" s="368" t="s">
        <v>360</v>
      </c>
      <c r="Q68" s="369"/>
    </row>
    <row r="69" spans="1:17" ht="15.75" x14ac:dyDescent="0.25">
      <c r="A69" s="367"/>
      <c r="B69" s="368"/>
      <c r="C69" s="368"/>
      <c r="D69" s="368"/>
      <c r="E69" s="369"/>
      <c r="G69" s="367"/>
      <c r="H69" s="368"/>
      <c r="I69" s="368"/>
      <c r="J69" s="368"/>
      <c r="K69" s="369"/>
      <c r="M69" s="367"/>
      <c r="N69" s="368"/>
      <c r="O69" s="368"/>
      <c r="P69" s="368"/>
      <c r="Q69" s="369"/>
    </row>
    <row r="70" spans="1:17" ht="15.75" x14ac:dyDescent="0.25">
      <c r="A70" s="367" t="s">
        <v>179</v>
      </c>
      <c r="B70" s="370"/>
      <c r="C70" s="368"/>
      <c r="D70" s="368"/>
      <c r="E70" s="369"/>
      <c r="G70" s="367" t="s">
        <v>179</v>
      </c>
      <c r="H70" s="370"/>
      <c r="I70" s="368"/>
      <c r="J70" s="368"/>
      <c r="K70" s="369"/>
      <c r="M70" s="367" t="s">
        <v>179</v>
      </c>
      <c r="N70" s="370"/>
      <c r="O70" s="368"/>
      <c r="P70" s="368"/>
      <c r="Q70" s="369"/>
    </row>
    <row r="71" spans="1:17" ht="15.75" x14ac:dyDescent="0.25">
      <c r="A71" s="367" t="s">
        <v>361</v>
      </c>
      <c r="B71" s="371"/>
      <c r="C71" s="368"/>
      <c r="D71" s="368"/>
      <c r="E71" s="369"/>
      <c r="G71" s="367" t="s">
        <v>361</v>
      </c>
      <c r="H71" s="371"/>
      <c r="I71" s="368"/>
      <c r="J71" s="368"/>
      <c r="K71" s="369"/>
      <c r="M71" s="367" t="s">
        <v>361</v>
      </c>
      <c r="N71" s="371"/>
      <c r="O71" s="368"/>
      <c r="P71" s="368"/>
      <c r="Q71" s="369"/>
    </row>
    <row r="72" spans="1:17" ht="15.75" x14ac:dyDescent="0.25">
      <c r="A72" s="367" t="s">
        <v>362</v>
      </c>
      <c r="B72" s="371"/>
      <c r="C72" s="368"/>
      <c r="D72" s="368"/>
      <c r="E72" s="369"/>
      <c r="G72" s="367" t="s">
        <v>362</v>
      </c>
      <c r="H72" s="371"/>
      <c r="I72" s="368"/>
      <c r="J72" s="368"/>
      <c r="K72" s="369"/>
      <c r="M72" s="367" t="s">
        <v>362</v>
      </c>
      <c r="N72" s="371"/>
      <c r="O72" s="368"/>
      <c r="P72" s="368"/>
      <c r="Q72" s="369"/>
    </row>
    <row r="73" spans="1:17" ht="15.75" x14ac:dyDescent="0.25">
      <c r="A73" s="372" t="s">
        <v>363</v>
      </c>
      <c r="B73" s="373">
        <f>+B71+B72</f>
        <v>0</v>
      </c>
      <c r="C73" s="368"/>
      <c r="D73" s="368"/>
      <c r="E73" s="369"/>
      <c r="G73" s="372" t="s">
        <v>363</v>
      </c>
      <c r="H73" s="373">
        <f>+H71+H72</f>
        <v>0</v>
      </c>
      <c r="I73" s="368"/>
      <c r="J73" s="368"/>
      <c r="K73" s="369"/>
      <c r="M73" s="372" t="s">
        <v>363</v>
      </c>
      <c r="N73" s="373">
        <f>+N71+N72</f>
        <v>0</v>
      </c>
      <c r="O73" s="368"/>
      <c r="P73" s="368"/>
      <c r="Q73" s="369"/>
    </row>
    <row r="74" spans="1:17" ht="15.75" x14ac:dyDescent="0.25">
      <c r="A74" s="367"/>
      <c r="B74" s="368"/>
      <c r="C74" s="368"/>
      <c r="D74" s="368"/>
      <c r="E74" s="369"/>
      <c r="G74" s="367"/>
      <c r="H74" s="368"/>
      <c r="I74" s="368"/>
      <c r="J74" s="368"/>
      <c r="K74" s="369"/>
      <c r="M74" s="367"/>
      <c r="N74" s="368"/>
      <c r="O74" s="368"/>
      <c r="P74" s="368"/>
      <c r="Q74" s="369"/>
    </row>
    <row r="75" spans="1:17" ht="15.75" x14ac:dyDescent="0.25">
      <c r="A75" s="367" t="s">
        <v>364</v>
      </c>
      <c r="B75" s="374"/>
      <c r="C75" s="368"/>
      <c r="D75" s="368"/>
      <c r="E75" s="369"/>
      <c r="G75" s="367" t="s">
        <v>364</v>
      </c>
      <c r="H75" s="374"/>
      <c r="I75" s="368"/>
      <c r="J75" s="368"/>
      <c r="K75" s="369"/>
      <c r="M75" s="367" t="s">
        <v>364</v>
      </c>
      <c r="N75" s="374"/>
      <c r="O75" s="368"/>
      <c r="P75" s="368"/>
      <c r="Q75" s="369"/>
    </row>
    <row r="76" spans="1:17" ht="15.75" x14ac:dyDescent="0.25">
      <c r="A76" s="367" t="s">
        <v>365</v>
      </c>
      <c r="B76" s="374"/>
      <c r="C76" s="368"/>
      <c r="D76" s="368"/>
      <c r="E76" s="369"/>
      <c r="G76" s="367" t="s">
        <v>365</v>
      </c>
      <c r="H76" s="374"/>
      <c r="I76" s="368"/>
      <c r="J76" s="368"/>
      <c r="K76" s="369"/>
      <c r="M76" s="367" t="s">
        <v>365</v>
      </c>
      <c r="N76" s="374"/>
      <c r="O76" s="368"/>
      <c r="P76" s="368"/>
      <c r="Q76" s="369"/>
    </row>
    <row r="77" spans="1:17" ht="15.75" x14ac:dyDescent="0.25">
      <c r="A77" s="375"/>
      <c r="B77" s="376"/>
      <c r="C77" s="376"/>
      <c r="D77" s="376"/>
      <c r="E77" s="377"/>
      <c r="G77" s="375"/>
      <c r="H77" s="376"/>
      <c r="I77" s="376"/>
      <c r="J77" s="376"/>
      <c r="K77" s="377"/>
      <c r="M77" s="375"/>
      <c r="N77" s="376"/>
      <c r="O77" s="376"/>
      <c r="P77" s="376"/>
      <c r="Q77" s="377"/>
    </row>
    <row r="79" spans="1:17" ht="18.75" x14ac:dyDescent="0.3">
      <c r="A79" s="363"/>
      <c r="B79" s="1062" t="s">
        <v>358</v>
      </c>
      <c r="C79" s="1063"/>
      <c r="D79" s="1063"/>
      <c r="E79" s="1064"/>
      <c r="G79" s="363"/>
      <c r="H79" s="1062" t="s">
        <v>358</v>
      </c>
      <c r="I79" s="1063"/>
      <c r="J79" s="1063"/>
      <c r="K79" s="1064"/>
      <c r="M79" s="363"/>
      <c r="N79" s="1062" t="s">
        <v>358</v>
      </c>
      <c r="O79" s="1063"/>
      <c r="P79" s="1063"/>
      <c r="Q79" s="1064"/>
    </row>
    <row r="80" spans="1:17" ht="15.75" x14ac:dyDescent="0.25">
      <c r="A80" s="364"/>
      <c r="B80" s="365"/>
      <c r="C80" s="365"/>
      <c r="D80" s="365"/>
      <c r="E80" s="366"/>
      <c r="G80" s="364"/>
      <c r="H80" s="365"/>
      <c r="I80" s="365"/>
      <c r="J80" s="365"/>
      <c r="K80" s="366"/>
      <c r="M80" s="364"/>
      <c r="N80" s="365"/>
      <c r="O80" s="365"/>
      <c r="P80" s="365"/>
      <c r="Q80" s="366"/>
    </row>
    <row r="81" spans="1:17" ht="15.75" x14ac:dyDescent="0.25">
      <c r="A81" s="367" t="s">
        <v>359</v>
      </c>
      <c r="B81" s="368"/>
      <c r="C81" s="368"/>
      <c r="D81" s="368" t="s">
        <v>360</v>
      </c>
      <c r="E81" s="369"/>
      <c r="G81" s="367" t="s">
        <v>359</v>
      </c>
      <c r="H81" s="368"/>
      <c r="I81" s="368"/>
      <c r="J81" s="368" t="s">
        <v>360</v>
      </c>
      <c r="K81" s="369"/>
      <c r="M81" s="367" t="s">
        <v>359</v>
      </c>
      <c r="N81" s="368"/>
      <c r="O81" s="368"/>
      <c r="P81" s="368" t="s">
        <v>360</v>
      </c>
      <c r="Q81" s="369"/>
    </row>
    <row r="82" spans="1:17" ht="15.75" x14ac:dyDescent="0.25">
      <c r="A82" s="367"/>
      <c r="B82" s="368"/>
      <c r="C82" s="368"/>
      <c r="D82" s="368"/>
      <c r="E82" s="369"/>
      <c r="G82" s="367"/>
      <c r="H82" s="368"/>
      <c r="I82" s="368"/>
      <c r="J82" s="368"/>
      <c r="K82" s="369"/>
      <c r="M82" s="367"/>
      <c r="N82" s="368"/>
      <c r="O82" s="368"/>
      <c r="P82" s="368"/>
      <c r="Q82" s="369"/>
    </row>
    <row r="83" spans="1:17" ht="15.75" x14ac:dyDescent="0.25">
      <c r="A83" s="367" t="s">
        <v>179</v>
      </c>
      <c r="B83" s="370"/>
      <c r="C83" s="368"/>
      <c r="D83" s="368"/>
      <c r="E83" s="369"/>
      <c r="G83" s="367" t="s">
        <v>179</v>
      </c>
      <c r="H83" s="370"/>
      <c r="I83" s="368"/>
      <c r="J83" s="368"/>
      <c r="K83" s="369"/>
      <c r="M83" s="367" t="s">
        <v>179</v>
      </c>
      <c r="N83" s="370"/>
      <c r="O83" s="368"/>
      <c r="P83" s="368"/>
      <c r="Q83" s="369"/>
    </row>
    <row r="84" spans="1:17" ht="15.75" x14ac:dyDescent="0.25">
      <c r="A84" s="367" t="s">
        <v>361</v>
      </c>
      <c r="B84" s="371"/>
      <c r="C84" s="368"/>
      <c r="D84" s="368"/>
      <c r="E84" s="369"/>
      <c r="G84" s="367" t="s">
        <v>361</v>
      </c>
      <c r="H84" s="371"/>
      <c r="I84" s="368"/>
      <c r="J84" s="368"/>
      <c r="K84" s="369"/>
      <c r="M84" s="367" t="s">
        <v>361</v>
      </c>
      <c r="N84" s="371"/>
      <c r="O84" s="368"/>
      <c r="P84" s="368"/>
      <c r="Q84" s="369"/>
    </row>
    <row r="85" spans="1:17" ht="15.75" x14ac:dyDescent="0.25">
      <c r="A85" s="367" t="s">
        <v>362</v>
      </c>
      <c r="B85" s="371"/>
      <c r="C85" s="368"/>
      <c r="D85" s="368"/>
      <c r="E85" s="369"/>
      <c r="G85" s="367" t="s">
        <v>362</v>
      </c>
      <c r="H85" s="371"/>
      <c r="I85" s="368"/>
      <c r="J85" s="368"/>
      <c r="K85" s="369"/>
      <c r="M85" s="367" t="s">
        <v>362</v>
      </c>
      <c r="N85" s="371"/>
      <c r="O85" s="368"/>
      <c r="P85" s="368"/>
      <c r="Q85" s="369"/>
    </row>
    <row r="86" spans="1:17" ht="15.75" x14ac:dyDescent="0.25">
      <c r="A86" s="372" t="s">
        <v>363</v>
      </c>
      <c r="B86" s="373">
        <f>+B84+B85</f>
        <v>0</v>
      </c>
      <c r="C86" s="368"/>
      <c r="D86" s="368"/>
      <c r="E86" s="369"/>
      <c r="G86" s="372" t="s">
        <v>363</v>
      </c>
      <c r="H86" s="373">
        <f>+H84+H85</f>
        <v>0</v>
      </c>
      <c r="I86" s="368"/>
      <c r="J86" s="368"/>
      <c r="K86" s="369"/>
      <c r="M86" s="372" t="s">
        <v>363</v>
      </c>
      <c r="N86" s="373">
        <f>+N84+N85</f>
        <v>0</v>
      </c>
      <c r="O86" s="368"/>
      <c r="P86" s="368"/>
      <c r="Q86" s="369"/>
    </row>
    <row r="87" spans="1:17" ht="15.75" x14ac:dyDescent="0.25">
      <c r="A87" s="367"/>
      <c r="B87" s="368"/>
      <c r="C87" s="368"/>
      <c r="D87" s="368"/>
      <c r="E87" s="369"/>
      <c r="G87" s="367"/>
      <c r="H87" s="368"/>
      <c r="I87" s="368"/>
      <c r="J87" s="368"/>
      <c r="K87" s="369"/>
      <c r="M87" s="367"/>
      <c r="N87" s="368"/>
      <c r="O87" s="368"/>
      <c r="P87" s="368"/>
      <c r="Q87" s="369"/>
    </row>
    <row r="88" spans="1:17" ht="15.75" x14ac:dyDescent="0.25">
      <c r="A88" s="367" t="s">
        <v>364</v>
      </c>
      <c r="B88" s="374"/>
      <c r="C88" s="368"/>
      <c r="D88" s="368"/>
      <c r="E88" s="369"/>
      <c r="G88" s="367" t="s">
        <v>364</v>
      </c>
      <c r="H88" s="374"/>
      <c r="I88" s="368"/>
      <c r="J88" s="368"/>
      <c r="K88" s="369"/>
      <c r="M88" s="367" t="s">
        <v>364</v>
      </c>
      <c r="N88" s="374"/>
      <c r="O88" s="368"/>
      <c r="P88" s="368"/>
      <c r="Q88" s="369"/>
    </row>
    <row r="89" spans="1:17" ht="15.75" x14ac:dyDescent="0.25">
      <c r="A89" s="367" t="s">
        <v>365</v>
      </c>
      <c r="B89" s="374"/>
      <c r="C89" s="368"/>
      <c r="D89" s="368"/>
      <c r="E89" s="369"/>
      <c r="G89" s="367" t="s">
        <v>365</v>
      </c>
      <c r="H89" s="374"/>
      <c r="I89" s="368"/>
      <c r="J89" s="368"/>
      <c r="K89" s="369"/>
      <c r="M89" s="367" t="s">
        <v>365</v>
      </c>
      <c r="N89" s="374"/>
      <c r="O89" s="368"/>
      <c r="P89" s="368"/>
      <c r="Q89" s="369"/>
    </row>
    <row r="90" spans="1:17" ht="15.75" x14ac:dyDescent="0.25">
      <c r="A90" s="375"/>
      <c r="B90" s="376"/>
      <c r="C90" s="376"/>
      <c r="D90" s="376"/>
      <c r="E90" s="377"/>
      <c r="G90" s="375"/>
      <c r="H90" s="376"/>
      <c r="I90" s="376"/>
      <c r="J90" s="376"/>
      <c r="K90" s="377"/>
      <c r="M90" s="375"/>
      <c r="N90" s="376"/>
      <c r="O90" s="376"/>
      <c r="P90" s="376"/>
      <c r="Q90" s="377"/>
    </row>
    <row r="92" spans="1:17" ht="18.75" x14ac:dyDescent="0.3">
      <c r="A92" s="363"/>
      <c r="B92" s="1062" t="s">
        <v>358</v>
      </c>
      <c r="C92" s="1063"/>
      <c r="D92" s="1063"/>
      <c r="E92" s="1064"/>
      <c r="G92" s="363"/>
      <c r="H92" s="1062" t="s">
        <v>358</v>
      </c>
      <c r="I92" s="1063"/>
      <c r="J92" s="1063"/>
      <c r="K92" s="1064"/>
      <c r="M92" s="363"/>
      <c r="N92" s="1062" t="s">
        <v>358</v>
      </c>
      <c r="O92" s="1063"/>
      <c r="P92" s="1063"/>
      <c r="Q92" s="1064"/>
    </row>
    <row r="93" spans="1:17" ht="15.75" x14ac:dyDescent="0.25">
      <c r="A93" s="364"/>
      <c r="B93" s="365"/>
      <c r="C93" s="365"/>
      <c r="D93" s="365"/>
      <c r="E93" s="366"/>
      <c r="G93" s="364"/>
      <c r="H93" s="365"/>
      <c r="I93" s="365"/>
      <c r="J93" s="365"/>
      <c r="K93" s="366"/>
      <c r="M93" s="364"/>
      <c r="N93" s="365"/>
      <c r="O93" s="365"/>
      <c r="P93" s="365"/>
      <c r="Q93" s="366"/>
    </row>
    <row r="94" spans="1:17" ht="15.75" x14ac:dyDescent="0.25">
      <c r="A94" s="367" t="s">
        <v>359</v>
      </c>
      <c r="B94" s="368"/>
      <c r="C94" s="368"/>
      <c r="D94" s="368" t="s">
        <v>360</v>
      </c>
      <c r="E94" s="369"/>
      <c r="G94" s="367" t="s">
        <v>359</v>
      </c>
      <c r="H94" s="368"/>
      <c r="I94" s="368"/>
      <c r="J94" s="368" t="s">
        <v>360</v>
      </c>
      <c r="K94" s="369"/>
      <c r="M94" s="367" t="s">
        <v>359</v>
      </c>
      <c r="N94" s="368"/>
      <c r="O94" s="368"/>
      <c r="P94" s="368" t="s">
        <v>360</v>
      </c>
      <c r="Q94" s="369"/>
    </row>
    <row r="95" spans="1:17" ht="15.75" x14ac:dyDescent="0.25">
      <c r="A95" s="367"/>
      <c r="B95" s="368"/>
      <c r="C95" s="368"/>
      <c r="D95" s="368"/>
      <c r="E95" s="369"/>
      <c r="G95" s="367"/>
      <c r="H95" s="368"/>
      <c r="I95" s="368"/>
      <c r="J95" s="368"/>
      <c r="K95" s="369"/>
      <c r="M95" s="367"/>
      <c r="N95" s="368"/>
      <c r="O95" s="368"/>
      <c r="P95" s="368"/>
      <c r="Q95" s="369"/>
    </row>
    <row r="96" spans="1:17" ht="15.75" x14ac:dyDescent="0.25">
      <c r="A96" s="367" t="s">
        <v>179</v>
      </c>
      <c r="B96" s="370"/>
      <c r="C96" s="368"/>
      <c r="D96" s="368"/>
      <c r="E96" s="369"/>
      <c r="G96" s="367" t="s">
        <v>179</v>
      </c>
      <c r="H96" s="370"/>
      <c r="I96" s="368"/>
      <c r="J96" s="368"/>
      <c r="K96" s="369"/>
      <c r="M96" s="367" t="s">
        <v>179</v>
      </c>
      <c r="N96" s="370"/>
      <c r="O96" s="368"/>
      <c r="P96" s="368"/>
      <c r="Q96" s="369"/>
    </row>
    <row r="97" spans="1:17" ht="15.75" x14ac:dyDescent="0.25">
      <c r="A97" s="367" t="s">
        <v>361</v>
      </c>
      <c r="B97" s="371"/>
      <c r="C97" s="368"/>
      <c r="D97" s="368"/>
      <c r="E97" s="369"/>
      <c r="G97" s="367" t="s">
        <v>361</v>
      </c>
      <c r="H97" s="371"/>
      <c r="I97" s="368"/>
      <c r="J97" s="368"/>
      <c r="K97" s="369"/>
      <c r="M97" s="367" t="s">
        <v>361</v>
      </c>
      <c r="N97" s="371"/>
      <c r="O97" s="368"/>
      <c r="P97" s="368"/>
      <c r="Q97" s="369"/>
    </row>
    <row r="98" spans="1:17" ht="15.75" x14ac:dyDescent="0.25">
      <c r="A98" s="367" t="s">
        <v>362</v>
      </c>
      <c r="B98" s="371"/>
      <c r="C98" s="368"/>
      <c r="D98" s="368"/>
      <c r="E98" s="369"/>
      <c r="G98" s="367" t="s">
        <v>362</v>
      </c>
      <c r="H98" s="371"/>
      <c r="I98" s="368"/>
      <c r="J98" s="368"/>
      <c r="K98" s="369"/>
      <c r="M98" s="367" t="s">
        <v>362</v>
      </c>
      <c r="N98" s="371"/>
      <c r="O98" s="368"/>
      <c r="P98" s="368"/>
      <c r="Q98" s="369"/>
    </row>
    <row r="99" spans="1:17" ht="15.75" x14ac:dyDescent="0.25">
      <c r="A99" s="372" t="s">
        <v>363</v>
      </c>
      <c r="B99" s="373">
        <f>+B97+B98</f>
        <v>0</v>
      </c>
      <c r="C99" s="368"/>
      <c r="D99" s="368"/>
      <c r="E99" s="369"/>
      <c r="G99" s="372" t="s">
        <v>363</v>
      </c>
      <c r="H99" s="373">
        <f>+H97+H98</f>
        <v>0</v>
      </c>
      <c r="I99" s="368"/>
      <c r="J99" s="368"/>
      <c r="K99" s="369"/>
      <c r="M99" s="372" t="s">
        <v>363</v>
      </c>
      <c r="N99" s="373">
        <f>+N97+N98</f>
        <v>0</v>
      </c>
      <c r="O99" s="368"/>
      <c r="P99" s="368"/>
      <c r="Q99" s="369"/>
    </row>
    <row r="100" spans="1:17" ht="15.75" x14ac:dyDescent="0.25">
      <c r="A100" s="367"/>
      <c r="B100" s="368"/>
      <c r="C100" s="368"/>
      <c r="D100" s="368"/>
      <c r="E100" s="369"/>
      <c r="G100" s="367"/>
      <c r="H100" s="368"/>
      <c r="I100" s="368"/>
      <c r="J100" s="368"/>
      <c r="K100" s="369"/>
      <c r="M100" s="367"/>
      <c r="N100" s="368"/>
      <c r="O100" s="368"/>
      <c r="P100" s="368"/>
      <c r="Q100" s="369"/>
    </row>
    <row r="101" spans="1:17" ht="15.75" x14ac:dyDescent="0.25">
      <c r="A101" s="367" t="s">
        <v>364</v>
      </c>
      <c r="B101" s="374"/>
      <c r="C101" s="368"/>
      <c r="D101" s="368"/>
      <c r="E101" s="369"/>
      <c r="G101" s="367" t="s">
        <v>364</v>
      </c>
      <c r="H101" s="374"/>
      <c r="I101" s="368"/>
      <c r="J101" s="368"/>
      <c r="K101" s="369"/>
      <c r="M101" s="367" t="s">
        <v>364</v>
      </c>
      <c r="N101" s="374"/>
      <c r="O101" s="368"/>
      <c r="P101" s="368"/>
      <c r="Q101" s="369"/>
    </row>
    <row r="102" spans="1:17" ht="15.75" x14ac:dyDescent="0.25">
      <c r="A102" s="367" t="s">
        <v>365</v>
      </c>
      <c r="B102" s="374"/>
      <c r="C102" s="368"/>
      <c r="D102" s="368"/>
      <c r="E102" s="369"/>
      <c r="G102" s="367" t="s">
        <v>365</v>
      </c>
      <c r="H102" s="374"/>
      <c r="I102" s="368"/>
      <c r="J102" s="368"/>
      <c r="K102" s="369"/>
      <c r="M102" s="367" t="s">
        <v>365</v>
      </c>
      <c r="N102" s="374"/>
      <c r="O102" s="368"/>
      <c r="P102" s="368"/>
      <c r="Q102" s="369"/>
    </row>
    <row r="103" spans="1:17" ht="15.75" x14ac:dyDescent="0.25">
      <c r="A103" s="375"/>
      <c r="B103" s="376"/>
      <c r="C103" s="376"/>
      <c r="D103" s="376"/>
      <c r="E103" s="377"/>
      <c r="G103" s="375"/>
      <c r="H103" s="376"/>
      <c r="I103" s="376"/>
      <c r="J103" s="376"/>
      <c r="K103" s="377"/>
      <c r="M103" s="375"/>
      <c r="N103" s="376"/>
      <c r="O103" s="376"/>
      <c r="P103" s="376"/>
      <c r="Q103" s="377"/>
    </row>
    <row r="105" spans="1:17" ht="18.75" x14ac:dyDescent="0.3">
      <c r="A105" s="363"/>
      <c r="B105" s="1062" t="s">
        <v>358</v>
      </c>
      <c r="C105" s="1063"/>
      <c r="D105" s="1063"/>
      <c r="E105" s="1064"/>
      <c r="G105" s="363"/>
      <c r="H105" s="1062" t="s">
        <v>358</v>
      </c>
      <c r="I105" s="1063"/>
      <c r="J105" s="1063"/>
      <c r="K105" s="1064"/>
      <c r="M105" s="363"/>
      <c r="N105" s="1062" t="s">
        <v>358</v>
      </c>
      <c r="O105" s="1063"/>
      <c r="P105" s="1063"/>
      <c r="Q105" s="1064"/>
    </row>
    <row r="106" spans="1:17" ht="15.75" x14ac:dyDescent="0.25">
      <c r="A106" s="364"/>
      <c r="B106" s="365"/>
      <c r="C106" s="365"/>
      <c r="D106" s="365"/>
      <c r="E106" s="366"/>
      <c r="G106" s="364"/>
      <c r="H106" s="365"/>
      <c r="I106" s="365"/>
      <c r="J106" s="365"/>
      <c r="K106" s="366"/>
      <c r="M106" s="364"/>
      <c r="N106" s="365"/>
      <c r="O106" s="365"/>
      <c r="P106" s="365"/>
      <c r="Q106" s="366"/>
    </row>
    <row r="107" spans="1:17" ht="15.75" x14ac:dyDescent="0.25">
      <c r="A107" s="367" t="s">
        <v>359</v>
      </c>
      <c r="B107" s="368"/>
      <c r="C107" s="368"/>
      <c r="D107" s="368" t="s">
        <v>360</v>
      </c>
      <c r="E107" s="369"/>
      <c r="G107" s="367" t="s">
        <v>359</v>
      </c>
      <c r="H107" s="368"/>
      <c r="I107" s="368"/>
      <c r="J107" s="368" t="s">
        <v>360</v>
      </c>
      <c r="K107" s="369"/>
      <c r="M107" s="367" t="s">
        <v>359</v>
      </c>
      <c r="N107" s="368"/>
      <c r="O107" s="368"/>
      <c r="P107" s="368" t="s">
        <v>360</v>
      </c>
      <c r="Q107" s="369"/>
    </row>
    <row r="108" spans="1:17" ht="15.75" x14ac:dyDescent="0.25">
      <c r="A108" s="367"/>
      <c r="B108" s="368"/>
      <c r="C108" s="368"/>
      <c r="D108" s="368"/>
      <c r="E108" s="369"/>
      <c r="G108" s="367"/>
      <c r="H108" s="368"/>
      <c r="I108" s="368"/>
      <c r="J108" s="368"/>
      <c r="K108" s="369"/>
      <c r="M108" s="367"/>
      <c r="N108" s="368"/>
      <c r="O108" s="368"/>
      <c r="P108" s="368"/>
      <c r="Q108" s="369"/>
    </row>
    <row r="109" spans="1:17" ht="15.75" x14ac:dyDescent="0.25">
      <c r="A109" s="367" t="s">
        <v>179</v>
      </c>
      <c r="B109" s="370"/>
      <c r="C109" s="368"/>
      <c r="D109" s="368"/>
      <c r="E109" s="369"/>
      <c r="G109" s="367" t="s">
        <v>179</v>
      </c>
      <c r="H109" s="370"/>
      <c r="I109" s="368"/>
      <c r="J109" s="368"/>
      <c r="K109" s="369"/>
      <c r="M109" s="367" t="s">
        <v>179</v>
      </c>
      <c r="N109" s="370"/>
      <c r="O109" s="368"/>
      <c r="P109" s="368"/>
      <c r="Q109" s="369"/>
    </row>
    <row r="110" spans="1:17" ht="15.75" x14ac:dyDescent="0.25">
      <c r="A110" s="367" t="s">
        <v>361</v>
      </c>
      <c r="B110" s="371"/>
      <c r="C110" s="368"/>
      <c r="D110" s="368"/>
      <c r="E110" s="369"/>
      <c r="G110" s="367" t="s">
        <v>361</v>
      </c>
      <c r="H110" s="371"/>
      <c r="I110" s="368"/>
      <c r="J110" s="368"/>
      <c r="K110" s="369"/>
      <c r="M110" s="367" t="s">
        <v>361</v>
      </c>
      <c r="N110" s="371"/>
      <c r="O110" s="368"/>
      <c r="P110" s="368"/>
      <c r="Q110" s="369"/>
    </row>
    <row r="111" spans="1:17" ht="15.75" x14ac:dyDescent="0.25">
      <c r="A111" s="367" t="s">
        <v>362</v>
      </c>
      <c r="B111" s="371"/>
      <c r="C111" s="368"/>
      <c r="D111" s="368"/>
      <c r="E111" s="369"/>
      <c r="G111" s="367" t="s">
        <v>362</v>
      </c>
      <c r="H111" s="371"/>
      <c r="I111" s="368"/>
      <c r="J111" s="368"/>
      <c r="K111" s="369"/>
      <c r="M111" s="367" t="s">
        <v>362</v>
      </c>
      <c r="N111" s="371"/>
      <c r="O111" s="368"/>
      <c r="P111" s="368"/>
      <c r="Q111" s="369"/>
    </row>
    <row r="112" spans="1:17" ht="15.75" x14ac:dyDescent="0.25">
      <c r="A112" s="372" t="s">
        <v>363</v>
      </c>
      <c r="B112" s="373">
        <f>+B110+B111</f>
        <v>0</v>
      </c>
      <c r="C112" s="368"/>
      <c r="D112" s="368"/>
      <c r="E112" s="369"/>
      <c r="G112" s="372" t="s">
        <v>363</v>
      </c>
      <c r="H112" s="373">
        <f>+H110+H111</f>
        <v>0</v>
      </c>
      <c r="I112" s="368"/>
      <c r="J112" s="368"/>
      <c r="K112" s="369"/>
      <c r="M112" s="372" t="s">
        <v>363</v>
      </c>
      <c r="N112" s="373">
        <f>+N110+N111</f>
        <v>0</v>
      </c>
      <c r="O112" s="368"/>
      <c r="P112" s="368"/>
      <c r="Q112" s="369"/>
    </row>
    <row r="113" spans="1:17" ht="15.75" x14ac:dyDescent="0.25">
      <c r="A113" s="367"/>
      <c r="B113" s="368"/>
      <c r="C113" s="368"/>
      <c r="D113" s="368"/>
      <c r="E113" s="369"/>
      <c r="G113" s="367"/>
      <c r="H113" s="368"/>
      <c r="I113" s="368"/>
      <c r="J113" s="368"/>
      <c r="K113" s="369"/>
      <c r="M113" s="367"/>
      <c r="N113" s="368"/>
      <c r="O113" s="368"/>
      <c r="P113" s="368"/>
      <c r="Q113" s="369"/>
    </row>
    <row r="114" spans="1:17" ht="15.75" x14ac:dyDescent="0.25">
      <c r="A114" s="367" t="s">
        <v>364</v>
      </c>
      <c r="B114" s="374"/>
      <c r="C114" s="368"/>
      <c r="D114" s="368"/>
      <c r="E114" s="369"/>
      <c r="G114" s="367" t="s">
        <v>364</v>
      </c>
      <c r="H114" s="374"/>
      <c r="I114" s="368"/>
      <c r="J114" s="368"/>
      <c r="K114" s="369"/>
      <c r="M114" s="367" t="s">
        <v>364</v>
      </c>
      <c r="N114" s="374"/>
      <c r="O114" s="368"/>
      <c r="P114" s="368"/>
      <c r="Q114" s="369"/>
    </row>
    <row r="115" spans="1:17" ht="15.75" x14ac:dyDescent="0.25">
      <c r="A115" s="367" t="s">
        <v>365</v>
      </c>
      <c r="B115" s="374"/>
      <c r="C115" s="368"/>
      <c r="D115" s="368"/>
      <c r="E115" s="369"/>
      <c r="G115" s="367" t="s">
        <v>365</v>
      </c>
      <c r="H115" s="374"/>
      <c r="I115" s="368"/>
      <c r="J115" s="368"/>
      <c r="K115" s="369"/>
      <c r="M115" s="367" t="s">
        <v>365</v>
      </c>
      <c r="N115" s="374"/>
      <c r="O115" s="368"/>
      <c r="P115" s="368"/>
      <c r="Q115" s="369"/>
    </row>
    <row r="116" spans="1:17" ht="15.75" x14ac:dyDescent="0.25">
      <c r="A116" s="375"/>
      <c r="B116" s="376"/>
      <c r="C116" s="376"/>
      <c r="D116" s="376"/>
      <c r="E116" s="377"/>
      <c r="G116" s="375"/>
      <c r="H116" s="376"/>
      <c r="I116" s="376"/>
      <c r="J116" s="376"/>
      <c r="K116" s="377"/>
      <c r="M116" s="375"/>
      <c r="N116" s="376"/>
      <c r="O116" s="376"/>
      <c r="P116" s="376"/>
      <c r="Q116" s="377"/>
    </row>
    <row r="118" spans="1:17" ht="18.75" x14ac:dyDescent="0.3">
      <c r="A118" s="363"/>
      <c r="B118" s="1062" t="s">
        <v>358</v>
      </c>
      <c r="C118" s="1063"/>
      <c r="D118" s="1063"/>
      <c r="E118" s="1064"/>
      <c r="G118" s="363"/>
      <c r="H118" s="1062" t="s">
        <v>358</v>
      </c>
      <c r="I118" s="1063"/>
      <c r="J118" s="1063"/>
      <c r="K118" s="1064"/>
      <c r="M118" s="363"/>
      <c r="N118" s="1062" t="s">
        <v>358</v>
      </c>
      <c r="O118" s="1063"/>
      <c r="P118" s="1063"/>
      <c r="Q118" s="1064"/>
    </row>
    <row r="119" spans="1:17" ht="15.75" x14ac:dyDescent="0.25">
      <c r="A119" s="364"/>
      <c r="B119" s="365"/>
      <c r="C119" s="365"/>
      <c r="D119" s="365"/>
      <c r="E119" s="366"/>
      <c r="G119" s="364"/>
      <c r="H119" s="365"/>
      <c r="I119" s="365"/>
      <c r="J119" s="365"/>
      <c r="K119" s="366"/>
      <c r="M119" s="364"/>
      <c r="N119" s="365"/>
      <c r="O119" s="365"/>
      <c r="P119" s="365"/>
      <c r="Q119" s="366"/>
    </row>
    <row r="120" spans="1:17" ht="15.75" x14ac:dyDescent="0.25">
      <c r="A120" s="367" t="s">
        <v>359</v>
      </c>
      <c r="B120" s="368"/>
      <c r="C120" s="368"/>
      <c r="D120" s="368" t="s">
        <v>360</v>
      </c>
      <c r="E120" s="369"/>
      <c r="G120" s="367" t="s">
        <v>359</v>
      </c>
      <c r="H120" s="368"/>
      <c r="I120" s="368"/>
      <c r="J120" s="368" t="s">
        <v>360</v>
      </c>
      <c r="K120" s="369"/>
      <c r="M120" s="367" t="s">
        <v>359</v>
      </c>
      <c r="N120" s="368"/>
      <c r="O120" s="368"/>
      <c r="P120" s="368" t="s">
        <v>360</v>
      </c>
      <c r="Q120" s="369"/>
    </row>
    <row r="121" spans="1:17" ht="15.75" x14ac:dyDescent="0.25">
      <c r="A121" s="367"/>
      <c r="B121" s="368"/>
      <c r="C121" s="368"/>
      <c r="D121" s="368"/>
      <c r="E121" s="369"/>
      <c r="G121" s="367"/>
      <c r="H121" s="368"/>
      <c r="I121" s="368"/>
      <c r="J121" s="368"/>
      <c r="K121" s="369"/>
      <c r="M121" s="367"/>
      <c r="N121" s="368"/>
      <c r="O121" s="368"/>
      <c r="P121" s="368"/>
      <c r="Q121" s="369"/>
    </row>
    <row r="122" spans="1:17" ht="15.75" x14ac:dyDescent="0.25">
      <c r="A122" s="367" t="s">
        <v>179</v>
      </c>
      <c r="B122" s="370"/>
      <c r="C122" s="368"/>
      <c r="D122" s="368"/>
      <c r="E122" s="369"/>
      <c r="G122" s="367" t="s">
        <v>179</v>
      </c>
      <c r="H122" s="370"/>
      <c r="I122" s="368"/>
      <c r="J122" s="368"/>
      <c r="K122" s="369"/>
      <c r="M122" s="367" t="s">
        <v>179</v>
      </c>
      <c r="N122" s="370"/>
      <c r="O122" s="368"/>
      <c r="P122" s="368"/>
      <c r="Q122" s="369"/>
    </row>
    <row r="123" spans="1:17" ht="15.75" x14ac:dyDescent="0.25">
      <c r="A123" s="367" t="s">
        <v>361</v>
      </c>
      <c r="B123" s="371"/>
      <c r="C123" s="368"/>
      <c r="D123" s="368"/>
      <c r="E123" s="369"/>
      <c r="G123" s="367" t="s">
        <v>361</v>
      </c>
      <c r="H123" s="371"/>
      <c r="I123" s="368"/>
      <c r="J123" s="368"/>
      <c r="K123" s="369"/>
      <c r="M123" s="367" t="s">
        <v>361</v>
      </c>
      <c r="N123" s="371"/>
      <c r="O123" s="368"/>
      <c r="P123" s="368"/>
      <c r="Q123" s="369"/>
    </row>
    <row r="124" spans="1:17" ht="15.75" x14ac:dyDescent="0.25">
      <c r="A124" s="367" t="s">
        <v>362</v>
      </c>
      <c r="B124" s="371"/>
      <c r="C124" s="368"/>
      <c r="D124" s="368"/>
      <c r="E124" s="369"/>
      <c r="G124" s="367" t="s">
        <v>362</v>
      </c>
      <c r="H124" s="371"/>
      <c r="I124" s="368"/>
      <c r="J124" s="368"/>
      <c r="K124" s="369"/>
      <c r="M124" s="367" t="s">
        <v>362</v>
      </c>
      <c r="N124" s="371"/>
      <c r="O124" s="368"/>
      <c r="P124" s="368"/>
      <c r="Q124" s="369"/>
    </row>
    <row r="125" spans="1:17" ht="15.75" x14ac:dyDescent="0.25">
      <c r="A125" s="372" t="s">
        <v>363</v>
      </c>
      <c r="B125" s="373">
        <f>+B123+B124</f>
        <v>0</v>
      </c>
      <c r="C125" s="368"/>
      <c r="D125" s="368"/>
      <c r="E125" s="369"/>
      <c r="G125" s="372" t="s">
        <v>363</v>
      </c>
      <c r="H125" s="373">
        <f>+H123+H124</f>
        <v>0</v>
      </c>
      <c r="I125" s="368"/>
      <c r="J125" s="368"/>
      <c r="K125" s="369"/>
      <c r="M125" s="372" t="s">
        <v>363</v>
      </c>
      <c r="N125" s="373">
        <f>+N123+N124</f>
        <v>0</v>
      </c>
      <c r="O125" s="368"/>
      <c r="P125" s="368"/>
      <c r="Q125" s="369"/>
    </row>
    <row r="126" spans="1:17" ht="15.75" x14ac:dyDescent="0.25">
      <c r="A126" s="367"/>
      <c r="B126" s="368"/>
      <c r="C126" s="368"/>
      <c r="D126" s="368"/>
      <c r="E126" s="369"/>
      <c r="G126" s="367"/>
      <c r="H126" s="368"/>
      <c r="I126" s="368"/>
      <c r="J126" s="368"/>
      <c r="K126" s="369"/>
      <c r="M126" s="367"/>
      <c r="N126" s="368"/>
      <c r="O126" s="368"/>
      <c r="P126" s="368"/>
      <c r="Q126" s="369"/>
    </row>
    <row r="127" spans="1:17" ht="15.75" x14ac:dyDescent="0.25">
      <c r="A127" s="367" t="s">
        <v>364</v>
      </c>
      <c r="B127" s="374"/>
      <c r="C127" s="368"/>
      <c r="D127" s="368"/>
      <c r="E127" s="369"/>
      <c r="G127" s="367" t="s">
        <v>364</v>
      </c>
      <c r="H127" s="374"/>
      <c r="I127" s="368"/>
      <c r="J127" s="368"/>
      <c r="K127" s="369"/>
      <c r="M127" s="367" t="s">
        <v>364</v>
      </c>
      <c r="N127" s="374"/>
      <c r="O127" s="368"/>
      <c r="P127" s="368"/>
      <c r="Q127" s="369"/>
    </row>
    <row r="128" spans="1:17" ht="15.75" x14ac:dyDescent="0.25">
      <c r="A128" s="367" t="s">
        <v>365</v>
      </c>
      <c r="B128" s="374"/>
      <c r="C128" s="368"/>
      <c r="D128" s="368"/>
      <c r="E128" s="369"/>
      <c r="G128" s="367" t="s">
        <v>365</v>
      </c>
      <c r="H128" s="374"/>
      <c r="I128" s="368"/>
      <c r="J128" s="368"/>
      <c r="K128" s="369"/>
      <c r="M128" s="367" t="s">
        <v>365</v>
      </c>
      <c r="N128" s="374"/>
      <c r="O128" s="368"/>
      <c r="P128" s="368"/>
      <c r="Q128" s="369"/>
    </row>
    <row r="129" spans="1:17" ht="15.75" x14ac:dyDescent="0.25">
      <c r="A129" s="375"/>
      <c r="B129" s="376"/>
      <c r="C129" s="376"/>
      <c r="D129" s="376"/>
      <c r="E129" s="377"/>
      <c r="G129" s="375"/>
      <c r="H129" s="376"/>
      <c r="I129" s="376"/>
      <c r="J129" s="376"/>
      <c r="K129" s="377"/>
      <c r="M129" s="375"/>
      <c r="N129" s="376"/>
      <c r="O129" s="376"/>
      <c r="P129" s="376"/>
      <c r="Q129" s="377"/>
    </row>
  </sheetData>
  <mergeCells count="30">
    <mergeCell ref="B1:E1"/>
    <mergeCell ref="H1:K1"/>
    <mergeCell ref="N1:Q1"/>
    <mergeCell ref="B14:E14"/>
    <mergeCell ref="H14:K14"/>
    <mergeCell ref="N14:Q14"/>
    <mergeCell ref="B27:E27"/>
    <mergeCell ref="H27:K27"/>
    <mergeCell ref="N27:Q27"/>
    <mergeCell ref="B40:E40"/>
    <mergeCell ref="H40:K40"/>
    <mergeCell ref="N40:Q40"/>
    <mergeCell ref="B53:E53"/>
    <mergeCell ref="H53:K53"/>
    <mergeCell ref="N53:Q53"/>
    <mergeCell ref="B66:E66"/>
    <mergeCell ref="H66:K66"/>
    <mergeCell ref="N66:Q66"/>
    <mergeCell ref="B79:E79"/>
    <mergeCell ref="H79:K79"/>
    <mergeCell ref="N79:Q79"/>
    <mergeCell ref="B92:E92"/>
    <mergeCell ref="H92:K92"/>
    <mergeCell ref="N92:Q92"/>
    <mergeCell ref="B105:E105"/>
    <mergeCell ref="H105:K105"/>
    <mergeCell ref="N105:Q105"/>
    <mergeCell ref="B118:E118"/>
    <mergeCell ref="H118:K118"/>
    <mergeCell ref="N118:Q118"/>
  </mergeCells>
  <printOptions horizontalCentered="1" verticalCentered="1"/>
  <pageMargins left="1.1811023622047245" right="1.1811023622047245" top="0.78740157480314965" bottom="0.78740157480314965" header="0.31496062992125984" footer="0.31496062992125984"/>
  <pageSetup paperSize="9" orientation="portrait" horizontalDpi="300" verticalDpi="300" r:id="rId1"/>
  <ignoredErrors>
    <ignoredError sqref="B9" formulaRange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F3DD-0582-4A34-8310-AF64B51A6544}">
  <sheetPr codeName="Hoja14">
    <pageSetUpPr fitToPage="1"/>
  </sheetPr>
  <dimension ref="A1:J36"/>
  <sheetViews>
    <sheetView showGridLines="0" topLeftCell="A19" zoomScaleNormal="100" workbookViewId="0"/>
  </sheetViews>
  <sheetFormatPr baseColWidth="10" defaultColWidth="11.42578125" defaultRowHeight="15" x14ac:dyDescent="0.25"/>
  <cols>
    <col min="1" max="1" width="7.140625" style="317" customWidth="1"/>
    <col min="2" max="2" width="11" style="162" bestFit="1" customWidth="1"/>
    <col min="3" max="3" width="10.42578125" style="162" bestFit="1" customWidth="1"/>
    <col min="4" max="4" width="11.28515625" style="162" bestFit="1" customWidth="1"/>
    <col min="5" max="5" width="13.5703125" style="382" bestFit="1" customWidth="1"/>
    <col min="6" max="6" width="14.42578125" style="381" bestFit="1" customWidth="1"/>
    <col min="7" max="7" width="10.5703125" style="386" bestFit="1" customWidth="1"/>
    <col min="8" max="8" width="91.140625" style="95" customWidth="1"/>
    <col min="9" max="9" width="22.42578125" style="162" bestFit="1" customWidth="1"/>
    <col min="10" max="10" width="8.7109375" style="162" bestFit="1" customWidth="1"/>
    <col min="11" max="11" width="9.42578125" style="95" bestFit="1" customWidth="1"/>
    <col min="12" max="16384" width="11.42578125" style="95"/>
  </cols>
  <sheetData>
    <row r="1" spans="1:10" x14ac:dyDescent="0.25">
      <c r="A1" s="616" t="s">
        <v>548</v>
      </c>
      <c r="D1" s="614"/>
      <c r="E1" s="323">
        <f>SUBTOTAL(9,E3:E1395)</f>
        <v>10526574.6</v>
      </c>
      <c r="F1" s="378"/>
      <c r="G1" s="379"/>
    </row>
    <row r="2" spans="1:10" s="317" customFormat="1" x14ac:dyDescent="0.25">
      <c r="A2" s="312" t="s">
        <v>370</v>
      </c>
      <c r="B2" s="312" t="s">
        <v>368</v>
      </c>
      <c r="C2" s="312" t="s">
        <v>0</v>
      </c>
      <c r="D2" s="615" t="s">
        <v>137</v>
      </c>
      <c r="E2" s="319" t="s">
        <v>371</v>
      </c>
      <c r="F2" s="380" t="s">
        <v>369</v>
      </c>
      <c r="G2" s="380" t="s">
        <v>372</v>
      </c>
      <c r="H2" s="312" t="s">
        <v>6</v>
      </c>
      <c r="I2" s="312" t="s">
        <v>373</v>
      </c>
      <c r="J2" s="312" t="s">
        <v>374</v>
      </c>
    </row>
    <row r="3" spans="1:10" x14ac:dyDescent="0.25">
      <c r="A3" s="317">
        <v>2024</v>
      </c>
      <c r="B3" s="162" t="s">
        <v>536</v>
      </c>
      <c r="C3" s="611">
        <v>45386</v>
      </c>
      <c r="D3" s="162">
        <v>221741</v>
      </c>
      <c r="E3" s="382">
        <v>1407000</v>
      </c>
      <c r="F3" s="381">
        <v>45391</v>
      </c>
      <c r="G3" s="386" t="s">
        <v>517</v>
      </c>
      <c r="H3" s="95" t="s">
        <v>518</v>
      </c>
      <c r="I3" s="162" t="s">
        <v>519</v>
      </c>
    </row>
    <row r="4" spans="1:10" x14ac:dyDescent="0.25">
      <c r="A4" s="317">
        <v>2024</v>
      </c>
      <c r="B4" s="162">
        <v>1095</v>
      </c>
      <c r="C4" s="611">
        <v>45386</v>
      </c>
      <c r="D4" s="162">
        <v>221742</v>
      </c>
      <c r="E4" s="382">
        <v>32000</v>
      </c>
      <c r="F4" s="381">
        <v>45400</v>
      </c>
      <c r="G4" s="386" t="s">
        <v>517</v>
      </c>
      <c r="H4" s="95" t="s">
        <v>520</v>
      </c>
      <c r="I4" s="162" t="s">
        <v>519</v>
      </c>
    </row>
    <row r="5" spans="1:10" x14ac:dyDescent="0.25">
      <c r="A5" s="317">
        <v>2024</v>
      </c>
      <c r="B5" s="162">
        <v>1152</v>
      </c>
      <c r="C5" s="611">
        <v>45406</v>
      </c>
      <c r="D5" s="162">
        <v>221743</v>
      </c>
      <c r="E5" s="382">
        <v>98918</v>
      </c>
      <c r="F5" s="381">
        <v>45411</v>
      </c>
      <c r="G5" s="386" t="s">
        <v>521</v>
      </c>
      <c r="H5" s="95" t="s">
        <v>522</v>
      </c>
      <c r="I5" s="162" t="s">
        <v>523</v>
      </c>
    </row>
    <row r="6" spans="1:10" x14ac:dyDescent="0.25">
      <c r="A6" s="317">
        <v>2024</v>
      </c>
      <c r="B6" s="162">
        <v>1153</v>
      </c>
      <c r="C6" s="611">
        <v>45406</v>
      </c>
      <c r="D6" s="162">
        <v>221743</v>
      </c>
      <c r="E6" s="382">
        <v>67834</v>
      </c>
      <c r="F6" s="381">
        <v>45411</v>
      </c>
      <c r="G6" s="386" t="s">
        <v>524</v>
      </c>
      <c r="H6" s="95" t="s">
        <v>525</v>
      </c>
      <c r="I6" s="162" t="s">
        <v>523</v>
      </c>
    </row>
    <row r="7" spans="1:10" x14ac:dyDescent="0.25">
      <c r="A7" s="317">
        <v>2024</v>
      </c>
      <c r="B7" s="162">
        <v>1154</v>
      </c>
      <c r="C7" s="611">
        <v>45406</v>
      </c>
      <c r="D7" s="162">
        <v>221743</v>
      </c>
      <c r="E7" s="382">
        <v>39876</v>
      </c>
      <c r="F7" s="381">
        <v>45411</v>
      </c>
      <c r="G7" s="386" t="s">
        <v>526</v>
      </c>
      <c r="H7" s="95" t="s">
        <v>527</v>
      </c>
      <c r="I7" s="162" t="s">
        <v>523</v>
      </c>
    </row>
    <row r="8" spans="1:10" x14ac:dyDescent="0.25">
      <c r="A8" s="317">
        <v>2024</v>
      </c>
      <c r="B8" s="162">
        <v>1155</v>
      </c>
      <c r="C8" s="611">
        <v>45406</v>
      </c>
      <c r="D8" s="162">
        <v>221743</v>
      </c>
      <c r="E8" s="382">
        <v>64793</v>
      </c>
      <c r="F8" s="381">
        <v>45411</v>
      </c>
      <c r="G8" s="386" t="s">
        <v>528</v>
      </c>
      <c r="H8" s="95" t="s">
        <v>529</v>
      </c>
      <c r="I8" s="162" t="s">
        <v>523</v>
      </c>
    </row>
    <row r="9" spans="1:10" x14ac:dyDescent="0.25">
      <c r="A9" s="317">
        <v>2024</v>
      </c>
      <c r="B9" s="162">
        <v>1156</v>
      </c>
      <c r="C9" s="611">
        <v>45406</v>
      </c>
      <c r="D9" s="162">
        <v>221743</v>
      </c>
      <c r="E9" s="382">
        <v>4792</v>
      </c>
      <c r="F9" s="381">
        <v>45411</v>
      </c>
      <c r="G9" s="386" t="s">
        <v>530</v>
      </c>
      <c r="H9" s="95" t="s">
        <v>531</v>
      </c>
      <c r="I9" s="162" t="s">
        <v>523</v>
      </c>
    </row>
    <row r="10" spans="1:10" x14ac:dyDescent="0.25">
      <c r="A10" s="317">
        <v>2024</v>
      </c>
      <c r="B10" s="162">
        <v>1157</v>
      </c>
      <c r="C10" s="611">
        <v>45406</v>
      </c>
      <c r="D10" s="162">
        <v>221743</v>
      </c>
      <c r="E10" s="382">
        <v>18572</v>
      </c>
      <c r="F10" s="381">
        <v>45411</v>
      </c>
      <c r="G10" s="386" t="s">
        <v>532</v>
      </c>
      <c r="H10" s="95" t="s">
        <v>533</v>
      </c>
      <c r="I10" s="162" t="s">
        <v>523</v>
      </c>
    </row>
    <row r="11" spans="1:10" x14ac:dyDescent="0.25">
      <c r="A11" s="317">
        <v>2024</v>
      </c>
      <c r="B11" s="162">
        <v>1158</v>
      </c>
      <c r="C11" s="611">
        <v>45406</v>
      </c>
      <c r="D11" s="162">
        <v>221743</v>
      </c>
      <c r="E11" s="382">
        <v>44352</v>
      </c>
      <c r="F11" s="381">
        <v>45411</v>
      </c>
      <c r="G11" s="386" t="s">
        <v>534</v>
      </c>
      <c r="H11" s="95" t="s">
        <v>535</v>
      </c>
      <c r="I11" s="162" t="s">
        <v>519</v>
      </c>
    </row>
    <row r="12" spans="1:10" x14ac:dyDescent="0.25">
      <c r="A12" s="616">
        <v>2024</v>
      </c>
      <c r="B12" s="658"/>
      <c r="C12" s="659">
        <v>45449</v>
      </c>
      <c r="D12" s="660">
        <v>221744</v>
      </c>
      <c r="E12" s="661">
        <v>1934732</v>
      </c>
      <c r="F12" s="659">
        <v>45449</v>
      </c>
      <c r="H12" s="612" t="s">
        <v>569</v>
      </c>
      <c r="I12" s="660" t="s">
        <v>569</v>
      </c>
    </row>
    <row r="13" spans="1:10" x14ac:dyDescent="0.25">
      <c r="A13" s="317">
        <v>2024</v>
      </c>
      <c r="B13" s="162">
        <v>1159</v>
      </c>
      <c r="C13" s="611">
        <v>45453</v>
      </c>
      <c r="D13" s="162">
        <v>221745</v>
      </c>
      <c r="E13" s="382">
        <v>132292</v>
      </c>
      <c r="F13" s="381">
        <v>45454</v>
      </c>
      <c r="G13" s="386" t="s">
        <v>530</v>
      </c>
      <c r="H13" s="95" t="s">
        <v>572</v>
      </c>
      <c r="I13" s="162" t="s">
        <v>523</v>
      </c>
    </row>
    <row r="14" spans="1:10" x14ac:dyDescent="0.25">
      <c r="A14" s="317">
        <v>2024</v>
      </c>
      <c r="B14" s="162">
        <v>1160</v>
      </c>
      <c r="C14" s="611">
        <v>45453</v>
      </c>
      <c r="D14" s="162">
        <v>221745</v>
      </c>
      <c r="E14" s="382">
        <v>127350</v>
      </c>
      <c r="F14" s="381">
        <v>45454</v>
      </c>
      <c r="G14" s="386" t="s">
        <v>532</v>
      </c>
      <c r="H14" s="95" t="s">
        <v>573</v>
      </c>
      <c r="I14" s="162" t="s">
        <v>523</v>
      </c>
    </row>
    <row r="15" spans="1:10" x14ac:dyDescent="0.25">
      <c r="A15" s="317">
        <v>2024</v>
      </c>
      <c r="B15" s="162">
        <v>1161</v>
      </c>
      <c r="C15" s="611">
        <v>45453</v>
      </c>
      <c r="D15" s="162">
        <v>221745</v>
      </c>
      <c r="E15" s="382">
        <v>84690</v>
      </c>
      <c r="F15" s="381">
        <v>45454</v>
      </c>
      <c r="G15" s="386" t="s">
        <v>534</v>
      </c>
      <c r="H15" s="95" t="s">
        <v>574</v>
      </c>
      <c r="I15" s="162" t="s">
        <v>519</v>
      </c>
    </row>
    <row r="16" spans="1:10" x14ac:dyDescent="0.25">
      <c r="A16" s="317">
        <v>2024</v>
      </c>
      <c r="B16" s="162">
        <v>1162</v>
      </c>
      <c r="C16" s="611">
        <v>45453</v>
      </c>
      <c r="D16" s="162">
        <v>221745</v>
      </c>
      <c r="E16" s="382">
        <v>5208</v>
      </c>
      <c r="F16" s="381">
        <v>45454</v>
      </c>
      <c r="G16" s="386" t="s">
        <v>570</v>
      </c>
      <c r="H16" s="95" t="s">
        <v>575</v>
      </c>
      <c r="I16" s="162" t="s">
        <v>523</v>
      </c>
    </row>
    <row r="17" spans="1:9" x14ac:dyDescent="0.25">
      <c r="A17" s="317">
        <v>2024</v>
      </c>
      <c r="B17" s="162">
        <v>1163</v>
      </c>
      <c r="C17" s="611">
        <v>45453</v>
      </c>
      <c r="D17" s="162">
        <v>221745</v>
      </c>
      <c r="E17" s="382">
        <v>8750</v>
      </c>
      <c r="F17" s="381">
        <v>45454</v>
      </c>
      <c r="G17" s="386" t="s">
        <v>521</v>
      </c>
      <c r="H17" s="95" t="s">
        <v>576</v>
      </c>
      <c r="I17" s="162" t="s">
        <v>523</v>
      </c>
    </row>
    <row r="18" spans="1:9" x14ac:dyDescent="0.25">
      <c r="A18" s="317">
        <v>2024</v>
      </c>
      <c r="B18" s="162">
        <v>1164</v>
      </c>
      <c r="C18" s="611">
        <v>45453</v>
      </c>
      <c r="D18" s="162">
        <v>221745</v>
      </c>
      <c r="E18" s="382">
        <v>28875</v>
      </c>
      <c r="F18" s="381">
        <v>45454</v>
      </c>
      <c r="G18" s="95" t="s">
        <v>524</v>
      </c>
      <c r="H18" s="95" t="s">
        <v>577</v>
      </c>
      <c r="I18" s="162" t="s">
        <v>523</v>
      </c>
    </row>
    <row r="19" spans="1:9" x14ac:dyDescent="0.25">
      <c r="A19" s="317">
        <v>2024</v>
      </c>
      <c r="B19" s="162">
        <v>1165</v>
      </c>
      <c r="C19" s="611">
        <v>45453</v>
      </c>
      <c r="D19" s="162">
        <v>221745</v>
      </c>
      <c r="E19" s="382">
        <v>28875</v>
      </c>
      <c r="F19" s="381">
        <v>45454</v>
      </c>
      <c r="G19" s="386" t="s">
        <v>528</v>
      </c>
      <c r="H19" s="95" t="s">
        <v>578</v>
      </c>
      <c r="I19" s="162" t="s">
        <v>523</v>
      </c>
    </row>
    <row r="20" spans="1:9" x14ac:dyDescent="0.25">
      <c r="A20" s="317">
        <v>2024</v>
      </c>
      <c r="B20" s="162">
        <v>1166</v>
      </c>
      <c r="C20" s="611">
        <v>45453</v>
      </c>
      <c r="D20" s="162">
        <v>221745</v>
      </c>
      <c r="E20" s="382">
        <v>1549940</v>
      </c>
      <c r="F20" s="381">
        <v>45454</v>
      </c>
      <c r="G20" s="386" t="s">
        <v>526</v>
      </c>
      <c r="H20" s="95" t="s">
        <v>580</v>
      </c>
      <c r="I20" s="162" t="s">
        <v>523</v>
      </c>
    </row>
    <row r="21" spans="1:9" x14ac:dyDescent="0.25">
      <c r="A21" s="317">
        <v>2024</v>
      </c>
      <c r="B21" s="162">
        <v>1167</v>
      </c>
      <c r="C21" s="611">
        <v>45454</v>
      </c>
      <c r="D21" s="162">
        <v>221745</v>
      </c>
      <c r="E21" s="382">
        <v>5208</v>
      </c>
      <c r="F21" s="381">
        <v>45454</v>
      </c>
      <c r="G21" s="386" t="s">
        <v>571</v>
      </c>
      <c r="H21" s="95" t="s">
        <v>579</v>
      </c>
      <c r="I21" s="162" t="s">
        <v>523</v>
      </c>
    </row>
    <row r="22" spans="1:9" x14ac:dyDescent="0.25">
      <c r="A22" s="317">
        <v>2024</v>
      </c>
      <c r="B22" s="162">
        <v>1168</v>
      </c>
      <c r="C22" s="611">
        <v>45517</v>
      </c>
      <c r="D22" s="162">
        <v>221746</v>
      </c>
      <c r="E22" s="382">
        <v>141006</v>
      </c>
      <c r="F22" s="381">
        <v>45522</v>
      </c>
      <c r="G22" s="724" t="s">
        <v>534</v>
      </c>
      <c r="H22" s="670" t="s">
        <v>574</v>
      </c>
      <c r="I22" s="162" t="s">
        <v>519</v>
      </c>
    </row>
    <row r="23" spans="1:9" x14ac:dyDescent="0.25">
      <c r="A23" s="317">
        <v>2024</v>
      </c>
      <c r="B23" s="162">
        <v>1169</v>
      </c>
      <c r="C23" s="611">
        <v>45517</v>
      </c>
      <c r="D23" s="162">
        <v>221746</v>
      </c>
      <c r="E23" s="382">
        <v>65991.600000000006</v>
      </c>
      <c r="F23" s="381">
        <v>45522</v>
      </c>
      <c r="G23" s="724" t="s">
        <v>528</v>
      </c>
      <c r="H23" s="670" t="s">
        <v>578</v>
      </c>
      <c r="I23" s="162" t="s">
        <v>523</v>
      </c>
    </row>
    <row r="24" spans="1:9" x14ac:dyDescent="0.25">
      <c r="A24" s="317">
        <v>2024</v>
      </c>
      <c r="B24" s="162">
        <v>1170</v>
      </c>
      <c r="C24" s="611">
        <v>45517</v>
      </c>
      <c r="D24" s="162">
        <v>221746</v>
      </c>
      <c r="E24" s="382">
        <v>41016</v>
      </c>
      <c r="F24" s="381">
        <v>45522</v>
      </c>
      <c r="G24" s="724" t="s">
        <v>571</v>
      </c>
      <c r="H24" s="670" t="s">
        <v>579</v>
      </c>
      <c r="I24" s="162" t="s">
        <v>523</v>
      </c>
    </row>
    <row r="25" spans="1:9" x14ac:dyDescent="0.25">
      <c r="A25" s="317">
        <v>2024</v>
      </c>
      <c r="B25" s="162">
        <v>1171</v>
      </c>
      <c r="C25" s="611">
        <v>45517</v>
      </c>
      <c r="D25" s="162">
        <v>221746</v>
      </c>
      <c r="E25" s="382">
        <v>270663</v>
      </c>
      <c r="F25" s="381">
        <v>45522</v>
      </c>
      <c r="G25" s="724" t="s">
        <v>532</v>
      </c>
      <c r="H25" s="670" t="s">
        <v>573</v>
      </c>
      <c r="I25" s="162" t="s">
        <v>523</v>
      </c>
    </row>
    <row r="26" spans="1:9" x14ac:dyDescent="0.25">
      <c r="A26" s="317">
        <v>2024</v>
      </c>
      <c r="B26" s="162">
        <v>1172</v>
      </c>
      <c r="C26" s="611">
        <v>45517</v>
      </c>
      <c r="D26" s="162">
        <v>221746</v>
      </c>
      <c r="E26" s="382">
        <v>75625</v>
      </c>
      <c r="F26" s="381">
        <v>45522</v>
      </c>
      <c r="G26" s="724" t="s">
        <v>530</v>
      </c>
      <c r="H26" s="670" t="s">
        <v>572</v>
      </c>
      <c r="I26" s="162" t="s">
        <v>523</v>
      </c>
    </row>
    <row r="27" spans="1:9" x14ac:dyDescent="0.25">
      <c r="A27" s="317">
        <v>2024</v>
      </c>
      <c r="B27" s="162">
        <v>1173</v>
      </c>
      <c r="C27" s="611">
        <v>45517</v>
      </c>
      <c r="D27" s="162">
        <v>221746</v>
      </c>
      <c r="E27" s="382">
        <v>35666</v>
      </c>
      <c r="F27" s="381">
        <v>45522</v>
      </c>
      <c r="G27" s="724" t="s">
        <v>570</v>
      </c>
      <c r="H27" s="670" t="s">
        <v>575</v>
      </c>
      <c r="I27" s="162" t="s">
        <v>523</v>
      </c>
    </row>
    <row r="28" spans="1:9" x14ac:dyDescent="0.25">
      <c r="A28" s="317">
        <v>2024</v>
      </c>
      <c r="B28" s="162">
        <v>1174</v>
      </c>
      <c r="C28" s="611">
        <v>45517</v>
      </c>
      <c r="D28" s="162">
        <v>221746</v>
      </c>
      <c r="E28" s="382">
        <v>35666</v>
      </c>
      <c r="F28" s="381">
        <v>45522</v>
      </c>
      <c r="G28" s="724" t="s">
        <v>524</v>
      </c>
      <c r="H28" s="670" t="s">
        <v>577</v>
      </c>
      <c r="I28" s="162" t="s">
        <v>523</v>
      </c>
    </row>
    <row r="29" spans="1:9" x14ac:dyDescent="0.25">
      <c r="A29" s="317">
        <v>2024</v>
      </c>
      <c r="B29" s="162">
        <v>1175</v>
      </c>
      <c r="C29" s="611">
        <v>45517</v>
      </c>
      <c r="D29" s="162">
        <v>221746</v>
      </c>
      <c r="E29" s="382">
        <v>30666</v>
      </c>
      <c r="F29" s="381">
        <v>45522</v>
      </c>
      <c r="G29" s="724" t="s">
        <v>526</v>
      </c>
      <c r="H29" s="670" t="s">
        <v>650</v>
      </c>
      <c r="I29" s="162" t="s">
        <v>523</v>
      </c>
    </row>
    <row r="30" spans="1:9" x14ac:dyDescent="0.25">
      <c r="A30" s="317">
        <v>2024</v>
      </c>
      <c r="B30" s="162">
        <v>1176</v>
      </c>
      <c r="C30" s="611">
        <v>45517</v>
      </c>
      <c r="D30" s="162">
        <v>221746</v>
      </c>
      <c r="E30" s="382">
        <v>800000</v>
      </c>
      <c r="F30" s="381">
        <v>45533</v>
      </c>
      <c r="H30" s="95" t="s">
        <v>651</v>
      </c>
      <c r="I30" s="162" t="s">
        <v>523</v>
      </c>
    </row>
    <row r="31" spans="1:9" x14ac:dyDescent="0.25">
      <c r="A31" s="317">
        <v>2024</v>
      </c>
      <c r="C31" s="381">
        <v>45574</v>
      </c>
      <c r="D31" s="162">
        <f t="shared" ref="D31:D36" si="0">+D30+1</f>
        <v>221747</v>
      </c>
      <c r="E31" s="382">
        <v>1837791</v>
      </c>
      <c r="H31" s="95" t="s">
        <v>680</v>
      </c>
    </row>
    <row r="32" spans="1:9" x14ac:dyDescent="0.25">
      <c r="A32" s="756">
        <v>2024</v>
      </c>
      <c r="B32" s="757"/>
      <c r="C32" s="758">
        <v>45580</v>
      </c>
      <c r="D32" s="757">
        <f t="shared" si="0"/>
        <v>221748</v>
      </c>
      <c r="E32" s="589">
        <v>890985</v>
      </c>
      <c r="F32" s="759"/>
      <c r="G32" s="760"/>
      <c r="H32" s="672" t="s">
        <v>681</v>
      </c>
    </row>
    <row r="33" spans="1:8" x14ac:dyDescent="0.25">
      <c r="A33" s="756">
        <v>2024</v>
      </c>
      <c r="B33" s="757"/>
      <c r="C33" s="758">
        <v>45632</v>
      </c>
      <c r="D33" s="757">
        <f t="shared" si="0"/>
        <v>221749</v>
      </c>
      <c r="E33" s="589">
        <v>617442</v>
      </c>
      <c r="F33" s="759"/>
      <c r="G33" s="760"/>
      <c r="H33" s="672" t="s">
        <v>681</v>
      </c>
    </row>
    <row r="34" spans="1:8" x14ac:dyDescent="0.25">
      <c r="A34" s="317">
        <v>2024</v>
      </c>
      <c r="D34" s="162">
        <f t="shared" si="0"/>
        <v>221750</v>
      </c>
    </row>
    <row r="35" spans="1:8" x14ac:dyDescent="0.25">
      <c r="A35" s="317">
        <v>2024</v>
      </c>
      <c r="D35" s="162">
        <f t="shared" si="0"/>
        <v>221751</v>
      </c>
    </row>
    <row r="36" spans="1:8" x14ac:dyDescent="0.25">
      <c r="D36" s="162">
        <f t="shared" si="0"/>
        <v>221752</v>
      </c>
    </row>
  </sheetData>
  <autoFilter ref="A2:K2" xr:uid="{361CF3DD-0582-4A34-8310-AF64B51A6544}"/>
  <sortState xmlns:xlrd2="http://schemas.microsoft.com/office/spreadsheetml/2017/richdata2" ref="A22:I30">
    <sortCondition ref="B22:B30"/>
  </sortState>
  <phoneticPr fontId="31" type="noConversion"/>
  <pageMargins left="0.23622047244094491" right="0.23622047244094491" top="0.74803149606299213" bottom="0.74803149606299213" header="0.31496062992125984" footer="0.31496062992125984"/>
  <pageSetup paperSize="9" scale="75" orientation="landscape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11</vt:i4>
      </vt:variant>
    </vt:vector>
  </HeadingPairs>
  <TitlesOfParts>
    <vt:vector size="27" baseType="lpstr">
      <vt:lpstr>MOSTRAR</vt:lpstr>
      <vt:lpstr>Resumen 2024-2025</vt:lpstr>
      <vt:lpstr>PLAN</vt:lpstr>
      <vt:lpstr>RUTA</vt:lpstr>
      <vt:lpstr>CARTOLA</vt:lpstr>
      <vt:lpstr>pago marzo 2025</vt:lpstr>
      <vt:lpstr>DIRECTOR</vt:lpstr>
      <vt:lpstr>REUNION</vt:lpstr>
      <vt:lpstr>VIATICOS</vt:lpstr>
      <vt:lpstr>GASTODIR</vt:lpstr>
      <vt:lpstr>RENDICION</vt:lpstr>
      <vt:lpstr>APORTE</vt:lpstr>
      <vt:lpstr>PLENARIA</vt:lpstr>
      <vt:lpstr>ACTAS</vt:lpstr>
      <vt:lpstr>BOLETAS</vt:lpstr>
      <vt:lpstr>CHEQUE</vt:lpstr>
      <vt:lpstr>CARTOLA!Área_de_impresión</vt:lpstr>
      <vt:lpstr>CHEQUE!Área_de_impresión</vt:lpstr>
      <vt:lpstr>DIRECTOR!Área_de_impresión</vt:lpstr>
      <vt:lpstr>GASTODIR!Área_de_impresión</vt:lpstr>
      <vt:lpstr>'pago dic 24'!Área_de_impresión</vt:lpstr>
      <vt:lpstr>'pago marzo 2025'!Área_de_impresión</vt:lpstr>
      <vt:lpstr>PLAN!Área_de_impresión</vt:lpstr>
      <vt:lpstr>PLENARIA!Área_de_impresión</vt:lpstr>
      <vt:lpstr>RENDICION!Área_de_impresión</vt:lpstr>
      <vt:lpstr>REUNION!Área_de_impresión</vt:lpstr>
      <vt:lpstr>RUTA!Área_de_impresión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gabriel torres fuentes</dc:creator>
  <cp:lastModifiedBy>christian torres fuentes</cp:lastModifiedBy>
  <cp:lastPrinted>2025-04-03T20:31:57Z</cp:lastPrinted>
  <dcterms:created xsi:type="dcterms:W3CDTF">2023-03-17T00:55:44Z</dcterms:created>
  <dcterms:modified xsi:type="dcterms:W3CDTF">2025-04-03T22:48:42Z</dcterms:modified>
</cp:coreProperties>
</file>